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ventas\"/>
    </mc:Choice>
  </mc:AlternateContent>
  <bookViews>
    <workbookView xWindow="0" yWindow="0" windowWidth="23040" windowHeight="9192"/>
  </bookViews>
  <sheets>
    <sheet name="InformeValeria" sheetId="1" r:id="rId1"/>
  </sheets>
  <externalReferences>
    <externalReference r:id="rId2"/>
  </externalReferences>
  <definedNames>
    <definedName name="_xlnm._FilterDatabase" localSheetId="0" hidden="1">InformeValeria!$A$1:$K$1382</definedName>
    <definedName name="ImagenProducto">EMBEBER.IMAGEN(#REF!)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69" i="1" l="1"/>
  <c r="B1269" i="1"/>
  <c r="J1268" i="1"/>
  <c r="B1268" i="1"/>
  <c r="J939" i="1"/>
  <c r="B939" i="1"/>
  <c r="J1382" i="1"/>
  <c r="B1382" i="1"/>
  <c r="J1381" i="1"/>
  <c r="B1381" i="1"/>
  <c r="J1363" i="1"/>
  <c r="B1363" i="1"/>
  <c r="J1362" i="1"/>
  <c r="B1362" i="1"/>
  <c r="J1361" i="1"/>
  <c r="B1361" i="1"/>
  <c r="J614" i="1"/>
  <c r="B614" i="1"/>
  <c r="J1052" i="1"/>
  <c r="B1052" i="1"/>
  <c r="J1051" i="1"/>
  <c r="B1051" i="1"/>
  <c r="J1050" i="1"/>
  <c r="B1050" i="1"/>
  <c r="J1049" i="1"/>
  <c r="B1049" i="1"/>
  <c r="J1024" i="1"/>
  <c r="B1024" i="1"/>
  <c r="J1023" i="1"/>
  <c r="B1023" i="1"/>
  <c r="J975" i="1"/>
  <c r="B975" i="1"/>
  <c r="J974" i="1"/>
  <c r="B974" i="1"/>
  <c r="J973" i="1"/>
  <c r="B973" i="1"/>
  <c r="J1321" i="1"/>
  <c r="B1321" i="1"/>
  <c r="J1320" i="1"/>
  <c r="B1320" i="1"/>
  <c r="J1319" i="1"/>
  <c r="B1319" i="1"/>
  <c r="J1318" i="1"/>
  <c r="B1318" i="1"/>
  <c r="J1317" i="1"/>
  <c r="B1317" i="1"/>
  <c r="J938" i="1"/>
  <c r="B938" i="1"/>
  <c r="J937" i="1"/>
  <c r="B937" i="1"/>
  <c r="J936" i="1"/>
  <c r="B936" i="1"/>
  <c r="J911" i="1"/>
  <c r="B911" i="1"/>
  <c r="J155" i="1"/>
  <c r="B155" i="1"/>
  <c r="J154" i="1"/>
  <c r="B154" i="1"/>
  <c r="J153" i="1"/>
  <c r="B153" i="1"/>
  <c r="J132" i="1"/>
  <c r="B132" i="1"/>
  <c r="J131" i="1"/>
  <c r="B131" i="1"/>
  <c r="J130" i="1"/>
  <c r="B130" i="1"/>
  <c r="J123" i="1"/>
  <c r="B123" i="1"/>
  <c r="J122" i="1"/>
  <c r="B122" i="1"/>
  <c r="J121" i="1"/>
  <c r="B121" i="1"/>
  <c r="J120" i="1"/>
  <c r="B120" i="1"/>
  <c r="J104" i="1"/>
  <c r="B104" i="1"/>
  <c r="J103" i="1"/>
  <c r="B103" i="1"/>
  <c r="J102" i="1"/>
  <c r="B102" i="1"/>
  <c r="J101" i="1"/>
  <c r="B101" i="1"/>
  <c r="J199" i="1"/>
  <c r="B199" i="1"/>
  <c r="J198" i="1"/>
  <c r="B198" i="1"/>
  <c r="J197" i="1"/>
  <c r="B197" i="1"/>
  <c r="J196" i="1"/>
  <c r="B196" i="1"/>
  <c r="J195" i="1"/>
  <c r="B195" i="1"/>
  <c r="J185" i="1"/>
  <c r="B185" i="1"/>
  <c r="J184" i="1"/>
  <c r="B184" i="1"/>
  <c r="J83" i="1"/>
  <c r="B83" i="1"/>
  <c r="J82" i="1"/>
  <c r="B82" i="1"/>
  <c r="J66" i="1"/>
  <c r="B66" i="1"/>
  <c r="J65" i="1"/>
  <c r="B65" i="1"/>
  <c r="J64" i="1"/>
  <c r="B64" i="1"/>
  <c r="J31" i="1"/>
  <c r="B31" i="1"/>
  <c r="J30" i="1"/>
  <c r="B30" i="1"/>
  <c r="J29" i="1"/>
  <c r="B29" i="1"/>
  <c r="J28" i="1"/>
  <c r="B28" i="1"/>
  <c r="J395" i="1"/>
  <c r="B395" i="1"/>
  <c r="J364" i="1"/>
  <c r="B364" i="1"/>
  <c r="J243" i="1"/>
  <c r="B243" i="1"/>
  <c r="J240" i="1"/>
  <c r="B240" i="1"/>
  <c r="J1360" i="1"/>
  <c r="B1360" i="1"/>
  <c r="J273" i="1"/>
  <c r="B273" i="1"/>
  <c r="J272" i="1"/>
  <c r="B272" i="1"/>
  <c r="J271" i="1"/>
  <c r="B271" i="1"/>
  <c r="J270" i="1"/>
  <c r="B270" i="1"/>
  <c r="J618" i="1"/>
  <c r="B618" i="1"/>
  <c r="J1366" i="1"/>
  <c r="B1366" i="1"/>
  <c r="J183" i="1"/>
  <c r="B183" i="1"/>
  <c r="J831" i="1"/>
  <c r="B831" i="1"/>
  <c r="J830" i="1"/>
  <c r="B830" i="1"/>
  <c r="J799" i="1"/>
  <c r="B799" i="1"/>
  <c r="J182" i="1"/>
  <c r="B182" i="1"/>
  <c r="J181" i="1"/>
  <c r="B181" i="1"/>
  <c r="J523" i="1"/>
  <c r="B523" i="1"/>
  <c r="J522" i="1"/>
  <c r="B522" i="1"/>
  <c r="J521" i="1"/>
  <c r="B521" i="1"/>
  <c r="J1016" i="1"/>
  <c r="B1016" i="1"/>
  <c r="J812" i="1"/>
  <c r="B812" i="1"/>
  <c r="J780" i="1"/>
  <c r="B780" i="1"/>
  <c r="J336" i="1"/>
  <c r="B336" i="1"/>
  <c r="J363" i="1"/>
  <c r="B363" i="1"/>
  <c r="J1359" i="1"/>
  <c r="B1359" i="1"/>
  <c r="J37" i="1"/>
  <c r="B37" i="1"/>
  <c r="J51" i="1"/>
  <c r="B51" i="1"/>
  <c r="J175" i="1"/>
  <c r="B175" i="1"/>
  <c r="J910" i="1"/>
  <c r="B910" i="1"/>
  <c r="J909" i="1"/>
  <c r="B909" i="1"/>
  <c r="J908" i="1"/>
  <c r="B908" i="1"/>
  <c r="J907" i="1"/>
  <c r="B907" i="1"/>
  <c r="J906" i="1"/>
  <c r="B906" i="1"/>
  <c r="J905" i="1"/>
  <c r="B905" i="1"/>
  <c r="J870" i="1"/>
  <c r="B870" i="1"/>
  <c r="J869" i="1"/>
  <c r="B869" i="1"/>
  <c r="J868" i="1"/>
  <c r="B868" i="1"/>
  <c r="J724" i="1"/>
  <c r="B724" i="1"/>
  <c r="J723" i="1"/>
  <c r="B723" i="1"/>
  <c r="J722" i="1"/>
  <c r="B722" i="1"/>
  <c r="J678" i="1"/>
  <c r="B678" i="1"/>
  <c r="J677" i="1"/>
  <c r="B677" i="1"/>
  <c r="J676" i="1"/>
  <c r="B676" i="1"/>
  <c r="J675" i="1"/>
  <c r="B675" i="1"/>
  <c r="J674" i="1"/>
  <c r="B674" i="1"/>
  <c r="J706" i="1"/>
  <c r="B706" i="1"/>
  <c r="J705" i="1"/>
  <c r="B705" i="1"/>
  <c r="J704" i="1"/>
  <c r="B704" i="1"/>
  <c r="J703" i="1"/>
  <c r="B703" i="1"/>
  <c r="J702" i="1"/>
  <c r="B702" i="1"/>
  <c r="J701" i="1"/>
  <c r="B701" i="1"/>
  <c r="J700" i="1"/>
  <c r="B700" i="1"/>
  <c r="J972" i="1"/>
  <c r="B972" i="1"/>
  <c r="J971" i="1"/>
  <c r="B971" i="1"/>
  <c r="J970" i="1"/>
  <c r="B970" i="1"/>
  <c r="J520" i="1"/>
  <c r="B520" i="1"/>
  <c r="J519" i="1"/>
  <c r="B519" i="1"/>
  <c r="J518" i="1"/>
  <c r="B518" i="1"/>
  <c r="J517" i="1"/>
  <c r="B517" i="1"/>
  <c r="J516" i="1"/>
  <c r="B516" i="1"/>
  <c r="J515" i="1"/>
  <c r="B515" i="1"/>
  <c r="J510" i="1"/>
  <c r="B510" i="1"/>
  <c r="J509" i="1"/>
  <c r="B509" i="1"/>
  <c r="J1085" i="1"/>
  <c r="B1085" i="1"/>
  <c r="J985" i="1"/>
  <c r="B985" i="1"/>
  <c r="J408" i="1"/>
  <c r="B408" i="1"/>
  <c r="J610" i="1"/>
  <c r="B610" i="1"/>
  <c r="J609" i="1"/>
  <c r="B609" i="1"/>
  <c r="J194" i="1"/>
  <c r="B194" i="1"/>
  <c r="J193" i="1"/>
  <c r="B193" i="1"/>
  <c r="J946" i="1"/>
  <c r="B946" i="1"/>
  <c r="J945" i="1"/>
  <c r="B945" i="1"/>
  <c r="J944" i="1"/>
  <c r="B944" i="1"/>
  <c r="J763" i="1"/>
  <c r="B763" i="1"/>
  <c r="J750" i="1"/>
  <c r="B750" i="1"/>
  <c r="J749" i="1"/>
  <c r="B749" i="1"/>
  <c r="J1267" i="1"/>
  <c r="B1267" i="1"/>
  <c r="J1266" i="1"/>
  <c r="B1266" i="1"/>
  <c r="J1265" i="1"/>
  <c r="B1265" i="1"/>
  <c r="J536" i="1"/>
  <c r="B536" i="1"/>
  <c r="J535" i="1"/>
  <c r="B535" i="1"/>
  <c r="J1236" i="1"/>
  <c r="B1236" i="1"/>
  <c r="J1235" i="1"/>
  <c r="B1235" i="1"/>
  <c r="J1234" i="1"/>
  <c r="B1234" i="1"/>
  <c r="J1233" i="1"/>
  <c r="B1233" i="1"/>
  <c r="J1208" i="1"/>
  <c r="B1208" i="1"/>
  <c r="J1207" i="1"/>
  <c r="B1207" i="1"/>
  <c r="J1206" i="1"/>
  <c r="B1206" i="1"/>
  <c r="J935" i="1"/>
  <c r="B935" i="1"/>
  <c r="J934" i="1"/>
  <c r="B934" i="1"/>
  <c r="J933" i="1"/>
  <c r="B933" i="1"/>
  <c r="J932" i="1"/>
  <c r="B932" i="1"/>
  <c r="J1140" i="1"/>
  <c r="B1140" i="1"/>
  <c r="J362" i="1"/>
  <c r="B362" i="1"/>
  <c r="J361" i="1"/>
  <c r="B361" i="1"/>
  <c r="J360" i="1"/>
  <c r="B360" i="1"/>
  <c r="J344" i="1"/>
  <c r="B344" i="1"/>
  <c r="J343" i="1"/>
  <c r="B343" i="1"/>
  <c r="J394" i="1"/>
  <c r="B394" i="1"/>
  <c r="J1358" i="1"/>
  <c r="B1358" i="1"/>
  <c r="J1357" i="1"/>
  <c r="B1357" i="1"/>
  <c r="J36" i="1"/>
  <c r="B36" i="1"/>
  <c r="J35" i="1"/>
  <c r="B35" i="1"/>
  <c r="J77" i="1"/>
  <c r="B77" i="1"/>
  <c r="J76" i="1"/>
  <c r="B76" i="1"/>
  <c r="J50" i="1"/>
  <c r="B50" i="1"/>
  <c r="J49" i="1"/>
  <c r="B49" i="1"/>
  <c r="J48" i="1"/>
  <c r="B48" i="1"/>
  <c r="J47" i="1"/>
  <c r="B47" i="1"/>
  <c r="J1316" i="1"/>
  <c r="B1316" i="1"/>
  <c r="J269" i="1"/>
  <c r="B269" i="1"/>
  <c r="J407" i="1"/>
  <c r="B407" i="1"/>
  <c r="J805" i="1"/>
  <c r="B805" i="1"/>
  <c r="J804" i="1"/>
  <c r="B804" i="1"/>
  <c r="J803" i="1"/>
  <c r="B803" i="1"/>
  <c r="J753" i="1"/>
  <c r="B753" i="1"/>
  <c r="J752" i="1"/>
  <c r="B752" i="1"/>
  <c r="J751" i="1"/>
  <c r="B751" i="1"/>
  <c r="J467" i="1"/>
  <c r="B467" i="1"/>
  <c r="J466" i="1"/>
  <c r="B466" i="1"/>
  <c r="J446" i="1"/>
  <c r="B446" i="1"/>
  <c r="J445" i="1"/>
  <c r="B445" i="1"/>
  <c r="J406" i="1"/>
  <c r="B406" i="1"/>
  <c r="J405" i="1"/>
  <c r="B405" i="1"/>
  <c r="J773" i="1"/>
  <c r="B773" i="1"/>
  <c r="J772" i="1"/>
  <c r="B772" i="1"/>
  <c r="J771" i="1"/>
  <c r="B771" i="1"/>
  <c r="J770" i="1"/>
  <c r="B770" i="1"/>
  <c r="J769" i="1"/>
  <c r="B769" i="1"/>
  <c r="J768" i="1"/>
  <c r="B768" i="1"/>
  <c r="J767" i="1"/>
  <c r="B767" i="1"/>
  <c r="J766" i="1"/>
  <c r="B766" i="1"/>
  <c r="J765" i="1"/>
  <c r="B765" i="1"/>
  <c r="J764" i="1"/>
  <c r="B764" i="1"/>
  <c r="J496" i="1"/>
  <c r="B496" i="1"/>
  <c r="J301" i="1"/>
  <c r="B301" i="1"/>
  <c r="J1015" i="1"/>
  <c r="B1015" i="1"/>
  <c r="J732" i="1"/>
  <c r="B732" i="1"/>
  <c r="J1060" i="1"/>
  <c r="B1060" i="1"/>
  <c r="J829" i="1"/>
  <c r="B829" i="1"/>
  <c r="J665" i="1"/>
  <c r="B665" i="1"/>
  <c r="J387" i="1"/>
  <c r="B387" i="1"/>
  <c r="J335" i="1"/>
  <c r="B335" i="1"/>
  <c r="J7" i="1"/>
  <c r="B7" i="1"/>
  <c r="J1014" i="1"/>
  <c r="B1014" i="1"/>
  <c r="J27" i="1"/>
  <c r="B27" i="1"/>
  <c r="J629" i="1"/>
  <c r="B629" i="1"/>
  <c r="J334" i="1"/>
  <c r="B334" i="1"/>
  <c r="J6" i="1"/>
  <c r="B6" i="1"/>
  <c r="J811" i="1"/>
  <c r="B811" i="1"/>
  <c r="J810" i="1"/>
  <c r="B810" i="1"/>
  <c r="J779" i="1"/>
  <c r="B779" i="1"/>
  <c r="J778" i="1"/>
  <c r="B778" i="1"/>
  <c r="J777" i="1"/>
  <c r="B777" i="1"/>
  <c r="J1059" i="1"/>
  <c r="B1059" i="1"/>
  <c r="J1058" i="1"/>
  <c r="B1058" i="1"/>
  <c r="J828" i="1"/>
  <c r="B828" i="1"/>
  <c r="J333" i="1"/>
  <c r="B333" i="1"/>
  <c r="J332" i="1"/>
  <c r="B332" i="1"/>
  <c r="J331" i="1"/>
  <c r="B331" i="1"/>
  <c r="J311" i="1"/>
  <c r="B311" i="1"/>
  <c r="J310" i="1"/>
  <c r="B310" i="1"/>
  <c r="J958" i="1"/>
  <c r="B958" i="1"/>
  <c r="J957" i="1"/>
  <c r="B957" i="1"/>
  <c r="J956" i="1"/>
  <c r="B956" i="1"/>
  <c r="J1071" i="1"/>
  <c r="B1071" i="1"/>
  <c r="J1070" i="1"/>
  <c r="B1070" i="1"/>
  <c r="J1069" i="1"/>
  <c r="B1069" i="1"/>
  <c r="J1068" i="1"/>
  <c r="B1068" i="1"/>
  <c r="J1067" i="1"/>
  <c r="B1067" i="1"/>
  <c r="J1066" i="1"/>
  <c r="B1066" i="1"/>
  <c r="J839" i="1"/>
  <c r="B839" i="1"/>
  <c r="J838" i="1"/>
  <c r="B838" i="1"/>
  <c r="J809" i="1"/>
  <c r="B809" i="1"/>
  <c r="J808" i="1"/>
  <c r="B808" i="1"/>
  <c r="J734" i="1"/>
  <c r="B734" i="1"/>
  <c r="J731" i="1"/>
  <c r="B731" i="1"/>
  <c r="J730" i="1"/>
  <c r="B730" i="1"/>
  <c r="J721" i="1"/>
  <c r="B721" i="1"/>
  <c r="J720" i="1"/>
  <c r="B720" i="1"/>
  <c r="J719" i="1"/>
  <c r="B719" i="1"/>
  <c r="J712" i="1"/>
  <c r="B712" i="1"/>
  <c r="J711" i="1"/>
  <c r="B711" i="1"/>
  <c r="J710" i="1"/>
  <c r="B710" i="1"/>
  <c r="J692" i="1"/>
  <c r="B692" i="1"/>
  <c r="J691" i="1"/>
  <c r="B691" i="1"/>
  <c r="J690" i="1"/>
  <c r="B690" i="1"/>
  <c r="J689" i="1"/>
  <c r="B689" i="1"/>
  <c r="J673" i="1"/>
  <c r="B673" i="1"/>
  <c r="J672" i="1"/>
  <c r="B672" i="1"/>
  <c r="J238" i="1"/>
  <c r="B238" i="1"/>
  <c r="J237" i="1"/>
  <c r="B237" i="1"/>
  <c r="J180" i="1"/>
  <c r="B180" i="1"/>
  <c r="J174" i="1"/>
  <c r="B174" i="1"/>
  <c r="J173" i="1"/>
  <c r="B173" i="1"/>
  <c r="J166" i="1"/>
  <c r="B166" i="1"/>
  <c r="J165" i="1"/>
  <c r="B165" i="1"/>
  <c r="J479" i="1"/>
  <c r="B479" i="1"/>
  <c r="J478" i="1"/>
  <c r="B478" i="1"/>
  <c r="J477" i="1"/>
  <c r="B477" i="1"/>
  <c r="J476" i="1"/>
  <c r="B476" i="1"/>
  <c r="J1102" i="1"/>
  <c r="B1102" i="1"/>
  <c r="J1101" i="1"/>
  <c r="B1101" i="1"/>
  <c r="J664" i="1"/>
  <c r="B664" i="1"/>
  <c r="J386" i="1"/>
  <c r="B386" i="1"/>
  <c r="J385" i="1"/>
  <c r="B385" i="1"/>
  <c r="J495" i="1"/>
  <c r="B495" i="1"/>
  <c r="J494" i="1"/>
  <c r="B494" i="1"/>
  <c r="J1013" i="1"/>
  <c r="B1013" i="1"/>
  <c r="J1012" i="1"/>
  <c r="B1012" i="1"/>
  <c r="J1011" i="1"/>
  <c r="B1011" i="1"/>
  <c r="J1010" i="1"/>
  <c r="B1010" i="1"/>
  <c r="J1009" i="1"/>
  <c r="B1009" i="1"/>
  <c r="J1008" i="1"/>
  <c r="B1008" i="1"/>
  <c r="J429" i="1"/>
  <c r="B429" i="1"/>
  <c r="J428" i="1"/>
  <c r="B428" i="1"/>
  <c r="J425" i="1"/>
  <c r="B425" i="1"/>
  <c r="J424" i="1"/>
  <c r="B424" i="1"/>
  <c r="J1282" i="1"/>
  <c r="B1282" i="1"/>
  <c r="J1281" i="1"/>
  <c r="B1281" i="1"/>
  <c r="J1280" i="1"/>
  <c r="B1280" i="1"/>
  <c r="J1279" i="1"/>
  <c r="B1279" i="1"/>
  <c r="J1278" i="1"/>
  <c r="B1278" i="1"/>
  <c r="J1166" i="1"/>
  <c r="B1166" i="1"/>
  <c r="J1165" i="1"/>
  <c r="B1165" i="1"/>
  <c r="J1164" i="1"/>
  <c r="B1164" i="1"/>
  <c r="J984" i="1"/>
  <c r="B984" i="1"/>
  <c r="J404" i="1"/>
  <c r="B404" i="1"/>
  <c r="J403" i="1"/>
  <c r="B403" i="1"/>
  <c r="J465" i="1"/>
  <c r="B465" i="1"/>
  <c r="J464" i="1"/>
  <c r="B464" i="1"/>
  <c r="J463" i="1"/>
  <c r="B463" i="1"/>
  <c r="J462" i="1"/>
  <c r="B462" i="1"/>
  <c r="J309" i="1"/>
  <c r="B309" i="1"/>
  <c r="J760" i="1"/>
  <c r="B760" i="1"/>
  <c r="J493" i="1"/>
  <c r="B493" i="1"/>
  <c r="J492" i="1"/>
  <c r="B492" i="1"/>
  <c r="J491" i="1"/>
  <c r="B491" i="1"/>
  <c r="J490" i="1"/>
  <c r="B490" i="1"/>
  <c r="J489" i="1"/>
  <c r="B489" i="1"/>
  <c r="J488" i="1"/>
  <c r="B488" i="1"/>
  <c r="J487" i="1"/>
  <c r="B487" i="1"/>
  <c r="J486" i="1"/>
  <c r="B486" i="1"/>
  <c r="J1356" i="1"/>
  <c r="B1356" i="1"/>
  <c r="J1355" i="1"/>
  <c r="B1355" i="1"/>
  <c r="J1354" i="1"/>
  <c r="B1354" i="1"/>
  <c r="J1380" i="1"/>
  <c r="B1380" i="1"/>
  <c r="J1379" i="1"/>
  <c r="B1379" i="1"/>
  <c r="J1315" i="1"/>
  <c r="B1315" i="1"/>
  <c r="J1314" i="1"/>
  <c r="B1314" i="1"/>
  <c r="J1313" i="1"/>
  <c r="B1313" i="1"/>
  <c r="J1312" i="1"/>
  <c r="B1312" i="1"/>
  <c r="J485" i="1"/>
  <c r="B485" i="1"/>
  <c r="J484" i="1"/>
  <c r="B484" i="1"/>
  <c r="J483" i="1"/>
  <c r="B483" i="1"/>
  <c r="J482" i="1"/>
  <c r="B482" i="1"/>
  <c r="J481" i="1"/>
  <c r="B481" i="1"/>
  <c r="J480" i="1"/>
  <c r="B480" i="1"/>
  <c r="J1311" i="1"/>
  <c r="B1311" i="1"/>
  <c r="J983" i="1"/>
  <c r="B983" i="1"/>
  <c r="J982" i="1"/>
  <c r="B982" i="1"/>
  <c r="J981" i="1"/>
  <c r="B981" i="1"/>
  <c r="J969" i="1"/>
  <c r="B969" i="1"/>
  <c r="J968" i="1"/>
  <c r="B968" i="1"/>
  <c r="J967" i="1"/>
  <c r="B967" i="1"/>
  <c r="J798" i="1"/>
  <c r="B798" i="1"/>
  <c r="J797" i="1"/>
  <c r="B797" i="1"/>
  <c r="J796" i="1"/>
  <c r="B796" i="1"/>
  <c r="J795" i="1"/>
  <c r="B795" i="1"/>
  <c r="J794" i="1"/>
  <c r="B794" i="1"/>
  <c r="J792" i="1"/>
  <c r="B792" i="1"/>
  <c r="J791" i="1"/>
  <c r="B791" i="1"/>
  <c r="J790" i="1"/>
  <c r="B790" i="1"/>
  <c r="J789" i="1"/>
  <c r="B789" i="1"/>
  <c r="J788" i="1"/>
  <c r="B788" i="1"/>
  <c r="J786" i="1"/>
  <c r="B786" i="1"/>
  <c r="J785" i="1"/>
  <c r="B785" i="1"/>
  <c r="J784" i="1"/>
  <c r="B784" i="1"/>
  <c r="J783" i="1"/>
  <c r="B783" i="1"/>
  <c r="J782" i="1"/>
  <c r="B782" i="1"/>
  <c r="J955" i="1"/>
  <c r="B955" i="1"/>
  <c r="J954" i="1"/>
  <c r="B954" i="1"/>
  <c r="J739" i="1"/>
  <c r="B739" i="1"/>
  <c r="J738" i="1"/>
  <c r="B738" i="1"/>
  <c r="J737" i="1"/>
  <c r="B737" i="1"/>
  <c r="J63" i="1"/>
  <c r="B63" i="1"/>
  <c r="J602" i="1"/>
  <c r="B602" i="1"/>
  <c r="J601" i="1"/>
  <c r="B601" i="1"/>
  <c r="J600" i="1"/>
  <c r="B600" i="1"/>
  <c r="J599" i="1"/>
  <c r="B599" i="1"/>
  <c r="J598" i="1"/>
  <c r="B598" i="1"/>
  <c r="J597" i="1"/>
  <c r="B597" i="1"/>
  <c r="J596" i="1"/>
  <c r="B596" i="1"/>
  <c r="J595" i="1"/>
  <c r="B595" i="1"/>
  <c r="J594" i="1"/>
  <c r="B594" i="1"/>
  <c r="J593" i="1"/>
  <c r="B593" i="1"/>
  <c r="J592" i="1"/>
  <c r="B592" i="1"/>
  <c r="J591" i="1"/>
  <c r="B591" i="1"/>
  <c r="J590" i="1"/>
  <c r="B590" i="1"/>
  <c r="J589" i="1"/>
  <c r="B589" i="1"/>
  <c r="J588" i="1"/>
  <c r="B588" i="1"/>
  <c r="J587" i="1"/>
  <c r="B587" i="1"/>
  <c r="J586" i="1"/>
  <c r="B586" i="1"/>
  <c r="J585" i="1"/>
  <c r="B585" i="1"/>
  <c r="J584" i="1"/>
  <c r="B584" i="1"/>
  <c r="J583" i="1"/>
  <c r="B583" i="1"/>
  <c r="J582" i="1"/>
  <c r="B582" i="1"/>
  <c r="J581" i="1"/>
  <c r="B581" i="1"/>
  <c r="J580" i="1"/>
  <c r="B580" i="1"/>
  <c r="J579" i="1"/>
  <c r="B579" i="1"/>
  <c r="J578" i="1"/>
  <c r="B578" i="1"/>
  <c r="J816" i="1"/>
  <c r="B816" i="1"/>
  <c r="J815" i="1"/>
  <c r="B815" i="1"/>
  <c r="J26" i="1"/>
  <c r="B26" i="1"/>
  <c r="J25" i="1"/>
  <c r="B25" i="1"/>
  <c r="J24" i="1"/>
  <c r="B24" i="1"/>
  <c r="J635" i="1"/>
  <c r="B635" i="1"/>
  <c r="J634" i="1"/>
  <c r="B634" i="1"/>
  <c r="J633" i="1"/>
  <c r="B633" i="1"/>
  <c r="J802" i="1"/>
  <c r="B802" i="1"/>
  <c r="J801" i="1"/>
  <c r="B801" i="1"/>
  <c r="J800" i="1"/>
  <c r="B800" i="1"/>
  <c r="J300" i="1"/>
  <c r="B300" i="1"/>
  <c r="J299" i="1"/>
  <c r="B299" i="1"/>
  <c r="J298" i="1"/>
  <c r="B298" i="1"/>
  <c r="J289" i="1"/>
  <c r="B289" i="1"/>
  <c r="J628" i="1"/>
  <c r="B628" i="1"/>
  <c r="J627" i="1"/>
  <c r="B627" i="1"/>
  <c r="J617" i="1"/>
  <c r="B617" i="1"/>
  <c r="J613" i="1"/>
  <c r="B613" i="1"/>
  <c r="J359" i="1"/>
  <c r="B359" i="1"/>
  <c r="J358" i="1"/>
  <c r="B358" i="1"/>
  <c r="J330" i="1"/>
  <c r="B330" i="1"/>
  <c r="J329" i="1"/>
  <c r="B329" i="1"/>
  <c r="J328" i="1"/>
  <c r="B328" i="1"/>
  <c r="J1205" i="1"/>
  <c r="B1205" i="1"/>
  <c r="J1204" i="1"/>
  <c r="B1204" i="1"/>
  <c r="J1203" i="1"/>
  <c r="B1203" i="1"/>
  <c r="J1202" i="1"/>
  <c r="B1202" i="1"/>
  <c r="J1201" i="1"/>
  <c r="B1201" i="1"/>
  <c r="J1200" i="1"/>
  <c r="B1200" i="1"/>
  <c r="J1199" i="1"/>
  <c r="B1199" i="1"/>
  <c r="J931" i="1"/>
  <c r="B931" i="1"/>
  <c r="J930" i="1"/>
  <c r="B930" i="1"/>
  <c r="J929" i="1"/>
  <c r="B929" i="1"/>
  <c r="J928" i="1"/>
  <c r="B928" i="1"/>
  <c r="J393" i="1"/>
  <c r="B393" i="1"/>
  <c r="J392" i="1"/>
  <c r="B392" i="1"/>
  <c r="J1378" i="1"/>
  <c r="B1378" i="1"/>
  <c r="J75" i="1"/>
  <c r="B75" i="1"/>
  <c r="J46" i="1"/>
  <c r="B46" i="1"/>
  <c r="J1310" i="1"/>
  <c r="B1310" i="1"/>
  <c r="J1353" i="1"/>
  <c r="B1353" i="1"/>
  <c r="J282" i="1"/>
  <c r="B282" i="1"/>
  <c r="J45" i="1"/>
  <c r="B45" i="1"/>
  <c r="J44" i="1"/>
  <c r="B44" i="1"/>
  <c r="J43" i="1"/>
  <c r="B43" i="1"/>
  <c r="J42" i="1"/>
  <c r="B42" i="1"/>
  <c r="J41" i="1"/>
  <c r="B41" i="1"/>
  <c r="J874" i="1"/>
  <c r="B874" i="1"/>
  <c r="J873" i="1"/>
  <c r="B873" i="1"/>
  <c r="J1239" i="1"/>
  <c r="B1239" i="1"/>
  <c r="J1232" i="1"/>
  <c r="B1232" i="1"/>
  <c r="J1231" i="1"/>
  <c r="B1231" i="1"/>
  <c r="J1230" i="1"/>
  <c r="B1230" i="1"/>
  <c r="J1229" i="1"/>
  <c r="B1229" i="1"/>
  <c r="J1228" i="1"/>
  <c r="B1228" i="1"/>
  <c r="J1227" i="1"/>
  <c r="B1227" i="1"/>
  <c r="J904" i="1"/>
  <c r="B904" i="1"/>
  <c r="J903" i="1"/>
  <c r="B903" i="1"/>
  <c r="J902" i="1"/>
  <c r="B902" i="1"/>
  <c r="J867" i="1"/>
  <c r="B867" i="1"/>
  <c r="J748" i="1"/>
  <c r="B748" i="1"/>
  <c r="J747" i="1"/>
  <c r="B747" i="1"/>
  <c r="J746" i="1"/>
  <c r="B746" i="1"/>
  <c r="J745" i="1"/>
  <c r="B745" i="1"/>
  <c r="J444" i="1"/>
  <c r="B444" i="1"/>
  <c r="J443" i="1"/>
  <c r="B443" i="1"/>
  <c r="J421" i="1"/>
  <c r="B421" i="1"/>
  <c r="J420" i="1"/>
  <c r="B420" i="1"/>
  <c r="J419" i="1"/>
  <c r="B419" i="1"/>
  <c r="J418" i="1"/>
  <c r="B418" i="1"/>
  <c r="J417" i="1"/>
  <c r="B417" i="1"/>
  <c r="J223" i="1"/>
  <c r="B223" i="1"/>
  <c r="J222" i="1"/>
  <c r="B222" i="1"/>
  <c r="J221" i="1"/>
  <c r="B221" i="1"/>
  <c r="J192" i="1"/>
  <c r="B192" i="1"/>
  <c r="J191" i="1"/>
  <c r="B191" i="1"/>
  <c r="J190" i="1"/>
  <c r="B190" i="1"/>
  <c r="J119" i="1"/>
  <c r="B119" i="1"/>
  <c r="J118" i="1"/>
  <c r="B118" i="1"/>
  <c r="J117" i="1"/>
  <c r="B117" i="1"/>
  <c r="J116" i="1"/>
  <c r="B116" i="1"/>
  <c r="J100" i="1"/>
  <c r="B100" i="1"/>
  <c r="J99" i="1"/>
  <c r="B99" i="1"/>
  <c r="J98" i="1"/>
  <c r="B98" i="1"/>
  <c r="J384" i="1"/>
  <c r="B384" i="1"/>
  <c r="J383" i="1"/>
  <c r="B383" i="1"/>
  <c r="J382" i="1"/>
  <c r="B382" i="1"/>
  <c r="J342" i="1"/>
  <c r="B342" i="1"/>
  <c r="J1153" i="1"/>
  <c r="B1153" i="1"/>
  <c r="J1152" i="1"/>
  <c r="B1152" i="1"/>
  <c r="J1151" i="1"/>
  <c r="B1151" i="1"/>
  <c r="J1139" i="1"/>
  <c r="B1139" i="1"/>
  <c r="J1138" i="1"/>
  <c r="B1138" i="1"/>
  <c r="J1137" i="1"/>
  <c r="B1137" i="1"/>
  <c r="J1136" i="1"/>
  <c r="B1136" i="1"/>
  <c r="J1135" i="1"/>
  <c r="B1135" i="1"/>
  <c r="J1134" i="1"/>
  <c r="B1134" i="1"/>
  <c r="J949" i="1"/>
  <c r="B949" i="1"/>
  <c r="J948" i="1"/>
  <c r="B948" i="1"/>
  <c r="J1163" i="1"/>
  <c r="B1163" i="1"/>
  <c r="J1162" i="1"/>
  <c r="B1162" i="1"/>
  <c r="J1161" i="1"/>
  <c r="B1161" i="1"/>
  <c r="J268" i="1"/>
  <c r="B268" i="1"/>
  <c r="J267" i="1"/>
  <c r="B267" i="1"/>
  <c r="J266" i="1"/>
  <c r="B266" i="1"/>
  <c r="J265" i="1"/>
  <c r="B265" i="1"/>
  <c r="J264" i="1"/>
  <c r="B264" i="1"/>
  <c r="J263" i="1"/>
  <c r="B263" i="1"/>
  <c r="J1133" i="1"/>
  <c r="B1133" i="1"/>
  <c r="J1132" i="1"/>
  <c r="B1132" i="1"/>
  <c r="J416" i="1"/>
  <c r="B416" i="1"/>
  <c r="J415" i="1"/>
  <c r="B415" i="1"/>
  <c r="J236" i="1"/>
  <c r="B236" i="1"/>
  <c r="J281" i="1"/>
  <c r="B281" i="1"/>
  <c r="J220" i="1"/>
  <c r="B220" i="1"/>
  <c r="J391" i="1"/>
  <c r="B391" i="1"/>
  <c r="J390" i="1"/>
  <c r="B390" i="1"/>
  <c r="J1352" i="1"/>
  <c r="B1352" i="1"/>
  <c r="J1351" i="1"/>
  <c r="B1351" i="1"/>
  <c r="J866" i="1"/>
  <c r="B866" i="1"/>
  <c r="J1061" i="1"/>
  <c r="B1061" i="1"/>
  <c r="J1057" i="1"/>
  <c r="B1057" i="1"/>
  <c r="J1056" i="1"/>
  <c r="B1056" i="1"/>
  <c r="J1055" i="1"/>
  <c r="B1055" i="1"/>
  <c r="J827" i="1"/>
  <c r="B827" i="1"/>
  <c r="J826" i="1"/>
  <c r="B826" i="1"/>
  <c r="J825" i="1"/>
  <c r="B825" i="1"/>
  <c r="J824" i="1"/>
  <c r="B824" i="1"/>
  <c r="J823" i="1"/>
  <c r="B823" i="1"/>
  <c r="J1377" i="1"/>
  <c r="B1377" i="1"/>
  <c r="J1376" i="1"/>
  <c r="B1376" i="1"/>
  <c r="J1375" i="1"/>
  <c r="B1375" i="1"/>
  <c r="J402" i="1"/>
  <c r="B402" i="1"/>
  <c r="J327" i="1"/>
  <c r="B327" i="1"/>
  <c r="J326" i="1"/>
  <c r="B326" i="1"/>
  <c r="J325" i="1"/>
  <c r="B325" i="1"/>
  <c r="J324" i="1"/>
  <c r="B324" i="1"/>
  <c r="J323" i="1"/>
  <c r="B323" i="1"/>
  <c r="J1309" i="1"/>
  <c r="B1309" i="1"/>
  <c r="J1131" i="1"/>
  <c r="B1131" i="1"/>
  <c r="J927" i="1"/>
  <c r="B927" i="1"/>
  <c r="J1264" i="1"/>
  <c r="B1264" i="1"/>
  <c r="J1263" i="1"/>
  <c r="B1263" i="1"/>
  <c r="J1262" i="1"/>
  <c r="B1262" i="1"/>
  <c r="J822" i="1"/>
  <c r="B822" i="1"/>
  <c r="J729" i="1"/>
  <c r="B729" i="1"/>
  <c r="J728" i="1"/>
  <c r="B728" i="1"/>
  <c r="J503" i="1"/>
  <c r="B503" i="1"/>
  <c r="J497" i="1"/>
  <c r="B497" i="1"/>
  <c r="J23" i="1"/>
  <c r="B23" i="1"/>
  <c r="J22" i="1"/>
  <c r="B22" i="1"/>
  <c r="J21" i="1"/>
  <c r="B21" i="1"/>
  <c r="J20" i="1"/>
  <c r="B20" i="1"/>
  <c r="J19" i="1"/>
  <c r="B19" i="1"/>
  <c r="J74" i="1"/>
  <c r="B74" i="1"/>
  <c r="J626" i="1"/>
  <c r="B626" i="1"/>
  <c r="J73" i="1"/>
  <c r="B73" i="1"/>
  <c r="J152" i="1"/>
  <c r="B152" i="1"/>
  <c r="J151" i="1"/>
  <c r="B151" i="1"/>
  <c r="J280" i="1"/>
  <c r="B280" i="1"/>
  <c r="J279" i="1"/>
  <c r="B279" i="1"/>
  <c r="J865" i="1"/>
  <c r="B865" i="1"/>
  <c r="J864" i="1"/>
  <c r="B864" i="1"/>
  <c r="J863" i="1"/>
  <c r="B863" i="1"/>
  <c r="J862" i="1"/>
  <c r="B862" i="1"/>
  <c r="J625" i="1"/>
  <c r="B625" i="1"/>
  <c r="J624" i="1"/>
  <c r="B624" i="1"/>
  <c r="J623" i="1"/>
  <c r="B623" i="1"/>
  <c r="J1100" i="1"/>
  <c r="B1100" i="1"/>
  <c r="J235" i="1"/>
  <c r="B235" i="1"/>
  <c r="J234" i="1"/>
  <c r="B234" i="1"/>
  <c r="J219" i="1"/>
  <c r="B219" i="1"/>
  <c r="J218" i="1"/>
  <c r="B218" i="1"/>
  <c r="J217" i="1"/>
  <c r="B217" i="1"/>
  <c r="J216" i="1"/>
  <c r="B216" i="1"/>
  <c r="J215" i="1"/>
  <c r="B215" i="1"/>
  <c r="J150" i="1"/>
  <c r="B150" i="1"/>
  <c r="J149" i="1"/>
  <c r="B149" i="1"/>
  <c r="J148" i="1"/>
  <c r="B148" i="1"/>
  <c r="J661" i="1"/>
  <c r="B661" i="1"/>
  <c r="J660" i="1"/>
  <c r="B660" i="1"/>
  <c r="J357" i="1"/>
  <c r="B357" i="1"/>
  <c r="J356" i="1"/>
  <c r="B356" i="1"/>
  <c r="J355" i="1"/>
  <c r="B355" i="1"/>
  <c r="J354" i="1"/>
  <c r="B354" i="1"/>
  <c r="J297" i="1"/>
  <c r="B297" i="1"/>
  <c r="J296" i="1"/>
  <c r="B296" i="1"/>
  <c r="J62" i="1"/>
  <c r="B62" i="1"/>
  <c r="J61" i="1"/>
  <c r="B61" i="1"/>
  <c r="J642" i="1"/>
  <c r="B642" i="1"/>
  <c r="J641" i="1"/>
  <c r="B641" i="1"/>
  <c r="J640" i="1"/>
  <c r="B640" i="1"/>
  <c r="J401" i="1"/>
  <c r="B401" i="1"/>
  <c r="J308" i="1"/>
  <c r="B308" i="1"/>
  <c r="J248" i="1"/>
  <c r="B248" i="1"/>
  <c r="J247" i="1"/>
  <c r="B247" i="1"/>
  <c r="J341" i="1"/>
  <c r="B341" i="1"/>
  <c r="J514" i="1"/>
  <c r="B514" i="1"/>
  <c r="J72" i="1"/>
  <c r="B72" i="1"/>
  <c r="J71" i="1"/>
  <c r="B71" i="1"/>
  <c r="J1198" i="1"/>
  <c r="B1198" i="1"/>
  <c r="J926" i="1"/>
  <c r="B926" i="1"/>
  <c r="J242" i="1"/>
  <c r="B242" i="1"/>
  <c r="J239" i="1"/>
  <c r="B239" i="1"/>
  <c r="J1261" i="1"/>
  <c r="B1261" i="1"/>
  <c r="J262" i="1"/>
  <c r="B262" i="1"/>
  <c r="J261" i="1"/>
  <c r="B261" i="1"/>
  <c r="J260" i="1"/>
  <c r="B260" i="1"/>
  <c r="J759" i="1"/>
  <c r="B759" i="1"/>
  <c r="J189" i="1"/>
  <c r="B189" i="1"/>
  <c r="J188" i="1"/>
  <c r="B188" i="1"/>
  <c r="J187" i="1"/>
  <c r="B187" i="1"/>
  <c r="J164" i="1"/>
  <c r="B164" i="1"/>
  <c r="J1048" i="1"/>
  <c r="B1048" i="1"/>
  <c r="J1047" i="1"/>
  <c r="B1047" i="1"/>
  <c r="J966" i="1"/>
  <c r="B966" i="1"/>
  <c r="J965" i="1"/>
  <c r="B965" i="1"/>
  <c r="J1007" i="1"/>
  <c r="B1007" i="1"/>
  <c r="J1006" i="1"/>
  <c r="B1006" i="1"/>
  <c r="J1005" i="1"/>
  <c r="B1005" i="1"/>
  <c r="J1374" i="1"/>
  <c r="B1374" i="1"/>
  <c r="J1373" i="1"/>
  <c r="B1373" i="1"/>
  <c r="J1372" i="1"/>
  <c r="B1372" i="1"/>
  <c r="J1350" i="1"/>
  <c r="B1350" i="1"/>
  <c r="J1349" i="1"/>
  <c r="B1349" i="1"/>
  <c r="J1348" i="1"/>
  <c r="B1348" i="1"/>
  <c r="J1308" i="1"/>
  <c r="B1308" i="1"/>
  <c r="J1307" i="1"/>
  <c r="B1307" i="1"/>
  <c r="J1306" i="1"/>
  <c r="B1306" i="1"/>
  <c r="J1305" i="1"/>
  <c r="B1305" i="1"/>
  <c r="J461" i="1"/>
  <c r="B461" i="1"/>
  <c r="J460" i="1"/>
  <c r="B460" i="1"/>
  <c r="J459" i="1"/>
  <c r="B459" i="1"/>
  <c r="J458" i="1"/>
  <c r="B458" i="1"/>
  <c r="J457" i="1"/>
  <c r="B457" i="1"/>
  <c r="J442" i="1"/>
  <c r="B442" i="1"/>
  <c r="J441" i="1"/>
  <c r="B441" i="1"/>
  <c r="J440" i="1"/>
  <c r="B440" i="1"/>
  <c r="J861" i="1"/>
  <c r="B861" i="1"/>
  <c r="J860" i="1"/>
  <c r="B860" i="1"/>
  <c r="J859" i="1"/>
  <c r="B859" i="1"/>
  <c r="J858" i="1"/>
  <c r="B858" i="1"/>
  <c r="J857" i="1"/>
  <c r="B857" i="1"/>
  <c r="J856" i="1"/>
  <c r="B856" i="1"/>
  <c r="J855" i="1"/>
  <c r="B855" i="1"/>
  <c r="J1130" i="1"/>
  <c r="B1130" i="1"/>
  <c r="J1347" i="1"/>
  <c r="B1347" i="1"/>
  <c r="J427" i="1"/>
  <c r="B427" i="1"/>
  <c r="J426" i="1"/>
  <c r="B426" i="1"/>
  <c r="J423" i="1"/>
  <c r="B423" i="1"/>
  <c r="J422" i="1"/>
  <c r="B422" i="1"/>
  <c r="J40" i="1"/>
  <c r="B40" i="1"/>
  <c r="J39" i="1"/>
  <c r="B39" i="1"/>
  <c r="J38" i="1"/>
  <c r="B38" i="1"/>
  <c r="J632" i="1"/>
  <c r="B632" i="1"/>
  <c r="J631" i="1"/>
  <c r="B631" i="1"/>
  <c r="J630" i="1"/>
  <c r="B630" i="1"/>
  <c r="J837" i="1"/>
  <c r="B837" i="1"/>
  <c r="J836" i="1"/>
  <c r="B836" i="1"/>
  <c r="J835" i="1"/>
  <c r="B835" i="1"/>
  <c r="J834" i="1"/>
  <c r="B834" i="1"/>
  <c r="J612" i="1"/>
  <c r="B612" i="1"/>
  <c r="J611" i="1"/>
  <c r="B611" i="1"/>
  <c r="J616" i="1"/>
  <c r="B616" i="1"/>
  <c r="J615" i="1"/>
  <c r="B615" i="1"/>
  <c r="J1365" i="1"/>
  <c r="B1365" i="1"/>
  <c r="J1364" i="1"/>
  <c r="B1364" i="1"/>
  <c r="J833" i="1"/>
  <c r="B833" i="1"/>
  <c r="J832" i="1"/>
  <c r="B832" i="1"/>
  <c r="J389" i="1"/>
  <c r="B389" i="1"/>
  <c r="J388" i="1"/>
  <c r="B388" i="1"/>
  <c r="J762" i="1"/>
  <c r="B762" i="1"/>
  <c r="J761" i="1"/>
  <c r="B761" i="1"/>
  <c r="J1197" i="1"/>
  <c r="B1197" i="1"/>
  <c r="J925" i="1"/>
  <c r="B925" i="1"/>
  <c r="J179" i="1"/>
  <c r="B179" i="1"/>
  <c r="J147" i="1"/>
  <c r="B147" i="1"/>
  <c r="J146" i="1"/>
  <c r="B146" i="1"/>
  <c r="J274" i="1"/>
  <c r="B274" i="1"/>
  <c r="J475" i="1"/>
  <c r="B475" i="1"/>
  <c r="J474" i="1"/>
  <c r="B474" i="1"/>
  <c r="J473" i="1"/>
  <c r="B473" i="1"/>
  <c r="J472" i="1"/>
  <c r="B472" i="1"/>
  <c r="J1150" i="1"/>
  <c r="B1150" i="1"/>
  <c r="J1149" i="1"/>
  <c r="B1149" i="1"/>
  <c r="J1148" i="1"/>
  <c r="B1148" i="1"/>
  <c r="J943" i="1"/>
  <c r="B943" i="1"/>
  <c r="J942" i="1"/>
  <c r="B942" i="1"/>
  <c r="J924" i="1"/>
  <c r="B924" i="1"/>
  <c r="J923" i="1"/>
  <c r="B923" i="1"/>
  <c r="J1099" i="1"/>
  <c r="B1099" i="1"/>
  <c r="J1098" i="1"/>
  <c r="B1098" i="1"/>
  <c r="J688" i="1"/>
  <c r="B688" i="1"/>
  <c r="J687" i="1"/>
  <c r="B687" i="1"/>
  <c r="J686" i="1"/>
  <c r="B686" i="1"/>
  <c r="J534" i="1"/>
  <c r="B534" i="1"/>
  <c r="J533" i="1"/>
  <c r="B533" i="1"/>
  <c r="J532" i="1"/>
  <c r="B532" i="1"/>
  <c r="J531" i="1"/>
  <c r="B531" i="1"/>
  <c r="J530" i="1"/>
  <c r="B530" i="1"/>
  <c r="J1304" i="1"/>
  <c r="B1304" i="1"/>
  <c r="J1303" i="1"/>
  <c r="B1303" i="1"/>
  <c r="J1302" i="1"/>
  <c r="B1302" i="1"/>
  <c r="J1301" i="1"/>
  <c r="B1301" i="1"/>
  <c r="J1300" i="1"/>
  <c r="B1300" i="1"/>
  <c r="J1299" i="1"/>
  <c r="B1299" i="1"/>
  <c r="J400" i="1"/>
  <c r="B400" i="1"/>
  <c r="J663" i="1"/>
  <c r="B663" i="1"/>
  <c r="J662" i="1"/>
  <c r="B662" i="1"/>
  <c r="J295" i="1"/>
  <c r="B295" i="1"/>
  <c r="J294" i="1"/>
  <c r="B294" i="1"/>
  <c r="J293" i="1"/>
  <c r="B293" i="1"/>
  <c r="J292" i="1"/>
  <c r="B292" i="1"/>
  <c r="J60" i="1"/>
  <c r="B60" i="1"/>
  <c r="J1004" i="1"/>
  <c r="B1004" i="1"/>
  <c r="J1003" i="1"/>
  <c r="B1003" i="1"/>
  <c r="J1002" i="1"/>
  <c r="B1002" i="1"/>
  <c r="J1046" i="1"/>
  <c r="B1046" i="1"/>
  <c r="J1045" i="1"/>
  <c r="B1045" i="1"/>
  <c r="J1044" i="1"/>
  <c r="B1044" i="1"/>
  <c r="J1043" i="1"/>
  <c r="B1043" i="1"/>
  <c r="J1042" i="1"/>
  <c r="B1042" i="1"/>
  <c r="J980" i="1"/>
  <c r="B980" i="1"/>
  <c r="J964" i="1"/>
  <c r="B964" i="1"/>
  <c r="J340" i="1"/>
  <c r="B340" i="1"/>
  <c r="J339" i="1"/>
  <c r="B339" i="1"/>
  <c r="J1371" i="1"/>
  <c r="B1371" i="1"/>
  <c r="J1370" i="1"/>
  <c r="B1370" i="1"/>
  <c r="J1260" i="1"/>
  <c r="B1260" i="1"/>
  <c r="J758" i="1"/>
  <c r="B758" i="1"/>
  <c r="J757" i="1"/>
  <c r="B757" i="1"/>
  <c r="J756" i="1"/>
  <c r="B756" i="1"/>
  <c r="J755" i="1"/>
  <c r="B755" i="1"/>
  <c r="J754" i="1"/>
  <c r="B754" i="1"/>
  <c r="J1196" i="1"/>
  <c r="B1196" i="1"/>
  <c r="J1195" i="1"/>
  <c r="B1195" i="1"/>
  <c r="J1194" i="1"/>
  <c r="B1194" i="1"/>
  <c r="J1193" i="1"/>
  <c r="B1193" i="1"/>
  <c r="J651" i="1"/>
  <c r="B651" i="1"/>
  <c r="J650" i="1"/>
  <c r="B650" i="1"/>
  <c r="J649" i="1"/>
  <c r="B649" i="1"/>
  <c r="J648" i="1"/>
  <c r="B648" i="1"/>
  <c r="J647" i="1"/>
  <c r="B647" i="1"/>
  <c r="J646" i="1"/>
  <c r="B646" i="1"/>
  <c r="J1129" i="1"/>
  <c r="B1129" i="1"/>
  <c r="J1128" i="1"/>
  <c r="B1128" i="1"/>
  <c r="J844" i="1"/>
  <c r="B844" i="1"/>
  <c r="J1346" i="1"/>
  <c r="B1346" i="1"/>
  <c r="J1345" i="1"/>
  <c r="B1345" i="1"/>
  <c r="J1344" i="1"/>
  <c r="B1344" i="1"/>
  <c r="J1343" i="1"/>
  <c r="B1343" i="1"/>
  <c r="J1342" i="1"/>
  <c r="B1342" i="1"/>
  <c r="J1065" i="1"/>
  <c r="B1065" i="1"/>
  <c r="J1064" i="1"/>
  <c r="B1064" i="1"/>
  <c r="J1063" i="1"/>
  <c r="B1063" i="1"/>
  <c r="J1062" i="1"/>
  <c r="B1062" i="1"/>
  <c r="J821" i="1"/>
  <c r="B821" i="1"/>
  <c r="J820" i="1"/>
  <c r="B820" i="1"/>
  <c r="J819" i="1"/>
  <c r="B819" i="1"/>
  <c r="J736" i="1"/>
  <c r="B736" i="1"/>
  <c r="J735" i="1"/>
  <c r="B735" i="1"/>
  <c r="J259" i="1"/>
  <c r="B259" i="1"/>
  <c r="J381" i="1"/>
  <c r="B381" i="1"/>
  <c r="J380" i="1"/>
  <c r="B380" i="1"/>
  <c r="J379" i="1"/>
  <c r="B379" i="1"/>
  <c r="J378" i="1"/>
  <c r="B378" i="1"/>
  <c r="J377" i="1"/>
  <c r="B377" i="1"/>
  <c r="J376" i="1"/>
  <c r="B376" i="1"/>
  <c r="J353" i="1"/>
  <c r="B353" i="1"/>
  <c r="J352" i="1"/>
  <c r="B352" i="1"/>
  <c r="J322" i="1"/>
  <c r="B322" i="1"/>
  <c r="J321" i="1"/>
  <c r="B321" i="1"/>
  <c r="J320" i="1"/>
  <c r="B320" i="1"/>
  <c r="J319" i="1"/>
  <c r="B319" i="1"/>
  <c r="J318" i="1"/>
  <c r="B318" i="1"/>
  <c r="J307" i="1"/>
  <c r="B307" i="1"/>
  <c r="J306" i="1"/>
  <c r="B306" i="1"/>
  <c r="J305" i="1"/>
  <c r="B305" i="1"/>
  <c r="J278" i="1"/>
  <c r="B278" i="1"/>
  <c r="J277" i="1"/>
  <c r="B277" i="1"/>
  <c r="J246" i="1"/>
  <c r="B246" i="1"/>
  <c r="J245" i="1"/>
  <c r="B245" i="1"/>
  <c r="J70" i="1"/>
  <c r="B70" i="1"/>
  <c r="J69" i="1"/>
  <c r="B69" i="1"/>
  <c r="J699" i="1"/>
  <c r="B699" i="1"/>
  <c r="J698" i="1"/>
  <c r="B698" i="1"/>
  <c r="J697" i="1"/>
  <c r="B697" i="1"/>
  <c r="J696" i="1"/>
  <c r="B696" i="1"/>
  <c r="J1001" i="1"/>
  <c r="B1001" i="1"/>
  <c r="J1000" i="1"/>
  <c r="B1000" i="1"/>
  <c r="J999" i="1"/>
  <c r="B999" i="1"/>
  <c r="J998" i="1"/>
  <c r="B998" i="1"/>
  <c r="J997" i="1"/>
  <c r="B997" i="1"/>
  <c r="J878" i="1"/>
  <c r="B878" i="1"/>
  <c r="J877" i="1"/>
  <c r="B877" i="1"/>
  <c r="J901" i="1"/>
  <c r="B901" i="1"/>
  <c r="J900" i="1"/>
  <c r="B900" i="1"/>
  <c r="J899" i="1"/>
  <c r="B899" i="1"/>
  <c r="J898" i="1"/>
  <c r="B898" i="1"/>
  <c r="J897" i="1"/>
  <c r="B897" i="1"/>
  <c r="J671" i="1"/>
  <c r="B671" i="1"/>
  <c r="J670" i="1"/>
  <c r="B670" i="1"/>
  <c r="J668" i="1"/>
  <c r="B668" i="1"/>
  <c r="J667" i="1"/>
  <c r="B667" i="1"/>
  <c r="J666" i="1"/>
  <c r="B666" i="1"/>
  <c r="J186" i="1"/>
  <c r="B186" i="1"/>
  <c r="J172" i="1"/>
  <c r="B172" i="1"/>
  <c r="J171" i="1"/>
  <c r="B171" i="1"/>
  <c r="J170" i="1"/>
  <c r="B170" i="1"/>
  <c r="J115" i="1"/>
  <c r="B115" i="1"/>
  <c r="J114" i="1"/>
  <c r="B114" i="1"/>
  <c r="J113" i="1"/>
  <c r="B113" i="1"/>
  <c r="J97" i="1"/>
  <c r="B97" i="1"/>
  <c r="J96" i="1"/>
  <c r="B96" i="1"/>
  <c r="J5" i="1"/>
  <c r="B5" i="1"/>
  <c r="J4" i="1"/>
  <c r="B4" i="1"/>
  <c r="J88" i="1"/>
  <c r="B88" i="1"/>
  <c r="J508" i="1"/>
  <c r="B508" i="1"/>
  <c r="J669" i="1"/>
  <c r="B669" i="1"/>
  <c r="J577" i="1"/>
  <c r="B577" i="1"/>
  <c r="J576" i="1"/>
  <c r="B576" i="1"/>
  <c r="J575" i="1"/>
  <c r="B575" i="1"/>
  <c r="J574" i="1"/>
  <c r="B574" i="1"/>
  <c r="J573" i="1"/>
  <c r="B573" i="1"/>
  <c r="J572" i="1"/>
  <c r="B572" i="1"/>
  <c r="J571" i="1"/>
  <c r="B571" i="1"/>
  <c r="J570" i="1"/>
  <c r="B570" i="1"/>
  <c r="J569" i="1"/>
  <c r="B569" i="1"/>
  <c r="J568" i="1"/>
  <c r="B568" i="1"/>
  <c r="J567" i="1"/>
  <c r="B567" i="1"/>
  <c r="J566" i="1"/>
  <c r="B566" i="1"/>
  <c r="J565" i="1"/>
  <c r="B565" i="1"/>
  <c r="J564" i="1"/>
  <c r="B564" i="1"/>
  <c r="J563" i="1"/>
  <c r="B563" i="1"/>
  <c r="J562" i="1"/>
  <c r="B562" i="1"/>
  <c r="J561" i="1"/>
  <c r="B561" i="1"/>
  <c r="J560" i="1"/>
  <c r="B560" i="1"/>
  <c r="J559" i="1"/>
  <c r="B559" i="1"/>
  <c r="J1041" i="1"/>
  <c r="B1041" i="1"/>
  <c r="J1040" i="1"/>
  <c r="B1040" i="1"/>
  <c r="J996" i="1"/>
  <c r="B996" i="1"/>
  <c r="J995" i="1"/>
  <c r="B995" i="1"/>
  <c r="J963" i="1"/>
  <c r="B963" i="1"/>
  <c r="J776" i="1"/>
  <c r="B776" i="1"/>
  <c r="J775" i="1"/>
  <c r="B775" i="1"/>
  <c r="J774" i="1"/>
  <c r="B774" i="1"/>
  <c r="J744" i="1"/>
  <c r="B744" i="1"/>
  <c r="J743" i="1"/>
  <c r="B743" i="1"/>
  <c r="J742" i="1"/>
  <c r="B742" i="1"/>
  <c r="J1147" i="1"/>
  <c r="B1147" i="1"/>
  <c r="J1146" i="1"/>
  <c r="B1146" i="1"/>
  <c r="J1145" i="1"/>
  <c r="B1145" i="1"/>
  <c r="J1144" i="1"/>
  <c r="B1144" i="1"/>
  <c r="J214" i="1"/>
  <c r="B214" i="1"/>
  <c r="J213" i="1"/>
  <c r="B213" i="1"/>
  <c r="J212" i="1"/>
  <c r="B212" i="1"/>
  <c r="J1298" i="1"/>
  <c r="B1298" i="1"/>
  <c r="J414" i="1"/>
  <c r="B414" i="1"/>
  <c r="J413" i="1"/>
  <c r="B413" i="1"/>
  <c r="J163" i="1"/>
  <c r="B163" i="1"/>
  <c r="J233" i="1"/>
  <c r="B233" i="1"/>
  <c r="J232" i="1"/>
  <c r="B232" i="1"/>
  <c r="J145" i="1"/>
  <c r="B145" i="1"/>
  <c r="J112" i="1"/>
  <c r="B112" i="1"/>
  <c r="J95" i="1"/>
  <c r="B95" i="1"/>
  <c r="J1369" i="1"/>
  <c r="B1369" i="1"/>
  <c r="J1368" i="1"/>
  <c r="B1368" i="1"/>
  <c r="J1367" i="1"/>
  <c r="B1367" i="1"/>
  <c r="J1097" i="1"/>
  <c r="B1097" i="1"/>
  <c r="J1096" i="1"/>
  <c r="B1096" i="1"/>
  <c r="J1095" i="1"/>
  <c r="B1095" i="1"/>
  <c r="J1094" i="1"/>
  <c r="B1094" i="1"/>
  <c r="J1084" i="1"/>
  <c r="B1084" i="1"/>
  <c r="J1083" i="1"/>
  <c r="B1083" i="1"/>
  <c r="J1082" i="1"/>
  <c r="B1082" i="1"/>
  <c r="J872" i="1"/>
  <c r="B872" i="1"/>
  <c r="J439" i="1"/>
  <c r="B439" i="1"/>
  <c r="J438" i="1"/>
  <c r="B438" i="1"/>
  <c r="J437" i="1"/>
  <c r="B437" i="1"/>
  <c r="J436" i="1"/>
  <c r="B436" i="1"/>
  <c r="J435" i="1"/>
  <c r="B435" i="1"/>
  <c r="J434" i="1"/>
  <c r="B434" i="1"/>
  <c r="J433" i="1"/>
  <c r="B433" i="1"/>
  <c r="J432" i="1"/>
  <c r="B432" i="1"/>
  <c r="J431" i="1"/>
  <c r="B431" i="1"/>
  <c r="J430" i="1"/>
  <c r="B430" i="1"/>
  <c r="J338" i="1"/>
  <c r="B338" i="1"/>
  <c r="J337" i="1"/>
  <c r="B337" i="1"/>
  <c r="J718" i="1"/>
  <c r="B718" i="1"/>
  <c r="J717" i="1"/>
  <c r="B717" i="1"/>
  <c r="J716" i="1"/>
  <c r="B716" i="1"/>
  <c r="J793" i="1"/>
  <c r="B793" i="1"/>
  <c r="J787" i="1"/>
  <c r="B787" i="1"/>
  <c r="J781" i="1"/>
  <c r="B781" i="1"/>
  <c r="J922" i="1"/>
  <c r="B922" i="1"/>
  <c r="J921" i="1"/>
  <c r="B921" i="1"/>
  <c r="J920" i="1"/>
  <c r="B920" i="1"/>
  <c r="J919" i="1"/>
  <c r="B919" i="1"/>
  <c r="J953" i="1"/>
  <c r="B953" i="1"/>
  <c r="J952" i="1"/>
  <c r="B952" i="1"/>
  <c r="J951" i="1"/>
  <c r="B951" i="1"/>
  <c r="J950" i="1"/>
  <c r="B950" i="1"/>
  <c r="J1127" i="1"/>
  <c r="B1127" i="1"/>
  <c r="J1126" i="1"/>
  <c r="B1126" i="1"/>
  <c r="J1125" i="1"/>
  <c r="B1125" i="1"/>
  <c r="J1124" i="1"/>
  <c r="B1124" i="1"/>
  <c r="J1123" i="1"/>
  <c r="B1123" i="1"/>
  <c r="J1143" i="1"/>
  <c r="B1143" i="1"/>
  <c r="J1142" i="1"/>
  <c r="B1142" i="1"/>
  <c r="J1141" i="1"/>
  <c r="B1141" i="1"/>
  <c r="J1192" i="1"/>
  <c r="B1192" i="1"/>
  <c r="J1191" i="1"/>
  <c r="B1191" i="1"/>
  <c r="J1190" i="1"/>
  <c r="B1190" i="1"/>
  <c r="J1189" i="1"/>
  <c r="B1189" i="1"/>
  <c r="J1188" i="1"/>
  <c r="B1188" i="1"/>
  <c r="J1187" i="1"/>
  <c r="B1187" i="1"/>
  <c r="J1186" i="1"/>
  <c r="B1186" i="1"/>
  <c r="J1185" i="1"/>
  <c r="B1185" i="1"/>
  <c r="J1226" i="1"/>
  <c r="B1226" i="1"/>
  <c r="J1225" i="1"/>
  <c r="B1225" i="1"/>
  <c r="J1224" i="1"/>
  <c r="B1224" i="1"/>
  <c r="J645" i="1"/>
  <c r="B645" i="1"/>
  <c r="J644" i="1"/>
  <c r="B644" i="1"/>
  <c r="J643" i="1"/>
  <c r="B643" i="1"/>
  <c r="J399" i="1"/>
  <c r="B399" i="1"/>
  <c r="J398" i="1"/>
  <c r="B398" i="1"/>
  <c r="J397" i="1"/>
  <c r="B397" i="1"/>
  <c r="J1104" i="1"/>
  <c r="B1104" i="1"/>
  <c r="J1103" i="1"/>
  <c r="B1103" i="1"/>
  <c r="J456" i="1"/>
  <c r="B456" i="1"/>
  <c r="J455" i="1"/>
  <c r="B455" i="1"/>
  <c r="J454" i="1"/>
  <c r="B454" i="1"/>
  <c r="J453" i="1"/>
  <c r="B453" i="1"/>
  <c r="J452" i="1"/>
  <c r="B452" i="1"/>
  <c r="J451" i="1"/>
  <c r="B451" i="1"/>
  <c r="J450" i="1"/>
  <c r="B450" i="1"/>
  <c r="J449" i="1"/>
  <c r="B449" i="1"/>
  <c r="J448" i="1"/>
  <c r="B448" i="1"/>
  <c r="J447" i="1"/>
  <c r="B447" i="1"/>
  <c r="J111" i="1"/>
  <c r="B111" i="1"/>
  <c r="J110" i="1"/>
  <c r="B110" i="1"/>
  <c r="J94" i="1"/>
  <c r="B94" i="1"/>
  <c r="J93" i="1"/>
  <c r="B93" i="1"/>
  <c r="J92" i="1"/>
  <c r="B92" i="1"/>
  <c r="J91" i="1"/>
  <c r="B91" i="1"/>
  <c r="J59" i="1"/>
  <c r="B59" i="1"/>
  <c r="J58" i="1"/>
  <c r="B58" i="1"/>
  <c r="J57" i="1"/>
  <c r="B57" i="1"/>
  <c r="J56" i="1"/>
  <c r="B56" i="1"/>
  <c r="J18" i="1"/>
  <c r="B18" i="1"/>
  <c r="J17" i="1"/>
  <c r="B17" i="1"/>
  <c r="J16" i="1"/>
  <c r="B16" i="1"/>
  <c r="J15" i="1"/>
  <c r="B15" i="1"/>
  <c r="J14" i="1"/>
  <c r="B14" i="1"/>
  <c r="J13" i="1"/>
  <c r="B13" i="1"/>
  <c r="J1297" i="1"/>
  <c r="B1297" i="1"/>
  <c r="J1296" i="1"/>
  <c r="B1296" i="1"/>
  <c r="J1295" i="1"/>
  <c r="B1295" i="1"/>
  <c r="J608" i="1"/>
  <c r="B608" i="1"/>
  <c r="J607" i="1"/>
  <c r="B607" i="1"/>
  <c r="J606" i="1"/>
  <c r="B606" i="1"/>
  <c r="J605" i="1"/>
  <c r="B605" i="1"/>
  <c r="J604" i="1"/>
  <c r="B604" i="1"/>
  <c r="J603" i="1"/>
  <c r="B603" i="1"/>
  <c r="J258" i="1"/>
  <c r="B258" i="1"/>
  <c r="J257" i="1"/>
  <c r="B257" i="1"/>
  <c r="J256" i="1"/>
  <c r="B256" i="1"/>
  <c r="J255" i="1"/>
  <c r="B255" i="1"/>
  <c r="J254" i="1"/>
  <c r="B254" i="1"/>
  <c r="J253" i="1"/>
  <c r="B253" i="1"/>
  <c r="J351" i="1"/>
  <c r="B351" i="1"/>
  <c r="J350" i="1"/>
  <c r="B350" i="1"/>
  <c r="J349" i="1"/>
  <c r="B349" i="1"/>
  <c r="J348" i="1"/>
  <c r="B348" i="1"/>
  <c r="J347" i="1"/>
  <c r="B347" i="1"/>
  <c r="J244" i="1"/>
  <c r="B244" i="1"/>
  <c r="J241" i="1"/>
  <c r="B241" i="1"/>
  <c r="J685" i="1"/>
  <c r="B685" i="1"/>
  <c r="J684" i="1"/>
  <c r="B684" i="1"/>
  <c r="J683" i="1"/>
  <c r="B683" i="1"/>
  <c r="J682" i="1"/>
  <c r="B682" i="1"/>
  <c r="J1259" i="1"/>
  <c r="B1259" i="1"/>
  <c r="J1258" i="1"/>
  <c r="B1258" i="1"/>
  <c r="J1257" i="1"/>
  <c r="B1257" i="1"/>
  <c r="J1256" i="1"/>
  <c r="B1256" i="1"/>
  <c r="J1122" i="1"/>
  <c r="B1122" i="1"/>
  <c r="J1121" i="1"/>
  <c r="B1121" i="1"/>
  <c r="J1120" i="1"/>
  <c r="B1120" i="1"/>
  <c r="J1119" i="1"/>
  <c r="B1119" i="1"/>
  <c r="J1118" i="1"/>
  <c r="B1118" i="1"/>
  <c r="J1117" i="1"/>
  <c r="B1117" i="1"/>
  <c r="J896" i="1"/>
  <c r="B896" i="1"/>
  <c r="J895" i="1"/>
  <c r="B895" i="1"/>
  <c r="J894" i="1"/>
  <c r="B894" i="1"/>
  <c r="J893" i="1"/>
  <c r="B893" i="1"/>
  <c r="J892" i="1"/>
  <c r="B892" i="1"/>
  <c r="J317" i="1"/>
  <c r="B317" i="1"/>
  <c r="J316" i="1"/>
  <c r="B316" i="1"/>
  <c r="J315" i="1"/>
  <c r="B315" i="1"/>
  <c r="J314" i="1"/>
  <c r="B314" i="1"/>
  <c r="J178" i="1"/>
  <c r="B178" i="1"/>
  <c r="J177" i="1"/>
  <c r="B177" i="1"/>
  <c r="J176" i="1"/>
  <c r="B176" i="1"/>
  <c r="J144" i="1"/>
  <c r="B144" i="1"/>
  <c r="J143" i="1"/>
  <c r="B143" i="1"/>
  <c r="J142" i="1"/>
  <c r="B142" i="1"/>
  <c r="J1294" i="1"/>
  <c r="B1294" i="1"/>
  <c r="J1293" i="1"/>
  <c r="B1293" i="1"/>
  <c r="J1292" i="1"/>
  <c r="B1292" i="1"/>
  <c r="J1291" i="1"/>
  <c r="B1291" i="1"/>
  <c r="J1290" i="1"/>
  <c r="B1290" i="1"/>
  <c r="J1289" i="1"/>
  <c r="B1289" i="1"/>
  <c r="J695" i="1"/>
  <c r="B695" i="1"/>
  <c r="J694" i="1"/>
  <c r="B694" i="1"/>
  <c r="J693" i="1"/>
  <c r="B693" i="1"/>
  <c r="J1184" i="1"/>
  <c r="B1184" i="1"/>
  <c r="J1183" i="1"/>
  <c r="B1183" i="1"/>
  <c r="J1182" i="1"/>
  <c r="B1182" i="1"/>
  <c r="J1181" i="1"/>
  <c r="B1181" i="1"/>
  <c r="J1277" i="1"/>
  <c r="B1277" i="1"/>
  <c r="J1276" i="1"/>
  <c r="B1276" i="1"/>
  <c r="J1255" i="1"/>
  <c r="B1255" i="1"/>
  <c r="J1254" i="1"/>
  <c r="B1254" i="1"/>
  <c r="J1253" i="1"/>
  <c r="B1253" i="1"/>
  <c r="J1252" i="1"/>
  <c r="B1252" i="1"/>
  <c r="J941" i="1"/>
  <c r="B941" i="1"/>
  <c r="J940" i="1"/>
  <c r="B940" i="1"/>
  <c r="J918" i="1"/>
  <c r="B918" i="1"/>
  <c r="J917" i="1"/>
  <c r="B917" i="1"/>
  <c r="J916" i="1"/>
  <c r="B916" i="1"/>
  <c r="J871" i="1"/>
  <c r="B871" i="1"/>
  <c r="J1039" i="1"/>
  <c r="B1039" i="1"/>
  <c r="J1038" i="1"/>
  <c r="B1038" i="1"/>
  <c r="J1037" i="1"/>
  <c r="B1037" i="1"/>
  <c r="J1036" i="1"/>
  <c r="B1036" i="1"/>
  <c r="J1035" i="1"/>
  <c r="B1035" i="1"/>
  <c r="J1022" i="1"/>
  <c r="B1022" i="1"/>
  <c r="J1021" i="1"/>
  <c r="B1021" i="1"/>
  <c r="J1020" i="1"/>
  <c r="B1020" i="1"/>
  <c r="J639" i="1"/>
  <c r="B639" i="1"/>
  <c r="J638" i="1"/>
  <c r="B638" i="1"/>
  <c r="J622" i="1"/>
  <c r="B622" i="1"/>
  <c r="J621" i="1"/>
  <c r="B621" i="1"/>
  <c r="J1341" i="1"/>
  <c r="B1341" i="1"/>
  <c r="J1340" i="1"/>
  <c r="B1340" i="1"/>
  <c r="J1339" i="1"/>
  <c r="B1339" i="1"/>
  <c r="J1338" i="1"/>
  <c r="B1338" i="1"/>
  <c r="J1337" i="1"/>
  <c r="B1337" i="1"/>
  <c r="J1336" i="1"/>
  <c r="B1336" i="1"/>
  <c r="J659" i="1"/>
  <c r="B659" i="1"/>
  <c r="J658" i="1"/>
  <c r="B658" i="1"/>
  <c r="J304" i="1"/>
  <c r="B304" i="1"/>
  <c r="J303" i="1"/>
  <c r="B303" i="1"/>
  <c r="J558" i="1"/>
  <c r="B558" i="1"/>
  <c r="J557" i="1"/>
  <c r="B557" i="1"/>
  <c r="J556" i="1"/>
  <c r="B556" i="1"/>
  <c r="J555" i="1"/>
  <c r="B555" i="1"/>
  <c r="J554" i="1"/>
  <c r="B554" i="1"/>
  <c r="J553" i="1"/>
  <c r="B553" i="1"/>
  <c r="J552" i="1"/>
  <c r="B552" i="1"/>
  <c r="J551" i="1"/>
  <c r="B551" i="1"/>
  <c r="J550" i="1"/>
  <c r="B550" i="1"/>
  <c r="J549" i="1"/>
  <c r="B549" i="1"/>
  <c r="J548" i="1"/>
  <c r="B548" i="1"/>
  <c r="J547" i="1"/>
  <c r="B547" i="1"/>
  <c r="J546" i="1"/>
  <c r="B546" i="1"/>
  <c r="J545" i="1"/>
  <c r="B545" i="1"/>
  <c r="J544" i="1"/>
  <c r="B544" i="1"/>
  <c r="J543" i="1"/>
  <c r="B543" i="1"/>
  <c r="J542" i="1"/>
  <c r="B542" i="1"/>
  <c r="J876" i="1"/>
  <c r="B876" i="1"/>
  <c r="J875" i="1"/>
  <c r="B875" i="1"/>
  <c r="J471" i="1"/>
  <c r="B471" i="1"/>
  <c r="J470" i="1"/>
  <c r="B470" i="1"/>
  <c r="J469" i="1"/>
  <c r="B469" i="1"/>
  <c r="J468" i="1"/>
  <c r="B468" i="1"/>
  <c r="J3" i="1"/>
  <c r="B3" i="1"/>
  <c r="J2" i="1"/>
  <c r="B2" i="1"/>
  <c r="J525" i="1"/>
  <c r="B525" i="1"/>
  <c r="J524" i="1"/>
  <c r="B524" i="1"/>
  <c r="J1054" i="1"/>
  <c r="B1054" i="1"/>
  <c r="J1053" i="1"/>
  <c r="B1053" i="1"/>
  <c r="J55" i="1"/>
  <c r="B55" i="1"/>
  <c r="J54" i="1"/>
  <c r="B54" i="1"/>
  <c r="J375" i="1"/>
  <c r="B375" i="1"/>
  <c r="J374" i="1"/>
  <c r="B374" i="1"/>
  <c r="J373" i="1"/>
  <c r="B373" i="1"/>
  <c r="J372" i="1"/>
  <c r="B372" i="1"/>
  <c r="J371" i="1"/>
  <c r="B371" i="1"/>
  <c r="J370" i="1"/>
  <c r="B370" i="1"/>
  <c r="J129" i="1"/>
  <c r="B129" i="1"/>
  <c r="J128" i="1"/>
  <c r="B128" i="1"/>
  <c r="J127" i="1"/>
  <c r="B127" i="1"/>
  <c r="J126" i="1"/>
  <c r="B126" i="1"/>
  <c r="J125" i="1"/>
  <c r="B125" i="1"/>
  <c r="J124" i="1"/>
  <c r="B124" i="1"/>
  <c r="J211" i="1"/>
  <c r="B211" i="1"/>
  <c r="J210" i="1"/>
  <c r="B210" i="1"/>
  <c r="J209" i="1"/>
  <c r="B209" i="1"/>
  <c r="J208" i="1"/>
  <c r="B208" i="1"/>
  <c r="J207" i="1"/>
  <c r="B207" i="1"/>
  <c r="J206" i="1"/>
  <c r="B206" i="1"/>
  <c r="J205" i="1"/>
  <c r="B205" i="1"/>
  <c r="J90" i="1"/>
  <c r="B90" i="1"/>
  <c r="J89" i="1"/>
  <c r="B89" i="1"/>
  <c r="J1288" i="1"/>
  <c r="B1288" i="1"/>
  <c r="J1287" i="1"/>
  <c r="B1287" i="1"/>
  <c r="J1286" i="1"/>
  <c r="B1286" i="1"/>
  <c r="J1285" i="1"/>
  <c r="B1285" i="1"/>
  <c r="J1284" i="1"/>
  <c r="B1284" i="1"/>
  <c r="J1283" i="1"/>
  <c r="B1283" i="1"/>
  <c r="J12" i="1"/>
  <c r="B12" i="1"/>
  <c r="J11" i="1"/>
  <c r="B11" i="1"/>
  <c r="J1251" i="1"/>
  <c r="B1251" i="1"/>
  <c r="J1250" i="1"/>
  <c r="B1250" i="1"/>
  <c r="J1245" i="1"/>
  <c r="B1245" i="1"/>
  <c r="J1244" i="1"/>
  <c r="B1244" i="1"/>
  <c r="J1223" i="1"/>
  <c r="B1223" i="1"/>
  <c r="J1222" i="1"/>
  <c r="B1222" i="1"/>
  <c r="J1221" i="1"/>
  <c r="B1221" i="1"/>
  <c r="J1160" i="1"/>
  <c r="B1160" i="1"/>
  <c r="J1116" i="1"/>
  <c r="B1116" i="1"/>
  <c r="J1115" i="1"/>
  <c r="B1115" i="1"/>
  <c r="J1114" i="1"/>
  <c r="B1114" i="1"/>
  <c r="J1113" i="1"/>
  <c r="B1113" i="1"/>
  <c r="J915" i="1"/>
  <c r="B915" i="1"/>
  <c r="J891" i="1"/>
  <c r="B891" i="1"/>
  <c r="J890" i="1"/>
  <c r="B890" i="1"/>
  <c r="J889" i="1"/>
  <c r="B889" i="1"/>
  <c r="J888" i="1"/>
  <c r="B888" i="1"/>
  <c r="J887" i="1"/>
  <c r="B887" i="1"/>
  <c r="J886" i="1"/>
  <c r="B886" i="1"/>
  <c r="J885" i="1"/>
  <c r="B885" i="1"/>
  <c r="J884" i="1"/>
  <c r="B884" i="1"/>
  <c r="J883" i="1"/>
  <c r="B883" i="1"/>
  <c r="J843" i="1"/>
  <c r="B843" i="1"/>
  <c r="J842" i="1"/>
  <c r="B842" i="1"/>
  <c r="J814" i="1"/>
  <c r="B814" i="1"/>
  <c r="J813" i="1"/>
  <c r="B813" i="1"/>
  <c r="J291" i="1"/>
  <c r="B291" i="1"/>
  <c r="J1093" i="1"/>
  <c r="B1093" i="1"/>
  <c r="J1092" i="1"/>
  <c r="B1092" i="1"/>
  <c r="J1091" i="1"/>
  <c r="B1091" i="1"/>
  <c r="J1090" i="1"/>
  <c r="B1090" i="1"/>
  <c r="J1081" i="1"/>
  <c r="B1081" i="1"/>
  <c r="J1080" i="1"/>
  <c r="B1080" i="1"/>
  <c r="J1079" i="1"/>
  <c r="B1079" i="1"/>
  <c r="J1078" i="1"/>
  <c r="B1078" i="1"/>
  <c r="J68" i="1"/>
  <c r="B68" i="1"/>
  <c r="J67" i="1"/>
  <c r="B67" i="1"/>
  <c r="J313" i="1"/>
  <c r="B313" i="1"/>
  <c r="J312" i="1"/>
  <c r="B312" i="1"/>
  <c r="J1034" i="1"/>
  <c r="B1034" i="1"/>
  <c r="J1033" i="1"/>
  <c r="B1033" i="1"/>
  <c r="J1032" i="1"/>
  <c r="B1032" i="1"/>
  <c r="J994" i="1"/>
  <c r="B994" i="1"/>
  <c r="J993" i="1"/>
  <c r="B993" i="1"/>
  <c r="J285" i="1"/>
  <c r="B285" i="1"/>
  <c r="J284" i="1"/>
  <c r="B284" i="1"/>
  <c r="J283" i="1"/>
  <c r="B283" i="1"/>
  <c r="J1335" i="1"/>
  <c r="B1335" i="1"/>
  <c r="J1334" i="1"/>
  <c r="B1334" i="1"/>
  <c r="J1333" i="1"/>
  <c r="B1333" i="1"/>
  <c r="J1332" i="1"/>
  <c r="B1332" i="1"/>
  <c r="J1331" i="1"/>
  <c r="B1331" i="1"/>
  <c r="J1220" i="1"/>
  <c r="B1220" i="1"/>
  <c r="J1219" i="1"/>
  <c r="B1219" i="1"/>
  <c r="J1218" i="1"/>
  <c r="B1218" i="1"/>
  <c r="J1112" i="1"/>
  <c r="B1112" i="1"/>
  <c r="J1111" i="1"/>
  <c r="B1111" i="1"/>
  <c r="J1110" i="1"/>
  <c r="B1110" i="1"/>
  <c r="J880" i="1"/>
  <c r="B880" i="1"/>
  <c r="J879" i="1"/>
  <c r="B879" i="1"/>
  <c r="J854" i="1"/>
  <c r="B854" i="1"/>
  <c r="J853" i="1"/>
  <c r="B853" i="1"/>
  <c r="J502" i="1"/>
  <c r="B502" i="1"/>
  <c r="J501" i="1"/>
  <c r="B501" i="1"/>
  <c r="J500" i="1"/>
  <c r="B500" i="1"/>
  <c r="J499" i="1"/>
  <c r="B499" i="1"/>
  <c r="J498" i="1"/>
  <c r="B498" i="1"/>
  <c r="J109" i="1"/>
  <c r="B109" i="1"/>
  <c r="J108" i="1"/>
  <c r="B108" i="1"/>
  <c r="J1031" i="1"/>
  <c r="B1031" i="1"/>
  <c r="J1030" i="1"/>
  <c r="B1030" i="1"/>
  <c r="J1029" i="1"/>
  <c r="B1029" i="1"/>
  <c r="J1028" i="1"/>
  <c r="B1028" i="1"/>
  <c r="J992" i="1"/>
  <c r="B992" i="1"/>
  <c r="J991" i="1"/>
  <c r="B991" i="1"/>
  <c r="J990" i="1"/>
  <c r="B990" i="1"/>
  <c r="J989" i="1"/>
  <c r="B989" i="1"/>
  <c r="J979" i="1"/>
  <c r="B979" i="1"/>
  <c r="J978" i="1"/>
  <c r="B978" i="1"/>
  <c r="J962" i="1"/>
  <c r="B962" i="1"/>
  <c r="J961" i="1"/>
  <c r="B961" i="1"/>
  <c r="J1330" i="1"/>
  <c r="B1330" i="1"/>
  <c r="J1329" i="1"/>
  <c r="B1329" i="1"/>
  <c r="J1328" i="1"/>
  <c r="B1328" i="1"/>
  <c r="J1327" i="1"/>
  <c r="B1327" i="1"/>
  <c r="J1326" i="1"/>
  <c r="B1326" i="1"/>
  <c r="J1325" i="1"/>
  <c r="B1325" i="1"/>
  <c r="J1324" i="1"/>
  <c r="B1324" i="1"/>
  <c r="J541" i="1"/>
  <c r="B541" i="1"/>
  <c r="J540" i="1"/>
  <c r="B540" i="1"/>
  <c r="J539" i="1"/>
  <c r="B539" i="1"/>
  <c r="J538" i="1"/>
  <c r="B538" i="1"/>
  <c r="J537" i="1"/>
  <c r="B537" i="1"/>
  <c r="J882" i="1"/>
  <c r="B882" i="1"/>
  <c r="J881" i="1"/>
  <c r="B881" i="1"/>
  <c r="J1180" i="1"/>
  <c r="B1180" i="1"/>
  <c r="J1179" i="1"/>
  <c r="B1179" i="1"/>
  <c r="J1178" i="1"/>
  <c r="B1178" i="1"/>
  <c r="J276" i="1"/>
  <c r="B276" i="1"/>
  <c r="J275" i="1"/>
  <c r="B275" i="1"/>
  <c r="J1019" i="1"/>
  <c r="B1019" i="1"/>
  <c r="J1018" i="1"/>
  <c r="B1018" i="1"/>
  <c r="J1017" i="1"/>
  <c r="B1017" i="1"/>
  <c r="J1027" i="1"/>
  <c r="B1027" i="1"/>
  <c r="J1026" i="1"/>
  <c r="B1026" i="1"/>
  <c r="J1025" i="1"/>
  <c r="B1025" i="1"/>
  <c r="J988" i="1"/>
  <c r="B988" i="1"/>
  <c r="J987" i="1"/>
  <c r="B987" i="1"/>
  <c r="J986" i="1"/>
  <c r="B986" i="1"/>
  <c r="J252" i="1"/>
  <c r="B252" i="1"/>
  <c r="J251" i="1"/>
  <c r="B251" i="1"/>
  <c r="J513" i="1"/>
  <c r="B513" i="1"/>
  <c r="J512" i="1"/>
  <c r="B512" i="1"/>
  <c r="J511" i="1"/>
  <c r="B511" i="1"/>
  <c r="J507" i="1"/>
  <c r="B507" i="1"/>
  <c r="J506" i="1"/>
  <c r="B506" i="1"/>
  <c r="J505" i="1"/>
  <c r="B505" i="1"/>
  <c r="J504" i="1"/>
  <c r="B504" i="1"/>
  <c r="J657" i="1"/>
  <c r="B657" i="1"/>
  <c r="J656" i="1"/>
  <c r="B656" i="1"/>
  <c r="J655" i="1"/>
  <c r="B655" i="1"/>
  <c r="J818" i="1"/>
  <c r="B818" i="1"/>
  <c r="J817" i="1"/>
  <c r="B817" i="1"/>
  <c r="J654" i="1"/>
  <c r="B654" i="1"/>
  <c r="J653" i="1"/>
  <c r="B653" i="1"/>
  <c r="J652" i="1"/>
  <c r="B652" i="1"/>
  <c r="J637" i="1"/>
  <c r="B637" i="1"/>
  <c r="J636" i="1"/>
  <c r="B636" i="1"/>
  <c r="J620" i="1"/>
  <c r="B620" i="1"/>
  <c r="J619" i="1"/>
  <c r="B619" i="1"/>
  <c r="J396" i="1"/>
  <c r="B396" i="1"/>
  <c r="J369" i="1"/>
  <c r="B369" i="1"/>
  <c r="J368" i="1"/>
  <c r="B368" i="1"/>
  <c r="J367" i="1"/>
  <c r="B367" i="1"/>
  <c r="J366" i="1"/>
  <c r="B366" i="1"/>
  <c r="J365" i="1"/>
  <c r="B365" i="1"/>
  <c r="J290" i="1"/>
  <c r="B290" i="1"/>
  <c r="J85" i="1"/>
  <c r="B85" i="1"/>
  <c r="J84" i="1"/>
  <c r="B84" i="1"/>
  <c r="J81" i="1"/>
  <c r="B81" i="1"/>
  <c r="J80" i="1"/>
  <c r="B80" i="1"/>
  <c r="J79" i="1"/>
  <c r="B79" i="1"/>
  <c r="J78" i="1"/>
  <c r="B78" i="1"/>
  <c r="J53" i="1"/>
  <c r="B53" i="1"/>
  <c r="J52" i="1"/>
  <c r="B52" i="1"/>
  <c r="J34" i="1"/>
  <c r="B34" i="1"/>
  <c r="J33" i="1"/>
  <c r="B33" i="1"/>
  <c r="J32" i="1"/>
  <c r="B32" i="1"/>
  <c r="J10" i="1"/>
  <c r="B10" i="1"/>
  <c r="J9" i="1"/>
  <c r="B9" i="1"/>
  <c r="J8" i="1"/>
  <c r="B8" i="1"/>
  <c r="J1275" i="1"/>
  <c r="B1275" i="1"/>
  <c r="J1274" i="1"/>
  <c r="B1274" i="1"/>
  <c r="J1273" i="1"/>
  <c r="B1273" i="1"/>
  <c r="J1272" i="1"/>
  <c r="B1272" i="1"/>
  <c r="J1271" i="1"/>
  <c r="B1271" i="1"/>
  <c r="J1270" i="1"/>
  <c r="B1270" i="1"/>
  <c r="J529" i="1"/>
  <c r="B529" i="1"/>
  <c r="J528" i="1"/>
  <c r="B528" i="1"/>
  <c r="J527" i="1"/>
  <c r="B527" i="1"/>
  <c r="J526" i="1"/>
  <c r="B526" i="1"/>
  <c r="J1238" i="1"/>
  <c r="B1238" i="1"/>
  <c r="J1237" i="1"/>
  <c r="B1237" i="1"/>
  <c r="J1217" i="1"/>
  <c r="B1217" i="1"/>
  <c r="J1216" i="1"/>
  <c r="B1216" i="1"/>
  <c r="J1215" i="1"/>
  <c r="B1215" i="1"/>
  <c r="J1214" i="1"/>
  <c r="B1214" i="1"/>
  <c r="J1213" i="1"/>
  <c r="B1213" i="1"/>
  <c r="J1177" i="1"/>
  <c r="B1177" i="1"/>
  <c r="J1176" i="1"/>
  <c r="B1176" i="1"/>
  <c r="J1175" i="1"/>
  <c r="B1175" i="1"/>
  <c r="J1174" i="1"/>
  <c r="B1174" i="1"/>
  <c r="J1159" i="1"/>
  <c r="B1159" i="1"/>
  <c r="J1158" i="1"/>
  <c r="B1158" i="1"/>
  <c r="J1157" i="1"/>
  <c r="B1157" i="1"/>
  <c r="J1089" i="1"/>
  <c r="B1089" i="1"/>
  <c r="J1088" i="1"/>
  <c r="B1088" i="1"/>
  <c r="J1087" i="1"/>
  <c r="B1087" i="1"/>
  <c r="J1086" i="1"/>
  <c r="B1086" i="1"/>
  <c r="J1077" i="1"/>
  <c r="B1077" i="1"/>
  <c r="J1076" i="1"/>
  <c r="B1076" i="1"/>
  <c r="J1075" i="1"/>
  <c r="B1075" i="1"/>
  <c r="J1074" i="1"/>
  <c r="B1074" i="1"/>
  <c r="J1073" i="1"/>
  <c r="B1073" i="1"/>
  <c r="J1072" i="1"/>
  <c r="B1072" i="1"/>
  <c r="J947" i="1"/>
  <c r="B947" i="1"/>
  <c r="J914" i="1"/>
  <c r="B914" i="1"/>
  <c r="J913" i="1"/>
  <c r="B913" i="1"/>
  <c r="J912" i="1"/>
  <c r="B912" i="1"/>
  <c r="J852" i="1"/>
  <c r="B852" i="1"/>
  <c r="J851" i="1"/>
  <c r="B851" i="1"/>
  <c r="J850" i="1"/>
  <c r="B850" i="1"/>
  <c r="J849" i="1"/>
  <c r="B849" i="1"/>
  <c r="J848" i="1"/>
  <c r="B848" i="1"/>
  <c r="J847" i="1"/>
  <c r="B847" i="1"/>
  <c r="J846" i="1"/>
  <c r="B846" i="1"/>
  <c r="J845" i="1"/>
  <c r="B845" i="1"/>
  <c r="J841" i="1"/>
  <c r="B841" i="1"/>
  <c r="J840" i="1"/>
  <c r="B840" i="1"/>
  <c r="J807" i="1"/>
  <c r="B807" i="1"/>
  <c r="J806" i="1"/>
  <c r="B806" i="1"/>
  <c r="J741" i="1"/>
  <c r="B741" i="1"/>
  <c r="J740" i="1"/>
  <c r="B740" i="1"/>
  <c r="J733" i="1"/>
  <c r="B733" i="1"/>
  <c r="J727" i="1"/>
  <c r="B727" i="1"/>
  <c r="J726" i="1"/>
  <c r="B726" i="1"/>
  <c r="J725" i="1"/>
  <c r="B725" i="1"/>
  <c r="J715" i="1"/>
  <c r="B715" i="1"/>
  <c r="J714" i="1"/>
  <c r="B714" i="1"/>
  <c r="J713" i="1"/>
  <c r="B713" i="1"/>
  <c r="J709" i="1"/>
  <c r="B709" i="1"/>
  <c r="J708" i="1"/>
  <c r="B708" i="1"/>
  <c r="J707" i="1"/>
  <c r="B707" i="1"/>
  <c r="J681" i="1"/>
  <c r="B681" i="1"/>
  <c r="J412" i="1"/>
  <c r="B412" i="1"/>
  <c r="J411" i="1"/>
  <c r="B411" i="1"/>
  <c r="J410" i="1"/>
  <c r="B410" i="1"/>
  <c r="J409" i="1"/>
  <c r="B409" i="1"/>
  <c r="J231" i="1"/>
  <c r="B231" i="1"/>
  <c r="J230" i="1"/>
  <c r="B230" i="1"/>
  <c r="J229" i="1"/>
  <c r="B229" i="1"/>
  <c r="J204" i="1"/>
  <c r="B204" i="1"/>
  <c r="J203" i="1"/>
  <c r="B203" i="1"/>
  <c r="J202" i="1"/>
  <c r="B202" i="1"/>
  <c r="J169" i="1"/>
  <c r="B169" i="1"/>
  <c r="J168" i="1"/>
  <c r="B168" i="1"/>
  <c r="J167" i="1"/>
  <c r="B167" i="1"/>
  <c r="J162" i="1"/>
  <c r="B162" i="1"/>
  <c r="J161" i="1"/>
  <c r="B161" i="1"/>
  <c r="J160" i="1"/>
  <c r="B160" i="1"/>
  <c r="J141" i="1"/>
  <c r="B141" i="1"/>
  <c r="J140" i="1"/>
  <c r="B140" i="1"/>
  <c r="J139" i="1"/>
  <c r="B139" i="1"/>
  <c r="J138" i="1"/>
  <c r="B138" i="1"/>
  <c r="J137" i="1"/>
  <c r="B137" i="1"/>
  <c r="J107" i="1"/>
  <c r="B107" i="1"/>
  <c r="J106" i="1"/>
  <c r="B106" i="1"/>
  <c r="J105" i="1"/>
  <c r="B105" i="1"/>
  <c r="J977" i="1"/>
  <c r="B977" i="1"/>
  <c r="J976" i="1"/>
  <c r="B976" i="1"/>
  <c r="J960" i="1"/>
  <c r="B960" i="1"/>
  <c r="J959" i="1"/>
  <c r="B959" i="1"/>
  <c r="J1249" i="1"/>
  <c r="B1249" i="1"/>
  <c r="J1248" i="1"/>
  <c r="B1248" i="1"/>
  <c r="J1247" i="1"/>
  <c r="B1247" i="1"/>
  <c r="J1246" i="1"/>
  <c r="B1246" i="1"/>
  <c r="J1243" i="1"/>
  <c r="B1243" i="1"/>
  <c r="J1242" i="1"/>
  <c r="B1242" i="1"/>
  <c r="J1241" i="1"/>
  <c r="B1241" i="1"/>
  <c r="J1240" i="1"/>
  <c r="B1240" i="1"/>
  <c r="J1212" i="1"/>
  <c r="B1212" i="1"/>
  <c r="J1211" i="1"/>
  <c r="B1211" i="1"/>
  <c r="J1210" i="1"/>
  <c r="B1210" i="1"/>
  <c r="J1209" i="1"/>
  <c r="B1209" i="1"/>
  <c r="J1173" i="1"/>
  <c r="B1173" i="1"/>
  <c r="J1172" i="1"/>
  <c r="B1172" i="1"/>
  <c r="J1171" i="1"/>
  <c r="B1171" i="1"/>
  <c r="J1170" i="1"/>
  <c r="B1170" i="1"/>
  <c r="J1169" i="1"/>
  <c r="B1169" i="1"/>
  <c r="J1168" i="1"/>
  <c r="B1168" i="1"/>
  <c r="J1167" i="1"/>
  <c r="B1167" i="1"/>
  <c r="J1156" i="1"/>
  <c r="B1156" i="1"/>
  <c r="J1155" i="1"/>
  <c r="B1155" i="1"/>
  <c r="J1154" i="1"/>
  <c r="B1154" i="1"/>
  <c r="J1109" i="1"/>
  <c r="B1109" i="1"/>
  <c r="J1108" i="1"/>
  <c r="B1108" i="1"/>
  <c r="J1107" i="1"/>
  <c r="B1107" i="1"/>
  <c r="J1106" i="1"/>
  <c r="B1106" i="1"/>
  <c r="J1105" i="1"/>
  <c r="B1105" i="1"/>
  <c r="J680" i="1"/>
  <c r="B680" i="1"/>
  <c r="J679" i="1"/>
  <c r="B679" i="1"/>
  <c r="J228" i="1"/>
  <c r="B228" i="1"/>
  <c r="J227" i="1"/>
  <c r="B227" i="1"/>
  <c r="J226" i="1"/>
  <c r="B226" i="1"/>
  <c r="J225" i="1"/>
  <c r="B225" i="1"/>
  <c r="J224" i="1"/>
  <c r="B224" i="1"/>
  <c r="J201" i="1"/>
  <c r="B201" i="1"/>
  <c r="J200" i="1"/>
  <c r="B200" i="1"/>
  <c r="J159" i="1"/>
  <c r="B159" i="1"/>
  <c r="J158" i="1"/>
  <c r="B158" i="1"/>
  <c r="J157" i="1"/>
  <c r="B157" i="1"/>
  <c r="J156" i="1"/>
  <c r="B156" i="1"/>
  <c r="J136" i="1"/>
  <c r="B136" i="1"/>
  <c r="J135" i="1"/>
  <c r="B135" i="1"/>
  <c r="J134" i="1"/>
  <c r="B134" i="1"/>
  <c r="J133" i="1"/>
  <c r="B133" i="1"/>
  <c r="J87" i="1"/>
  <c r="B87" i="1"/>
  <c r="J86" i="1"/>
  <c r="B86" i="1"/>
  <c r="J288" i="1"/>
  <c r="B288" i="1"/>
  <c r="J287" i="1"/>
  <c r="B287" i="1"/>
  <c r="J286" i="1"/>
  <c r="B286" i="1"/>
  <c r="J346" i="1"/>
  <c r="B346" i="1"/>
  <c r="J345" i="1"/>
  <c r="B345" i="1"/>
  <c r="J302" i="1"/>
  <c r="B302" i="1"/>
  <c r="J1323" i="1"/>
  <c r="B1323" i="1"/>
  <c r="J1322" i="1"/>
  <c r="B1322" i="1"/>
  <c r="J250" i="1"/>
  <c r="B250" i="1"/>
  <c r="J249" i="1"/>
  <c r="B249" i="1"/>
</calcChain>
</file>

<file path=xl/sharedStrings.xml><?xml version="1.0" encoding="utf-8"?>
<sst xmlns="http://schemas.openxmlformats.org/spreadsheetml/2006/main" count="5042" uniqueCount="517">
  <si>
    <t>NRO DE ORDEN</t>
  </si>
  <si>
    <t>ESTADO</t>
  </si>
  <si>
    <t>CANTIDAD UNIDADES PEDIDAS</t>
  </si>
  <si>
    <t>RUBRO</t>
  </si>
  <si>
    <t>ARTICULO</t>
  </si>
  <si>
    <t>OBSERVACIONES</t>
  </si>
  <si>
    <t>FECHA INICIO DE CORTE</t>
  </si>
  <si>
    <t>VARIEDAD</t>
  </si>
  <si>
    <t>UNIDADES PEDIDAS</t>
  </si>
  <si>
    <t>COMENTARIOS</t>
  </si>
  <si>
    <t>VERSION</t>
  </si>
  <si>
    <t>MARROQUINERIA GRANDE</t>
  </si>
  <si>
    <t>BOLSO TUBO GRANDE</t>
  </si>
  <si>
    <t>TIRACIERRES EXTERNOS "EL LUCERO" GRANDE</t>
  </si>
  <si>
    <t>ARENA-CUERO BRIDGE - CHOCOLATE_PELO_MARRON</t>
  </si>
  <si>
    <t>ARENA-CUERO BRIDGE - CHOCOLATE_PELO_MARRON_ROJIZO</t>
  </si>
  <si>
    <t>TOTE IRUYA</t>
  </si>
  <si>
    <t>PEGAR ETIQUETA DE CUERO AL FRENTE HILO AL TONO CON HILO GRUESO N 20</t>
  </si>
  <si>
    <t>LEDER-PELO - PELO_BEIGE</t>
  </si>
  <si>
    <t>LEDER-PELO - PELO_HOLANDO</t>
  </si>
  <si>
    <t>CARTERA EMILIA</t>
  </si>
  <si>
    <t>ARGOLLITA + TIRA CON REMACHE + GRABADO ESTRELLA</t>
  </si>
  <si>
    <t>ARENA-CUERO NAPADO - MALBEC</t>
  </si>
  <si>
    <t>CARTERA LEANDRA</t>
  </si>
  <si>
    <t>ARENA-CUERO NAPADO - NEGRO</t>
  </si>
  <si>
    <t>CARTERA APHOLO C/CIERRE</t>
  </si>
  <si>
    <t>BIANCO-CUERO FIORENTINO - CEDRO</t>
  </si>
  <si>
    <t>ARENA-CUERO BRIDGE - MALBEC</t>
  </si>
  <si>
    <t>ARENA-CUERO BRIDGE - CHOCOLATE</t>
  </si>
  <si>
    <t>BANDOLERA YARA</t>
  </si>
  <si>
    <t>CON REMACHE + GRABADO ESTRELLA</t>
  </si>
  <si>
    <t>ARENA-CUERO BRIDGE - TABACO</t>
  </si>
  <si>
    <t>BIANCO-CUERO MODENA ESPESOR 1,8 - VERDE_REVES_VERDE</t>
  </si>
  <si>
    <t>MARROQUINERIA CHICA</t>
  </si>
  <si>
    <t>BILLETERA COPAHUE</t>
  </si>
  <si>
    <t>ARENA-CUERO NAPADO - SUELA</t>
  </si>
  <si>
    <t>BIANCO-CUERO MODENA ESPESOR 1,8 - AZUL_REVES_AZUL</t>
  </si>
  <si>
    <t>BILLETERA FICHERO</t>
  </si>
  <si>
    <t xml:space="preserve">CAMBIAR LADO DE LA PULSERA A LA IZQUIERDA    </t>
  </si>
  <si>
    <t>ARENA-CUERO NAPADO - CARAMELO</t>
  </si>
  <si>
    <t>ARENA-CUERO NAPADO - ROJO</t>
  </si>
  <si>
    <t>BILLETERA OSADIA</t>
  </si>
  <si>
    <t>BILLETERA PENNY</t>
  </si>
  <si>
    <t>MONEDERO LUISA</t>
  </si>
  <si>
    <t>ARENA-CUERO BRIDGE - ROJO</t>
  </si>
  <si>
    <t>TARJETERO ARIES</t>
  </si>
  <si>
    <t>LEDER-CUERO - CUERO_VINTAGE_DARK</t>
  </si>
  <si>
    <t>LEDER-CUERO - CUERO_VINTAGE_MEDIO</t>
  </si>
  <si>
    <t>TARJETERO BILL</t>
  </si>
  <si>
    <t>TARJETERO HARRY</t>
  </si>
  <si>
    <t>ARENA-CUERO BRIDGE - CARAMELO</t>
  </si>
  <si>
    <t>ARENA-CUERO BRIDGE - NEGRO</t>
  </si>
  <si>
    <t>AZUL_REVES_AZUL - BIANCO-CUERO MODENA ESPESOR 1,8</t>
  </si>
  <si>
    <t>TABACO - ARENA-CUERO BRIDGE</t>
  </si>
  <si>
    <t>TARJETERO JUAN</t>
  </si>
  <si>
    <t>TARJETERO ROMA</t>
  </si>
  <si>
    <t>VANESKA-CUERO NAPADO DUNA - NEGRO</t>
  </si>
  <si>
    <t>TARJETERO RUBI</t>
  </si>
  <si>
    <t>ARENA-CUERO BRIDGE IGUANA - ROJO</t>
  </si>
  <si>
    <t>PORTAVINO CAFAYATE</t>
  </si>
  <si>
    <t>LA HERMIDA-CUERO VACHETTA LADO COLOR - SUELA</t>
  </si>
  <si>
    <t>LA HERMIDA-CUERO VACHETTA LADO NATURAL - NATURAL</t>
  </si>
  <si>
    <t>PORTAVINO RIOJA</t>
  </si>
  <si>
    <t>BILLETERA ARLO</t>
  </si>
  <si>
    <t>ARENA-CUERO NAPADO - VERDE</t>
  </si>
  <si>
    <t>ARENA-CUERO NAPADO - AZUL</t>
  </si>
  <si>
    <t>BILLETERA LIAM</t>
  </si>
  <si>
    <t>ARENA-CUERO NAPADO - CHOCOLATE</t>
  </si>
  <si>
    <t>CARTUCHERA MONT</t>
  </si>
  <si>
    <t>NECESSAIRE</t>
  </si>
  <si>
    <t xml:space="preserve">TIRACIERRE N 1 - PARA CIERRES METAL&gt;&gt; TIRA CON REMACHE + GRABADO </t>
  </si>
  <si>
    <t>NECESSAIRE FELI</t>
  </si>
  <si>
    <t>ARENA-CUERO BRIDGE IGUANA - CARAMELO</t>
  </si>
  <si>
    <t>NECESSAIRE LANIN</t>
  </si>
  <si>
    <t>TIRACIERRE N 1 - PARA CIERRES METAL&gt;&gt; TIRA CON REMACHE + GRABADO</t>
  </si>
  <si>
    <t>NECESSAIRE LANIN FULL BLACK</t>
  </si>
  <si>
    <t>NECESSAIRE TOM</t>
  </si>
  <si>
    <t>PORTAHIGIENE</t>
  </si>
  <si>
    <t>PORTALENTES COLBY</t>
  </si>
  <si>
    <t>PORTALENTES JANO</t>
  </si>
  <si>
    <t>PORTALENTES LUZ</t>
  </si>
  <si>
    <t>ROJO - ARENA-CUERO NAPADO</t>
  </si>
  <si>
    <t>ROJO - ARENA-CUERO BRIDGE IGUANA</t>
  </si>
  <si>
    <t>CEDRO - BIANCO-CUERO FIORENTINO</t>
  </si>
  <si>
    <t>PORTAPASAPORTE CHESTER</t>
  </si>
  <si>
    <t>PORTAPASAPORTE RON</t>
  </si>
  <si>
    <t>SET PORTAVASOS CIRCULAR (X 4)</t>
  </si>
  <si>
    <t>PORTA TIRA DE CUERO CON GEMELO</t>
  </si>
  <si>
    <t>MALBEC - ARENA-CUERO BRIDGE</t>
  </si>
  <si>
    <t>SET POSAVASOS CUADRADO (X 4)</t>
  </si>
  <si>
    <t>TARJETERO MULTI</t>
  </si>
  <si>
    <t>ARENA-CUERO BRIDGE IGUANA - NEGRO</t>
  </si>
  <si>
    <t>KENNY NUEVA</t>
  </si>
  <si>
    <t>TARJETERO VINCENT</t>
  </si>
  <si>
    <t>VERDE_REVES_VERDE - BIANCO-CUERO MODENA ESPESOR 1,8</t>
  </si>
  <si>
    <t>BANDOLERA ANTONIETA</t>
  </si>
  <si>
    <t>BANDOLERA CARLA</t>
  </si>
  <si>
    <t>LA CORREA DEBE SALIR DE ADENTRO DE LA VISTA INTERNA</t>
  </si>
  <si>
    <t>BANDOLERA CASIOPEA</t>
  </si>
  <si>
    <t>BANDOLERA LENA</t>
  </si>
  <si>
    <t>BANDOLERA NEW VICENTA</t>
  </si>
  <si>
    <t>CORREA TODA EN CUERO</t>
  </si>
  <si>
    <t>BANDOLERA SAGITTA</t>
  </si>
  <si>
    <t>CARTERA CHALTEN</t>
  </si>
  <si>
    <t>CARTERA LONDRES</t>
  </si>
  <si>
    <t>CARTERA MINI APHOLO C/ CIERRE</t>
  </si>
  <si>
    <t>MINI EMMA</t>
  </si>
  <si>
    <t>MOCHILA ATLAS FULL BLACK 1</t>
  </si>
  <si>
    <t>MOCHILA ATLAS FULL BLACK 2</t>
  </si>
  <si>
    <t>MOCHILA PIETRO</t>
  </si>
  <si>
    <t>PORTALAPTOP MILTON</t>
  </si>
  <si>
    <t>INDIVIDUAL CURVO</t>
  </si>
  <si>
    <t>INDIVIDUAL RECTO</t>
  </si>
  <si>
    <t>ARENA-CUERO BRIDGE - NEGRO_PELO_HOLANDO</t>
  </si>
  <si>
    <t>ARENA-CUERO BRIDGE - TABACO_PELO_HEREFORD</t>
  </si>
  <si>
    <t>PORTAVINO TANDIL</t>
  </si>
  <si>
    <t>PORTAVINO UCO</t>
  </si>
  <si>
    <t>PORTAVINO TUNUYAN</t>
  </si>
  <si>
    <t>HILO AL TONO CON HILO GRUESO N 20</t>
  </si>
  <si>
    <t>NAPOLITANA-CUERO GAMUZA - AZUL_GAMUZA_TABACO</t>
  </si>
  <si>
    <t>NAPOLITANA-CUERO GAMUZA - OLIVA_GAMUZA_TABACO</t>
  </si>
  <si>
    <t>NAPOLITANA-CUERO GAMUZA - VESUBIO_GAMUZA_TABACO</t>
  </si>
  <si>
    <t>CARTERA AMARILLA C/ CIERRE</t>
  </si>
  <si>
    <t>LEDER-PELO - PELO_HEREFORD</t>
  </si>
  <si>
    <t>PORTALENTES ORION</t>
  </si>
  <si>
    <t>LLAVERO ABC</t>
  </si>
  <si>
    <t>CUERO DE RETAZOS</t>
  </si>
  <si>
    <t>NAPOLITANA-CUERO GAMUZA - AZUL_GAMUZA_MALBEC</t>
  </si>
  <si>
    <t>ARENA-CUERO BRIDGE - SUELA_GAMUZA_OLIVA</t>
  </si>
  <si>
    <t>NAPOLITANA-CUERO GAMUZA - OXIDO_GAMUZA_NEGRO</t>
  </si>
  <si>
    <t>CARAMELO - ARENA-CUERO NAPADO</t>
  </si>
  <si>
    <t>MALBEC - ARENA-CUERO NAPADO</t>
  </si>
  <si>
    <t>LLEVA 2 GRABADOS</t>
  </si>
  <si>
    <t>FUNDA CUADERNO A5</t>
  </si>
  <si>
    <t>VA PUNTA REDONDEDA (HUEVO)</t>
  </si>
  <si>
    <t>BIANCO-CUERO FIORENTINO - NEGRO</t>
  </si>
  <si>
    <t>FUNDA CUADERNO A6 (POCKET)</t>
  </si>
  <si>
    <t>BIANCO-CUERO MODENA ESPESOR 1,4 - AZUL_REVES_AZUL</t>
  </si>
  <si>
    <t>BIANCO-CUERO MODENA ESPESOR 1,4 - VERDE_REVES_VERDE</t>
  </si>
  <si>
    <t>PORTALENTES MANU</t>
  </si>
  <si>
    <t>CARTERA AMARILLA SET SOBRE BIFAZ</t>
  </si>
  <si>
    <t>BIANCO-CUERO MODENA ESPESOR 1,6 - NEGRO_REVES_SUELA</t>
  </si>
  <si>
    <t>BIANCO-CUERO MODENA ESPESOR 1,6 - AZUL_REVES_SUELA</t>
  </si>
  <si>
    <t>BIANCO-CUERO MODENA ESPESOR 1,6 - VERDE_REVES_SUELA</t>
  </si>
  <si>
    <t>LEDER-PELO - PELO_MARRON_ROJIZO</t>
  </si>
  <si>
    <t>CARTERA INES</t>
  </si>
  <si>
    <t>SIN PINTURA</t>
  </si>
  <si>
    <t>BANDOLERA MATILDA</t>
  </si>
  <si>
    <t>PORTALAPICERA</t>
  </si>
  <si>
    <t>SUELA - ARENA-CUERO NAPADO</t>
  </si>
  <si>
    <t>AZUL - ARENA-CUERO NAPADO</t>
  </si>
  <si>
    <t>VERDE - ARENA-CUERO NAPADO</t>
  </si>
  <si>
    <t>TOTE CACHI</t>
  </si>
  <si>
    <t xml:space="preserve"> PEGAR ETIQUETA DE CUERO AL FRENTE</t>
  </si>
  <si>
    <t>NAPOLITANA-CUERO GAMUZA - CAFE_GAMUZA_CHOCOLATE</t>
  </si>
  <si>
    <t>OLIVA_GAMUZA_TABACO - NAPOLITANA-CUERO GAMUZA</t>
  </si>
  <si>
    <t>BILLETERA ADAM</t>
  </si>
  <si>
    <t>BILLETERA BEIJING</t>
  </si>
  <si>
    <t>NEGRO - ARENA-CUERO NAPADO</t>
  </si>
  <si>
    <t>CARAMELO - ARENA-CUERO BRIDGE</t>
  </si>
  <si>
    <t>POSAVASO RECTO PELO</t>
  </si>
  <si>
    <t>SIN PINTUTURA</t>
  </si>
  <si>
    <t>INDIVIDUAL RECTO PELO</t>
  </si>
  <si>
    <t xml:space="preserve"> SIN PINTUTURA</t>
  </si>
  <si>
    <t>BANDEJA CHICA PELO</t>
  </si>
  <si>
    <t>CINTO PELO MUJER</t>
  </si>
  <si>
    <t>LLEVA STICKER DE TALLE</t>
  </si>
  <si>
    <t>PORTALENTES LUZ PELO</t>
  </si>
  <si>
    <t>ENVIAR A RACHI A PASAR EL CORDON DE NAPADO X TODO EL CONTORNO</t>
  </si>
  <si>
    <t>NAPOLITANA-CUERO GAMUZA - OXIDO_GAMUZA_CARAMELO</t>
  </si>
  <si>
    <t>OXIDO_GAMUZA_NEGRO - NAPOLITANA-CUERO GAMUZA</t>
  </si>
  <si>
    <t>AZUL_GAMUZA_MALBEC - NAPOLITANA-CUERO GAMUZA</t>
  </si>
  <si>
    <t>OXIDO_GAMUZA_CARAMELO - NAPOLITANA-CUERO GAMUZA</t>
  </si>
  <si>
    <t>PELO_BEIGE - LEDER-PELO</t>
  </si>
  <si>
    <t>MOCHILA LIBRA</t>
  </si>
  <si>
    <t>PORTALENTES LUZ BI FAZ</t>
  </si>
  <si>
    <t>BIANCO-CUERO MODENA ESPESOR 1,4 - AZUL_REVES_BEIGE</t>
  </si>
  <si>
    <t>PORTAPASAPORTE CHESTER BI FAZ</t>
  </si>
  <si>
    <t>MOUSEPAD</t>
  </si>
  <si>
    <t>BILLETERA LUCA</t>
  </si>
  <si>
    <t>BIANCO-CUERO MODENA ESPESOR 1,4 - NEGRO_REVES_SUELA</t>
  </si>
  <si>
    <t>VERDE_REVES_SUELA - BIANCO-CUERO MODENA ESPESOR 1,4</t>
  </si>
  <si>
    <t>BOLSA CARTERA</t>
  </si>
  <si>
    <t>MERCEDES RUMAS</t>
  </si>
  <si>
    <t>BOLSA PARA BILLETERA CHICA</t>
  </si>
  <si>
    <t>MEDIDA TERMINADO: 21CM DE ALTO X 15CM ANCHO</t>
  </si>
  <si>
    <t>NAPOLITANA-CUERO GAMUZA - GrisOscuro_GAMUZA_TABACO</t>
  </si>
  <si>
    <t>NAPOLITANA-CUERO GAMUZA - OLIVA_GAMUZA_CARAMELO</t>
  </si>
  <si>
    <t>TABACO_PELO_HEREFORD - ARENA-CUERO BRIDGE</t>
  </si>
  <si>
    <t>LLAVERO INICIALES</t>
  </si>
  <si>
    <t>PELO_HEREFORD - LEDER-PELO</t>
  </si>
  <si>
    <t>CINTO FLORA 2</t>
  </si>
  <si>
    <t>NAPOLITANA-CUERO GAMUZA - TABACO_GAMUZA_NEGRO</t>
  </si>
  <si>
    <t>NAPOLITANA-CUERO GAMUZA - OLIVA_GAMUZA_NEGRO</t>
  </si>
  <si>
    <t>NAPOLITANA-CUERO GAMUZA - CHOCOLATE_GAMUZA_NEGRO</t>
  </si>
  <si>
    <t>CHOCOLATE_GAMUZA_NEGRO - NAPOLITANA-CUERO GAMUZA</t>
  </si>
  <si>
    <t>GrisOscuro_GAMUZA_NEGRO - NAPOLITANA-CUERO GAMUZA</t>
  </si>
  <si>
    <t>MARSALA_GAMUZA_NEGRO - NAPOLITANA-CUERO GAMUZA</t>
  </si>
  <si>
    <t>SOBRE PELO</t>
  </si>
  <si>
    <t>CARTERA VERA</t>
  </si>
  <si>
    <t>TOTAL 12 ORIFICIOS</t>
  </si>
  <si>
    <t>NAPOLITANA-CUERO GAMUZA - TABACO_GAMUZA_TABACO</t>
  </si>
  <si>
    <t>MOCHILA MULITA</t>
  </si>
  <si>
    <t>TARJETERO ARIES BI FAZ</t>
  </si>
  <si>
    <t>BIANCO-CUERO MODENA ESPESOR 1,4 - AZUL_REVES_SUELA</t>
  </si>
  <si>
    <t>BIANCO-CUERO MODENA ESPESOR 1,4 - VERDE_REVES_SUELA</t>
  </si>
  <si>
    <t>PORTAPASAPORTE WARA</t>
  </si>
  <si>
    <t>TIRACIERRE EXTERNO LUCERO GRANDE</t>
  </si>
  <si>
    <t>PORTACABLES 1</t>
  </si>
  <si>
    <t>PORTACABLES 2</t>
  </si>
  <si>
    <t>PORTACABLES 3</t>
  </si>
  <si>
    <t>CARTERA KALI</t>
  </si>
  <si>
    <t xml:space="preserve"> ARGOLLITA + TIRA CON REMACHE + GRABADO ESTRELLA</t>
  </si>
  <si>
    <t>NAPOLITANA-CUERO GAMUZA - OLIVA</t>
  </si>
  <si>
    <t>NAPOLITANA-CUERO GAMUZA - TABACO</t>
  </si>
  <si>
    <t>CINTO FLORA 1</t>
  </si>
  <si>
    <t>NAPOLITANA-CUERO GAMUZA - CHOCOLATE</t>
  </si>
  <si>
    <t>CHOCOLATE - NAPOLITANA-CUERO GAMUZA</t>
  </si>
  <si>
    <t>GrisOscuro - NAPOLITANA-CUERO GAMUZA</t>
  </si>
  <si>
    <t>MARSALA - NAPOLITANA-CUERO GAMUZA</t>
  </si>
  <si>
    <t>TOTE TILCARA</t>
  </si>
  <si>
    <t>ARENA-CUERO NAPADO - LONDON</t>
  </si>
  <si>
    <t>PORTABILLETES CORVUS</t>
  </si>
  <si>
    <t>NAPOLITANA-CUERO GAMUZA - OLIVA_GAMUZA_SUELA</t>
  </si>
  <si>
    <t>OLIVA_GAMUZA_SUELA - NAPOLITANA-CUERO GAMUZA</t>
  </si>
  <si>
    <t>AVELLANA_GAMUZA_MALBEC - NAPOLITANA-CUERO GAMUZA</t>
  </si>
  <si>
    <t>MONEDERO CIRCULAR</t>
  </si>
  <si>
    <t>BILLETERA MILO SIMPLE</t>
  </si>
  <si>
    <t>MONEDERO AMBAR</t>
  </si>
  <si>
    <t>ARENA-CUERO NAPADO - TABACO</t>
  </si>
  <si>
    <t>MONEDERO GRACE</t>
  </si>
  <si>
    <t>BOLSO LIHUEN</t>
  </si>
  <si>
    <t>CARTERA HARPER</t>
  </si>
  <si>
    <t>NECESSAIRE MINI MARCOS</t>
  </si>
  <si>
    <t>RIÑONERA EVAN GRANDE</t>
  </si>
  <si>
    <t>RIÑONERA EVAN GRANDE FULL BLACK</t>
  </si>
  <si>
    <t>MOCHILA PACARI</t>
  </si>
  <si>
    <t>LEDER-CUERO - CUERO_VINTAGE_LIGHT</t>
  </si>
  <si>
    <t>CUERO_VINTAGE_MEDIO - LEDER-CUERO</t>
  </si>
  <si>
    <t>PHONEBAG TANIA</t>
  </si>
  <si>
    <t>NAPOLITANA-CUERO O MA GAMUZA - OLIVA_GAMUZA_TABACO</t>
  </si>
  <si>
    <t>MOCHILA PORTIA</t>
  </si>
  <si>
    <t>NAPOLITANA-CUERO O MA GAMUZA - CAFE_GAMUZA_TABACO</t>
  </si>
  <si>
    <t>SOBRE MAJA PELO</t>
  </si>
  <si>
    <t>BOLSO TUBO GRANDE PELO</t>
  </si>
  <si>
    <t>PILUSO HILDA PELO</t>
  </si>
  <si>
    <t>CARTERA MANA</t>
  </si>
  <si>
    <t>FLECOS EN EL MISMO MATERIAL</t>
  </si>
  <si>
    <t>ANAN-CUERO NAPOLE - CAOBA</t>
  </si>
  <si>
    <t>ANAN-CUERO NAPOLE - TABACO</t>
  </si>
  <si>
    <t>PORTALENTES  MUSAI</t>
  </si>
  <si>
    <t>TOTE MALVA</t>
  </si>
  <si>
    <t>NAPOLITANA-CUERO GAMUZA - OXIDO_GAMUZA_TABACO</t>
  </si>
  <si>
    <t>MATERA RENATA</t>
  </si>
  <si>
    <t>MATERA AVA</t>
  </si>
  <si>
    <t>PORTALENTES  NOLE</t>
  </si>
  <si>
    <t>MOCHILA ALAI</t>
  </si>
  <si>
    <t>LARGO DE TIRA APROBADO DE LA MOCHILA 2.37MTS X LADO</t>
  </si>
  <si>
    <t>BANDOLERA JADE</t>
  </si>
  <si>
    <t>INDUMENTARIA</t>
  </si>
  <si>
    <t>CHALECO INDIGO</t>
  </si>
  <si>
    <t>TALLE UNICO</t>
  </si>
  <si>
    <t>MA CUEROS-DESCARNE GAMUZADO 1/1.2 - OXIDO</t>
  </si>
  <si>
    <t>MA CUEROS-DESCARNE GAMUZADO 1/1.2 - CHOCOLATE</t>
  </si>
  <si>
    <t>CHALECO TRINIDAD</t>
  </si>
  <si>
    <t>NAPOLITANA-CUERO GAMUZA - VERDE</t>
  </si>
  <si>
    <t>NAPOLITANA-CUERO GAMUZA - MARSALA_GAMUZA_NEGRO</t>
  </si>
  <si>
    <t>NAPOLITANA-CUERO GAMUZA - GrisOscuro_GAMUZA_NEGRO</t>
  </si>
  <si>
    <t>1914-A</t>
  </si>
  <si>
    <t>NAPOLITANA-CUERO GAMUZA - SUELA</t>
  </si>
  <si>
    <t>ARENA-CUERO BRIDGE - TABACO_PELO_BEIGE</t>
  </si>
  <si>
    <t>BOLSA BOLSO TUBO</t>
  </si>
  <si>
    <t>NAPOLITANA-CUERO GAMUZA - CAFE_GAMUZA_TABACO</t>
  </si>
  <si>
    <t>CARTERA AMARILLA CON SOBRE SIMPLE</t>
  </si>
  <si>
    <t>LA CARTERA VA PINTADA COMO SIEMPRE !!</t>
  </si>
  <si>
    <t>FUNDA CUADERNO A4</t>
  </si>
  <si>
    <t>RIÑONERA EVAN CHICA</t>
  </si>
  <si>
    <t>RIÑONERA EVAN CHICA FULL BLACK</t>
  </si>
  <si>
    <t>1962-A</t>
  </si>
  <si>
    <t>1980-A</t>
  </si>
  <si>
    <t>1977-A</t>
  </si>
  <si>
    <t>1978-A</t>
  </si>
  <si>
    <t>AZUL_REVES_AZUL - BIANCO-CUERO MODENA ESPESOR 1,4</t>
  </si>
  <si>
    <t>1979-A</t>
  </si>
  <si>
    <t>1960-A</t>
  </si>
  <si>
    <t>1961-A</t>
  </si>
  <si>
    <t>1963-A</t>
  </si>
  <si>
    <t>1964-A</t>
  </si>
  <si>
    <t>1965-A</t>
  </si>
  <si>
    <t>1966-A</t>
  </si>
  <si>
    <t>1967-A</t>
  </si>
  <si>
    <t>1968-A</t>
  </si>
  <si>
    <t>1972-A</t>
  </si>
  <si>
    <t>1973-A</t>
  </si>
  <si>
    <t>1975-A</t>
  </si>
  <si>
    <t>1982-A</t>
  </si>
  <si>
    <t>1970-A</t>
  </si>
  <si>
    <t>1974-A</t>
  </si>
  <si>
    <t>BIANCO-CUERO MODENA ESPESOR 1,4 - VERDE_REVES_BEIGE</t>
  </si>
  <si>
    <t>1959-A</t>
  </si>
  <si>
    <t>NAPOLITANA-CUERO GAMUZA - AVELLANA_GAMUZA_SUELA</t>
  </si>
  <si>
    <t>NAPOLITANA-CUERO GAMUZA - VESUBIO_GAMUZA_SUELA</t>
  </si>
  <si>
    <t>1983-A</t>
  </si>
  <si>
    <t>CARTERA AMARILLA SET SOBRE</t>
  </si>
  <si>
    <t xml:space="preserve"> LA CARTERA VA PINTADA COMO SIEMPRE !!!</t>
  </si>
  <si>
    <t>ARENA-CUERO BRIDGE - LONDON</t>
  </si>
  <si>
    <t>1984-A</t>
  </si>
  <si>
    <t>1985-A</t>
  </si>
  <si>
    <t>1986-A</t>
  </si>
  <si>
    <t>1987-A</t>
  </si>
  <si>
    <t>1988-A</t>
  </si>
  <si>
    <t>1976-A</t>
  </si>
  <si>
    <t>1981-A</t>
  </si>
  <si>
    <t>1989-A</t>
  </si>
  <si>
    <t>1990-A</t>
  </si>
  <si>
    <t>1991-A</t>
  </si>
  <si>
    <t>1992-A</t>
  </si>
  <si>
    <t>1993-A</t>
  </si>
  <si>
    <t>1994-A</t>
  </si>
  <si>
    <t>1995-A</t>
  </si>
  <si>
    <t>1996-A</t>
  </si>
  <si>
    <t>PORTAFOLIO HUAPI</t>
  </si>
  <si>
    <t>1997-A</t>
  </si>
  <si>
    <t>1999-A</t>
  </si>
  <si>
    <t>2000-A</t>
  </si>
  <si>
    <t>1971-A</t>
  </si>
  <si>
    <t>19712-A</t>
  </si>
  <si>
    <t>NAPOLITANA-CUERO GAMUZA - OLIVA_GAMUZA_CHOCOLATE</t>
  </si>
  <si>
    <t>NAPOLITANA-CUERO GAMUZA - AVELLANA_GAMUZA_MALBEC</t>
  </si>
  <si>
    <t>19713-A</t>
  </si>
  <si>
    <t>1998-A</t>
  </si>
  <si>
    <t>2001-A</t>
  </si>
  <si>
    <t>2003-A</t>
  </si>
  <si>
    <t>2005-A</t>
  </si>
  <si>
    <t>LA HERMIDA-CUERO VACHETTA FINA LADO COLOR - NEGRO</t>
  </si>
  <si>
    <t>LA HERMIDA-CUERO VACHETTA FINA LADO COLOR - CHOCOLATE</t>
  </si>
  <si>
    <t>LA HERMIDA-CUERO VACHETTA FINA LADO COLOR - DULCE_DE_LECHE</t>
  </si>
  <si>
    <t>2006-A</t>
  </si>
  <si>
    <t>2007-A</t>
  </si>
  <si>
    <t>2010-A</t>
  </si>
  <si>
    <t>2011-A</t>
  </si>
  <si>
    <t>1914-B</t>
  </si>
  <si>
    <t>NAPOLITANA-CUERO NOBUCK - CAFE_NOBUCK_TABACO</t>
  </si>
  <si>
    <t>2018-A</t>
  </si>
  <si>
    <t>ESTUCHE 1</t>
  </si>
  <si>
    <t>MA CUEROS-DESCARNE GAMUZADO 1/1.2 - AZUL_NOCHE</t>
  </si>
  <si>
    <t>NAPOLITANA-CUERO GAMUZA - GrisMedio</t>
  </si>
  <si>
    <t>2019-A</t>
  </si>
  <si>
    <t>ESTUCHE 2</t>
  </si>
  <si>
    <t>2020-A</t>
  </si>
  <si>
    <t>ESTUCHE 3</t>
  </si>
  <si>
    <t>2015-A</t>
  </si>
  <si>
    <t>2016-A</t>
  </si>
  <si>
    <t>2017-A</t>
  </si>
  <si>
    <t>2021-A</t>
  </si>
  <si>
    <t>ESTUCHE 4</t>
  </si>
  <si>
    <t>2022-A</t>
  </si>
  <si>
    <t>ESTUCHE 5</t>
  </si>
  <si>
    <t>2023-A</t>
  </si>
  <si>
    <t>ESTUCHE 6</t>
  </si>
  <si>
    <t>2024-A</t>
  </si>
  <si>
    <t>ESTUCHE 7</t>
  </si>
  <si>
    <t xml:space="preserve"> SE MODIFICA LA CORREA Y PASA A TENER CORREA LARGA CON HEBILLA CINTO PASE 40  IDEM CARTERA  EMILIA</t>
  </si>
  <si>
    <t>1969-A</t>
  </si>
  <si>
    <t>2058-A</t>
  </si>
  <si>
    <t>2059-A</t>
  </si>
  <si>
    <t>2083-A</t>
  </si>
  <si>
    <t>2084-A</t>
  </si>
  <si>
    <t>2008-A</t>
  </si>
  <si>
    <t>2009-A</t>
  </si>
  <si>
    <t>2012-A</t>
  </si>
  <si>
    <t>2060-A</t>
  </si>
  <si>
    <t>2057-A</t>
  </si>
  <si>
    <t>ESTUCHE 8</t>
  </si>
  <si>
    <t>2063-A</t>
  </si>
  <si>
    <t>2064-A</t>
  </si>
  <si>
    <t>2068-A</t>
  </si>
  <si>
    <t>2069-A</t>
  </si>
  <si>
    <t>CINTO RUS PELO</t>
  </si>
  <si>
    <t>2070-A</t>
  </si>
  <si>
    <t>2071-A</t>
  </si>
  <si>
    <t>2072-A</t>
  </si>
  <si>
    <t>2073-A</t>
  </si>
  <si>
    <t>2074-A</t>
  </si>
  <si>
    <t>2075-A</t>
  </si>
  <si>
    <t>2076-A</t>
  </si>
  <si>
    <t>2077-A</t>
  </si>
  <si>
    <t>2078-A</t>
  </si>
  <si>
    <t>2079-A</t>
  </si>
  <si>
    <t>2080-A</t>
  </si>
  <si>
    <t>2081-A</t>
  </si>
  <si>
    <t>2082-A</t>
  </si>
  <si>
    <t>SEÑALADOR</t>
  </si>
  <si>
    <t>LA HERMIDA-CUERO VACHETTA FINA LADO COLOR - VISON</t>
  </si>
  <si>
    <t>DULCE_DE_LECHE - LA HERMIDA-CUERO VACHETTA FINA LADO COLOR</t>
  </si>
  <si>
    <t>2085-A</t>
  </si>
  <si>
    <t>2086-A</t>
  </si>
  <si>
    <t>PORTAPASAPORTE WARA FULL BLACK</t>
  </si>
  <si>
    <t>2061-A</t>
  </si>
  <si>
    <t>2062-A</t>
  </si>
  <si>
    <t>2066-A</t>
  </si>
  <si>
    <t>2067-A</t>
  </si>
  <si>
    <t>2002-A</t>
  </si>
  <si>
    <t>2004-A</t>
  </si>
  <si>
    <t>2013-A</t>
  </si>
  <si>
    <t>1989-B</t>
  </si>
  <si>
    <t>1993-B</t>
  </si>
  <si>
    <t>1999-B</t>
  </si>
  <si>
    <t>2012-B</t>
  </si>
  <si>
    <t>2013-B</t>
  </si>
  <si>
    <t>2062-B</t>
  </si>
  <si>
    <t>2063-B</t>
  </si>
  <si>
    <t>2064-B</t>
  </si>
  <si>
    <t>2066-B</t>
  </si>
  <si>
    <t>2067-B</t>
  </si>
  <si>
    <t>2078-B</t>
  </si>
  <si>
    <t>2060-B</t>
  </si>
  <si>
    <t>1995-C</t>
  </si>
  <si>
    <t>2087-A</t>
  </si>
  <si>
    <t>ESTUCHE 9</t>
  </si>
  <si>
    <t>2089-A</t>
  </si>
  <si>
    <t>PORTA AROS CHICO</t>
  </si>
  <si>
    <t>ARENA-CUERO BRIDGE - SUELA</t>
  </si>
  <si>
    <t>2090-A</t>
  </si>
  <si>
    <t>PORTA AROS GRANDE</t>
  </si>
  <si>
    <t>2058-C</t>
  </si>
  <si>
    <t>1952-B</t>
  </si>
  <si>
    <t>1968-B</t>
  </si>
  <si>
    <t>NAPOLITANA-CUERO GAMUZA - GrisOscuro</t>
  </si>
  <si>
    <t>1969-B</t>
  </si>
  <si>
    <t>2025-A</t>
  </si>
  <si>
    <t>PAÑO CON VISOR PARA CADENAS</t>
  </si>
  <si>
    <t>indicador flotante con troquel redondo ATRAS para poder sacar la tarjeta</t>
  </si>
  <si>
    <t>ARENA-CUERO BRIDGE - AZUL_NAPADO_AZUL_NOCHE</t>
  </si>
  <si>
    <t>2026-A</t>
  </si>
  <si>
    <t>PAÑO CON VISOR PARA PULSERAS</t>
  </si>
  <si>
    <t>2088-A</t>
  </si>
  <si>
    <t>2065-A</t>
  </si>
  <si>
    <t>PORTAFOLIO RUBEN</t>
  </si>
  <si>
    <t>TIRACIERRE N1 - TIRA CON REMACHE EN INTERIOR</t>
  </si>
  <si>
    <t>2058-B</t>
  </si>
  <si>
    <t>1962-B</t>
  </si>
  <si>
    <t>2091-A</t>
  </si>
  <si>
    <t>2092-A</t>
  </si>
  <si>
    <t>2093-A</t>
  </si>
  <si>
    <t>2094-A</t>
  </si>
  <si>
    <t>2095-A</t>
  </si>
  <si>
    <t>2096-A</t>
  </si>
  <si>
    <t>2097-A</t>
  </si>
  <si>
    <t>2098-A</t>
  </si>
  <si>
    <t>2099-A</t>
  </si>
  <si>
    <t>2101-A</t>
  </si>
  <si>
    <t>2102-A</t>
  </si>
  <si>
    <t>2103-A</t>
  </si>
  <si>
    <t>2104-A</t>
  </si>
  <si>
    <t>2109-A</t>
  </si>
  <si>
    <t>2110-A</t>
  </si>
  <si>
    <t>2100-A</t>
  </si>
  <si>
    <t>2105-A</t>
  </si>
  <si>
    <t>2106-A</t>
  </si>
  <si>
    <t>2115-A</t>
  </si>
  <si>
    <t>2116-A</t>
  </si>
  <si>
    <t>2118-A</t>
  </si>
  <si>
    <t>2119-A</t>
  </si>
  <si>
    <t>2120-A</t>
  </si>
  <si>
    <t>2114-A</t>
  </si>
  <si>
    <t>2121-A</t>
  </si>
  <si>
    <t>2107-A</t>
  </si>
  <si>
    <t>2108-A</t>
  </si>
  <si>
    <t>2112-A</t>
  </si>
  <si>
    <t>2113-A</t>
  </si>
  <si>
    <t>2071-B</t>
  </si>
  <si>
    <t>2092-B</t>
  </si>
  <si>
    <t>2094-B</t>
  </si>
  <si>
    <t>2095-B</t>
  </si>
  <si>
    <t>2098-B</t>
  </si>
  <si>
    <t>1989-C</t>
  </si>
  <si>
    <t>2002-B</t>
  </si>
  <si>
    <t>2004-B</t>
  </si>
  <si>
    <t>2117-A</t>
  </si>
  <si>
    <t>2014-A</t>
  </si>
  <si>
    <t>2014-B</t>
  </si>
  <si>
    <t>2072-B</t>
  </si>
  <si>
    <t>2111-A</t>
  </si>
  <si>
    <t>2066-C</t>
  </si>
  <si>
    <t>2072-C</t>
  </si>
  <si>
    <t>2122-A</t>
  </si>
  <si>
    <t>2123-A</t>
  </si>
  <si>
    <t>2124-A</t>
  </si>
  <si>
    <t>NAPOLITANA-CUERO GAMUZA - AZUL_GAMUZA_CARAMELO</t>
  </si>
  <si>
    <t>2095-C</t>
  </si>
  <si>
    <t>2134-A</t>
  </si>
  <si>
    <t>2135-A</t>
  </si>
  <si>
    <t>2098-C</t>
  </si>
  <si>
    <t>2096-B</t>
  </si>
  <si>
    <t>LEDER-CUERO_CRASH - SUELA</t>
  </si>
  <si>
    <t>2125-A</t>
  </si>
  <si>
    <t>2126-A</t>
  </si>
  <si>
    <t>2127-A</t>
  </si>
  <si>
    <t>2128-A</t>
  </si>
  <si>
    <t>2129-A</t>
  </si>
  <si>
    <t>2130-A</t>
  </si>
  <si>
    <t>2131-A</t>
  </si>
  <si>
    <t>2132-A</t>
  </si>
  <si>
    <t>2133-A</t>
  </si>
  <si>
    <t>2113-B</t>
  </si>
  <si>
    <t>2145-A</t>
  </si>
  <si>
    <t>2140-A</t>
  </si>
  <si>
    <t>2137-A</t>
  </si>
  <si>
    <t>2138-A</t>
  </si>
  <si>
    <t>2139-A</t>
  </si>
  <si>
    <t>2143-A</t>
  </si>
  <si>
    <t>2141-A</t>
  </si>
  <si>
    <t>2142-A</t>
  </si>
  <si>
    <t>1569-B</t>
  </si>
  <si>
    <t>1867-B</t>
  </si>
  <si>
    <t>1867-C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</si>
</sst>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1" fillId="0" borderId="0" xfId="0" applyFont="1"/>
    <xf numFmtId="14" fontId="0" fillId="0" borderId="0" xfId="0" applyNumberFormat="1"/>
    <xf numFmtId="14" fontId="0" fillId="0" borderId="0" xfId="0" applyNumberForma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lLucero/20251202/NuevoSistemaProduccion-Adri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Hoja2"/>
      <sheetName val="Pendientes"/>
      <sheetName val="InformeValeria"/>
      <sheetName val="AuxConsumosCUE"/>
      <sheetName val="AuxParaConsumoCuero"/>
      <sheetName val="MinutosDeProduccion"/>
      <sheetName val="ConsumosCUE"/>
      <sheetName val="TotalFabricados"/>
      <sheetName val="ListadoFpResumido"/>
      <sheetName val="EstadoFP"/>
      <sheetName val="RecepcionRemitoSemielaborado"/>
      <sheetName val="RemitoSemielaborado"/>
      <sheetName val="ParaVerPedidosMenosEntregados"/>
      <sheetName val="AuxProduccionPorVariedad"/>
      <sheetName val="ProductosFabricados"/>
      <sheetName val="DuplicadoPagarOC"/>
      <sheetName val="Stock"/>
      <sheetName val="FichaDeProduccion"/>
      <sheetName val="FichaDeProduccionImpresion2"/>
      <sheetName val="AuxiliarFP"/>
      <sheetName val="ListadoDeMolderias"/>
      <sheetName val="MolderiasVariedades"/>
      <sheetName val="Avios-BaseDeDatos"/>
      <sheetName val="Acciones"/>
      <sheetName val="AVIOSMasCaroQueReferencia"/>
      <sheetName val="AviosParaPreciosNuevos"/>
      <sheetName val="AVIOSPorDebajoDelStockMinimo"/>
      <sheetName val="CantidadDeUnidadesNoCortadas"/>
      <sheetName val="CopiaFichaDeProduccion"/>
      <sheetName val="CopiaOC"/>
      <sheetName val="CronogramaDeEntregas"/>
      <sheetName val="DatosCuero"/>
      <sheetName val="Egresos"/>
      <sheetName val="FichaDeCorte"/>
      <sheetName val="Gantt"/>
      <sheetName val="Gantt-Produccion"/>
      <sheetName val="Incidencias"/>
      <sheetName val="Ingresos"/>
      <sheetName val="Reserva"/>
      <sheetName val="ListadoDeMolderiasOrdenadas"/>
      <sheetName val="ListadoFichasDeProduccion"/>
      <sheetName val="ListadoFichasDeProduccion-VIEJO"/>
      <sheetName val="ListadoOrdenesDeCompra"/>
      <sheetName val="OcEstados"/>
      <sheetName val="ListadoProduccion"/>
      <sheetName val="OcConsolidada"/>
      <sheetName val="OrdenDeCompra"/>
      <sheetName val="OrdenDeCompra-AUT"/>
      <sheetName val="OrdenesDeCompraAutorizacionPago"/>
      <sheetName val="OrdenesDeCompraPago"/>
      <sheetName val="OrdenDeCompraAutorizar"/>
      <sheetName val="Hoja3"/>
      <sheetName val="DuplicadoOrdenDeCompraAutorizar"/>
      <sheetName val="Hoja1"/>
      <sheetName val="ListadoDeOCPorProveedor"/>
      <sheetName val="OrdenDeCompraParaPrevision"/>
      <sheetName val="ProduccionesCargadas"/>
      <sheetName val="Proveedores"/>
      <sheetName val="ReemplazoAvios"/>
      <sheetName val="RemitoAvios"/>
      <sheetName val="RemitoCueros"/>
      <sheetName val="RemitoNoCortados"/>
      <sheetName val="Rubros"/>
      <sheetName val="Taller"/>
      <sheetName val="TallerCorte"/>
      <sheetName val="Usuarios"/>
      <sheetName val="ValoresMolde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">
          <cell r="A1" t="str">
            <v>ENCABEZADO</v>
          </cell>
        </row>
        <row r="2">
          <cell r="A2" t="str">
            <v>NRO DE
ORDEN</v>
          </cell>
          <cell r="B2" t="str">
            <v>TALLER
CORTE</v>
          </cell>
          <cell r="C2" t="str">
            <v>TALLER
PRODUCCION</v>
          </cell>
          <cell r="D2" t="str">
            <v>RUBRO</v>
          </cell>
          <cell r="E2" t="str">
            <v>CANTIDAD DE
UNIDADES 
PEDIDAS</v>
          </cell>
          <cell r="F2" t="str">
            <v>CANTIDAD DE
UNIDADES 
CORTADAS</v>
          </cell>
          <cell r="G2" t="str">
            <v>CANTIDAD DE
UNIDADES 
ENTREGADAS</v>
          </cell>
          <cell r="H2" t="str">
            <v>FECHA 
CREACION</v>
          </cell>
          <cell r="I2" t="str">
            <v>ARTICULO</v>
          </cell>
          <cell r="J2" t="str">
            <v>FECHA 
PREPARADO 
DE AVIOS</v>
          </cell>
          <cell r="K2" t="str">
            <v>FECHA INICIO 
DE CORTE</v>
          </cell>
          <cell r="L2" t="str">
            <v>FECHA INICIO 
DE 
PRODUCCION</v>
          </cell>
          <cell r="M2" t="str">
            <v>TIEMPO</v>
          </cell>
          <cell r="N2" t="str">
            <v>MOLDERIA</v>
          </cell>
          <cell r="O2" t="str">
            <v>REFERENCIA 1</v>
          </cell>
          <cell r="P2" t="str">
            <v>CONSUMO 1</v>
          </cell>
          <cell r="Q2" t="str">
            <v>REFERENCIA 2</v>
          </cell>
          <cell r="R2" t="str">
            <v>CONSUMO 2</v>
          </cell>
          <cell r="S2" t="str">
            <v>REFERENCIA 3</v>
          </cell>
          <cell r="T2" t="str">
            <v>CONSUMO 3</v>
          </cell>
          <cell r="U2" t="str">
            <v>REFERENCIA 4</v>
          </cell>
          <cell r="V2" t="str">
            <v>CONSUMO 4</v>
          </cell>
          <cell r="W2" t="str">
            <v>REFERENCIA 5</v>
          </cell>
          <cell r="X2" t="str">
            <v>CONSUMO 5</v>
          </cell>
          <cell r="Y2" t="str">
            <v>REFERENCIA 6</v>
          </cell>
          <cell r="Z2" t="str">
            <v>CONSUMO 6</v>
          </cell>
          <cell r="AA2" t="str">
            <v>REFERENCIA 7</v>
          </cell>
          <cell r="AB2" t="str">
            <v>CONSUMO 7</v>
          </cell>
          <cell r="AC2" t="str">
            <v>REFERENCIA 8</v>
          </cell>
          <cell r="AD2" t="str">
            <v>CONSUMO 8</v>
          </cell>
          <cell r="AE2" t="str">
            <v>REFERENCIA 9</v>
          </cell>
          <cell r="AF2" t="str">
            <v>CONSUMO 9</v>
          </cell>
          <cell r="AG2" t="str">
            <v>REFERENCIA 10</v>
          </cell>
          <cell r="AH2" t="str">
            <v>CONSUMO 10</v>
          </cell>
          <cell r="AI2" t="str">
            <v>REFERENCIA 11</v>
          </cell>
          <cell r="AJ2" t="str">
            <v>CONSUMO 11</v>
          </cell>
          <cell r="AK2" t="str">
            <v>REFERENCIA 12</v>
          </cell>
          <cell r="AL2" t="str">
            <v>CONSUMO 12</v>
          </cell>
          <cell r="AM2" t="str">
            <v>REFERENCIA 13</v>
          </cell>
          <cell r="AN2" t="str">
            <v>CONSUMO 13</v>
          </cell>
          <cell r="AO2" t="str">
            <v>REFERENCIA 14</v>
          </cell>
          <cell r="AP2" t="str">
            <v>CONSUMO 14</v>
          </cell>
          <cell r="AQ2" t="str">
            <v>REFERENCIA 15</v>
          </cell>
          <cell r="AR2" t="str">
            <v>CONSUMO 15</v>
          </cell>
          <cell r="AS2" t="str">
            <v>AMARILLA 1</v>
          </cell>
          <cell r="AT2" t="str">
            <v>AMARILLA 2</v>
          </cell>
          <cell r="AU2" t="str">
            <v>VERDE 1</v>
          </cell>
          <cell r="AV2" t="str">
            <v>VERDE 2</v>
          </cell>
          <cell r="AW2" t="str">
            <v>COMENTARIOS</v>
          </cell>
          <cell r="AX2" t="str">
            <v>COLOR 1</v>
          </cell>
          <cell r="AY2" t="str">
            <v>PROVEEDOR+MATERIAL 1</v>
          </cell>
          <cell r="AZ2" t="str">
            <v>REFERENCIA 1.1</v>
          </cell>
          <cell r="BA2" t="str">
            <v>CONSUMO 1.1</v>
          </cell>
          <cell r="BB2" t="str">
            <v>REFERENCIA 2.1</v>
          </cell>
          <cell r="BC2" t="str">
            <v>CONSUMO 2.1</v>
          </cell>
          <cell r="BD2" t="str">
            <v>REFERENCIA 3.1</v>
          </cell>
          <cell r="BE2" t="str">
            <v>CONSUMO 3.1</v>
          </cell>
          <cell r="BF2" t="str">
            <v>REFERENCIA 4.1</v>
          </cell>
          <cell r="BG2" t="str">
            <v>CONSUMO 4.1</v>
          </cell>
          <cell r="BH2" t="str">
            <v>REFERENCIA 5.1</v>
          </cell>
          <cell r="BI2" t="str">
            <v>CONSUMO 5.1</v>
          </cell>
          <cell r="BJ2" t="str">
            <v>REFERENCIA 6.1</v>
          </cell>
          <cell r="BK2" t="str">
            <v>CONSUMO 6.1</v>
          </cell>
          <cell r="BL2" t="str">
            <v>REFERENCIA 7.1</v>
          </cell>
          <cell r="BM2" t="str">
            <v>CONSUMO 7.1</v>
          </cell>
          <cell r="BN2" t="str">
            <v>REFERENCIA 8.1</v>
          </cell>
          <cell r="BO2" t="str">
            <v>CONSUMO 8.1</v>
          </cell>
          <cell r="BP2" t="str">
            <v>REFERENCIA 9.1</v>
          </cell>
          <cell r="BQ2" t="str">
            <v>CONSUMO 9.1</v>
          </cell>
          <cell r="BR2" t="str">
            <v>COLOR 2</v>
          </cell>
          <cell r="BS2" t="str">
            <v>PROVEEDOR+MATERIAL 2</v>
          </cell>
          <cell r="BT2" t="str">
            <v>REFERENCIA 1.2</v>
          </cell>
          <cell r="BU2" t="str">
            <v>CONSUMO 1.2</v>
          </cell>
          <cell r="BV2" t="str">
            <v>REFERENCIA 2.2</v>
          </cell>
          <cell r="BW2" t="str">
            <v>CONSUMO 2.2</v>
          </cell>
          <cell r="BX2" t="str">
            <v>REFERENCIA 3.2</v>
          </cell>
          <cell r="BY2" t="str">
            <v>CONSUMO 3.2</v>
          </cell>
          <cell r="BZ2" t="str">
            <v>REFERENCIA 4.2</v>
          </cell>
          <cell r="CA2" t="str">
            <v>CONSUMO 4.2</v>
          </cell>
          <cell r="CB2" t="str">
            <v>REFERENCIA 5.2</v>
          </cell>
          <cell r="CC2" t="str">
            <v>CONSUMO 5.2</v>
          </cell>
          <cell r="CD2" t="str">
            <v>REFERENCIA 6.2</v>
          </cell>
          <cell r="CE2" t="str">
            <v>CONSUMO 6.2</v>
          </cell>
          <cell r="CF2" t="str">
            <v>REFERENCIA 7.2</v>
          </cell>
          <cell r="CG2" t="str">
            <v>CONSUMO 7.2</v>
          </cell>
          <cell r="CH2" t="str">
            <v>REFERENCIA 8.2</v>
          </cell>
          <cell r="CI2" t="str">
            <v>CONSUMO 8.2</v>
          </cell>
          <cell r="CJ2" t="str">
            <v>REFERENCIA 9.2</v>
          </cell>
          <cell r="CK2" t="str">
            <v>CONSUMO 9.2</v>
          </cell>
          <cell r="CL2" t="str">
            <v>COLOR 3</v>
          </cell>
          <cell r="CM2" t="str">
            <v>PROVEEDOR+MATERIAL 3</v>
          </cell>
          <cell r="CN2" t="str">
            <v>REFERENCIA 1.3</v>
          </cell>
          <cell r="CO2" t="str">
            <v>CONSUMO 1.3</v>
          </cell>
          <cell r="CP2" t="str">
            <v>REFERENCIA 2.3</v>
          </cell>
          <cell r="CQ2" t="str">
            <v>CONSUMO 2.3</v>
          </cell>
          <cell r="CR2" t="str">
            <v>REFERENCIA 3.3</v>
          </cell>
          <cell r="CS2" t="str">
            <v>CONSUMO 3.3</v>
          </cell>
          <cell r="CT2" t="str">
            <v>REFERENCIA 4.3</v>
          </cell>
          <cell r="CU2" t="str">
            <v>CONSUMO 4.3</v>
          </cell>
          <cell r="CV2" t="str">
            <v>REFERENCIA 5.3</v>
          </cell>
          <cell r="CW2" t="str">
            <v>CONSUMO 5.3</v>
          </cell>
          <cell r="CX2" t="str">
            <v>REFERENCIA 6.3</v>
          </cell>
          <cell r="CY2" t="str">
            <v>CONSUMO 6.3</v>
          </cell>
          <cell r="CZ2" t="str">
            <v>REFERENCIA 7.3</v>
          </cell>
          <cell r="DA2" t="str">
            <v>CONSUMO 7.3</v>
          </cell>
          <cell r="DB2" t="str">
            <v>REFERENCIA 8.3</v>
          </cell>
          <cell r="DC2" t="str">
            <v>CONSUMO 8.3</v>
          </cell>
          <cell r="DD2" t="str">
            <v>REFERENCIA 9.3</v>
          </cell>
          <cell r="DE2" t="str">
            <v>CONSUMO 9.3</v>
          </cell>
          <cell r="DF2" t="str">
            <v>COLOR 4</v>
          </cell>
          <cell r="DG2" t="str">
            <v>PROVEEDOR+MATERIAL 4</v>
          </cell>
          <cell r="DH2" t="str">
            <v>REFERENCIA 1.4</v>
          </cell>
          <cell r="DI2" t="str">
            <v>CONSUMO 1.4</v>
          </cell>
          <cell r="DJ2" t="str">
            <v>REFERENCIA 2.4</v>
          </cell>
          <cell r="DK2" t="str">
            <v>CONSUMO 2.4</v>
          </cell>
          <cell r="DL2" t="str">
            <v>REFERENCIA 3.4</v>
          </cell>
          <cell r="DM2" t="str">
            <v>CONSUMO 3.4</v>
          </cell>
          <cell r="DN2" t="str">
            <v>REFERENCIA 4.4</v>
          </cell>
          <cell r="DO2" t="str">
            <v>CONSUMO 4.4</v>
          </cell>
          <cell r="DP2" t="str">
            <v>REFERENCIA 5.4</v>
          </cell>
          <cell r="DQ2" t="str">
            <v>CONSUMO 5.4</v>
          </cell>
          <cell r="DR2" t="str">
            <v>REFERENCIA 6.4</v>
          </cell>
          <cell r="DS2" t="str">
            <v>CONSUMO 6.4</v>
          </cell>
          <cell r="DT2" t="str">
            <v>REFERENCIA 7.4</v>
          </cell>
          <cell r="DU2" t="str">
            <v>CONSUMO 7.4</v>
          </cell>
          <cell r="DV2" t="str">
            <v>REFERENCIA 8.4</v>
          </cell>
          <cell r="DW2" t="str">
            <v>CONSUMO 8.4</v>
          </cell>
          <cell r="DX2" t="str">
            <v>REFERENCIA 9.4</v>
          </cell>
          <cell r="DY2" t="str">
            <v>CONSUMO 9.4</v>
          </cell>
          <cell r="DZ2" t="str">
            <v>COLOR 5</v>
          </cell>
          <cell r="EA2" t="str">
            <v>PROVEEDOR+MATERIAL 5</v>
          </cell>
          <cell r="EB2" t="str">
            <v>REFERENCIA 1.5</v>
          </cell>
          <cell r="EC2" t="str">
            <v>CONSUMO 1.5</v>
          </cell>
          <cell r="ED2" t="str">
            <v>REFERENCIA 2.5</v>
          </cell>
          <cell r="EE2" t="str">
            <v>CONSUMO 2.5</v>
          </cell>
          <cell r="EF2" t="str">
            <v>REFERENCIA 3.5</v>
          </cell>
          <cell r="EG2" t="str">
            <v>CONSUMO 3.5</v>
          </cell>
          <cell r="EH2" t="str">
            <v>REFERENCIA 4.5</v>
          </cell>
          <cell r="EI2" t="str">
            <v>CONSUMO 4.5</v>
          </cell>
          <cell r="EJ2" t="str">
            <v>REFERENCIA 5.5</v>
          </cell>
          <cell r="EK2" t="str">
            <v>CONSUMO 5.5</v>
          </cell>
          <cell r="EL2" t="str">
            <v>REFERENCIA 6.5</v>
          </cell>
          <cell r="EM2" t="str">
            <v>CONSUMO 6.5</v>
          </cell>
          <cell r="EN2" t="str">
            <v>REFERENCIA 7.5</v>
          </cell>
          <cell r="EO2" t="str">
            <v>CONSUMO 7.5</v>
          </cell>
          <cell r="EP2" t="str">
            <v>REFERENCIA 8.5</v>
          </cell>
          <cell r="EQ2" t="str">
            <v>CONSUMO 8.5</v>
          </cell>
          <cell r="ER2" t="str">
            <v>REFERENCIA 9.5</v>
          </cell>
          <cell r="ES2" t="str">
            <v>CONSUMO 9.5</v>
          </cell>
          <cell r="ET2" t="str">
            <v>COLOR 6</v>
          </cell>
          <cell r="EU2" t="str">
            <v>PROVEEDOR+MATERIAL 6</v>
          </cell>
          <cell r="EV2" t="str">
            <v>REFERENCIA 1.6</v>
          </cell>
          <cell r="EW2" t="str">
            <v>CONSUMO 1.6</v>
          </cell>
          <cell r="EX2" t="str">
            <v>REFERENCIA 2.6</v>
          </cell>
          <cell r="EY2" t="str">
            <v>CONSUMO 2.6</v>
          </cell>
          <cell r="EZ2" t="str">
            <v>REFERENCIA 3.6</v>
          </cell>
          <cell r="FA2" t="str">
            <v>CONSUMO 3.6</v>
          </cell>
          <cell r="FB2" t="str">
            <v>REFERENCIA 4.6</v>
          </cell>
          <cell r="FC2" t="str">
            <v>CONSUMO 4.6</v>
          </cell>
          <cell r="FD2" t="str">
            <v>REFERENCIA 5.6</v>
          </cell>
          <cell r="FE2" t="str">
            <v>CONSUMO 5.6</v>
          </cell>
          <cell r="FF2" t="str">
            <v>REFERENCIA 6.6</v>
          </cell>
          <cell r="FG2" t="str">
            <v>CONSUMO 6.6</v>
          </cell>
          <cell r="FH2" t="str">
            <v>REFERENCIA 7.6</v>
          </cell>
          <cell r="FI2" t="str">
            <v>CONSUMO 7.6</v>
          </cell>
          <cell r="FJ2" t="str">
            <v>REFERENCIA 8.6</v>
          </cell>
          <cell r="FK2" t="str">
            <v>CONSUMO 8.6</v>
          </cell>
          <cell r="FL2" t="str">
            <v>REFERENCIA 9.6</v>
          </cell>
          <cell r="FM2" t="str">
            <v>CONSUMO 9.6</v>
          </cell>
          <cell r="FN2" t="str">
            <v>COLOR 7</v>
          </cell>
          <cell r="FO2" t="str">
            <v>PROVEEDOR+MATERIAL 7</v>
          </cell>
          <cell r="FP2" t="str">
            <v>REFERENCIA 1.7</v>
          </cell>
          <cell r="FQ2" t="str">
            <v>CONSUMO 1.7</v>
          </cell>
          <cell r="FR2" t="str">
            <v>REFERENCIA 2.7</v>
          </cell>
          <cell r="FS2" t="str">
            <v>CONSUMO 2.7</v>
          </cell>
          <cell r="FT2" t="str">
            <v>REFERENCIA 3.7</v>
          </cell>
          <cell r="FU2" t="str">
            <v>CONSUMO 3.7</v>
          </cell>
          <cell r="FV2" t="str">
            <v>REFERENCIA 4.7</v>
          </cell>
          <cell r="FW2" t="str">
            <v>CONSUMO 4.7</v>
          </cell>
          <cell r="FX2" t="str">
            <v>REFERENCIA 5.7</v>
          </cell>
          <cell r="FY2" t="str">
            <v>CONSUMO 5.7</v>
          </cell>
          <cell r="FZ2" t="str">
            <v>REFERENCIA 6.7</v>
          </cell>
          <cell r="GA2" t="str">
            <v>CONSUMO 6.7</v>
          </cell>
          <cell r="GB2" t="str">
            <v>REFERENCIA 7.7</v>
          </cell>
          <cell r="GC2" t="str">
            <v>CONSUMO 7.7</v>
          </cell>
          <cell r="GD2" t="str">
            <v>REFERENCIA 8.7</v>
          </cell>
          <cell r="GE2" t="str">
            <v>CONSUMO 8.7</v>
          </cell>
          <cell r="GF2" t="str">
            <v>REFERENCIA 9.7</v>
          </cell>
          <cell r="GG2" t="str">
            <v>CONSUMO 9.7</v>
          </cell>
          <cell r="GH2" t="str">
            <v>COLOR 8</v>
          </cell>
          <cell r="GI2" t="str">
            <v>PROVEEDOR+MATERIAL 8</v>
          </cell>
          <cell r="GJ2" t="str">
            <v>REFERENCIA 1.8</v>
          </cell>
          <cell r="GK2" t="str">
            <v>CONSUMO 1.8</v>
          </cell>
          <cell r="GL2" t="str">
            <v>REFERENCIA 2.8</v>
          </cell>
          <cell r="GM2" t="str">
            <v>CONSUMO 2.8</v>
          </cell>
          <cell r="GN2" t="str">
            <v>REFERENCIA 3.8</v>
          </cell>
          <cell r="GO2" t="str">
            <v>CONSUMO 3.8</v>
          </cell>
          <cell r="GP2" t="str">
            <v>REFERENCIA 4.8</v>
          </cell>
          <cell r="GQ2" t="str">
            <v>CONSUMO 4.8</v>
          </cell>
          <cell r="GR2" t="str">
            <v>REFERENCIA 5.8</v>
          </cell>
          <cell r="GS2" t="str">
            <v>CONSUMO 5.8</v>
          </cell>
          <cell r="GT2" t="str">
            <v>REFERENCIA 6.8</v>
          </cell>
          <cell r="GU2" t="str">
            <v>CONSUMO 6.8</v>
          </cell>
          <cell r="GV2" t="str">
            <v>REFERENCIA 7.8</v>
          </cell>
          <cell r="GW2" t="str">
            <v>CONSUMO 7.8</v>
          </cell>
          <cell r="GX2" t="str">
            <v>REFERENCIA 8.8</v>
          </cell>
          <cell r="GY2" t="str">
            <v>CONSUMO 8.8</v>
          </cell>
          <cell r="GZ2" t="str">
            <v>REFERENCIA 9.8</v>
          </cell>
          <cell r="HA2" t="str">
            <v>CONSUMO 9.8</v>
          </cell>
          <cell r="HB2" t="str">
            <v>COLOR 9</v>
          </cell>
          <cell r="HC2" t="str">
            <v>PROVEEDOR+MATERIAL 9</v>
          </cell>
          <cell r="HD2" t="str">
            <v>REFERENCIA 1.9</v>
          </cell>
          <cell r="HE2" t="str">
            <v>CONSUMO 1.9</v>
          </cell>
          <cell r="HF2" t="str">
            <v>REFERENCIA 2.9</v>
          </cell>
          <cell r="HG2" t="str">
            <v>CONSUMO 2.9</v>
          </cell>
          <cell r="HH2" t="str">
            <v>REFERENCIA 3.9</v>
          </cell>
          <cell r="HI2" t="str">
            <v>CONSUMO 3.9</v>
          </cell>
          <cell r="HJ2" t="str">
            <v>REFERENCIA 4.9</v>
          </cell>
          <cell r="HK2" t="str">
            <v>CONSUMO 4.9</v>
          </cell>
          <cell r="HL2" t="str">
            <v>REFERENCIA 5.9</v>
          </cell>
          <cell r="HM2" t="str">
            <v>CONSUMO 5.9</v>
          </cell>
          <cell r="HN2" t="str">
            <v>REFERENCIA 6.9</v>
          </cell>
          <cell r="HO2" t="str">
            <v>CONSUMO 6.9</v>
          </cell>
          <cell r="HP2" t="str">
            <v>REFERENCIA 7.9</v>
          </cell>
          <cell r="HQ2" t="str">
            <v>CONSUMO 7.9</v>
          </cell>
          <cell r="HR2" t="str">
            <v>REFERENCIA 8.9</v>
          </cell>
          <cell r="HS2" t="str">
            <v>CONSUMO 8.9</v>
          </cell>
          <cell r="HT2" t="str">
            <v>REFERENCIA 9.9</v>
          </cell>
          <cell r="HU2" t="str">
            <v>CONSUMO 9.9</v>
          </cell>
          <cell r="HV2" t="str">
            <v>COLOR 10</v>
          </cell>
          <cell r="HW2" t="str">
            <v>PROVEEDOR+MATERIAL 10</v>
          </cell>
          <cell r="HX2" t="str">
            <v>REFERENCIA 1.10</v>
          </cell>
          <cell r="HY2" t="str">
            <v>CONSUMO 1.10</v>
          </cell>
          <cell r="HZ2" t="str">
            <v>REFERENCIA 2.10</v>
          </cell>
          <cell r="IA2" t="str">
            <v>CONSUMO 2.10</v>
          </cell>
          <cell r="IB2" t="str">
            <v>REFERENCIA 3.10</v>
          </cell>
          <cell r="IC2" t="str">
            <v>CONSUMO 3.10</v>
          </cell>
          <cell r="ID2" t="str">
            <v>REFERENCIA 4.10</v>
          </cell>
          <cell r="IE2" t="str">
            <v>CONSUMO 4.10</v>
          </cell>
          <cell r="IF2" t="str">
            <v>REFERENCIA 5.10</v>
          </cell>
          <cell r="IG2" t="str">
            <v>CONSUMO 5.10</v>
          </cell>
          <cell r="IH2" t="str">
            <v>REFERENCIA 6.10</v>
          </cell>
          <cell r="II2" t="str">
            <v>CONSUMO 6.10</v>
          </cell>
          <cell r="IJ2" t="str">
            <v>REFERENCIA 7.10</v>
          </cell>
          <cell r="IK2" t="str">
            <v>CONSUMO 7.10</v>
          </cell>
          <cell r="IL2" t="str">
            <v>REFERENCIA 8.10</v>
          </cell>
          <cell r="IM2" t="str">
            <v>CONSUMO 8.10</v>
          </cell>
          <cell r="IN2" t="str">
            <v>REFERENCIA 9.10</v>
          </cell>
          <cell r="IO2" t="str">
            <v>CONSUMO 9.10</v>
          </cell>
          <cell r="IP2" t="str">
            <v>COLOR 11</v>
          </cell>
          <cell r="IQ2" t="str">
            <v>PROVEEDOR+MATERIAL 11</v>
          </cell>
          <cell r="IR2" t="str">
            <v>REFERENCIA 1.11</v>
          </cell>
          <cell r="IS2" t="str">
            <v>CONSUMO 1.11</v>
          </cell>
          <cell r="IT2" t="str">
            <v>REFERENCIA 2.11</v>
          </cell>
          <cell r="IU2" t="str">
            <v>CONSUMO 2.11</v>
          </cell>
          <cell r="IV2" t="str">
            <v>REFERENCIA 3.11</v>
          </cell>
          <cell r="IW2" t="str">
            <v>CONSUMO 3.11</v>
          </cell>
          <cell r="IX2" t="str">
            <v>REFERENCIA 4.11</v>
          </cell>
          <cell r="IY2" t="str">
            <v>CONSUMO 4.11</v>
          </cell>
          <cell r="IZ2" t="str">
            <v>REFERENCIA 5.11</v>
          </cell>
          <cell r="JA2" t="str">
            <v>CONSUMO 5.11</v>
          </cell>
          <cell r="JB2" t="str">
            <v>REFERENCIA 6.11</v>
          </cell>
          <cell r="JC2" t="str">
            <v>CONSUMO 6.11</v>
          </cell>
          <cell r="JD2" t="str">
            <v>REFERENCIA 7.11</v>
          </cell>
          <cell r="JE2" t="str">
            <v>CONSUMO 7.11</v>
          </cell>
          <cell r="JF2" t="str">
            <v>REFERENCIA 8.11</v>
          </cell>
          <cell r="JG2" t="str">
            <v>CONSUMO 8.11</v>
          </cell>
          <cell r="JH2" t="str">
            <v>REFERENCIA 9.11</v>
          </cell>
          <cell r="JI2" t="str">
            <v>CONSUMO 9.11</v>
          </cell>
          <cell r="JJ2" t="str">
            <v>COLOR 12</v>
          </cell>
          <cell r="JK2" t="str">
            <v>PROVEEDOR+MATERIAL 12</v>
          </cell>
          <cell r="JL2" t="str">
            <v>REFERENCIA 1.12</v>
          </cell>
          <cell r="JM2" t="str">
            <v>CONSUMO 1.12</v>
          </cell>
          <cell r="JN2" t="str">
            <v>REFERENCIA 2.12</v>
          </cell>
          <cell r="JO2" t="str">
            <v>CONSUMO 2.12</v>
          </cell>
          <cell r="JP2" t="str">
            <v>REFERENCIA 3.12</v>
          </cell>
          <cell r="JQ2" t="str">
            <v>CONSUMO 3.12</v>
          </cell>
          <cell r="JR2" t="str">
            <v>REFERENCIA 4.12</v>
          </cell>
          <cell r="JS2" t="str">
            <v>CONSUMO 4.12</v>
          </cell>
          <cell r="JT2" t="str">
            <v>REFERENCIA 5.12</v>
          </cell>
          <cell r="JU2" t="str">
            <v>CONSUMO 5.12</v>
          </cell>
          <cell r="JV2" t="str">
            <v>REFERENCIA 6.12</v>
          </cell>
          <cell r="JW2" t="str">
            <v>CONSUMO 6.12</v>
          </cell>
          <cell r="JX2" t="str">
            <v>REFERENCIA 7.12</v>
          </cell>
          <cell r="JY2" t="str">
            <v>CONSUMO 7.12</v>
          </cell>
          <cell r="JZ2" t="str">
            <v>REFERENCIA 8.12</v>
          </cell>
          <cell r="KA2" t="str">
            <v>CONSUMO 8.12</v>
          </cell>
          <cell r="KB2" t="str">
            <v>REFERENCIA 9.12</v>
          </cell>
          <cell r="KC2" t="str">
            <v>CONSUMO 9.12</v>
          </cell>
          <cell r="KD2" t="str">
            <v>UNIDADES 
PEDIDAS 
1</v>
          </cell>
          <cell r="KE2" t="str">
            <v>UNIDADES 
CORTADAS 
1</v>
          </cell>
          <cell r="KF2" t="str">
            <v>UNIDADES 
ENTREGADAS 
1</v>
          </cell>
          <cell r="KG2" t="str">
            <v>UNIDADES 
PEDIDAS 
2</v>
          </cell>
          <cell r="KH2" t="str">
            <v>UNIDADES 
CORTADAS 
2</v>
          </cell>
          <cell r="KI2" t="str">
            <v>UNIDADES 
ENTREGADAS 
2</v>
          </cell>
          <cell r="KJ2" t="str">
            <v>UNIDADES 
PEDIDAS 
3</v>
          </cell>
          <cell r="KK2" t="str">
            <v>UNIDADES 
CORTADAS 
3</v>
          </cell>
          <cell r="KL2" t="str">
            <v>UNIDADES 
ENTREGADAS 
3</v>
          </cell>
          <cell r="KM2" t="str">
            <v>UNIDADES 
PEDIDAS 
4</v>
          </cell>
          <cell r="KN2" t="str">
            <v>UNIDADES 
CORTADAS 
4</v>
          </cell>
          <cell r="KO2" t="str">
            <v>UNIDADES 
ENTREGADAS 
4</v>
          </cell>
          <cell r="KP2" t="str">
            <v>UNIDADES 
PEDIDAS 
5</v>
          </cell>
          <cell r="KQ2" t="str">
            <v>UNIDADES 
CORTADAS 
5</v>
          </cell>
          <cell r="KR2" t="str">
            <v>UNIDADES 
ENTREGADAS 
5</v>
          </cell>
          <cell r="KS2" t="str">
            <v>UNIDADES 
PEDIDAS 
6</v>
          </cell>
          <cell r="KT2" t="str">
            <v>UNIDADES 
CORTADAS 
6</v>
          </cell>
          <cell r="KU2" t="str">
            <v>UNIDADES 
ENTREGADAS 
6</v>
          </cell>
          <cell r="KV2" t="str">
            <v>UNIDADES 
PEDIDAS 
7</v>
          </cell>
          <cell r="KW2" t="str">
            <v>UNIDADES 
CORTADAS 
7</v>
          </cell>
          <cell r="KX2" t="str">
            <v>UNIDADES 
ENTREGADAS 
7</v>
          </cell>
          <cell r="KY2" t="str">
            <v>UNIDADES 
PEDIDAS 
8</v>
          </cell>
          <cell r="KZ2" t="str">
            <v>UNIDADES 
CORTADAS 
8</v>
          </cell>
          <cell r="LA2" t="str">
            <v>UNIDADES 
ENTREGADAS 
8</v>
          </cell>
          <cell r="LB2" t="str">
            <v>UNIDADES 
PEDIDAS 
9</v>
          </cell>
          <cell r="LC2" t="str">
            <v>UNIDADES 
CORTADAS 
9</v>
          </cell>
          <cell r="LD2" t="str">
            <v>UNIDADES 
ENTREGADAS 
9</v>
          </cell>
          <cell r="LE2" t="str">
            <v>UNIDADES 
PEDIDAS 
10</v>
          </cell>
          <cell r="LF2" t="str">
            <v>UNIDADES 
CORTADAS 
10</v>
          </cell>
          <cell r="LG2" t="str">
            <v>UNIDADES 
ENTREGADAS 
10</v>
          </cell>
          <cell r="LH2" t="str">
            <v>UNIDADES 
PEDIDAS 
11</v>
          </cell>
          <cell r="LI2" t="str">
            <v>UNIDADES 
CORTADAS 
11</v>
          </cell>
          <cell r="LJ2" t="str">
            <v>UNIDADES 
ENTREGADAS 
11</v>
          </cell>
          <cell r="LK2" t="str">
            <v>UNIDADES 
PEDIDAS 
12</v>
          </cell>
          <cell r="LL2" t="str">
            <v>UNIDADES 
CORTADAS 
12</v>
          </cell>
          <cell r="LM2" t="str">
            <v>UNIDADES 
ENTREGADAS 
12</v>
          </cell>
          <cell r="LN2" t="str">
            <v>FECHA FIN 
DE CORTE</v>
          </cell>
          <cell r="LO2" t="str">
            <v>FECHA FIN 
DE PRODUCCION</v>
          </cell>
          <cell r="LP2" t="str">
            <v>ESTADO</v>
          </cell>
          <cell r="LQ2" t="str">
            <v>COMENTARIOS
EXTRAS
VARIANTE 1</v>
          </cell>
          <cell r="LR2" t="str">
            <v>COMENTARIOS
EXTRAS
VARIANTE 2</v>
          </cell>
          <cell r="LS2" t="str">
            <v>COMENTARIOS
EXTRAS
VARIANTE 3</v>
          </cell>
          <cell r="LT2" t="str">
            <v>COMENTARIOS
EXTRAS
VARIANTE 4</v>
          </cell>
          <cell r="LU2" t="str">
            <v>COMENTARIOS
EXTRAS
VARIANTE 5</v>
          </cell>
          <cell r="LV2" t="str">
            <v>COMENTARIOS
EXTRAS
VARIANTE 6</v>
          </cell>
          <cell r="LW2" t="str">
            <v>COMENTARIOS
EXTRAS
VARIANTE 7</v>
          </cell>
          <cell r="LX2" t="str">
            <v>COMENTARIOS
EXTRAS
VARIANTE 8</v>
          </cell>
          <cell r="LY2" t="str">
            <v>COMENTARIOS
EXTRAS
VARIANTE 9</v>
          </cell>
          <cell r="LZ2" t="str">
            <v>COMENTARIOS
EXTRAS
VARIANTE 10</v>
          </cell>
          <cell r="MA2" t="str">
            <v>COMENTARIOS
EXTRAS
VARIANTE 11</v>
          </cell>
          <cell r="MB2" t="str">
            <v>COMENTARIOS
EXTRAS
VARIANTE 12</v>
          </cell>
        </row>
        <row r="3">
          <cell r="A3">
            <v>1583</v>
          </cell>
          <cell r="B3" t="str">
            <v>RUBEN</v>
          </cell>
          <cell r="C3" t="str">
            <v>BARRACAS GRANDE</v>
          </cell>
          <cell r="D3" t="str">
            <v>MARROQUINERIA GRANDE</v>
          </cell>
          <cell r="E3">
            <v>7</v>
          </cell>
          <cell r="F3">
            <v>7</v>
          </cell>
          <cell r="G3">
            <v>7</v>
          </cell>
          <cell r="H3">
            <v>45727.984780092593</v>
          </cell>
          <cell r="I3" t="str">
            <v>BOLSO TUBO GRANDE</v>
          </cell>
          <cell r="J3">
            <v>45670</v>
          </cell>
          <cell r="K3">
            <v>45670</v>
          </cell>
          <cell r="M3">
            <v>90</v>
          </cell>
          <cell r="N3" t="str">
            <v>M030</v>
          </cell>
          <cell r="O3" t="str">
            <v>BAC1300020827</v>
          </cell>
          <cell r="P3">
            <v>0.08</v>
          </cell>
          <cell r="Q3" t="str">
            <v>AV0101030201</v>
          </cell>
          <cell r="R3">
            <v>2</v>
          </cell>
          <cell r="S3" t="str">
            <v>AV0101040201</v>
          </cell>
          <cell r="T3">
            <v>1</v>
          </cell>
          <cell r="U3" t="str">
            <v>AV0300250101</v>
          </cell>
          <cell r="V3">
            <v>4</v>
          </cell>
          <cell r="W3" t="str">
            <v>AV0300410101</v>
          </cell>
          <cell r="X3">
            <v>9</v>
          </cell>
          <cell r="Y3" t="str">
            <v>AV1302250428</v>
          </cell>
          <cell r="Z3">
            <v>2</v>
          </cell>
          <cell r="AA3" t="str">
            <v>AV1302240428</v>
          </cell>
          <cell r="AB3">
            <v>0.8</v>
          </cell>
          <cell r="AC3" t="str">
            <v>AV1001450101</v>
          </cell>
          <cell r="AD3">
            <v>2</v>
          </cell>
          <cell r="AE3" t="str">
            <v>AV0700630101</v>
          </cell>
          <cell r="AF3">
            <v>2</v>
          </cell>
          <cell r="AG3" t="str">
            <v>AV0701130101</v>
          </cell>
          <cell r="AH3">
            <v>1</v>
          </cell>
          <cell r="AI3" t="str">
            <v>AV0600540101</v>
          </cell>
          <cell r="AJ3">
            <v>2</v>
          </cell>
          <cell r="AK3" t="str">
            <v>AV0300390101</v>
          </cell>
          <cell r="AL3">
            <v>1</v>
          </cell>
          <cell r="AM3" t="str">
            <v>AV170129018</v>
          </cell>
          <cell r="AN3">
            <v>0</v>
          </cell>
          <cell r="AO3" t="str">
            <v/>
          </cell>
          <cell r="AP3" t="str">
            <v/>
          </cell>
          <cell r="AQ3" t="str">
            <v/>
          </cell>
          <cell r="AR3" t="str">
            <v/>
          </cell>
          <cell r="AS3" t="str">
            <v>TIRACIERRE INTERNO: N1 TIRA CON REMACHE + GRABADO ESTRELLITA</v>
          </cell>
          <cell r="AT3" t="str">
            <v>TIRACIERRES EXTERNOS "EL LUCERO" GRANDE</v>
          </cell>
          <cell r="AU3" t="str">
            <v>GAMUZA: CON VISTA DE CUERO EN BOLSILLO FRENTE</v>
          </cell>
          <cell r="AV3" t="str">
            <v>SIN CLAVOS DE FONDO / SIN BOLSILLO AL FRENTE / CORREA PUNTA REDONDEADA</v>
          </cell>
          <cell r="AW3" t="str">
            <v xml:space="preserve">EL LUCERO ARGENTINA TAMAÑO GRANDE, EN TROQUEL COCIDO DEBAJO DE VISTA DE CIERRE INTERNO </v>
          </cell>
          <cell r="AX3" t="str">
            <v>CHOCOLATE_PELO_MARRON</v>
          </cell>
          <cell r="AY3" t="str">
            <v>ARENA-CUERO BRIDGE</v>
          </cell>
          <cell r="AZ3" t="str">
            <v>CUE0000005</v>
          </cell>
          <cell r="BA3">
            <v>0.43</v>
          </cell>
          <cell r="BB3" t="str">
            <v>CUE0000105</v>
          </cell>
          <cell r="BC3">
            <v>0.82</v>
          </cell>
          <cell r="BD3" t="str">
            <v>FOR0000021</v>
          </cell>
          <cell r="BE3">
            <v>0.72</v>
          </cell>
          <cell r="BF3" t="str">
            <v>AV0100010114</v>
          </cell>
          <cell r="BG3">
            <v>1.02</v>
          </cell>
          <cell r="BH3" t="str">
            <v>AV1801370725</v>
          </cell>
          <cell r="BI3">
            <v>2</v>
          </cell>
          <cell r="BJ3" t="str">
            <v>AV1401240545</v>
          </cell>
          <cell r="BK3">
            <v>0</v>
          </cell>
          <cell r="BL3" t="str">
            <v/>
          </cell>
          <cell r="BM3" t="str">
            <v/>
          </cell>
          <cell r="BN3" t="str">
            <v/>
          </cell>
          <cell r="BO3" t="str">
            <v/>
          </cell>
          <cell r="BP3" t="str">
            <v/>
          </cell>
          <cell r="BQ3" t="str">
            <v/>
          </cell>
          <cell r="BR3" t="str">
            <v>CHOCOLATE_PELO_MARRON_ROJIZO</v>
          </cell>
          <cell r="BS3" t="str">
            <v>ARENA-CUERO BRIDGE</v>
          </cell>
          <cell r="BT3" t="str">
            <v>CUE0000005</v>
          </cell>
          <cell r="BU3">
            <v>0.43</v>
          </cell>
          <cell r="BV3" t="str">
            <v>CUE0000115</v>
          </cell>
          <cell r="BW3">
            <v>0.82</v>
          </cell>
          <cell r="BX3" t="str">
            <v>FOR0000021</v>
          </cell>
          <cell r="BY3">
            <v>0.72</v>
          </cell>
          <cell r="BZ3" t="str">
            <v>AV0100010114</v>
          </cell>
          <cell r="CA3">
            <v>1.02</v>
          </cell>
          <cell r="CB3" t="str">
            <v>AV1801370725</v>
          </cell>
          <cell r="CC3">
            <v>2</v>
          </cell>
          <cell r="CD3" t="str">
            <v>AV1401240545</v>
          </cell>
          <cell r="CE3">
            <v>0</v>
          </cell>
          <cell r="CF3" t="str">
            <v/>
          </cell>
          <cell r="CG3" t="str">
            <v/>
          </cell>
          <cell r="CH3" t="str">
            <v/>
          </cell>
          <cell r="CI3" t="str">
            <v/>
          </cell>
          <cell r="CJ3" t="str">
            <v/>
          </cell>
          <cell r="CK3" t="str">
            <v/>
          </cell>
          <cell r="CL3" t="str">
            <v/>
          </cell>
          <cell r="CM3" t="str">
            <v/>
          </cell>
          <cell r="CN3" t="str">
            <v/>
          </cell>
          <cell r="CO3" t="str">
            <v/>
          </cell>
          <cell r="CP3" t="str">
            <v/>
          </cell>
          <cell r="CQ3" t="str">
            <v/>
          </cell>
          <cell r="CR3" t="str">
            <v/>
          </cell>
          <cell r="CS3" t="str">
            <v/>
          </cell>
          <cell r="CT3" t="str">
            <v/>
          </cell>
          <cell r="CU3" t="str">
            <v/>
          </cell>
          <cell r="CV3" t="str">
            <v/>
          </cell>
          <cell r="CW3" t="str">
            <v/>
          </cell>
          <cell r="CX3" t="str">
            <v/>
          </cell>
          <cell r="CY3" t="str">
            <v/>
          </cell>
          <cell r="CZ3" t="str">
            <v/>
          </cell>
          <cell r="DA3" t="str">
            <v/>
          </cell>
          <cell r="DB3" t="str">
            <v/>
          </cell>
          <cell r="DC3" t="str">
            <v/>
          </cell>
          <cell r="DD3" t="str">
            <v/>
          </cell>
          <cell r="DE3" t="str">
            <v/>
          </cell>
          <cell r="DF3" t="str">
            <v/>
          </cell>
          <cell r="DG3" t="str">
            <v/>
          </cell>
          <cell r="DH3" t="str">
            <v/>
          </cell>
          <cell r="DI3" t="str">
            <v/>
          </cell>
          <cell r="DJ3" t="str">
            <v/>
          </cell>
          <cell r="DK3" t="str">
            <v/>
          </cell>
          <cell r="DL3" t="str">
            <v/>
          </cell>
          <cell r="DM3" t="str">
            <v/>
          </cell>
          <cell r="DN3" t="str">
            <v/>
          </cell>
          <cell r="DO3" t="str">
            <v/>
          </cell>
          <cell r="DP3" t="str">
            <v/>
          </cell>
          <cell r="DQ3" t="str">
            <v/>
          </cell>
          <cell r="DR3" t="str">
            <v/>
          </cell>
          <cell r="DS3" t="str">
            <v/>
          </cell>
          <cell r="DT3" t="str">
            <v/>
          </cell>
          <cell r="DU3" t="str">
            <v/>
          </cell>
          <cell r="DV3" t="str">
            <v/>
          </cell>
          <cell r="DW3" t="str">
            <v/>
          </cell>
          <cell r="DX3" t="str">
            <v/>
          </cell>
          <cell r="DY3" t="str">
            <v/>
          </cell>
          <cell r="DZ3" t="str">
            <v/>
          </cell>
          <cell r="EA3" t="str">
            <v/>
          </cell>
          <cell r="EB3" t="str">
            <v/>
          </cell>
          <cell r="EC3" t="str">
            <v/>
          </cell>
          <cell r="ED3" t="str">
            <v/>
          </cell>
          <cell r="EE3" t="str">
            <v/>
          </cell>
          <cell r="EF3" t="str">
            <v/>
          </cell>
          <cell r="EG3" t="str">
            <v/>
          </cell>
          <cell r="EH3" t="str">
            <v/>
          </cell>
          <cell r="EI3" t="str">
            <v/>
          </cell>
          <cell r="EJ3" t="str">
            <v/>
          </cell>
          <cell r="EK3" t="str">
            <v/>
          </cell>
          <cell r="EL3" t="str">
            <v/>
          </cell>
          <cell r="EM3" t="str">
            <v/>
          </cell>
          <cell r="EN3" t="str">
            <v/>
          </cell>
          <cell r="EO3" t="str">
            <v/>
          </cell>
          <cell r="EP3" t="str">
            <v/>
          </cell>
          <cell r="EQ3" t="str">
            <v/>
          </cell>
          <cell r="ER3" t="str">
            <v/>
          </cell>
          <cell r="ES3" t="str">
            <v/>
          </cell>
          <cell r="ET3" t="str">
            <v/>
          </cell>
          <cell r="EU3" t="str">
            <v/>
          </cell>
          <cell r="EV3" t="str">
            <v/>
          </cell>
          <cell r="EW3" t="str">
            <v/>
          </cell>
          <cell r="EX3" t="str">
            <v/>
          </cell>
          <cell r="EY3" t="str">
            <v/>
          </cell>
          <cell r="EZ3" t="str">
            <v/>
          </cell>
          <cell r="FA3" t="str">
            <v/>
          </cell>
          <cell r="FB3" t="str">
            <v/>
          </cell>
          <cell r="FC3" t="str">
            <v/>
          </cell>
          <cell r="FD3" t="str">
            <v/>
          </cell>
          <cell r="FE3" t="str">
            <v/>
          </cell>
          <cell r="FF3" t="str">
            <v/>
          </cell>
          <cell r="FG3" t="str">
            <v/>
          </cell>
          <cell r="FH3" t="str">
            <v/>
          </cell>
          <cell r="FI3" t="str">
            <v/>
          </cell>
          <cell r="FJ3" t="str">
            <v/>
          </cell>
          <cell r="FK3" t="str">
            <v/>
          </cell>
          <cell r="FL3" t="str">
            <v/>
          </cell>
          <cell r="FM3" t="str">
            <v/>
          </cell>
          <cell r="FN3" t="str">
            <v/>
          </cell>
          <cell r="FO3" t="str">
            <v/>
          </cell>
          <cell r="FP3" t="str">
            <v/>
          </cell>
          <cell r="FQ3" t="str">
            <v/>
          </cell>
          <cell r="FR3" t="str">
            <v/>
          </cell>
          <cell r="FS3" t="str">
            <v/>
          </cell>
          <cell r="FT3" t="str">
            <v/>
          </cell>
          <cell r="FU3" t="str">
            <v/>
          </cell>
          <cell r="FV3" t="str">
            <v/>
          </cell>
          <cell r="FW3" t="str">
            <v/>
          </cell>
          <cell r="FX3" t="str">
            <v/>
          </cell>
          <cell r="FY3" t="str">
            <v/>
          </cell>
          <cell r="FZ3" t="str">
            <v/>
          </cell>
          <cell r="GA3" t="str">
            <v/>
          </cell>
          <cell r="GB3" t="str">
            <v/>
          </cell>
          <cell r="GC3" t="str">
            <v/>
          </cell>
          <cell r="GD3" t="str">
            <v/>
          </cell>
          <cell r="GE3" t="str">
            <v/>
          </cell>
          <cell r="GF3" t="str">
            <v/>
          </cell>
          <cell r="GG3" t="str">
            <v/>
          </cell>
          <cell r="GH3" t="str">
            <v/>
          </cell>
          <cell r="GI3" t="str">
            <v/>
          </cell>
          <cell r="GJ3" t="str">
            <v/>
          </cell>
          <cell r="GK3" t="str">
            <v/>
          </cell>
          <cell r="GL3" t="str">
            <v/>
          </cell>
          <cell r="GM3" t="str">
            <v/>
          </cell>
          <cell r="GN3" t="str">
            <v/>
          </cell>
          <cell r="GO3" t="str">
            <v/>
          </cell>
          <cell r="GP3" t="str">
            <v/>
          </cell>
          <cell r="GQ3" t="str">
            <v/>
          </cell>
          <cell r="GR3" t="str">
            <v/>
          </cell>
          <cell r="GS3" t="str">
            <v/>
          </cell>
          <cell r="GT3" t="str">
            <v/>
          </cell>
          <cell r="GU3" t="str">
            <v/>
          </cell>
          <cell r="GV3" t="str">
            <v/>
          </cell>
          <cell r="GW3" t="str">
            <v/>
          </cell>
          <cell r="GX3" t="str">
            <v/>
          </cell>
          <cell r="GY3" t="str">
            <v/>
          </cell>
          <cell r="GZ3" t="str">
            <v/>
          </cell>
          <cell r="HA3" t="str">
            <v/>
          </cell>
          <cell r="HB3" t="str">
            <v/>
          </cell>
          <cell r="HC3" t="str">
            <v/>
          </cell>
          <cell r="HD3" t="str">
            <v/>
          </cell>
          <cell r="HE3" t="str">
            <v/>
          </cell>
          <cell r="HF3" t="str">
            <v/>
          </cell>
          <cell r="HG3" t="str">
            <v/>
          </cell>
          <cell r="HH3" t="str">
            <v/>
          </cell>
          <cell r="HI3" t="str">
            <v/>
          </cell>
          <cell r="HJ3" t="str">
            <v/>
          </cell>
          <cell r="HK3" t="str">
            <v/>
          </cell>
          <cell r="HL3" t="str">
            <v/>
          </cell>
          <cell r="HM3" t="str">
            <v/>
          </cell>
          <cell r="HN3" t="str">
            <v/>
          </cell>
          <cell r="HO3" t="str">
            <v/>
          </cell>
          <cell r="HP3" t="str">
            <v/>
          </cell>
          <cell r="HQ3" t="str">
            <v/>
          </cell>
          <cell r="HR3" t="str">
            <v/>
          </cell>
          <cell r="HS3" t="str">
            <v/>
          </cell>
          <cell r="HT3" t="str">
            <v/>
          </cell>
          <cell r="HU3" t="str">
            <v/>
          </cell>
          <cell r="HV3" t="str">
            <v/>
          </cell>
          <cell r="HW3" t="str">
            <v/>
          </cell>
          <cell r="HX3" t="str">
            <v/>
          </cell>
          <cell r="HY3" t="str">
            <v/>
          </cell>
          <cell r="HZ3" t="str">
            <v/>
          </cell>
          <cell r="IA3" t="str">
            <v/>
          </cell>
          <cell r="IB3" t="str">
            <v/>
          </cell>
          <cell r="IC3" t="str">
            <v/>
          </cell>
          <cell r="ID3" t="str">
            <v/>
          </cell>
          <cell r="IE3" t="str">
            <v/>
          </cell>
          <cell r="IF3" t="str">
            <v/>
          </cell>
          <cell r="IG3" t="str">
            <v/>
          </cell>
          <cell r="IH3" t="str">
            <v/>
          </cell>
          <cell r="II3" t="str">
            <v/>
          </cell>
          <cell r="IJ3" t="str">
            <v/>
          </cell>
          <cell r="IK3" t="str">
            <v/>
          </cell>
          <cell r="IL3" t="str">
            <v/>
          </cell>
          <cell r="IM3" t="str">
            <v/>
          </cell>
          <cell r="IN3" t="str">
            <v/>
          </cell>
          <cell r="IO3" t="str">
            <v/>
          </cell>
          <cell r="IP3" t="str">
            <v/>
          </cell>
          <cell r="IQ3" t="str">
            <v/>
          </cell>
          <cell r="IR3" t="str">
            <v/>
          </cell>
          <cell r="IS3" t="str">
            <v/>
          </cell>
          <cell r="IT3" t="str">
            <v/>
          </cell>
          <cell r="IU3" t="str">
            <v/>
          </cell>
          <cell r="IV3" t="str">
            <v/>
          </cell>
          <cell r="IW3" t="str">
            <v/>
          </cell>
          <cell r="IX3" t="str">
            <v/>
          </cell>
          <cell r="IY3" t="str">
            <v/>
          </cell>
          <cell r="IZ3" t="str">
            <v/>
          </cell>
          <cell r="JA3" t="str">
            <v/>
          </cell>
          <cell r="JB3" t="str">
            <v/>
          </cell>
          <cell r="JC3" t="str">
            <v/>
          </cell>
          <cell r="JD3" t="str">
            <v/>
          </cell>
          <cell r="JE3" t="str">
            <v/>
          </cell>
          <cell r="JF3" t="str">
            <v/>
          </cell>
          <cell r="JG3" t="str">
            <v/>
          </cell>
          <cell r="JH3" t="str">
            <v/>
          </cell>
          <cell r="JI3" t="str">
            <v/>
          </cell>
          <cell r="JJ3" t="str">
            <v/>
          </cell>
          <cell r="JK3" t="str">
            <v/>
          </cell>
          <cell r="JL3" t="str">
            <v/>
          </cell>
          <cell r="JM3" t="str">
            <v/>
          </cell>
          <cell r="JN3" t="str">
            <v/>
          </cell>
          <cell r="JO3" t="str">
            <v/>
          </cell>
          <cell r="JP3" t="str">
            <v/>
          </cell>
          <cell r="JQ3" t="str">
            <v/>
          </cell>
          <cell r="JR3" t="str">
            <v/>
          </cell>
          <cell r="JS3" t="str">
            <v/>
          </cell>
          <cell r="JT3" t="str">
            <v/>
          </cell>
          <cell r="JU3" t="str">
            <v/>
          </cell>
          <cell r="JV3" t="str">
            <v/>
          </cell>
          <cell r="JW3" t="str">
            <v/>
          </cell>
          <cell r="JX3" t="str">
            <v/>
          </cell>
          <cell r="JY3" t="str">
            <v/>
          </cell>
          <cell r="JZ3" t="str">
            <v/>
          </cell>
          <cell r="KA3" t="str">
            <v/>
          </cell>
          <cell r="KB3" t="str">
            <v/>
          </cell>
          <cell r="KC3" t="str">
            <v/>
          </cell>
          <cell r="KD3">
            <v>5</v>
          </cell>
          <cell r="KE3">
            <v>5</v>
          </cell>
          <cell r="KF3">
            <v>5</v>
          </cell>
          <cell r="KG3">
            <v>2</v>
          </cell>
          <cell r="KH3">
            <v>2</v>
          </cell>
          <cell r="KI3">
            <v>2</v>
          </cell>
          <cell r="KJ3">
            <v>0</v>
          </cell>
          <cell r="KM3">
            <v>0</v>
          </cell>
          <cell r="KP3">
            <v>0</v>
          </cell>
          <cell r="KS3">
            <v>0</v>
          </cell>
          <cell r="KV3">
            <v>0</v>
          </cell>
          <cell r="KY3">
            <v>0</v>
          </cell>
          <cell r="LB3">
            <v>0</v>
          </cell>
          <cell r="LE3">
            <v>0</v>
          </cell>
          <cell r="LH3">
            <v>0</v>
          </cell>
          <cell r="LK3">
            <v>0</v>
          </cell>
          <cell r="LO3">
            <v>45679</v>
          </cell>
          <cell r="LP3" t="str">
            <v>COMPLETADO</v>
          </cell>
        </row>
        <row r="4">
          <cell r="A4">
            <v>1584</v>
          </cell>
          <cell r="B4" t="str">
            <v>RUBEN</v>
          </cell>
          <cell r="C4" t="str">
            <v>BARRACAS GRANDE</v>
          </cell>
          <cell r="D4" t="str">
            <v>MARROQUINERIA GRANDE</v>
          </cell>
          <cell r="E4">
            <v>20</v>
          </cell>
          <cell r="F4">
            <v>20</v>
          </cell>
          <cell r="G4">
            <v>20</v>
          </cell>
          <cell r="H4">
            <v>45728.443923611114</v>
          </cell>
          <cell r="I4" t="str">
            <v>TOTE IRUYA</v>
          </cell>
          <cell r="J4">
            <v>45670</v>
          </cell>
          <cell r="K4">
            <v>45670</v>
          </cell>
          <cell r="M4">
            <v>30</v>
          </cell>
          <cell r="N4" t="str">
            <v>M154</v>
          </cell>
          <cell r="O4" t="str">
            <v>AV170129018</v>
          </cell>
          <cell r="P4">
            <v>0</v>
          </cell>
          <cell r="Q4" t="str">
            <v/>
          </cell>
          <cell r="R4" t="str">
            <v/>
          </cell>
          <cell r="S4" t="str">
            <v/>
          </cell>
          <cell r="T4" t="str">
            <v/>
          </cell>
          <cell r="U4" t="str">
            <v/>
          </cell>
          <cell r="V4" t="str">
            <v/>
          </cell>
          <cell r="W4" t="str">
            <v/>
          </cell>
          <cell r="X4" t="str">
            <v/>
          </cell>
          <cell r="Y4" t="str">
            <v/>
          </cell>
          <cell r="Z4" t="str">
            <v/>
          </cell>
          <cell r="AA4" t="str">
            <v/>
          </cell>
          <cell r="AB4" t="str">
            <v/>
          </cell>
          <cell r="AC4" t="str">
            <v/>
          </cell>
          <cell r="AD4" t="str">
            <v/>
          </cell>
          <cell r="AE4" t="str">
            <v/>
          </cell>
          <cell r="AF4" t="str">
            <v/>
          </cell>
          <cell r="AG4" t="str">
            <v/>
          </cell>
          <cell r="AH4" t="str">
            <v/>
          </cell>
          <cell r="AI4" t="str">
            <v/>
          </cell>
          <cell r="AJ4" t="str">
            <v/>
          </cell>
          <cell r="AK4" t="str">
            <v/>
          </cell>
          <cell r="AL4" t="str">
            <v/>
          </cell>
          <cell r="AM4" t="str">
            <v/>
          </cell>
          <cell r="AN4" t="str">
            <v/>
          </cell>
          <cell r="AO4" t="str">
            <v/>
          </cell>
          <cell r="AP4" t="str">
            <v/>
          </cell>
          <cell r="AQ4" t="str">
            <v/>
          </cell>
          <cell r="AR4" t="str">
            <v/>
          </cell>
          <cell r="AS4" t="str">
            <v>CORREA 2,5CM / SIN PINTURA</v>
          </cell>
          <cell r="AT4" t="str">
            <v>PEGAR ETIQUETA DE CUERO AL FRENTE HILO AL TONO CON HILO GRUESO N 20</v>
          </cell>
          <cell r="AU4" t="str">
            <v/>
          </cell>
          <cell r="AV4" t="str">
            <v/>
          </cell>
          <cell r="AW4" t="str">
            <v>GRABADO ETIQUETA EN NAPADO 7,5CM X 5,5 CM "EL LUCERO HIGH QUALITY GOODS</v>
          </cell>
          <cell r="AX4" t="str">
            <v>PELO_BEIGE</v>
          </cell>
          <cell r="AY4" t="str">
            <v>LEDER-PELO</v>
          </cell>
          <cell r="AZ4" t="str">
            <v>CUE0000125</v>
          </cell>
          <cell r="BA4">
            <v>0.45</v>
          </cell>
          <cell r="BB4" t="str">
            <v/>
          </cell>
          <cell r="BC4" t="str">
            <v/>
          </cell>
          <cell r="BD4" t="str">
            <v/>
          </cell>
          <cell r="BE4" t="str">
            <v/>
          </cell>
          <cell r="BF4" t="str">
            <v/>
          </cell>
          <cell r="BG4" t="str">
            <v/>
          </cell>
          <cell r="BH4" t="str">
            <v/>
          </cell>
          <cell r="BI4" t="str">
            <v/>
          </cell>
          <cell r="BJ4" t="str">
            <v/>
          </cell>
          <cell r="BK4" t="str">
            <v/>
          </cell>
          <cell r="BL4" t="str">
            <v/>
          </cell>
          <cell r="BM4" t="str">
            <v/>
          </cell>
          <cell r="BN4" t="str">
            <v/>
          </cell>
          <cell r="BO4" t="str">
            <v/>
          </cell>
          <cell r="BP4" t="str">
            <v/>
          </cell>
          <cell r="BQ4" t="str">
            <v/>
          </cell>
          <cell r="BR4" t="str">
            <v>PELO_HOLANDO</v>
          </cell>
          <cell r="BS4" t="str">
            <v>LEDER-PELO</v>
          </cell>
          <cell r="BT4" t="str">
            <v>CUE0000116</v>
          </cell>
          <cell r="BU4">
            <v>0.45</v>
          </cell>
          <cell r="BV4" t="str">
            <v/>
          </cell>
          <cell r="BW4" t="str">
            <v/>
          </cell>
          <cell r="BX4" t="str">
            <v/>
          </cell>
          <cell r="BY4" t="str">
            <v/>
          </cell>
          <cell r="BZ4" t="str">
            <v/>
          </cell>
          <cell r="CA4" t="str">
            <v/>
          </cell>
          <cell r="CB4" t="str">
            <v/>
          </cell>
          <cell r="CC4" t="str">
            <v/>
          </cell>
          <cell r="CD4" t="str">
            <v/>
          </cell>
          <cell r="CE4" t="str">
            <v/>
          </cell>
          <cell r="CF4" t="str">
            <v/>
          </cell>
          <cell r="CG4" t="str">
            <v/>
          </cell>
          <cell r="CH4" t="str">
            <v/>
          </cell>
          <cell r="CI4" t="str">
            <v/>
          </cell>
          <cell r="CJ4" t="str">
            <v/>
          </cell>
          <cell r="CK4" t="str">
            <v/>
          </cell>
          <cell r="CL4" t="str">
            <v/>
          </cell>
          <cell r="CM4" t="str">
            <v/>
          </cell>
          <cell r="CN4" t="str">
            <v/>
          </cell>
          <cell r="CO4" t="str">
            <v/>
          </cell>
          <cell r="CP4" t="str">
            <v/>
          </cell>
          <cell r="CQ4" t="str">
            <v/>
          </cell>
          <cell r="CR4" t="str">
            <v/>
          </cell>
          <cell r="CS4" t="str">
            <v/>
          </cell>
          <cell r="CT4" t="str">
            <v/>
          </cell>
          <cell r="CU4" t="str">
            <v/>
          </cell>
          <cell r="CV4" t="str">
            <v/>
          </cell>
          <cell r="CW4" t="str">
            <v/>
          </cell>
          <cell r="CX4" t="str">
            <v/>
          </cell>
          <cell r="CY4" t="str">
            <v/>
          </cell>
          <cell r="CZ4" t="str">
            <v/>
          </cell>
          <cell r="DA4" t="str">
            <v/>
          </cell>
          <cell r="DB4" t="str">
            <v/>
          </cell>
          <cell r="DC4" t="str">
            <v/>
          </cell>
          <cell r="DD4" t="str">
            <v/>
          </cell>
          <cell r="DE4" t="str">
            <v/>
          </cell>
          <cell r="DF4" t="str">
            <v/>
          </cell>
          <cell r="DG4" t="str">
            <v/>
          </cell>
          <cell r="DH4" t="str">
            <v/>
          </cell>
          <cell r="DI4" t="str">
            <v/>
          </cell>
          <cell r="DJ4" t="str">
            <v/>
          </cell>
          <cell r="DK4" t="str">
            <v/>
          </cell>
          <cell r="DL4" t="str">
            <v/>
          </cell>
          <cell r="DM4" t="str">
            <v/>
          </cell>
          <cell r="DN4" t="str">
            <v/>
          </cell>
          <cell r="DO4" t="str">
            <v/>
          </cell>
          <cell r="DP4" t="str">
            <v/>
          </cell>
          <cell r="DQ4" t="str">
            <v/>
          </cell>
          <cell r="DR4" t="str">
            <v/>
          </cell>
          <cell r="DS4" t="str">
            <v/>
          </cell>
          <cell r="DT4" t="str">
            <v/>
          </cell>
          <cell r="DU4" t="str">
            <v/>
          </cell>
          <cell r="DV4" t="str">
            <v/>
          </cell>
          <cell r="DW4" t="str">
            <v/>
          </cell>
          <cell r="DX4" t="str">
            <v/>
          </cell>
          <cell r="DY4" t="str">
            <v/>
          </cell>
          <cell r="DZ4" t="str">
            <v/>
          </cell>
          <cell r="EA4" t="str">
            <v/>
          </cell>
          <cell r="EB4" t="str">
            <v/>
          </cell>
          <cell r="EC4" t="str">
            <v/>
          </cell>
          <cell r="ED4" t="str">
            <v/>
          </cell>
          <cell r="EE4" t="str">
            <v/>
          </cell>
          <cell r="EF4" t="str">
            <v/>
          </cell>
          <cell r="EG4" t="str">
            <v/>
          </cell>
          <cell r="EH4" t="str">
            <v/>
          </cell>
          <cell r="EI4" t="str">
            <v/>
          </cell>
          <cell r="EJ4" t="str">
            <v/>
          </cell>
          <cell r="EK4" t="str">
            <v/>
          </cell>
          <cell r="EL4" t="str">
            <v/>
          </cell>
          <cell r="EM4" t="str">
            <v/>
          </cell>
          <cell r="EN4" t="str">
            <v/>
          </cell>
          <cell r="EO4" t="str">
            <v/>
          </cell>
          <cell r="EP4" t="str">
            <v/>
          </cell>
          <cell r="EQ4" t="str">
            <v/>
          </cell>
          <cell r="ER4" t="str">
            <v/>
          </cell>
          <cell r="ES4" t="str">
            <v/>
          </cell>
          <cell r="ET4" t="str">
            <v/>
          </cell>
          <cell r="EU4" t="str">
            <v/>
          </cell>
          <cell r="EV4" t="str">
            <v/>
          </cell>
          <cell r="EW4" t="str">
            <v/>
          </cell>
          <cell r="EX4" t="str">
            <v/>
          </cell>
          <cell r="EY4" t="str">
            <v/>
          </cell>
          <cell r="EZ4" t="str">
            <v/>
          </cell>
          <cell r="FA4" t="str">
            <v/>
          </cell>
          <cell r="FB4" t="str">
            <v/>
          </cell>
          <cell r="FC4" t="str">
            <v/>
          </cell>
          <cell r="FD4" t="str">
            <v/>
          </cell>
          <cell r="FE4" t="str">
            <v/>
          </cell>
          <cell r="FF4" t="str">
            <v/>
          </cell>
          <cell r="FG4" t="str">
            <v/>
          </cell>
          <cell r="FH4" t="str">
            <v/>
          </cell>
          <cell r="FI4" t="str">
            <v/>
          </cell>
          <cell r="FJ4" t="str">
            <v/>
          </cell>
          <cell r="FK4" t="str">
            <v/>
          </cell>
          <cell r="FL4" t="str">
            <v/>
          </cell>
          <cell r="FM4" t="str">
            <v/>
          </cell>
          <cell r="FN4" t="str">
            <v/>
          </cell>
          <cell r="FO4" t="str">
            <v/>
          </cell>
          <cell r="FP4" t="str">
            <v/>
          </cell>
          <cell r="FQ4" t="str">
            <v/>
          </cell>
          <cell r="FR4" t="str">
            <v/>
          </cell>
          <cell r="FS4" t="str">
            <v/>
          </cell>
          <cell r="FT4" t="str">
            <v/>
          </cell>
          <cell r="FU4" t="str">
            <v/>
          </cell>
          <cell r="FV4" t="str">
            <v/>
          </cell>
          <cell r="FW4" t="str">
            <v/>
          </cell>
          <cell r="FX4" t="str">
            <v/>
          </cell>
          <cell r="FY4" t="str">
            <v/>
          </cell>
          <cell r="FZ4" t="str">
            <v/>
          </cell>
          <cell r="GA4" t="str">
            <v/>
          </cell>
          <cell r="GB4" t="str">
            <v/>
          </cell>
          <cell r="GC4" t="str">
            <v/>
          </cell>
          <cell r="GD4" t="str">
            <v/>
          </cell>
          <cell r="GE4" t="str">
            <v/>
          </cell>
          <cell r="GF4" t="str">
            <v/>
          </cell>
          <cell r="GG4" t="str">
            <v/>
          </cell>
          <cell r="GH4" t="str">
            <v/>
          </cell>
          <cell r="GI4" t="str">
            <v/>
          </cell>
          <cell r="GJ4" t="str">
            <v/>
          </cell>
          <cell r="GK4" t="str">
            <v/>
          </cell>
          <cell r="GL4" t="str">
            <v/>
          </cell>
          <cell r="GM4" t="str">
            <v/>
          </cell>
          <cell r="GN4" t="str">
            <v/>
          </cell>
          <cell r="GO4" t="str">
            <v/>
          </cell>
          <cell r="GP4" t="str">
            <v/>
          </cell>
          <cell r="GQ4" t="str">
            <v/>
          </cell>
          <cell r="GR4" t="str">
            <v/>
          </cell>
          <cell r="GS4" t="str">
            <v/>
          </cell>
          <cell r="GT4" t="str">
            <v/>
          </cell>
          <cell r="GU4" t="str">
            <v/>
          </cell>
          <cell r="GV4" t="str">
            <v/>
          </cell>
          <cell r="GW4" t="str">
            <v/>
          </cell>
          <cell r="GX4" t="str">
            <v/>
          </cell>
          <cell r="GY4" t="str">
            <v/>
          </cell>
          <cell r="GZ4" t="str">
            <v/>
          </cell>
          <cell r="HA4" t="str">
            <v/>
          </cell>
          <cell r="HB4" t="str">
            <v/>
          </cell>
          <cell r="HC4" t="str">
            <v/>
          </cell>
          <cell r="HD4" t="str">
            <v/>
          </cell>
          <cell r="HE4" t="str">
            <v/>
          </cell>
          <cell r="HF4" t="str">
            <v/>
          </cell>
          <cell r="HG4" t="str">
            <v/>
          </cell>
          <cell r="HH4" t="str">
            <v/>
          </cell>
          <cell r="HI4" t="str">
            <v/>
          </cell>
          <cell r="HJ4" t="str">
            <v/>
          </cell>
          <cell r="HK4" t="str">
            <v/>
          </cell>
          <cell r="HL4" t="str">
            <v/>
          </cell>
          <cell r="HM4" t="str">
            <v/>
          </cell>
          <cell r="HN4" t="str">
            <v/>
          </cell>
          <cell r="HO4" t="str">
            <v/>
          </cell>
          <cell r="HP4" t="str">
            <v/>
          </cell>
          <cell r="HQ4" t="str">
            <v/>
          </cell>
          <cell r="HR4" t="str">
            <v/>
          </cell>
          <cell r="HS4" t="str">
            <v/>
          </cell>
          <cell r="HT4" t="str">
            <v/>
          </cell>
          <cell r="HU4" t="str">
            <v/>
          </cell>
          <cell r="HV4" t="str">
            <v/>
          </cell>
          <cell r="HW4" t="str">
            <v/>
          </cell>
          <cell r="HX4" t="str">
            <v/>
          </cell>
          <cell r="HY4" t="str">
            <v/>
          </cell>
          <cell r="HZ4" t="str">
            <v/>
          </cell>
          <cell r="IA4" t="str">
            <v/>
          </cell>
          <cell r="IB4" t="str">
            <v/>
          </cell>
          <cell r="IC4" t="str">
            <v/>
          </cell>
          <cell r="ID4" t="str">
            <v/>
          </cell>
          <cell r="IE4" t="str">
            <v/>
          </cell>
          <cell r="IF4" t="str">
            <v/>
          </cell>
          <cell r="IG4" t="str">
            <v/>
          </cell>
          <cell r="IH4" t="str">
            <v/>
          </cell>
          <cell r="II4" t="str">
            <v/>
          </cell>
          <cell r="IJ4" t="str">
            <v/>
          </cell>
          <cell r="IK4" t="str">
            <v/>
          </cell>
          <cell r="IL4" t="str">
            <v/>
          </cell>
          <cell r="IM4" t="str">
            <v/>
          </cell>
          <cell r="IN4" t="str">
            <v/>
          </cell>
          <cell r="IO4" t="str">
            <v/>
          </cell>
          <cell r="IP4" t="str">
            <v/>
          </cell>
          <cell r="IQ4" t="str">
            <v/>
          </cell>
          <cell r="IR4" t="str">
            <v/>
          </cell>
          <cell r="IS4" t="str">
            <v/>
          </cell>
          <cell r="IT4" t="str">
            <v/>
          </cell>
          <cell r="IU4" t="str">
            <v/>
          </cell>
          <cell r="IV4" t="str">
            <v/>
          </cell>
          <cell r="IW4" t="str">
            <v/>
          </cell>
          <cell r="IX4" t="str">
            <v/>
          </cell>
          <cell r="IY4" t="str">
            <v/>
          </cell>
          <cell r="IZ4" t="str">
            <v/>
          </cell>
          <cell r="JA4" t="str">
            <v/>
          </cell>
          <cell r="JB4" t="str">
            <v/>
          </cell>
          <cell r="JC4" t="str">
            <v/>
          </cell>
          <cell r="JD4" t="str">
            <v/>
          </cell>
          <cell r="JE4" t="str">
            <v/>
          </cell>
          <cell r="JF4" t="str">
            <v/>
          </cell>
          <cell r="JG4" t="str">
            <v/>
          </cell>
          <cell r="JH4" t="str">
            <v/>
          </cell>
          <cell r="JI4" t="str">
            <v/>
          </cell>
          <cell r="JJ4" t="str">
            <v/>
          </cell>
          <cell r="JK4" t="str">
            <v/>
          </cell>
          <cell r="JL4" t="str">
            <v/>
          </cell>
          <cell r="JM4" t="str">
            <v/>
          </cell>
          <cell r="JN4" t="str">
            <v/>
          </cell>
          <cell r="JO4" t="str">
            <v/>
          </cell>
          <cell r="JP4" t="str">
            <v/>
          </cell>
          <cell r="JQ4" t="str">
            <v/>
          </cell>
          <cell r="JR4" t="str">
            <v/>
          </cell>
          <cell r="JS4" t="str">
            <v/>
          </cell>
          <cell r="JT4" t="str">
            <v/>
          </cell>
          <cell r="JU4" t="str">
            <v/>
          </cell>
          <cell r="JV4" t="str">
            <v/>
          </cell>
          <cell r="JW4" t="str">
            <v/>
          </cell>
          <cell r="JX4" t="str">
            <v/>
          </cell>
          <cell r="JY4" t="str">
            <v/>
          </cell>
          <cell r="JZ4" t="str">
            <v/>
          </cell>
          <cell r="KA4" t="str">
            <v/>
          </cell>
          <cell r="KB4" t="str">
            <v/>
          </cell>
          <cell r="KC4" t="str">
            <v/>
          </cell>
          <cell r="KD4">
            <v>8</v>
          </cell>
          <cell r="KE4">
            <v>8</v>
          </cell>
          <cell r="KF4">
            <v>8</v>
          </cell>
          <cell r="KG4">
            <v>12</v>
          </cell>
          <cell r="KH4">
            <v>12</v>
          </cell>
          <cell r="KI4">
            <v>12</v>
          </cell>
          <cell r="KJ4">
            <v>0</v>
          </cell>
          <cell r="KM4">
            <v>0</v>
          </cell>
          <cell r="KP4">
            <v>0</v>
          </cell>
          <cell r="KS4">
            <v>0</v>
          </cell>
          <cell r="KV4">
            <v>0</v>
          </cell>
          <cell r="KY4">
            <v>0</v>
          </cell>
          <cell r="LB4">
            <v>0</v>
          </cell>
          <cell r="LE4">
            <v>0</v>
          </cell>
          <cell r="LH4">
            <v>0</v>
          </cell>
          <cell r="LK4">
            <v>0</v>
          </cell>
          <cell r="LO4">
            <v>45679</v>
          </cell>
          <cell r="LP4" t="str">
            <v>COMPLETADO</v>
          </cell>
        </row>
        <row r="5">
          <cell r="A5">
            <v>1585</v>
          </cell>
          <cell r="B5" t="str">
            <v>RUBEN</v>
          </cell>
          <cell r="C5" t="str">
            <v>BARRACAS GRANDE</v>
          </cell>
          <cell r="D5" t="str">
            <v>MARROQUINERIA GRANDE</v>
          </cell>
          <cell r="E5">
            <v>8</v>
          </cell>
          <cell r="F5">
            <v>8</v>
          </cell>
          <cell r="G5">
            <v>8</v>
          </cell>
          <cell r="H5">
            <v>45728.81962962963</v>
          </cell>
          <cell r="I5" t="str">
            <v>CARTERA EMILIA</v>
          </cell>
          <cell r="J5">
            <v>45713</v>
          </cell>
          <cell r="K5">
            <v>45713</v>
          </cell>
          <cell r="M5">
            <v>45</v>
          </cell>
          <cell r="N5" t="str">
            <v>M150</v>
          </cell>
          <cell r="O5" t="str">
            <v>AV0101030201</v>
          </cell>
          <cell r="P5">
            <v>1</v>
          </cell>
          <cell r="Q5" t="str">
            <v>AV0300460101</v>
          </cell>
          <cell r="R5">
            <v>1</v>
          </cell>
          <cell r="S5" t="str">
            <v>AV1000920101</v>
          </cell>
          <cell r="T5">
            <v>1</v>
          </cell>
          <cell r="U5" t="str">
            <v>AV0300390101</v>
          </cell>
          <cell r="V5">
            <v>1</v>
          </cell>
          <cell r="W5" t="str">
            <v>AV170129018</v>
          </cell>
          <cell r="X5">
            <v>0</v>
          </cell>
          <cell r="Y5" t="str">
            <v/>
          </cell>
          <cell r="Z5" t="str">
            <v/>
          </cell>
          <cell r="AA5" t="str">
            <v/>
          </cell>
          <cell r="AB5" t="str">
            <v/>
          </cell>
          <cell r="AC5" t="str">
            <v/>
          </cell>
          <cell r="AD5" t="str">
            <v/>
          </cell>
          <cell r="AE5" t="str">
            <v/>
          </cell>
          <cell r="AF5" t="str">
            <v/>
          </cell>
          <cell r="AG5" t="str">
            <v/>
          </cell>
          <cell r="AH5">
            <v>0</v>
          </cell>
          <cell r="AI5" t="str">
            <v/>
          </cell>
          <cell r="AJ5" t="str">
            <v/>
          </cell>
          <cell r="AK5" t="str">
            <v/>
          </cell>
          <cell r="AL5" t="str">
            <v/>
          </cell>
          <cell r="AM5" t="str">
            <v/>
          </cell>
          <cell r="AN5" t="str">
            <v/>
          </cell>
          <cell r="AO5" t="str">
            <v/>
          </cell>
          <cell r="AP5" t="str">
            <v/>
          </cell>
          <cell r="AQ5" t="str">
            <v/>
          </cell>
          <cell r="AR5" t="str">
            <v/>
          </cell>
          <cell r="AS5" t="str">
            <v>TIRACIERRE 1</v>
          </cell>
          <cell r="AT5" t="str">
            <v>ARGOLLITA + TIRA CON REMACHE + GRABADO ESTRELLA</v>
          </cell>
          <cell r="AU5" t="str">
            <v/>
          </cell>
          <cell r="AV5" t="str">
            <v/>
          </cell>
          <cell r="AW5" t="str">
            <v>GRABADO "EL LUCERO ARGENTINA" GRANDE - EN BOLSILLO INTERNO, CENTRADO A 12 CM DEL BORDE INFER</v>
          </cell>
          <cell r="AX5" t="str">
            <v>MALBEC</v>
          </cell>
          <cell r="AY5" t="str">
            <v>ARENA-CUERO NAPADO</v>
          </cell>
          <cell r="AZ5" t="str">
            <v>CUE0000025</v>
          </cell>
          <cell r="BA5">
            <v>0.79</v>
          </cell>
          <cell r="BB5" t="str">
            <v>AV0100010261</v>
          </cell>
          <cell r="BC5">
            <v>0.2</v>
          </cell>
          <cell r="BD5" t="str">
            <v/>
          </cell>
          <cell r="BE5" t="str">
            <v/>
          </cell>
          <cell r="BF5" t="str">
            <v/>
          </cell>
          <cell r="BG5" t="str">
            <v/>
          </cell>
          <cell r="BH5" t="str">
            <v/>
          </cell>
          <cell r="BI5" t="str">
            <v/>
          </cell>
          <cell r="BJ5" t="str">
            <v/>
          </cell>
          <cell r="BK5" t="str">
            <v/>
          </cell>
          <cell r="BL5" t="str">
            <v/>
          </cell>
          <cell r="BM5" t="str">
            <v/>
          </cell>
          <cell r="BN5" t="str">
            <v/>
          </cell>
          <cell r="BO5">
            <v>0</v>
          </cell>
          <cell r="BP5" t="str">
            <v/>
          </cell>
          <cell r="BQ5">
            <v>0</v>
          </cell>
          <cell r="BR5" t="str">
            <v/>
          </cell>
          <cell r="BS5" t="str">
            <v/>
          </cell>
          <cell r="BT5" t="str">
            <v/>
          </cell>
          <cell r="BU5" t="str">
            <v/>
          </cell>
          <cell r="BV5" t="str">
            <v/>
          </cell>
          <cell r="BW5" t="str">
            <v/>
          </cell>
          <cell r="BX5" t="str">
            <v/>
          </cell>
          <cell r="BY5" t="str">
            <v/>
          </cell>
          <cell r="BZ5" t="str">
            <v/>
          </cell>
          <cell r="CA5" t="str">
            <v/>
          </cell>
          <cell r="CB5" t="str">
            <v/>
          </cell>
          <cell r="CC5" t="str">
            <v/>
          </cell>
          <cell r="CD5" t="str">
            <v/>
          </cell>
          <cell r="CE5" t="str">
            <v/>
          </cell>
          <cell r="CF5" t="str">
            <v/>
          </cell>
          <cell r="CG5" t="str">
            <v/>
          </cell>
          <cell r="CH5" t="str">
            <v/>
          </cell>
          <cell r="CI5" t="str">
            <v/>
          </cell>
          <cell r="CJ5" t="str">
            <v/>
          </cell>
          <cell r="CK5" t="str">
            <v/>
          </cell>
          <cell r="CL5" t="str">
            <v/>
          </cell>
          <cell r="CM5" t="str">
            <v/>
          </cell>
          <cell r="CN5" t="str">
            <v/>
          </cell>
          <cell r="CO5" t="str">
            <v/>
          </cell>
          <cell r="CP5" t="str">
            <v/>
          </cell>
          <cell r="CQ5" t="str">
            <v/>
          </cell>
          <cell r="CR5" t="str">
            <v/>
          </cell>
          <cell r="CS5" t="str">
            <v/>
          </cell>
          <cell r="CT5" t="str">
            <v/>
          </cell>
          <cell r="CU5" t="str">
            <v/>
          </cell>
          <cell r="CV5" t="str">
            <v/>
          </cell>
          <cell r="CW5" t="str">
            <v/>
          </cell>
          <cell r="CX5" t="str">
            <v/>
          </cell>
          <cell r="CY5" t="str">
            <v/>
          </cell>
          <cell r="CZ5" t="str">
            <v/>
          </cell>
          <cell r="DA5" t="str">
            <v/>
          </cell>
          <cell r="DB5" t="str">
            <v/>
          </cell>
          <cell r="DC5" t="str">
            <v/>
          </cell>
          <cell r="DD5" t="str">
            <v/>
          </cell>
          <cell r="DE5" t="str">
            <v/>
          </cell>
          <cell r="DF5" t="str">
            <v/>
          </cell>
          <cell r="DG5" t="str">
            <v/>
          </cell>
          <cell r="DH5" t="str">
            <v/>
          </cell>
          <cell r="DI5" t="str">
            <v/>
          </cell>
          <cell r="DJ5" t="str">
            <v/>
          </cell>
          <cell r="DK5" t="str">
            <v/>
          </cell>
          <cell r="DL5" t="str">
            <v/>
          </cell>
          <cell r="DM5" t="str">
            <v/>
          </cell>
          <cell r="DN5" t="str">
            <v/>
          </cell>
          <cell r="DO5" t="str">
            <v/>
          </cell>
          <cell r="DP5" t="str">
            <v/>
          </cell>
          <cell r="DQ5" t="str">
            <v/>
          </cell>
          <cell r="DR5" t="str">
            <v/>
          </cell>
          <cell r="DS5" t="str">
            <v/>
          </cell>
          <cell r="DT5" t="str">
            <v/>
          </cell>
          <cell r="DU5" t="str">
            <v/>
          </cell>
          <cell r="DV5" t="str">
            <v/>
          </cell>
          <cell r="DW5" t="str">
            <v/>
          </cell>
          <cell r="DX5" t="str">
            <v/>
          </cell>
          <cell r="DY5" t="str">
            <v/>
          </cell>
          <cell r="DZ5" t="str">
            <v/>
          </cell>
          <cell r="EA5" t="str">
            <v/>
          </cell>
          <cell r="EB5" t="str">
            <v/>
          </cell>
          <cell r="EC5" t="str">
            <v/>
          </cell>
          <cell r="ED5" t="str">
            <v/>
          </cell>
          <cell r="EE5" t="str">
            <v/>
          </cell>
          <cell r="EF5" t="str">
            <v/>
          </cell>
          <cell r="EG5" t="str">
            <v/>
          </cell>
          <cell r="EH5" t="str">
            <v/>
          </cell>
          <cell r="EI5" t="str">
            <v/>
          </cell>
          <cell r="EJ5" t="str">
            <v/>
          </cell>
          <cell r="EK5" t="str">
            <v/>
          </cell>
          <cell r="EL5" t="str">
            <v/>
          </cell>
          <cell r="EM5" t="str">
            <v/>
          </cell>
          <cell r="EN5" t="str">
            <v/>
          </cell>
          <cell r="EO5" t="str">
            <v/>
          </cell>
          <cell r="EP5" t="str">
            <v/>
          </cell>
          <cell r="EQ5" t="str">
            <v/>
          </cell>
          <cell r="ER5" t="str">
            <v/>
          </cell>
          <cell r="ES5" t="str">
            <v/>
          </cell>
          <cell r="ET5" t="str">
            <v/>
          </cell>
          <cell r="EU5" t="str">
            <v/>
          </cell>
          <cell r="EV5" t="str">
            <v/>
          </cell>
          <cell r="EW5" t="str">
            <v/>
          </cell>
          <cell r="EX5" t="str">
            <v/>
          </cell>
          <cell r="EY5" t="str">
            <v/>
          </cell>
          <cell r="EZ5" t="str">
            <v/>
          </cell>
          <cell r="FA5" t="str">
            <v/>
          </cell>
          <cell r="FB5" t="str">
            <v/>
          </cell>
          <cell r="FC5" t="str">
            <v/>
          </cell>
          <cell r="FD5" t="str">
            <v/>
          </cell>
          <cell r="FE5" t="str">
            <v/>
          </cell>
          <cell r="FF5" t="str">
            <v/>
          </cell>
          <cell r="FG5" t="str">
            <v/>
          </cell>
          <cell r="FH5" t="str">
            <v/>
          </cell>
          <cell r="FI5" t="str">
            <v/>
          </cell>
          <cell r="FJ5" t="str">
            <v/>
          </cell>
          <cell r="FK5" t="str">
            <v/>
          </cell>
          <cell r="FL5" t="str">
            <v/>
          </cell>
          <cell r="FM5" t="str">
            <v/>
          </cell>
          <cell r="FN5" t="str">
            <v/>
          </cell>
          <cell r="FO5" t="str">
            <v/>
          </cell>
          <cell r="FP5" t="str">
            <v/>
          </cell>
          <cell r="FQ5" t="str">
            <v/>
          </cell>
          <cell r="FR5" t="str">
            <v/>
          </cell>
          <cell r="FS5" t="str">
            <v/>
          </cell>
          <cell r="FT5" t="str">
            <v/>
          </cell>
          <cell r="FU5" t="str">
            <v/>
          </cell>
          <cell r="FV5" t="str">
            <v/>
          </cell>
          <cell r="FW5" t="str">
            <v/>
          </cell>
          <cell r="FX5" t="str">
            <v/>
          </cell>
          <cell r="FY5" t="str">
            <v/>
          </cell>
          <cell r="FZ5" t="str">
            <v/>
          </cell>
          <cell r="GA5" t="str">
            <v/>
          </cell>
          <cell r="GB5" t="str">
            <v/>
          </cell>
          <cell r="GC5" t="str">
            <v/>
          </cell>
          <cell r="GD5" t="str">
            <v/>
          </cell>
          <cell r="GE5" t="str">
            <v/>
          </cell>
          <cell r="GF5" t="str">
            <v/>
          </cell>
          <cell r="GG5" t="str">
            <v/>
          </cell>
          <cell r="GH5" t="str">
            <v/>
          </cell>
          <cell r="GI5" t="str">
            <v/>
          </cell>
          <cell r="GJ5" t="str">
            <v/>
          </cell>
          <cell r="GK5" t="str">
            <v/>
          </cell>
          <cell r="GL5" t="str">
            <v/>
          </cell>
          <cell r="GM5" t="str">
            <v/>
          </cell>
          <cell r="GN5" t="str">
            <v/>
          </cell>
          <cell r="GO5" t="str">
            <v/>
          </cell>
          <cell r="GP5" t="str">
            <v/>
          </cell>
          <cell r="GQ5" t="str">
            <v/>
          </cell>
          <cell r="GR5" t="str">
            <v/>
          </cell>
          <cell r="GS5" t="str">
            <v/>
          </cell>
          <cell r="GT5" t="str">
            <v/>
          </cell>
          <cell r="GU5" t="str">
            <v/>
          </cell>
          <cell r="GV5" t="str">
            <v/>
          </cell>
          <cell r="GW5" t="str">
            <v/>
          </cell>
          <cell r="GX5" t="str">
            <v/>
          </cell>
          <cell r="GY5" t="str">
            <v/>
          </cell>
          <cell r="GZ5" t="str">
            <v/>
          </cell>
          <cell r="HA5" t="str">
            <v/>
          </cell>
          <cell r="HB5" t="str">
            <v/>
          </cell>
          <cell r="HC5" t="str">
            <v/>
          </cell>
          <cell r="HD5" t="str">
            <v/>
          </cell>
          <cell r="HE5" t="str">
            <v/>
          </cell>
          <cell r="HF5" t="str">
            <v/>
          </cell>
          <cell r="HG5" t="str">
            <v/>
          </cell>
          <cell r="HH5" t="str">
            <v/>
          </cell>
          <cell r="HI5" t="str">
            <v/>
          </cell>
          <cell r="HJ5" t="str">
            <v/>
          </cell>
          <cell r="HK5" t="str">
            <v/>
          </cell>
          <cell r="HL5" t="str">
            <v/>
          </cell>
          <cell r="HM5" t="str">
            <v/>
          </cell>
          <cell r="HN5" t="str">
            <v/>
          </cell>
          <cell r="HO5" t="str">
            <v/>
          </cell>
          <cell r="HP5" t="str">
            <v/>
          </cell>
          <cell r="HQ5" t="str">
            <v/>
          </cell>
          <cell r="HR5" t="str">
            <v/>
          </cell>
          <cell r="HS5" t="str">
            <v/>
          </cell>
          <cell r="HT5" t="str">
            <v/>
          </cell>
          <cell r="HU5" t="str">
            <v/>
          </cell>
          <cell r="HV5" t="str">
            <v/>
          </cell>
          <cell r="HW5" t="str">
            <v/>
          </cell>
          <cell r="HX5" t="str">
            <v/>
          </cell>
          <cell r="HY5" t="str">
            <v/>
          </cell>
          <cell r="HZ5" t="str">
            <v/>
          </cell>
          <cell r="IA5" t="str">
            <v/>
          </cell>
          <cell r="IB5" t="str">
            <v/>
          </cell>
          <cell r="IC5" t="str">
            <v/>
          </cell>
          <cell r="ID5" t="str">
            <v/>
          </cell>
          <cell r="IE5" t="str">
            <v/>
          </cell>
          <cell r="IF5" t="str">
            <v/>
          </cell>
          <cell r="IG5" t="str">
            <v/>
          </cell>
          <cell r="IH5" t="str">
            <v/>
          </cell>
          <cell r="II5" t="str">
            <v/>
          </cell>
          <cell r="IJ5" t="str">
            <v/>
          </cell>
          <cell r="IK5" t="str">
            <v/>
          </cell>
          <cell r="IL5" t="str">
            <v/>
          </cell>
          <cell r="IM5" t="str">
            <v/>
          </cell>
          <cell r="IN5" t="str">
            <v/>
          </cell>
          <cell r="IO5" t="str">
            <v/>
          </cell>
          <cell r="IP5" t="str">
            <v/>
          </cell>
          <cell r="IQ5" t="str">
            <v/>
          </cell>
          <cell r="IR5" t="str">
            <v/>
          </cell>
          <cell r="IS5" t="str">
            <v/>
          </cell>
          <cell r="IT5" t="str">
            <v/>
          </cell>
          <cell r="IU5" t="str">
            <v/>
          </cell>
          <cell r="IV5" t="str">
            <v/>
          </cell>
          <cell r="IW5" t="str">
            <v/>
          </cell>
          <cell r="IX5" t="str">
            <v/>
          </cell>
          <cell r="IY5" t="str">
            <v/>
          </cell>
          <cell r="IZ5" t="str">
            <v/>
          </cell>
          <cell r="JA5" t="str">
            <v/>
          </cell>
          <cell r="JB5" t="str">
            <v/>
          </cell>
          <cell r="JC5" t="str">
            <v/>
          </cell>
          <cell r="JD5" t="str">
            <v/>
          </cell>
          <cell r="JE5" t="str">
            <v/>
          </cell>
          <cell r="JF5" t="str">
            <v/>
          </cell>
          <cell r="JG5" t="str">
            <v/>
          </cell>
          <cell r="JH5" t="str">
            <v/>
          </cell>
          <cell r="JI5" t="str">
            <v/>
          </cell>
          <cell r="JJ5" t="str">
            <v/>
          </cell>
          <cell r="JK5" t="str">
            <v/>
          </cell>
          <cell r="JL5" t="str">
            <v/>
          </cell>
          <cell r="JM5" t="str">
            <v/>
          </cell>
          <cell r="JN5" t="str">
            <v/>
          </cell>
          <cell r="JO5" t="str">
            <v/>
          </cell>
          <cell r="JP5" t="str">
            <v/>
          </cell>
          <cell r="JQ5" t="str">
            <v/>
          </cell>
          <cell r="JR5" t="str">
            <v/>
          </cell>
          <cell r="JS5" t="str">
            <v/>
          </cell>
          <cell r="JT5" t="str">
            <v/>
          </cell>
          <cell r="JU5" t="str">
            <v/>
          </cell>
          <cell r="JV5" t="str">
            <v/>
          </cell>
          <cell r="JW5" t="str">
            <v/>
          </cell>
          <cell r="JX5" t="str">
            <v/>
          </cell>
          <cell r="JY5" t="str">
            <v/>
          </cell>
          <cell r="JZ5" t="str">
            <v/>
          </cell>
          <cell r="KA5" t="str">
            <v/>
          </cell>
          <cell r="KB5" t="str">
            <v/>
          </cell>
          <cell r="KC5" t="str">
            <v/>
          </cell>
          <cell r="KD5">
            <v>8</v>
          </cell>
          <cell r="KE5">
            <v>8</v>
          </cell>
          <cell r="KF5">
            <v>8</v>
          </cell>
          <cell r="KG5">
            <v>0</v>
          </cell>
          <cell r="KJ5">
            <v>0</v>
          </cell>
          <cell r="KM5">
            <v>0</v>
          </cell>
          <cell r="KP5">
            <v>0</v>
          </cell>
          <cell r="KS5">
            <v>0</v>
          </cell>
          <cell r="KV5">
            <v>0</v>
          </cell>
          <cell r="KY5">
            <v>0</v>
          </cell>
          <cell r="LB5">
            <v>0</v>
          </cell>
          <cell r="LE5">
            <v>0</v>
          </cell>
          <cell r="LH5">
            <v>0</v>
          </cell>
          <cell r="LK5">
            <v>0</v>
          </cell>
          <cell r="LO5">
            <v>45713</v>
          </cell>
          <cell r="LP5" t="str">
            <v>COMPLETADO</v>
          </cell>
        </row>
        <row r="6">
          <cell r="A6">
            <v>1586</v>
          </cell>
          <cell r="B6" t="str">
            <v>RUBEN</v>
          </cell>
          <cell r="C6" t="str">
            <v>BARRACAS GRANDE</v>
          </cell>
          <cell r="D6" t="str">
            <v>MARROQUINERIA GRANDE</v>
          </cell>
          <cell r="E6">
            <v>22</v>
          </cell>
          <cell r="F6">
            <v>10</v>
          </cell>
          <cell r="G6">
            <v>10</v>
          </cell>
          <cell r="H6">
            <v>45728.872754629629</v>
          </cell>
          <cell r="I6" t="str">
            <v>CARTERA LEANDRA</v>
          </cell>
          <cell r="J6">
            <v>45670</v>
          </cell>
          <cell r="K6">
            <v>45679</v>
          </cell>
          <cell r="M6">
            <v>40</v>
          </cell>
          <cell r="N6" t="str">
            <v>M042</v>
          </cell>
          <cell r="O6" t="str">
            <v>AV0101030201</v>
          </cell>
          <cell r="P6">
            <v>1</v>
          </cell>
          <cell r="Q6" t="str">
            <v>AV1000380101</v>
          </cell>
          <cell r="R6">
            <v>1</v>
          </cell>
          <cell r="S6" t="str">
            <v>AV0300390101</v>
          </cell>
          <cell r="T6">
            <v>1</v>
          </cell>
          <cell r="U6" t="str">
            <v>AV0300400101</v>
          </cell>
          <cell r="V6">
            <v>2</v>
          </cell>
          <cell r="W6" t="str">
            <v>BAC1300020827</v>
          </cell>
          <cell r="X6">
            <v>0.01</v>
          </cell>
          <cell r="Y6" t="str">
            <v>AV1000780101</v>
          </cell>
          <cell r="Z6">
            <v>2</v>
          </cell>
          <cell r="AA6" t="str">
            <v>AV0400980101</v>
          </cell>
          <cell r="AB6">
            <v>1</v>
          </cell>
          <cell r="AC6" t="str">
            <v>AV170129018</v>
          </cell>
          <cell r="AD6">
            <v>0</v>
          </cell>
          <cell r="AE6" t="str">
            <v/>
          </cell>
          <cell r="AF6" t="str">
            <v/>
          </cell>
          <cell r="AG6" t="str">
            <v/>
          </cell>
          <cell r="AH6" t="str">
            <v/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>TIRACIERRE 1 CON ARGOLLITA: TIRA DE CUERO + REMACHE + GRABADO ESTRELLA</v>
          </cell>
          <cell r="AT6" t="str">
            <v/>
          </cell>
          <cell r="AU6" t="str">
            <v/>
          </cell>
          <cell r="AV6" t="str">
            <v/>
          </cell>
          <cell r="AW6" t="str">
            <v xml:space="preserve">GRABADO EL LUCERO GRANDE ATRAS ABAJO    </v>
          </cell>
          <cell r="AX6" t="str">
            <v>MALBEC</v>
          </cell>
          <cell r="AY6" t="str">
            <v>ARENA-CUERO NAPADO</v>
          </cell>
          <cell r="AZ6" t="str">
            <v>CUE0000025</v>
          </cell>
          <cell r="BA6">
            <v>0.22</v>
          </cell>
          <cell r="BB6" t="str">
            <v>AV1401240545</v>
          </cell>
          <cell r="BC6">
            <v>0</v>
          </cell>
          <cell r="BD6" t="str">
            <v>FOR0000020</v>
          </cell>
          <cell r="BE6">
            <v>0.11</v>
          </cell>
          <cell r="BF6" t="str">
            <v>AV0100010161</v>
          </cell>
          <cell r="BG6">
            <v>0.25</v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>NEGRO</v>
          </cell>
          <cell r="BS6" t="str">
            <v>ARENA-CUERO NAPADO</v>
          </cell>
          <cell r="BT6" t="str">
            <v>CUE0000026</v>
          </cell>
          <cell r="BU6">
            <v>0.22</v>
          </cell>
          <cell r="BV6" t="str">
            <v>AV1401244040</v>
          </cell>
          <cell r="BW6">
            <v>0</v>
          </cell>
          <cell r="BX6" t="str">
            <v>FOR0000020</v>
          </cell>
          <cell r="BY6">
            <v>0.11</v>
          </cell>
          <cell r="BZ6" t="str">
            <v>AV0100010103</v>
          </cell>
          <cell r="CA6">
            <v>0.25</v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  <cell r="DW6" t="str">
            <v/>
          </cell>
          <cell r="DX6" t="str">
            <v/>
          </cell>
          <cell r="DY6" t="str">
            <v/>
          </cell>
          <cell r="DZ6" t="str">
            <v/>
          </cell>
          <cell r="EA6" t="str">
            <v/>
          </cell>
          <cell r="EB6" t="str">
            <v/>
          </cell>
          <cell r="EC6" t="str">
            <v/>
          </cell>
          <cell r="ED6" t="str">
            <v/>
          </cell>
          <cell r="EE6" t="str">
            <v/>
          </cell>
          <cell r="EF6" t="str">
            <v/>
          </cell>
          <cell r="EG6" t="str">
            <v/>
          </cell>
          <cell r="EH6" t="str">
            <v/>
          </cell>
          <cell r="EI6" t="str">
            <v/>
          </cell>
          <cell r="EJ6" t="str">
            <v/>
          </cell>
          <cell r="EK6" t="str">
            <v/>
          </cell>
          <cell r="EL6" t="str">
            <v/>
          </cell>
          <cell r="EM6" t="str">
            <v/>
          </cell>
          <cell r="EN6" t="str">
            <v/>
          </cell>
          <cell r="EO6" t="str">
            <v/>
          </cell>
          <cell r="EP6" t="str">
            <v/>
          </cell>
          <cell r="EQ6" t="str">
            <v/>
          </cell>
          <cell r="ER6" t="str">
            <v/>
          </cell>
          <cell r="ES6" t="str">
            <v/>
          </cell>
          <cell r="ET6" t="str">
            <v/>
          </cell>
          <cell r="EU6" t="str">
            <v/>
          </cell>
          <cell r="EV6" t="str">
            <v/>
          </cell>
          <cell r="EW6" t="str">
            <v/>
          </cell>
          <cell r="EX6" t="str">
            <v/>
          </cell>
          <cell r="EY6" t="str">
            <v/>
          </cell>
          <cell r="EZ6" t="str">
            <v/>
          </cell>
          <cell r="FA6" t="str">
            <v/>
          </cell>
          <cell r="FB6" t="str">
            <v/>
          </cell>
          <cell r="FC6" t="str">
            <v/>
          </cell>
          <cell r="FD6" t="str">
            <v/>
          </cell>
          <cell r="FE6" t="str">
            <v/>
          </cell>
          <cell r="FF6" t="str">
            <v/>
          </cell>
          <cell r="FG6" t="str">
            <v/>
          </cell>
          <cell r="FH6" t="str">
            <v/>
          </cell>
          <cell r="FI6" t="str">
            <v/>
          </cell>
          <cell r="FJ6" t="str">
            <v/>
          </cell>
          <cell r="FK6" t="str">
            <v/>
          </cell>
          <cell r="FL6" t="str">
            <v/>
          </cell>
          <cell r="FM6" t="str">
            <v/>
          </cell>
          <cell r="FN6" t="str">
            <v/>
          </cell>
          <cell r="FO6" t="str">
            <v/>
          </cell>
          <cell r="FP6" t="str">
            <v/>
          </cell>
          <cell r="FQ6" t="str">
            <v/>
          </cell>
          <cell r="FR6" t="str">
            <v/>
          </cell>
          <cell r="FS6" t="str">
            <v/>
          </cell>
          <cell r="FT6" t="str">
            <v/>
          </cell>
          <cell r="FU6" t="str">
            <v/>
          </cell>
          <cell r="FV6" t="str">
            <v/>
          </cell>
          <cell r="FW6" t="str">
            <v/>
          </cell>
          <cell r="FX6" t="str">
            <v/>
          </cell>
          <cell r="FY6" t="str">
            <v/>
          </cell>
          <cell r="FZ6" t="str">
            <v/>
          </cell>
          <cell r="GA6" t="str">
            <v/>
          </cell>
          <cell r="GB6" t="str">
            <v/>
          </cell>
          <cell r="GC6" t="str">
            <v/>
          </cell>
          <cell r="GD6" t="str">
            <v/>
          </cell>
          <cell r="GE6" t="str">
            <v/>
          </cell>
          <cell r="GF6" t="str">
            <v/>
          </cell>
          <cell r="GG6" t="str">
            <v/>
          </cell>
          <cell r="GH6" t="str">
            <v/>
          </cell>
          <cell r="GI6" t="str">
            <v/>
          </cell>
          <cell r="GJ6" t="str">
            <v/>
          </cell>
          <cell r="GK6" t="str">
            <v/>
          </cell>
          <cell r="GL6" t="str">
            <v/>
          </cell>
          <cell r="GM6" t="str">
            <v/>
          </cell>
          <cell r="GN6" t="str">
            <v/>
          </cell>
          <cell r="GO6" t="str">
            <v/>
          </cell>
          <cell r="GP6" t="str">
            <v/>
          </cell>
          <cell r="GQ6" t="str">
            <v/>
          </cell>
          <cell r="GR6" t="str">
            <v/>
          </cell>
          <cell r="GS6" t="str">
            <v/>
          </cell>
          <cell r="GT6" t="str">
            <v/>
          </cell>
          <cell r="GU6" t="str">
            <v/>
          </cell>
          <cell r="GV6" t="str">
            <v/>
          </cell>
          <cell r="GW6" t="str">
            <v/>
          </cell>
          <cell r="GX6" t="str">
            <v/>
          </cell>
          <cell r="GY6" t="str">
            <v/>
          </cell>
          <cell r="GZ6" t="str">
            <v/>
          </cell>
          <cell r="HA6" t="str">
            <v/>
          </cell>
          <cell r="HB6" t="str">
            <v/>
          </cell>
          <cell r="HC6" t="str">
            <v/>
          </cell>
          <cell r="HD6" t="str">
            <v/>
          </cell>
          <cell r="HE6" t="str">
            <v/>
          </cell>
          <cell r="HF6" t="str">
            <v/>
          </cell>
          <cell r="HG6" t="str">
            <v/>
          </cell>
          <cell r="HH6" t="str">
            <v/>
          </cell>
          <cell r="HI6" t="str">
            <v/>
          </cell>
          <cell r="HJ6" t="str">
            <v/>
          </cell>
          <cell r="HK6" t="str">
            <v/>
          </cell>
          <cell r="HL6" t="str">
            <v/>
          </cell>
          <cell r="HM6" t="str">
            <v/>
          </cell>
          <cell r="HN6" t="str">
            <v/>
          </cell>
          <cell r="HO6" t="str">
            <v/>
          </cell>
          <cell r="HP6" t="str">
            <v/>
          </cell>
          <cell r="HQ6" t="str">
            <v/>
          </cell>
          <cell r="HR6" t="str">
            <v/>
          </cell>
          <cell r="HS6" t="str">
            <v/>
          </cell>
          <cell r="HT6" t="str">
            <v/>
          </cell>
          <cell r="HU6" t="str">
            <v/>
          </cell>
          <cell r="HV6" t="str">
            <v/>
          </cell>
          <cell r="HW6" t="str">
            <v/>
          </cell>
          <cell r="HX6" t="str">
            <v/>
          </cell>
          <cell r="HY6" t="str">
            <v/>
          </cell>
          <cell r="HZ6" t="str">
            <v/>
          </cell>
          <cell r="IA6" t="str">
            <v/>
          </cell>
          <cell r="IB6" t="str">
            <v/>
          </cell>
          <cell r="IC6" t="str">
            <v/>
          </cell>
          <cell r="ID6" t="str">
            <v/>
          </cell>
          <cell r="IE6" t="str">
            <v/>
          </cell>
          <cell r="IF6" t="str">
            <v/>
          </cell>
          <cell r="IG6" t="str">
            <v/>
          </cell>
          <cell r="IH6" t="str">
            <v/>
          </cell>
          <cell r="II6" t="str">
            <v/>
          </cell>
          <cell r="IJ6" t="str">
            <v/>
          </cell>
          <cell r="IK6" t="str">
            <v/>
          </cell>
          <cell r="IL6" t="str">
            <v/>
          </cell>
          <cell r="IM6" t="str">
            <v/>
          </cell>
          <cell r="IN6" t="str">
            <v/>
          </cell>
          <cell r="IO6" t="str">
            <v/>
          </cell>
          <cell r="IP6" t="str">
            <v/>
          </cell>
          <cell r="IQ6" t="str">
            <v/>
          </cell>
          <cell r="IR6" t="str">
            <v/>
          </cell>
          <cell r="IS6" t="str">
            <v/>
          </cell>
          <cell r="IT6" t="str">
            <v/>
          </cell>
          <cell r="IU6" t="str">
            <v/>
          </cell>
          <cell r="IV6" t="str">
            <v/>
          </cell>
          <cell r="IW6" t="str">
            <v/>
          </cell>
          <cell r="IX6" t="str">
            <v/>
          </cell>
          <cell r="IY6" t="str">
            <v/>
          </cell>
          <cell r="IZ6" t="str">
            <v/>
          </cell>
          <cell r="JA6" t="str">
            <v/>
          </cell>
          <cell r="JB6" t="str">
            <v/>
          </cell>
          <cell r="JC6" t="str">
            <v/>
          </cell>
          <cell r="JD6" t="str">
            <v/>
          </cell>
          <cell r="JE6" t="str">
            <v/>
          </cell>
          <cell r="JF6" t="str">
            <v/>
          </cell>
          <cell r="JG6" t="str">
            <v/>
          </cell>
          <cell r="JH6" t="str">
            <v/>
          </cell>
          <cell r="JI6" t="str">
            <v/>
          </cell>
          <cell r="JJ6" t="str">
            <v/>
          </cell>
          <cell r="JK6" t="str">
            <v/>
          </cell>
          <cell r="JL6" t="str">
            <v/>
          </cell>
          <cell r="JM6" t="str">
            <v/>
          </cell>
          <cell r="JN6" t="str">
            <v/>
          </cell>
          <cell r="JO6" t="str">
            <v/>
          </cell>
          <cell r="JP6" t="str">
            <v/>
          </cell>
          <cell r="JQ6" t="str">
            <v/>
          </cell>
          <cell r="JR6" t="str">
            <v/>
          </cell>
          <cell r="JS6" t="str">
            <v/>
          </cell>
          <cell r="JT6" t="str">
            <v/>
          </cell>
          <cell r="JU6" t="str">
            <v/>
          </cell>
          <cell r="JV6" t="str">
            <v/>
          </cell>
          <cell r="JW6" t="str">
            <v/>
          </cell>
          <cell r="JX6" t="str">
            <v/>
          </cell>
          <cell r="JY6" t="str">
            <v/>
          </cell>
          <cell r="JZ6" t="str">
            <v/>
          </cell>
          <cell r="KA6" t="str">
            <v/>
          </cell>
          <cell r="KB6" t="str">
            <v/>
          </cell>
          <cell r="KC6" t="str">
            <v/>
          </cell>
          <cell r="KD6">
            <v>12</v>
          </cell>
          <cell r="KE6">
            <v>0</v>
          </cell>
          <cell r="KF6">
            <v>0</v>
          </cell>
          <cell r="KG6">
            <v>10</v>
          </cell>
          <cell r="KH6">
            <v>10</v>
          </cell>
          <cell r="KI6">
            <v>10</v>
          </cell>
          <cell r="KJ6">
            <v>0</v>
          </cell>
          <cell r="KM6">
            <v>0</v>
          </cell>
          <cell r="KP6">
            <v>0</v>
          </cell>
          <cell r="KS6">
            <v>0</v>
          </cell>
          <cell r="KV6">
            <v>0</v>
          </cell>
          <cell r="KY6">
            <v>0</v>
          </cell>
          <cell r="LB6">
            <v>0</v>
          </cell>
          <cell r="LE6">
            <v>0</v>
          </cell>
          <cell r="LH6">
            <v>0</v>
          </cell>
          <cell r="LK6">
            <v>0</v>
          </cell>
          <cell r="LO6">
            <v>45679</v>
          </cell>
          <cell r="LP6" t="str">
            <v>COMPLETADO</v>
          </cell>
        </row>
        <row r="7">
          <cell r="A7">
            <v>1588</v>
          </cell>
          <cell r="B7" t="str">
            <v>RUBEN</v>
          </cell>
          <cell r="C7" t="str">
            <v>BARRACAS GRANDE</v>
          </cell>
          <cell r="D7" t="str">
            <v>MARROQUINERIA GRANDE</v>
          </cell>
          <cell r="E7">
            <v>15</v>
          </cell>
          <cell r="F7">
            <v>10</v>
          </cell>
          <cell r="G7">
            <v>5</v>
          </cell>
          <cell r="H7">
            <v>45729.407581018517</v>
          </cell>
          <cell r="I7" t="str">
            <v>CARTERA APHOLO C/CIERRE</v>
          </cell>
          <cell r="J7">
            <v>45670</v>
          </cell>
          <cell r="K7">
            <v>45679</v>
          </cell>
          <cell r="M7">
            <v>43</v>
          </cell>
          <cell r="N7" t="str">
            <v>M033</v>
          </cell>
          <cell r="O7" t="str">
            <v>AV0101030201</v>
          </cell>
          <cell r="P7">
            <v>1</v>
          </cell>
          <cell r="Q7" t="str">
            <v>AV1000380101</v>
          </cell>
          <cell r="R7">
            <v>1</v>
          </cell>
          <cell r="S7" t="str">
            <v>AV0300400101</v>
          </cell>
          <cell r="T7">
            <v>1</v>
          </cell>
          <cell r="U7" t="str">
            <v>BAC1300020827</v>
          </cell>
          <cell r="V7">
            <v>0.02</v>
          </cell>
          <cell r="W7" t="str">
            <v>AV170129018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>TIRACIERRE 1 ARGOLLITA + TIRA CON REMACHE + GRABADO ESTRELLA</v>
          </cell>
          <cell r="AT7" t="str">
            <v/>
          </cell>
          <cell r="AU7" t="str">
            <v/>
          </cell>
          <cell r="AV7" t="str">
            <v/>
          </cell>
          <cell r="AW7" t="str">
            <v xml:space="preserve">GRABADO "EL LUCERO" GRANDE - EN ESPALDA, CENTRADO A 3 CM DEL BORDE SUPERIOR  </v>
          </cell>
          <cell r="AX7" t="str">
            <v>CEDRO</v>
          </cell>
          <cell r="AY7" t="str">
            <v>BIANCO-CUERO FIORENTINO</v>
          </cell>
          <cell r="AZ7" t="str">
            <v>CUE0000055</v>
          </cell>
          <cell r="BA7">
            <v>0.71</v>
          </cell>
          <cell r="BB7" t="str">
            <v>AV1401240545</v>
          </cell>
          <cell r="BC7">
            <v>0</v>
          </cell>
          <cell r="BD7" t="str">
            <v>FOR0000021</v>
          </cell>
          <cell r="BE7">
            <v>0.03</v>
          </cell>
          <cell r="BF7" t="str">
            <v>CIE0000002</v>
          </cell>
          <cell r="BG7">
            <v>0.41</v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>MALBEC</v>
          </cell>
          <cell r="BS7" t="str">
            <v>ARENA-CUERO BRIDGE</v>
          </cell>
          <cell r="BT7" t="str">
            <v>CUE0000008</v>
          </cell>
          <cell r="BU7">
            <v>0.71</v>
          </cell>
          <cell r="BV7" t="str">
            <v>AV1401240545</v>
          </cell>
          <cell r="BW7">
            <v>0</v>
          </cell>
          <cell r="BX7" t="str">
            <v>FOR0000020</v>
          </cell>
          <cell r="BY7">
            <v>0.03</v>
          </cell>
          <cell r="BZ7" t="str">
            <v>AV0100010261</v>
          </cell>
          <cell r="CA7">
            <v>0.41</v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>CHOCOLATE</v>
          </cell>
          <cell r="CM7" t="str">
            <v>ARENA-CUERO BRIDGE</v>
          </cell>
          <cell r="CN7" t="str">
            <v>CUE0000005</v>
          </cell>
          <cell r="CO7">
            <v>0.71</v>
          </cell>
          <cell r="CP7" t="str">
            <v>AV1401240545</v>
          </cell>
          <cell r="CQ7">
            <v>0</v>
          </cell>
          <cell r="CR7" t="str">
            <v>FOR0000021</v>
          </cell>
          <cell r="CS7">
            <v>0.03</v>
          </cell>
          <cell r="CT7" t="str">
            <v>CIE0000002</v>
          </cell>
          <cell r="CU7">
            <v>0.41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  <cell r="DW7" t="str">
            <v/>
          </cell>
          <cell r="DX7" t="str">
            <v/>
          </cell>
          <cell r="DY7" t="str">
            <v/>
          </cell>
          <cell r="DZ7" t="str">
            <v/>
          </cell>
          <cell r="EA7" t="str">
            <v/>
          </cell>
          <cell r="EB7" t="str">
            <v/>
          </cell>
          <cell r="EC7" t="str">
            <v/>
          </cell>
          <cell r="ED7" t="str">
            <v/>
          </cell>
          <cell r="EE7" t="str">
            <v/>
          </cell>
          <cell r="EF7" t="str">
            <v/>
          </cell>
          <cell r="EG7" t="str">
            <v/>
          </cell>
          <cell r="EH7" t="str">
            <v/>
          </cell>
          <cell r="EI7" t="str">
            <v/>
          </cell>
          <cell r="EJ7" t="str">
            <v/>
          </cell>
          <cell r="EK7" t="str">
            <v/>
          </cell>
          <cell r="EL7" t="str">
            <v/>
          </cell>
          <cell r="EM7" t="str">
            <v/>
          </cell>
          <cell r="EN7" t="str">
            <v/>
          </cell>
          <cell r="EO7" t="str">
            <v/>
          </cell>
          <cell r="EP7" t="str">
            <v/>
          </cell>
          <cell r="EQ7" t="str">
            <v/>
          </cell>
          <cell r="ER7" t="str">
            <v/>
          </cell>
          <cell r="ES7" t="str">
            <v/>
          </cell>
          <cell r="ET7" t="str">
            <v/>
          </cell>
          <cell r="EU7" t="str">
            <v/>
          </cell>
          <cell r="EV7" t="str">
            <v/>
          </cell>
          <cell r="EW7" t="str">
            <v/>
          </cell>
          <cell r="EX7" t="str">
            <v/>
          </cell>
          <cell r="EY7" t="str">
            <v/>
          </cell>
          <cell r="EZ7" t="str">
            <v/>
          </cell>
          <cell r="FA7" t="str">
            <v/>
          </cell>
          <cell r="FB7" t="str">
            <v/>
          </cell>
          <cell r="FC7" t="str">
            <v/>
          </cell>
          <cell r="FD7" t="str">
            <v/>
          </cell>
          <cell r="FE7" t="str">
            <v/>
          </cell>
          <cell r="FF7" t="str">
            <v/>
          </cell>
          <cell r="FG7" t="str">
            <v/>
          </cell>
          <cell r="FH7" t="str">
            <v/>
          </cell>
          <cell r="FI7" t="str">
            <v/>
          </cell>
          <cell r="FJ7" t="str">
            <v/>
          </cell>
          <cell r="FK7" t="str">
            <v/>
          </cell>
          <cell r="FL7" t="str">
            <v/>
          </cell>
          <cell r="FM7" t="str">
            <v/>
          </cell>
          <cell r="FN7" t="str">
            <v/>
          </cell>
          <cell r="FO7" t="str">
            <v/>
          </cell>
          <cell r="FP7" t="str">
            <v/>
          </cell>
          <cell r="FQ7" t="str">
            <v/>
          </cell>
          <cell r="FR7" t="str">
            <v/>
          </cell>
          <cell r="FS7" t="str">
            <v/>
          </cell>
          <cell r="FT7" t="str">
            <v/>
          </cell>
          <cell r="FU7" t="str">
            <v/>
          </cell>
          <cell r="FV7" t="str">
            <v/>
          </cell>
          <cell r="FW7" t="str">
            <v/>
          </cell>
          <cell r="FX7" t="str">
            <v/>
          </cell>
          <cell r="FY7" t="str">
            <v/>
          </cell>
          <cell r="FZ7" t="str">
            <v/>
          </cell>
          <cell r="GA7" t="str">
            <v/>
          </cell>
          <cell r="GB7" t="str">
            <v/>
          </cell>
          <cell r="GC7" t="str">
            <v/>
          </cell>
          <cell r="GD7" t="str">
            <v/>
          </cell>
          <cell r="GE7" t="str">
            <v/>
          </cell>
          <cell r="GF7" t="str">
            <v/>
          </cell>
          <cell r="GG7" t="str">
            <v/>
          </cell>
          <cell r="GH7" t="str">
            <v/>
          </cell>
          <cell r="GI7" t="str">
            <v/>
          </cell>
          <cell r="GJ7" t="str">
            <v/>
          </cell>
          <cell r="GK7" t="str">
            <v/>
          </cell>
          <cell r="GL7" t="str">
            <v/>
          </cell>
          <cell r="GM7" t="str">
            <v/>
          </cell>
          <cell r="GN7" t="str">
            <v/>
          </cell>
          <cell r="GO7" t="str">
            <v/>
          </cell>
          <cell r="GP7" t="str">
            <v/>
          </cell>
          <cell r="GQ7" t="str">
            <v/>
          </cell>
          <cell r="GR7" t="str">
            <v/>
          </cell>
          <cell r="GS7" t="str">
            <v/>
          </cell>
          <cell r="GT7" t="str">
            <v/>
          </cell>
          <cell r="GU7" t="str">
            <v/>
          </cell>
          <cell r="GV7" t="str">
            <v/>
          </cell>
          <cell r="GW7" t="str">
            <v/>
          </cell>
          <cell r="GX7" t="str">
            <v/>
          </cell>
          <cell r="GY7" t="str">
            <v/>
          </cell>
          <cell r="GZ7" t="str">
            <v/>
          </cell>
          <cell r="HA7" t="str">
            <v/>
          </cell>
          <cell r="HB7" t="str">
            <v/>
          </cell>
          <cell r="HC7" t="str">
            <v/>
          </cell>
          <cell r="HD7" t="str">
            <v/>
          </cell>
          <cell r="HE7" t="str">
            <v/>
          </cell>
          <cell r="HF7" t="str">
            <v/>
          </cell>
          <cell r="HG7" t="str">
            <v/>
          </cell>
          <cell r="HH7" t="str">
            <v/>
          </cell>
          <cell r="HI7" t="str">
            <v/>
          </cell>
          <cell r="HJ7" t="str">
            <v/>
          </cell>
          <cell r="HK7" t="str">
            <v/>
          </cell>
          <cell r="HL7" t="str">
            <v/>
          </cell>
          <cell r="HM7" t="str">
            <v/>
          </cell>
          <cell r="HN7" t="str">
            <v/>
          </cell>
          <cell r="HO7" t="str">
            <v/>
          </cell>
          <cell r="HP7" t="str">
            <v/>
          </cell>
          <cell r="HQ7" t="str">
            <v/>
          </cell>
          <cell r="HR7" t="str">
            <v/>
          </cell>
          <cell r="HS7" t="str">
            <v/>
          </cell>
          <cell r="HT7" t="str">
            <v/>
          </cell>
          <cell r="HU7" t="str">
            <v/>
          </cell>
          <cell r="HV7" t="str">
            <v/>
          </cell>
          <cell r="HW7" t="str">
            <v/>
          </cell>
          <cell r="HX7" t="str">
            <v/>
          </cell>
          <cell r="HY7" t="str">
            <v/>
          </cell>
          <cell r="HZ7" t="str">
            <v/>
          </cell>
          <cell r="IA7" t="str">
            <v/>
          </cell>
          <cell r="IB7" t="str">
            <v/>
          </cell>
          <cell r="IC7" t="str">
            <v/>
          </cell>
          <cell r="ID7" t="str">
            <v/>
          </cell>
          <cell r="IE7" t="str">
            <v/>
          </cell>
          <cell r="IF7" t="str">
            <v/>
          </cell>
          <cell r="IG7" t="str">
            <v/>
          </cell>
          <cell r="IH7" t="str">
            <v/>
          </cell>
          <cell r="II7" t="str">
            <v/>
          </cell>
          <cell r="IJ7" t="str">
            <v/>
          </cell>
          <cell r="IK7" t="str">
            <v/>
          </cell>
          <cell r="IL7" t="str">
            <v/>
          </cell>
          <cell r="IM7" t="str">
            <v/>
          </cell>
          <cell r="IN7" t="str">
            <v/>
          </cell>
          <cell r="IO7" t="str">
            <v/>
          </cell>
          <cell r="IP7" t="str">
            <v/>
          </cell>
          <cell r="IQ7" t="str">
            <v/>
          </cell>
          <cell r="IR7" t="str">
            <v/>
          </cell>
          <cell r="IS7" t="str">
            <v/>
          </cell>
          <cell r="IT7" t="str">
            <v/>
          </cell>
          <cell r="IU7" t="str">
            <v/>
          </cell>
          <cell r="IV7" t="str">
            <v/>
          </cell>
          <cell r="IW7" t="str">
            <v/>
          </cell>
          <cell r="IX7" t="str">
            <v/>
          </cell>
          <cell r="IY7" t="str">
            <v/>
          </cell>
          <cell r="IZ7" t="str">
            <v/>
          </cell>
          <cell r="JA7" t="str">
            <v/>
          </cell>
          <cell r="JB7" t="str">
            <v/>
          </cell>
          <cell r="JC7" t="str">
            <v/>
          </cell>
          <cell r="JD7" t="str">
            <v/>
          </cell>
          <cell r="JE7" t="str">
            <v/>
          </cell>
          <cell r="JF7" t="str">
            <v/>
          </cell>
          <cell r="JG7" t="str">
            <v/>
          </cell>
          <cell r="JH7" t="str">
            <v/>
          </cell>
          <cell r="JI7" t="str">
            <v/>
          </cell>
          <cell r="JJ7" t="str">
            <v/>
          </cell>
          <cell r="JK7" t="str">
            <v/>
          </cell>
          <cell r="JL7" t="str">
            <v/>
          </cell>
          <cell r="JM7" t="str">
            <v/>
          </cell>
          <cell r="JN7" t="str">
            <v/>
          </cell>
          <cell r="JO7" t="str">
            <v/>
          </cell>
          <cell r="JP7" t="str">
            <v/>
          </cell>
          <cell r="JQ7" t="str">
            <v/>
          </cell>
          <cell r="JR7" t="str">
            <v/>
          </cell>
          <cell r="JS7" t="str">
            <v/>
          </cell>
          <cell r="JT7" t="str">
            <v/>
          </cell>
          <cell r="JU7" t="str">
            <v/>
          </cell>
          <cell r="JV7" t="str">
            <v/>
          </cell>
          <cell r="JW7" t="str">
            <v/>
          </cell>
          <cell r="JX7" t="str">
            <v/>
          </cell>
          <cell r="JY7" t="str">
            <v/>
          </cell>
          <cell r="JZ7" t="str">
            <v/>
          </cell>
          <cell r="KA7" t="str">
            <v/>
          </cell>
          <cell r="KB7" t="str">
            <v/>
          </cell>
          <cell r="KC7" t="str">
            <v/>
          </cell>
          <cell r="KD7">
            <v>5</v>
          </cell>
          <cell r="KE7">
            <v>5</v>
          </cell>
          <cell r="KF7">
            <v>5</v>
          </cell>
          <cell r="KG7">
            <v>5</v>
          </cell>
          <cell r="KH7">
            <v>0</v>
          </cell>
          <cell r="KI7">
            <v>0</v>
          </cell>
          <cell r="KJ7">
            <v>5</v>
          </cell>
          <cell r="KK7">
            <v>5</v>
          </cell>
          <cell r="KM7">
            <v>0</v>
          </cell>
          <cell r="KP7">
            <v>0</v>
          </cell>
          <cell r="KS7">
            <v>0</v>
          </cell>
          <cell r="KV7">
            <v>0</v>
          </cell>
          <cell r="KY7">
            <v>0</v>
          </cell>
          <cell r="LB7">
            <v>0</v>
          </cell>
          <cell r="LE7">
            <v>0</v>
          </cell>
          <cell r="LH7">
            <v>0</v>
          </cell>
          <cell r="LK7">
            <v>0</v>
          </cell>
          <cell r="LO7">
            <v>45679</v>
          </cell>
          <cell r="LP7" t="str">
            <v>COMPLETADO</v>
          </cell>
        </row>
        <row r="8">
          <cell r="A8">
            <v>1589</v>
          </cell>
          <cell r="B8" t="str">
            <v>RUBEN</v>
          </cell>
          <cell r="C8" t="str">
            <v>BARRACAS GRANDE</v>
          </cell>
          <cell r="D8" t="str">
            <v>MARROQUINERIA GRANDE</v>
          </cell>
          <cell r="E8">
            <v>6</v>
          </cell>
          <cell r="F8">
            <v>4</v>
          </cell>
          <cell r="G8">
            <v>4</v>
          </cell>
          <cell r="H8">
            <v>45729.4922337963</v>
          </cell>
          <cell r="I8" t="str">
            <v>BANDOLERA YARA</v>
          </cell>
          <cell r="J8">
            <v>45670</v>
          </cell>
          <cell r="K8">
            <v>45679</v>
          </cell>
          <cell r="M8">
            <v>90</v>
          </cell>
          <cell r="N8" t="str">
            <v>M011</v>
          </cell>
          <cell r="O8" t="str">
            <v>BAC1300020827</v>
          </cell>
          <cell r="P8">
            <v>0.01</v>
          </cell>
          <cell r="Q8" t="str">
            <v>AV1000780101</v>
          </cell>
          <cell r="R8">
            <v>2</v>
          </cell>
          <cell r="S8" t="str">
            <v>AV0600580101</v>
          </cell>
          <cell r="T8">
            <v>2</v>
          </cell>
          <cell r="U8" t="str">
            <v>AV0101030201</v>
          </cell>
          <cell r="V8">
            <v>2</v>
          </cell>
          <cell r="W8" t="str">
            <v>AV0300260101</v>
          </cell>
          <cell r="X8">
            <v>1</v>
          </cell>
          <cell r="Y8" t="str">
            <v>AV0400900101</v>
          </cell>
          <cell r="Z8">
            <v>1</v>
          </cell>
          <cell r="AA8" t="str">
            <v>AV1000380101</v>
          </cell>
          <cell r="AB8">
            <v>2</v>
          </cell>
          <cell r="AC8" t="str">
            <v>AV0300390101</v>
          </cell>
          <cell r="AD8">
            <v>2</v>
          </cell>
          <cell r="AE8" t="str">
            <v>AV170129018</v>
          </cell>
          <cell r="AF8">
            <v>0</v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>TIRACIERRES N1 - ARGOLLITA CON TIRA DE CUERO</v>
          </cell>
          <cell r="AT8" t="str">
            <v>CON REMACHE + GRABADO ESTRELLA</v>
          </cell>
          <cell r="AU8" t="str">
            <v/>
          </cell>
          <cell r="AV8" t="str">
            <v/>
          </cell>
          <cell r="AW8" t="str">
            <v xml:space="preserve"> GRABADO "EL 
LUCERO" GRANDE - 
CENTRADO EN 
ESPALDA A 3 CM 
DESDE BORDE 
SUPERIOR</v>
          </cell>
          <cell r="AX8" t="str">
            <v>TABACO</v>
          </cell>
          <cell r="AY8" t="str">
            <v>ARENA-CUERO BRIDGE</v>
          </cell>
          <cell r="AZ8" t="str">
            <v>CUE0000012</v>
          </cell>
          <cell r="BA8">
            <v>0.2</v>
          </cell>
          <cell r="BB8" t="str">
            <v>FOR0000021</v>
          </cell>
          <cell r="BC8">
            <v>0.17</v>
          </cell>
          <cell r="BD8" t="str">
            <v>AV0100010214</v>
          </cell>
          <cell r="BE8">
            <v>0.62</v>
          </cell>
          <cell r="BF8" t="str">
            <v>AV1101180538</v>
          </cell>
          <cell r="BG8">
            <v>0.68</v>
          </cell>
          <cell r="BH8" t="str">
            <v>AV1101580538</v>
          </cell>
          <cell r="BI8">
            <v>1.5</v>
          </cell>
          <cell r="BJ8" t="str">
            <v>AV1401240545</v>
          </cell>
          <cell r="BK8">
            <v>0</v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>VERDE_REVES_VERDE</v>
          </cell>
          <cell r="BS8" t="str">
            <v>BIANCO-CUERO MODENA ESPESOR 1,8</v>
          </cell>
          <cell r="BT8" t="str">
            <v>CUE0000157</v>
          </cell>
          <cell r="BU8">
            <v>0.2</v>
          </cell>
          <cell r="BV8" t="str">
            <v>FOR0000020</v>
          </cell>
          <cell r="BW8">
            <v>0.17</v>
          </cell>
          <cell r="BX8" t="str">
            <v>AV0100010217</v>
          </cell>
          <cell r="BY8">
            <v>0.62</v>
          </cell>
          <cell r="BZ8" t="str">
            <v>AV1101170526</v>
          </cell>
          <cell r="CA8">
            <v>0.68</v>
          </cell>
          <cell r="CB8" t="str">
            <v>AV1102130726</v>
          </cell>
          <cell r="CC8">
            <v>1.5</v>
          </cell>
          <cell r="CD8" t="str">
            <v>AV1401244240</v>
          </cell>
          <cell r="CE8">
            <v>0</v>
          </cell>
          <cell r="CF8" t="str">
            <v>AV1601300957</v>
          </cell>
          <cell r="CG8">
            <v>0</v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  <cell r="DW8" t="str">
            <v/>
          </cell>
          <cell r="DX8" t="str">
            <v/>
          </cell>
          <cell r="DY8" t="str">
            <v/>
          </cell>
          <cell r="DZ8" t="str">
            <v/>
          </cell>
          <cell r="EA8" t="str">
            <v/>
          </cell>
          <cell r="EB8" t="str">
            <v/>
          </cell>
          <cell r="EC8" t="str">
            <v/>
          </cell>
          <cell r="ED8" t="str">
            <v/>
          </cell>
          <cell r="EE8" t="str">
            <v/>
          </cell>
          <cell r="EF8" t="str">
            <v/>
          </cell>
          <cell r="EG8" t="str">
            <v/>
          </cell>
          <cell r="EH8" t="str">
            <v/>
          </cell>
          <cell r="EI8" t="str">
            <v/>
          </cell>
          <cell r="EJ8" t="str">
            <v/>
          </cell>
          <cell r="EK8" t="str">
            <v/>
          </cell>
          <cell r="EL8" t="str">
            <v/>
          </cell>
          <cell r="EM8" t="str">
            <v/>
          </cell>
          <cell r="EN8" t="str">
            <v/>
          </cell>
          <cell r="EO8" t="str">
            <v/>
          </cell>
          <cell r="EP8" t="str">
            <v/>
          </cell>
          <cell r="EQ8" t="str">
            <v/>
          </cell>
          <cell r="ER8" t="str">
            <v/>
          </cell>
          <cell r="ES8" t="str">
            <v/>
          </cell>
          <cell r="ET8" t="str">
            <v/>
          </cell>
          <cell r="EU8" t="str">
            <v/>
          </cell>
          <cell r="EV8" t="str">
            <v/>
          </cell>
          <cell r="EW8" t="str">
            <v/>
          </cell>
          <cell r="EX8" t="str">
            <v/>
          </cell>
          <cell r="EY8" t="str">
            <v/>
          </cell>
          <cell r="EZ8" t="str">
            <v/>
          </cell>
          <cell r="FA8" t="str">
            <v/>
          </cell>
          <cell r="FB8" t="str">
            <v/>
          </cell>
          <cell r="FC8" t="str">
            <v/>
          </cell>
          <cell r="FD8" t="str">
            <v/>
          </cell>
          <cell r="FE8" t="str">
            <v/>
          </cell>
          <cell r="FF8" t="str">
            <v/>
          </cell>
          <cell r="FG8" t="str">
            <v/>
          </cell>
          <cell r="FH8" t="str">
            <v/>
          </cell>
          <cell r="FI8" t="str">
            <v/>
          </cell>
          <cell r="FJ8" t="str">
            <v/>
          </cell>
          <cell r="FK8" t="str">
            <v/>
          </cell>
          <cell r="FL8" t="str">
            <v/>
          </cell>
          <cell r="FM8" t="str">
            <v/>
          </cell>
          <cell r="FN8" t="str">
            <v/>
          </cell>
          <cell r="FO8" t="str">
            <v/>
          </cell>
          <cell r="FP8" t="str">
            <v/>
          </cell>
          <cell r="FQ8" t="str">
            <v/>
          </cell>
          <cell r="FR8" t="str">
            <v/>
          </cell>
          <cell r="FS8" t="str">
            <v/>
          </cell>
          <cell r="FT8" t="str">
            <v/>
          </cell>
          <cell r="FU8" t="str">
            <v/>
          </cell>
          <cell r="FV8" t="str">
            <v/>
          </cell>
          <cell r="FW8" t="str">
            <v/>
          </cell>
          <cell r="FX8" t="str">
            <v/>
          </cell>
          <cell r="FY8" t="str">
            <v/>
          </cell>
          <cell r="FZ8" t="str">
            <v/>
          </cell>
          <cell r="GA8" t="str">
            <v/>
          </cell>
          <cell r="GB8" t="str">
            <v/>
          </cell>
          <cell r="GC8" t="str">
            <v/>
          </cell>
          <cell r="GD8" t="str">
            <v/>
          </cell>
          <cell r="GE8" t="str">
            <v/>
          </cell>
          <cell r="GF8" t="str">
            <v/>
          </cell>
          <cell r="GG8" t="str">
            <v/>
          </cell>
          <cell r="GH8" t="str">
            <v/>
          </cell>
          <cell r="GI8" t="str">
            <v/>
          </cell>
          <cell r="GJ8" t="str">
            <v/>
          </cell>
          <cell r="GK8" t="str">
            <v/>
          </cell>
          <cell r="GL8" t="str">
            <v/>
          </cell>
          <cell r="GM8" t="str">
            <v/>
          </cell>
          <cell r="GN8" t="str">
            <v/>
          </cell>
          <cell r="GO8" t="str">
            <v/>
          </cell>
          <cell r="GP8" t="str">
            <v/>
          </cell>
          <cell r="GQ8" t="str">
            <v/>
          </cell>
          <cell r="GR8" t="str">
            <v/>
          </cell>
          <cell r="GS8" t="str">
            <v/>
          </cell>
          <cell r="GT8" t="str">
            <v/>
          </cell>
          <cell r="GU8" t="str">
            <v/>
          </cell>
          <cell r="GV8" t="str">
            <v/>
          </cell>
          <cell r="GW8" t="str">
            <v/>
          </cell>
          <cell r="GX8" t="str">
            <v/>
          </cell>
          <cell r="GY8" t="str">
            <v/>
          </cell>
          <cell r="GZ8" t="str">
            <v/>
          </cell>
          <cell r="HA8" t="str">
            <v/>
          </cell>
          <cell r="HB8" t="str">
            <v/>
          </cell>
          <cell r="HC8" t="str">
            <v/>
          </cell>
          <cell r="HD8" t="str">
            <v/>
          </cell>
          <cell r="HE8" t="str">
            <v/>
          </cell>
          <cell r="HF8" t="str">
            <v/>
          </cell>
          <cell r="HG8" t="str">
            <v/>
          </cell>
          <cell r="HH8" t="str">
            <v/>
          </cell>
          <cell r="HI8" t="str">
            <v/>
          </cell>
          <cell r="HJ8" t="str">
            <v/>
          </cell>
          <cell r="HK8" t="str">
            <v/>
          </cell>
          <cell r="HL8" t="str">
            <v/>
          </cell>
          <cell r="HM8" t="str">
            <v/>
          </cell>
          <cell r="HN8" t="str">
            <v/>
          </cell>
          <cell r="HO8" t="str">
            <v/>
          </cell>
          <cell r="HP8" t="str">
            <v/>
          </cell>
          <cell r="HQ8" t="str">
            <v/>
          </cell>
          <cell r="HR8" t="str">
            <v/>
          </cell>
          <cell r="HS8" t="str">
            <v/>
          </cell>
          <cell r="HT8" t="str">
            <v/>
          </cell>
          <cell r="HU8" t="str">
            <v/>
          </cell>
          <cell r="HV8" t="str">
            <v/>
          </cell>
          <cell r="HW8" t="str">
            <v/>
          </cell>
          <cell r="HX8" t="str">
            <v/>
          </cell>
          <cell r="HY8" t="str">
            <v/>
          </cell>
          <cell r="HZ8" t="str">
            <v/>
          </cell>
          <cell r="IA8" t="str">
            <v/>
          </cell>
          <cell r="IB8" t="str">
            <v/>
          </cell>
          <cell r="IC8" t="str">
            <v/>
          </cell>
          <cell r="ID8" t="str">
            <v/>
          </cell>
          <cell r="IE8" t="str">
            <v/>
          </cell>
          <cell r="IF8" t="str">
            <v/>
          </cell>
          <cell r="IG8" t="str">
            <v/>
          </cell>
          <cell r="IH8" t="str">
            <v/>
          </cell>
          <cell r="II8" t="str">
            <v/>
          </cell>
          <cell r="IJ8" t="str">
            <v/>
          </cell>
          <cell r="IK8" t="str">
            <v/>
          </cell>
          <cell r="IL8" t="str">
            <v/>
          </cell>
          <cell r="IM8" t="str">
            <v/>
          </cell>
          <cell r="IN8" t="str">
            <v/>
          </cell>
          <cell r="IO8" t="str">
            <v/>
          </cell>
          <cell r="IP8" t="str">
            <v/>
          </cell>
          <cell r="IQ8" t="str">
            <v/>
          </cell>
          <cell r="IR8" t="str">
            <v/>
          </cell>
          <cell r="IS8" t="str">
            <v/>
          </cell>
          <cell r="IT8" t="str">
            <v/>
          </cell>
          <cell r="IU8" t="str">
            <v/>
          </cell>
          <cell r="IV8" t="str">
            <v/>
          </cell>
          <cell r="IW8" t="str">
            <v/>
          </cell>
          <cell r="IX8" t="str">
            <v/>
          </cell>
          <cell r="IY8" t="str">
            <v/>
          </cell>
          <cell r="IZ8" t="str">
            <v/>
          </cell>
          <cell r="JA8" t="str">
            <v/>
          </cell>
          <cell r="JB8" t="str">
            <v/>
          </cell>
          <cell r="JC8" t="str">
            <v/>
          </cell>
          <cell r="JD8" t="str">
            <v/>
          </cell>
          <cell r="JE8" t="str">
            <v/>
          </cell>
          <cell r="JF8" t="str">
            <v/>
          </cell>
          <cell r="JG8" t="str">
            <v/>
          </cell>
          <cell r="JH8" t="str">
            <v/>
          </cell>
          <cell r="JI8" t="str">
            <v/>
          </cell>
          <cell r="JJ8" t="str">
            <v/>
          </cell>
          <cell r="JK8" t="str">
            <v/>
          </cell>
          <cell r="JL8" t="str">
            <v/>
          </cell>
          <cell r="JM8" t="str">
            <v/>
          </cell>
          <cell r="JN8" t="str">
            <v/>
          </cell>
          <cell r="JO8" t="str">
            <v/>
          </cell>
          <cell r="JP8" t="str">
            <v/>
          </cell>
          <cell r="JQ8" t="str">
            <v/>
          </cell>
          <cell r="JR8" t="str">
            <v/>
          </cell>
          <cell r="JS8" t="str">
            <v/>
          </cell>
          <cell r="JT8" t="str">
            <v/>
          </cell>
          <cell r="JU8" t="str">
            <v/>
          </cell>
          <cell r="JV8" t="str">
            <v/>
          </cell>
          <cell r="JW8" t="str">
            <v/>
          </cell>
          <cell r="JX8" t="str">
            <v/>
          </cell>
          <cell r="JY8" t="str">
            <v/>
          </cell>
          <cell r="JZ8" t="str">
            <v/>
          </cell>
          <cell r="KA8" t="str">
            <v/>
          </cell>
          <cell r="KB8" t="str">
            <v/>
          </cell>
          <cell r="KC8" t="str">
            <v/>
          </cell>
          <cell r="KD8">
            <v>4</v>
          </cell>
          <cell r="KE8">
            <v>4</v>
          </cell>
          <cell r="KF8">
            <v>4</v>
          </cell>
          <cell r="KG8">
            <v>2</v>
          </cell>
          <cell r="KH8">
            <v>0</v>
          </cell>
          <cell r="KI8">
            <v>0</v>
          </cell>
          <cell r="KJ8">
            <v>0</v>
          </cell>
          <cell r="KM8">
            <v>0</v>
          </cell>
          <cell r="KP8">
            <v>0</v>
          </cell>
          <cell r="KS8">
            <v>0</v>
          </cell>
          <cell r="KV8">
            <v>0</v>
          </cell>
          <cell r="KY8">
            <v>0</v>
          </cell>
          <cell r="LB8">
            <v>0</v>
          </cell>
          <cell r="LE8">
            <v>0</v>
          </cell>
          <cell r="LH8">
            <v>0</v>
          </cell>
          <cell r="LK8">
            <v>0</v>
          </cell>
          <cell r="LO8">
            <v>45679</v>
          </cell>
          <cell r="LP8" t="str">
            <v>COMPLETADO</v>
          </cell>
        </row>
        <row r="9">
          <cell r="A9">
            <v>1590</v>
          </cell>
          <cell r="B9" t="str">
            <v>LUCIANO</v>
          </cell>
          <cell r="C9" t="str">
            <v>BARRACAS CHICA</v>
          </cell>
          <cell r="D9" t="str">
            <v>MARROQUINERIA CHICA</v>
          </cell>
          <cell r="E9">
            <v>13</v>
          </cell>
          <cell r="F9">
            <v>9</v>
          </cell>
          <cell r="G9">
            <v>5</v>
          </cell>
          <cell r="H9">
            <v>45729.512743055559</v>
          </cell>
          <cell r="I9" t="str">
            <v>BILLETERA COPAHUE</v>
          </cell>
          <cell r="J9">
            <v>45674</v>
          </cell>
          <cell r="K9">
            <v>45674</v>
          </cell>
          <cell r="L9">
            <v>45674</v>
          </cell>
          <cell r="M9">
            <v>50</v>
          </cell>
          <cell r="N9" t="str">
            <v>M014</v>
          </cell>
          <cell r="O9" t="str">
            <v>VAR0000002</v>
          </cell>
          <cell r="P9">
            <v>0.01</v>
          </cell>
          <cell r="Q9" t="str">
            <v>BAC1300050727</v>
          </cell>
          <cell r="R9">
            <v>0.01</v>
          </cell>
          <cell r="S9" t="str">
            <v>AV0101070301</v>
          </cell>
          <cell r="T9">
            <v>1</v>
          </cell>
          <cell r="U9" t="str">
            <v>AV0600560101</v>
          </cell>
          <cell r="V9">
            <v>1</v>
          </cell>
          <cell r="W9" t="str">
            <v>AV0401380101</v>
          </cell>
          <cell r="X9">
            <v>1</v>
          </cell>
          <cell r="Y9" t="str">
            <v>AV170134014</v>
          </cell>
          <cell r="Z9">
            <v>0</v>
          </cell>
          <cell r="AA9" t="str">
            <v>BAC0200071027</v>
          </cell>
          <cell r="AB9">
            <v>0.01</v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 xml:space="preserve">GRABADO EL LUCERO EN SOLAPA FRONTAL CENTRADO A 1 CM DEL BORDE  </v>
          </cell>
          <cell r="AX9" t="str">
            <v>NEGRO</v>
          </cell>
          <cell r="AY9" t="str">
            <v>ARENA-CUERO NAPADO</v>
          </cell>
          <cell r="AZ9" t="str">
            <v>CUE0000026</v>
          </cell>
          <cell r="BA9">
            <v>0.09</v>
          </cell>
          <cell r="BB9" t="str">
            <v>AV0100020303</v>
          </cell>
          <cell r="BC9">
            <v>0.12</v>
          </cell>
          <cell r="BD9" t="str">
            <v>FOR0000018</v>
          </cell>
          <cell r="BE9">
            <v>0.1</v>
          </cell>
          <cell r="BF9" t="str">
            <v>AV1401254060</v>
          </cell>
          <cell r="BG9">
            <v>0</v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>SUELA</v>
          </cell>
          <cell r="BS9" t="str">
            <v>ARENA-CUERO NAPADO</v>
          </cell>
          <cell r="BT9" t="str">
            <v>CUE0000028</v>
          </cell>
          <cell r="BU9">
            <v>0.09</v>
          </cell>
          <cell r="BV9" t="str">
            <v>AV0100020305</v>
          </cell>
          <cell r="BW9">
            <v>0.12</v>
          </cell>
          <cell r="BX9" t="str">
            <v>FOR0000015</v>
          </cell>
          <cell r="BY9">
            <v>0.1</v>
          </cell>
          <cell r="BZ9" t="str">
            <v>AV1401250545</v>
          </cell>
          <cell r="CA9">
            <v>0</v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>VERDE_REVES_VERDE</v>
          </cell>
          <cell r="CM9" t="str">
            <v>BIANCO-CUERO MODENA ESPESOR 1,8</v>
          </cell>
          <cell r="CN9" t="str">
            <v>CUE0000157</v>
          </cell>
          <cell r="CO9">
            <v>0.09</v>
          </cell>
          <cell r="CP9" t="str">
            <v>AV0100020317</v>
          </cell>
          <cell r="CQ9">
            <v>0.12</v>
          </cell>
          <cell r="CR9" t="str">
            <v>FOR0000013</v>
          </cell>
          <cell r="CS9">
            <v>0.1</v>
          </cell>
          <cell r="CT9" t="str">
            <v>AV1401254260</v>
          </cell>
          <cell r="CU9">
            <v>0</v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>AZUL_REVES_AZUL</v>
          </cell>
          <cell r="DG9" t="str">
            <v>BIANCO-CUERO MODENA ESPESOR 1,8</v>
          </cell>
          <cell r="DH9" t="str">
            <v>CUE0000156</v>
          </cell>
          <cell r="DI9">
            <v>0.09</v>
          </cell>
          <cell r="DJ9" t="str">
            <v>AV0100020336</v>
          </cell>
          <cell r="DK9">
            <v>0.12</v>
          </cell>
          <cell r="DL9" t="str">
            <v>FOR0000014</v>
          </cell>
          <cell r="DM9">
            <v>0.1</v>
          </cell>
          <cell r="DN9" t="str">
            <v>AV1401254360</v>
          </cell>
          <cell r="DO9">
            <v>0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  <cell r="DW9" t="str">
            <v/>
          </cell>
          <cell r="DX9" t="str">
            <v/>
          </cell>
          <cell r="DY9" t="str">
            <v/>
          </cell>
          <cell r="DZ9" t="str">
            <v/>
          </cell>
          <cell r="EA9" t="str">
            <v/>
          </cell>
          <cell r="EB9" t="str">
            <v/>
          </cell>
          <cell r="EC9" t="str">
            <v/>
          </cell>
          <cell r="ED9" t="str">
            <v/>
          </cell>
          <cell r="EE9" t="str">
            <v/>
          </cell>
          <cell r="EF9" t="str">
            <v/>
          </cell>
          <cell r="EG9" t="str">
            <v/>
          </cell>
          <cell r="EH9" t="str">
            <v/>
          </cell>
          <cell r="EI9" t="str">
            <v/>
          </cell>
          <cell r="EJ9" t="str">
            <v/>
          </cell>
          <cell r="EK9" t="str">
            <v/>
          </cell>
          <cell r="EL9" t="str">
            <v/>
          </cell>
          <cell r="EM9" t="str">
            <v/>
          </cell>
          <cell r="EN9" t="str">
            <v/>
          </cell>
          <cell r="EO9" t="str">
            <v/>
          </cell>
          <cell r="EP9" t="str">
            <v/>
          </cell>
          <cell r="EQ9" t="str">
            <v/>
          </cell>
          <cell r="ER9" t="str">
            <v/>
          </cell>
          <cell r="ES9" t="str">
            <v/>
          </cell>
          <cell r="ET9" t="str">
            <v/>
          </cell>
          <cell r="EU9" t="str">
            <v/>
          </cell>
          <cell r="EV9" t="str">
            <v/>
          </cell>
          <cell r="EW9" t="str">
            <v/>
          </cell>
          <cell r="EX9" t="str">
            <v/>
          </cell>
          <cell r="EY9" t="str">
            <v/>
          </cell>
          <cell r="EZ9" t="str">
            <v/>
          </cell>
          <cell r="FA9" t="str">
            <v/>
          </cell>
          <cell r="FB9" t="str">
            <v/>
          </cell>
          <cell r="FC9" t="str">
            <v/>
          </cell>
          <cell r="FD9" t="str">
            <v/>
          </cell>
          <cell r="FE9" t="str">
            <v/>
          </cell>
          <cell r="FF9" t="str">
            <v/>
          </cell>
          <cell r="FG9" t="str">
            <v/>
          </cell>
          <cell r="FH9" t="str">
            <v/>
          </cell>
          <cell r="FI9" t="str">
            <v/>
          </cell>
          <cell r="FJ9" t="str">
            <v/>
          </cell>
          <cell r="FK9" t="str">
            <v/>
          </cell>
          <cell r="FL9" t="str">
            <v/>
          </cell>
          <cell r="FM9" t="str">
            <v/>
          </cell>
          <cell r="FN9" t="str">
            <v/>
          </cell>
          <cell r="FO9" t="str">
            <v/>
          </cell>
          <cell r="FP9" t="str">
            <v/>
          </cell>
          <cell r="FQ9" t="str">
            <v/>
          </cell>
          <cell r="FR9" t="str">
            <v/>
          </cell>
          <cell r="FS9" t="str">
            <v/>
          </cell>
          <cell r="FT9" t="str">
            <v/>
          </cell>
          <cell r="FU9" t="str">
            <v/>
          </cell>
          <cell r="FV9" t="str">
            <v/>
          </cell>
          <cell r="FW9" t="str">
            <v/>
          </cell>
          <cell r="FX9" t="str">
            <v/>
          </cell>
          <cell r="FY9" t="str">
            <v/>
          </cell>
          <cell r="FZ9" t="str">
            <v/>
          </cell>
          <cell r="GA9" t="str">
            <v/>
          </cell>
          <cell r="GB9" t="str">
            <v/>
          </cell>
          <cell r="GC9" t="str">
            <v/>
          </cell>
          <cell r="GD9" t="str">
            <v/>
          </cell>
          <cell r="GE9" t="str">
            <v/>
          </cell>
          <cell r="GF9" t="str">
            <v/>
          </cell>
          <cell r="GG9" t="str">
            <v/>
          </cell>
          <cell r="GH9" t="str">
            <v/>
          </cell>
          <cell r="GI9" t="str">
            <v/>
          </cell>
          <cell r="GJ9" t="str">
            <v/>
          </cell>
          <cell r="GK9" t="str">
            <v/>
          </cell>
          <cell r="GL9" t="str">
            <v/>
          </cell>
          <cell r="GM9" t="str">
            <v/>
          </cell>
          <cell r="GN9" t="str">
            <v/>
          </cell>
          <cell r="GO9" t="str">
            <v/>
          </cell>
          <cell r="GP9" t="str">
            <v/>
          </cell>
          <cell r="GQ9" t="str">
            <v/>
          </cell>
          <cell r="GR9" t="str">
            <v/>
          </cell>
          <cell r="GS9" t="str">
            <v/>
          </cell>
          <cell r="GT9" t="str">
            <v/>
          </cell>
          <cell r="GU9" t="str">
            <v/>
          </cell>
          <cell r="GV9" t="str">
            <v/>
          </cell>
          <cell r="GW9" t="str">
            <v/>
          </cell>
          <cell r="GX9" t="str">
            <v/>
          </cell>
          <cell r="GY9" t="str">
            <v/>
          </cell>
          <cell r="GZ9" t="str">
            <v/>
          </cell>
          <cell r="HA9" t="str">
            <v/>
          </cell>
          <cell r="HB9" t="str">
            <v/>
          </cell>
          <cell r="HC9" t="str">
            <v/>
          </cell>
          <cell r="HD9" t="str">
            <v/>
          </cell>
          <cell r="HE9" t="str">
            <v/>
          </cell>
          <cell r="HF9" t="str">
            <v/>
          </cell>
          <cell r="HG9" t="str">
            <v/>
          </cell>
          <cell r="HH9" t="str">
            <v/>
          </cell>
          <cell r="HI9" t="str">
            <v/>
          </cell>
          <cell r="HJ9" t="str">
            <v/>
          </cell>
          <cell r="HK9" t="str">
            <v/>
          </cell>
          <cell r="HL9" t="str">
            <v/>
          </cell>
          <cell r="HM9" t="str">
            <v/>
          </cell>
          <cell r="HN9" t="str">
            <v/>
          </cell>
          <cell r="HO9" t="str">
            <v/>
          </cell>
          <cell r="HP9" t="str">
            <v/>
          </cell>
          <cell r="HQ9" t="str">
            <v/>
          </cell>
          <cell r="HR9" t="str">
            <v/>
          </cell>
          <cell r="HS9" t="str">
            <v/>
          </cell>
          <cell r="HT9" t="str">
            <v/>
          </cell>
          <cell r="HU9" t="str">
            <v/>
          </cell>
          <cell r="HV9" t="str">
            <v/>
          </cell>
          <cell r="HW9" t="str">
            <v/>
          </cell>
          <cell r="HX9" t="str">
            <v/>
          </cell>
          <cell r="HY9" t="str">
            <v/>
          </cell>
          <cell r="HZ9" t="str">
            <v/>
          </cell>
          <cell r="IA9" t="str">
            <v/>
          </cell>
          <cell r="IB9" t="str">
            <v/>
          </cell>
          <cell r="IC9" t="str">
            <v/>
          </cell>
          <cell r="ID9" t="str">
            <v/>
          </cell>
          <cell r="IE9" t="str">
            <v/>
          </cell>
          <cell r="IF9" t="str">
            <v/>
          </cell>
          <cell r="IG9" t="str">
            <v/>
          </cell>
          <cell r="IH9" t="str">
            <v/>
          </cell>
          <cell r="II9" t="str">
            <v/>
          </cell>
          <cell r="IJ9" t="str">
            <v/>
          </cell>
          <cell r="IK9" t="str">
            <v/>
          </cell>
          <cell r="IL9" t="str">
            <v/>
          </cell>
          <cell r="IM9" t="str">
            <v/>
          </cell>
          <cell r="IN9" t="str">
            <v/>
          </cell>
          <cell r="IO9" t="str">
            <v/>
          </cell>
          <cell r="IP9" t="str">
            <v/>
          </cell>
          <cell r="IQ9" t="str">
            <v/>
          </cell>
          <cell r="IR9" t="str">
            <v/>
          </cell>
          <cell r="IS9" t="str">
            <v/>
          </cell>
          <cell r="IT9" t="str">
            <v/>
          </cell>
          <cell r="IU9" t="str">
            <v/>
          </cell>
          <cell r="IV9" t="str">
            <v/>
          </cell>
          <cell r="IW9" t="str">
            <v/>
          </cell>
          <cell r="IX9" t="str">
            <v/>
          </cell>
          <cell r="IY9" t="str">
            <v/>
          </cell>
          <cell r="IZ9" t="str">
            <v/>
          </cell>
          <cell r="JA9" t="str">
            <v/>
          </cell>
          <cell r="JB9" t="str">
            <v/>
          </cell>
          <cell r="JC9" t="str">
            <v/>
          </cell>
          <cell r="JD9" t="str">
            <v/>
          </cell>
          <cell r="JE9" t="str">
            <v/>
          </cell>
          <cell r="JF9" t="str">
            <v/>
          </cell>
          <cell r="JG9" t="str">
            <v/>
          </cell>
          <cell r="JH9" t="str">
            <v/>
          </cell>
          <cell r="JI9" t="str">
            <v/>
          </cell>
          <cell r="JJ9" t="str">
            <v/>
          </cell>
          <cell r="JK9" t="str">
            <v/>
          </cell>
          <cell r="JL9" t="str">
            <v/>
          </cell>
          <cell r="JM9" t="str">
            <v/>
          </cell>
          <cell r="JN9" t="str">
            <v/>
          </cell>
          <cell r="JO9" t="str">
            <v/>
          </cell>
          <cell r="JP9" t="str">
            <v/>
          </cell>
          <cell r="JQ9" t="str">
            <v/>
          </cell>
          <cell r="JR9" t="str">
            <v/>
          </cell>
          <cell r="JS9" t="str">
            <v/>
          </cell>
          <cell r="JT9" t="str">
            <v/>
          </cell>
          <cell r="JU9" t="str">
            <v/>
          </cell>
          <cell r="JV9" t="str">
            <v/>
          </cell>
          <cell r="JW9" t="str">
            <v/>
          </cell>
          <cell r="JX9" t="str">
            <v/>
          </cell>
          <cell r="JY9" t="str">
            <v/>
          </cell>
          <cell r="JZ9" t="str">
            <v/>
          </cell>
          <cell r="KA9" t="str">
            <v/>
          </cell>
          <cell r="KB9" t="str">
            <v/>
          </cell>
          <cell r="KC9" t="str">
            <v/>
          </cell>
          <cell r="KD9">
            <v>2</v>
          </cell>
          <cell r="KE9">
            <v>2</v>
          </cell>
          <cell r="KF9">
            <v>2</v>
          </cell>
          <cell r="KG9">
            <v>3</v>
          </cell>
          <cell r="KH9">
            <v>3</v>
          </cell>
          <cell r="KI9">
            <v>3</v>
          </cell>
          <cell r="KJ9">
            <v>4</v>
          </cell>
          <cell r="KK9">
            <v>4</v>
          </cell>
          <cell r="KM9">
            <v>4</v>
          </cell>
          <cell r="KN9">
            <v>0</v>
          </cell>
          <cell r="KP9">
            <v>0</v>
          </cell>
          <cell r="KS9">
            <v>0</v>
          </cell>
          <cell r="KV9">
            <v>0</v>
          </cell>
          <cell r="KY9">
            <v>0</v>
          </cell>
          <cell r="LB9">
            <v>0</v>
          </cell>
          <cell r="LE9">
            <v>0</v>
          </cell>
          <cell r="LH9">
            <v>0</v>
          </cell>
          <cell r="LK9">
            <v>0</v>
          </cell>
          <cell r="LN9">
            <v>45674</v>
          </cell>
          <cell r="LO9">
            <v>45909</v>
          </cell>
          <cell r="LP9" t="str">
            <v>COMPLETADO</v>
          </cell>
        </row>
        <row r="10">
          <cell r="A10">
            <v>1591</v>
          </cell>
          <cell r="B10" t="str">
            <v>LUCIANO</v>
          </cell>
          <cell r="C10" t="str">
            <v>BARRACAS CHICA</v>
          </cell>
          <cell r="D10" t="str">
            <v>MARROQUINERIA CHICA</v>
          </cell>
          <cell r="E10">
            <v>32</v>
          </cell>
          <cell r="F10">
            <v>22</v>
          </cell>
          <cell r="G10">
            <v>2</v>
          </cell>
          <cell r="H10">
            <v>45729.56322916667</v>
          </cell>
          <cell r="I10" t="str">
            <v>BILLETERA FICHERO</v>
          </cell>
          <cell r="J10">
            <v>45680</v>
          </cell>
          <cell r="K10">
            <v>45685</v>
          </cell>
          <cell r="M10">
            <v>55</v>
          </cell>
          <cell r="N10" t="str">
            <v>M015</v>
          </cell>
          <cell r="O10" t="str">
            <v>BAC1300050727</v>
          </cell>
          <cell r="P10">
            <v>0.06</v>
          </cell>
          <cell r="Q10" t="str">
            <v>BAC0200071027</v>
          </cell>
          <cell r="R10">
            <v>0.04</v>
          </cell>
          <cell r="S10" t="str">
            <v>BAC0900100161</v>
          </cell>
          <cell r="T10">
            <v>0.01</v>
          </cell>
          <cell r="U10" t="str">
            <v>FOR0000032</v>
          </cell>
          <cell r="V10">
            <v>0.01</v>
          </cell>
          <cell r="W10" t="str">
            <v>AV0101070301</v>
          </cell>
          <cell r="X10">
            <v>1</v>
          </cell>
          <cell r="Y10" t="str">
            <v>AV0600560101</v>
          </cell>
          <cell r="Z10">
            <v>1</v>
          </cell>
          <cell r="AA10" t="str">
            <v>AV0600550101</v>
          </cell>
          <cell r="AB10">
            <v>1</v>
          </cell>
          <cell r="AC10" t="str">
            <v>AV0300400101</v>
          </cell>
          <cell r="AD10">
            <v>2</v>
          </cell>
          <cell r="AE10" t="str">
            <v>AV1000380101</v>
          </cell>
          <cell r="AF10">
            <v>2</v>
          </cell>
          <cell r="AG10" t="str">
            <v>AV0101040201</v>
          </cell>
          <cell r="AH10">
            <v>1</v>
          </cell>
          <cell r="AI10" t="str">
            <v>AV0300390101</v>
          </cell>
          <cell r="AJ10">
            <v>1</v>
          </cell>
          <cell r="AK10" t="str">
            <v>AV170134014</v>
          </cell>
          <cell r="AL10">
            <v>0</v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>TIRACIERRE N2 : vuelta de tira con remache + grabado estrella lucero</v>
          </cell>
          <cell r="AT10" t="str">
            <v xml:space="preserve">CAMBIAR LADO DE LA PULSERA A LA IZQUIERDA    </v>
          </cell>
          <cell r="AU10" t="str">
            <v/>
          </cell>
          <cell r="AV10" t="str">
            <v/>
          </cell>
          <cell r="AW10" t="str">
            <v xml:space="preserve">GRABADO "EL LUCERO" CHICO EN FRENTE, CENTRADO A 2 CM DESDE BOCA  </v>
          </cell>
          <cell r="AX10" t="str">
            <v>NEGRO</v>
          </cell>
          <cell r="AY10" t="str">
            <v>ARENA-CUERO NAPADO</v>
          </cell>
          <cell r="AZ10" t="str">
            <v>CUE0000026</v>
          </cell>
          <cell r="BA10">
            <v>0.21</v>
          </cell>
          <cell r="BB10" t="str">
            <v>AV0100010103</v>
          </cell>
          <cell r="BC10">
            <v>0.45</v>
          </cell>
          <cell r="BD10" t="str">
            <v>AV0100020303</v>
          </cell>
          <cell r="BE10">
            <v>0.16</v>
          </cell>
          <cell r="BF10" t="str">
            <v>FOR0000018</v>
          </cell>
          <cell r="BG10">
            <v>0.16</v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>AZUL_REVES_AZUL</v>
          </cell>
          <cell r="BS10" t="str">
            <v>BIANCO-CUERO MODENA ESPESOR 1,8</v>
          </cell>
          <cell r="BT10" t="str">
            <v>CUE0000156</v>
          </cell>
          <cell r="BU10">
            <v>0.21</v>
          </cell>
          <cell r="BV10" t="str">
            <v>AV0100010115</v>
          </cell>
          <cell r="BW10">
            <v>0.45</v>
          </cell>
          <cell r="BX10" t="str">
            <v>AV0100020336</v>
          </cell>
          <cell r="BY10">
            <v>0.16</v>
          </cell>
          <cell r="BZ10" t="str">
            <v>FOR0000014</v>
          </cell>
          <cell r="CA10">
            <v>0.16</v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>CARAMELO</v>
          </cell>
          <cell r="CM10" t="str">
            <v>ARENA-CUERO NAPADO</v>
          </cell>
          <cell r="CN10" t="str">
            <v>CUE0000022</v>
          </cell>
          <cell r="CO10">
            <v>0.21</v>
          </cell>
          <cell r="CP10" t="str">
            <v>AV0100010105</v>
          </cell>
          <cell r="CQ10">
            <v>0.45</v>
          </cell>
          <cell r="CR10" t="str">
            <v>AV0100020305</v>
          </cell>
          <cell r="CS10">
            <v>0.16</v>
          </cell>
          <cell r="CT10" t="str">
            <v>FOR0000015</v>
          </cell>
          <cell r="CU10">
            <v>0.16</v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>ROJO</v>
          </cell>
          <cell r="DG10" t="str">
            <v>ARENA-CUERO NAPADO</v>
          </cell>
          <cell r="DH10" t="str">
            <v>CUE0000027</v>
          </cell>
          <cell r="DI10">
            <v>0.21</v>
          </cell>
          <cell r="DJ10" t="str">
            <v>AV0100010113</v>
          </cell>
          <cell r="DK10">
            <v>0.45</v>
          </cell>
          <cell r="DL10" t="str">
            <v>AV0100020313</v>
          </cell>
          <cell r="DM10">
            <v>0.16</v>
          </cell>
          <cell r="DN10" t="str">
            <v>FOR0000016</v>
          </cell>
          <cell r="DO10">
            <v>0.16</v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  <cell r="DW10" t="str">
            <v/>
          </cell>
          <cell r="DX10" t="str">
            <v/>
          </cell>
          <cell r="DY10" t="str">
            <v/>
          </cell>
          <cell r="DZ10" t="str">
            <v/>
          </cell>
          <cell r="EA10" t="str">
            <v/>
          </cell>
          <cell r="EB10" t="str">
            <v/>
          </cell>
          <cell r="EC10" t="str">
            <v/>
          </cell>
          <cell r="ED10" t="str">
            <v/>
          </cell>
          <cell r="EE10" t="str">
            <v/>
          </cell>
          <cell r="EF10" t="str">
            <v/>
          </cell>
          <cell r="EG10" t="str">
            <v/>
          </cell>
          <cell r="EH10" t="str">
            <v/>
          </cell>
          <cell r="EI10" t="str">
            <v/>
          </cell>
          <cell r="EJ10" t="str">
            <v/>
          </cell>
          <cell r="EK10" t="str">
            <v/>
          </cell>
          <cell r="EL10" t="str">
            <v/>
          </cell>
          <cell r="EM10" t="str">
            <v/>
          </cell>
          <cell r="EN10" t="str">
            <v/>
          </cell>
          <cell r="EO10" t="str">
            <v/>
          </cell>
          <cell r="EP10" t="str">
            <v/>
          </cell>
          <cell r="EQ10" t="str">
            <v/>
          </cell>
          <cell r="ER10" t="str">
            <v/>
          </cell>
          <cell r="ES10" t="str">
            <v/>
          </cell>
          <cell r="ET10" t="str">
            <v/>
          </cell>
          <cell r="EU10" t="str">
            <v/>
          </cell>
          <cell r="EV10" t="str">
            <v/>
          </cell>
          <cell r="EW10" t="str">
            <v/>
          </cell>
          <cell r="EX10" t="str">
            <v/>
          </cell>
          <cell r="EY10" t="str">
            <v/>
          </cell>
          <cell r="EZ10" t="str">
            <v/>
          </cell>
          <cell r="FA10" t="str">
            <v/>
          </cell>
          <cell r="FB10" t="str">
            <v/>
          </cell>
          <cell r="FC10" t="str">
            <v/>
          </cell>
          <cell r="FD10" t="str">
            <v/>
          </cell>
          <cell r="FE10" t="str">
            <v/>
          </cell>
          <cell r="FF10" t="str">
            <v/>
          </cell>
          <cell r="FG10" t="str">
            <v/>
          </cell>
          <cell r="FH10" t="str">
            <v/>
          </cell>
          <cell r="FI10" t="str">
            <v/>
          </cell>
          <cell r="FJ10" t="str">
            <v/>
          </cell>
          <cell r="FK10" t="str">
            <v/>
          </cell>
          <cell r="FL10" t="str">
            <v/>
          </cell>
          <cell r="FM10" t="str">
            <v/>
          </cell>
          <cell r="FN10" t="str">
            <v/>
          </cell>
          <cell r="FO10" t="str">
            <v/>
          </cell>
          <cell r="FP10" t="str">
            <v/>
          </cell>
          <cell r="FQ10" t="str">
            <v/>
          </cell>
          <cell r="FR10" t="str">
            <v/>
          </cell>
          <cell r="FS10" t="str">
            <v/>
          </cell>
          <cell r="FT10" t="str">
            <v/>
          </cell>
          <cell r="FU10" t="str">
            <v/>
          </cell>
          <cell r="FV10" t="str">
            <v/>
          </cell>
          <cell r="FW10" t="str">
            <v/>
          </cell>
          <cell r="FX10" t="str">
            <v/>
          </cell>
          <cell r="FY10" t="str">
            <v/>
          </cell>
          <cell r="FZ10" t="str">
            <v/>
          </cell>
          <cell r="GA10" t="str">
            <v/>
          </cell>
          <cell r="GB10" t="str">
            <v/>
          </cell>
          <cell r="GC10" t="str">
            <v/>
          </cell>
          <cell r="GD10" t="str">
            <v/>
          </cell>
          <cell r="GE10" t="str">
            <v/>
          </cell>
          <cell r="GF10" t="str">
            <v/>
          </cell>
          <cell r="GG10" t="str">
            <v/>
          </cell>
          <cell r="GH10" t="str">
            <v/>
          </cell>
          <cell r="GI10" t="str">
            <v/>
          </cell>
          <cell r="GJ10" t="str">
            <v/>
          </cell>
          <cell r="GK10" t="str">
            <v/>
          </cell>
          <cell r="GL10" t="str">
            <v/>
          </cell>
          <cell r="GM10" t="str">
            <v/>
          </cell>
          <cell r="GN10" t="str">
            <v/>
          </cell>
          <cell r="GO10" t="str">
            <v/>
          </cell>
          <cell r="GP10" t="str">
            <v/>
          </cell>
          <cell r="GQ10" t="str">
            <v/>
          </cell>
          <cell r="GR10" t="str">
            <v/>
          </cell>
          <cell r="GS10" t="str">
            <v/>
          </cell>
          <cell r="GT10" t="str">
            <v/>
          </cell>
          <cell r="GU10" t="str">
            <v/>
          </cell>
          <cell r="GV10" t="str">
            <v/>
          </cell>
          <cell r="GW10" t="str">
            <v/>
          </cell>
          <cell r="GX10" t="str">
            <v/>
          </cell>
          <cell r="GY10" t="str">
            <v/>
          </cell>
          <cell r="GZ10" t="str">
            <v/>
          </cell>
          <cell r="HA10" t="str">
            <v/>
          </cell>
          <cell r="HB10" t="str">
            <v/>
          </cell>
          <cell r="HC10" t="str">
            <v/>
          </cell>
          <cell r="HD10" t="str">
            <v/>
          </cell>
          <cell r="HE10" t="str">
            <v/>
          </cell>
          <cell r="HF10" t="str">
            <v/>
          </cell>
          <cell r="HG10" t="str">
            <v/>
          </cell>
          <cell r="HH10" t="str">
            <v/>
          </cell>
          <cell r="HI10" t="str">
            <v/>
          </cell>
          <cell r="HJ10" t="str">
            <v/>
          </cell>
          <cell r="HK10" t="str">
            <v/>
          </cell>
          <cell r="HL10" t="str">
            <v/>
          </cell>
          <cell r="HM10" t="str">
            <v/>
          </cell>
          <cell r="HN10" t="str">
            <v/>
          </cell>
          <cell r="HO10" t="str">
            <v/>
          </cell>
          <cell r="HP10" t="str">
            <v/>
          </cell>
          <cell r="HQ10" t="str">
            <v/>
          </cell>
          <cell r="HR10" t="str">
            <v/>
          </cell>
          <cell r="HS10" t="str">
            <v/>
          </cell>
          <cell r="HT10" t="str">
            <v/>
          </cell>
          <cell r="HU10" t="str">
            <v/>
          </cell>
          <cell r="HV10" t="str">
            <v/>
          </cell>
          <cell r="HW10" t="str">
            <v/>
          </cell>
          <cell r="HX10" t="str">
            <v/>
          </cell>
          <cell r="HY10" t="str">
            <v/>
          </cell>
          <cell r="HZ10" t="str">
            <v/>
          </cell>
          <cell r="IA10" t="str">
            <v/>
          </cell>
          <cell r="IB10" t="str">
            <v/>
          </cell>
          <cell r="IC10" t="str">
            <v/>
          </cell>
          <cell r="ID10" t="str">
            <v/>
          </cell>
          <cell r="IE10" t="str">
            <v/>
          </cell>
          <cell r="IF10" t="str">
            <v/>
          </cell>
          <cell r="IG10" t="str">
            <v/>
          </cell>
          <cell r="IH10" t="str">
            <v/>
          </cell>
          <cell r="II10" t="str">
            <v/>
          </cell>
          <cell r="IJ10" t="str">
            <v/>
          </cell>
          <cell r="IK10" t="str">
            <v/>
          </cell>
          <cell r="IL10" t="str">
            <v/>
          </cell>
          <cell r="IM10" t="str">
            <v/>
          </cell>
          <cell r="IN10" t="str">
            <v/>
          </cell>
          <cell r="IO10" t="str">
            <v/>
          </cell>
          <cell r="IP10" t="str">
            <v/>
          </cell>
          <cell r="IQ10" t="str">
            <v/>
          </cell>
          <cell r="IR10" t="str">
            <v/>
          </cell>
          <cell r="IS10" t="str">
            <v/>
          </cell>
          <cell r="IT10" t="str">
            <v/>
          </cell>
          <cell r="IU10" t="str">
            <v/>
          </cell>
          <cell r="IV10" t="str">
            <v/>
          </cell>
          <cell r="IW10" t="str">
            <v/>
          </cell>
          <cell r="IX10" t="str">
            <v/>
          </cell>
          <cell r="IY10" t="str">
            <v/>
          </cell>
          <cell r="IZ10" t="str">
            <v/>
          </cell>
          <cell r="JA10" t="str">
            <v/>
          </cell>
          <cell r="JB10" t="str">
            <v/>
          </cell>
          <cell r="JC10" t="str">
            <v/>
          </cell>
          <cell r="JD10" t="str">
            <v/>
          </cell>
          <cell r="JE10" t="str">
            <v/>
          </cell>
          <cell r="JF10" t="str">
            <v/>
          </cell>
          <cell r="JG10" t="str">
            <v/>
          </cell>
          <cell r="JH10" t="str">
            <v/>
          </cell>
          <cell r="JI10" t="str">
            <v/>
          </cell>
          <cell r="JJ10" t="str">
            <v/>
          </cell>
          <cell r="JK10" t="str">
            <v/>
          </cell>
          <cell r="JL10" t="str">
            <v/>
          </cell>
          <cell r="JM10" t="str">
            <v/>
          </cell>
          <cell r="JN10" t="str">
            <v/>
          </cell>
          <cell r="JO10" t="str">
            <v/>
          </cell>
          <cell r="JP10" t="str">
            <v/>
          </cell>
          <cell r="JQ10" t="str">
            <v/>
          </cell>
          <cell r="JR10" t="str">
            <v/>
          </cell>
          <cell r="JS10" t="str">
            <v/>
          </cell>
          <cell r="JT10" t="str">
            <v/>
          </cell>
          <cell r="JU10" t="str">
            <v/>
          </cell>
          <cell r="JV10" t="str">
            <v/>
          </cell>
          <cell r="JW10" t="str">
            <v/>
          </cell>
          <cell r="JX10" t="str">
            <v/>
          </cell>
          <cell r="JY10" t="str">
            <v/>
          </cell>
          <cell r="JZ10" t="str">
            <v/>
          </cell>
          <cell r="KA10" t="str">
            <v/>
          </cell>
          <cell r="KB10" t="str">
            <v/>
          </cell>
          <cell r="KC10" t="str">
            <v/>
          </cell>
          <cell r="KD10">
            <v>2</v>
          </cell>
          <cell r="KE10">
            <v>2</v>
          </cell>
          <cell r="KF10">
            <v>2</v>
          </cell>
          <cell r="KG10">
            <v>10</v>
          </cell>
          <cell r="KH10">
            <v>0</v>
          </cell>
          <cell r="KI10">
            <v>0</v>
          </cell>
          <cell r="KJ10">
            <v>10</v>
          </cell>
          <cell r="KK10">
            <v>10</v>
          </cell>
          <cell r="KM10">
            <v>10</v>
          </cell>
          <cell r="KN10">
            <v>10</v>
          </cell>
          <cell r="KP10">
            <v>0</v>
          </cell>
          <cell r="KS10">
            <v>0</v>
          </cell>
          <cell r="KV10">
            <v>0</v>
          </cell>
          <cell r="KY10">
            <v>0</v>
          </cell>
          <cell r="LB10">
            <v>0</v>
          </cell>
          <cell r="LE10">
            <v>0</v>
          </cell>
          <cell r="LH10">
            <v>0</v>
          </cell>
          <cell r="LK10">
            <v>0</v>
          </cell>
          <cell r="LO10">
            <v>45685</v>
          </cell>
          <cell r="LP10" t="str">
            <v>COMPLETADO</v>
          </cell>
        </row>
        <row r="11">
          <cell r="A11">
            <v>1593</v>
          </cell>
          <cell r="B11" t="str">
            <v>LUCIANO</v>
          </cell>
          <cell r="C11" t="str">
            <v>BARRACAS CHICA</v>
          </cell>
          <cell r="D11" t="str">
            <v>MARROQUINERIA CHICA</v>
          </cell>
          <cell r="E11">
            <v>14</v>
          </cell>
          <cell r="F11">
            <v>3</v>
          </cell>
          <cell r="G11">
            <v>3</v>
          </cell>
          <cell r="H11">
            <v>45739.764560185184</v>
          </cell>
          <cell r="I11" t="str">
            <v>BILLETERA OSADIA</v>
          </cell>
          <cell r="J11">
            <v>45680</v>
          </cell>
          <cell r="K11">
            <v>45680</v>
          </cell>
          <cell r="M11">
            <v>50</v>
          </cell>
          <cell r="N11" t="str">
            <v>M024</v>
          </cell>
          <cell r="O11" t="str">
            <v>AV0101030201</v>
          </cell>
          <cell r="P11">
            <v>1</v>
          </cell>
          <cell r="Q11" t="str">
            <v>AV0600540101</v>
          </cell>
          <cell r="R11">
            <v>1</v>
          </cell>
          <cell r="S11" t="str">
            <v>AV0101070301</v>
          </cell>
          <cell r="T11">
            <v>1</v>
          </cell>
          <cell r="U11" t="str">
            <v>AV0600560101</v>
          </cell>
          <cell r="V11">
            <v>1</v>
          </cell>
          <cell r="W11" t="str">
            <v>AV1000380101</v>
          </cell>
          <cell r="X11">
            <v>1</v>
          </cell>
          <cell r="Y11" t="str">
            <v>AV0600550101</v>
          </cell>
          <cell r="Z11">
            <v>1</v>
          </cell>
          <cell r="AA11" t="str">
            <v>AV0300400101</v>
          </cell>
          <cell r="AB11">
            <v>1</v>
          </cell>
          <cell r="AC11" t="str">
            <v>BAC1300050727</v>
          </cell>
          <cell r="AD11">
            <v>0.05</v>
          </cell>
          <cell r="AE11" t="str">
            <v>BAC0200071027</v>
          </cell>
          <cell r="AF11">
            <v>0.03</v>
          </cell>
          <cell r="AG11" t="str">
            <v>AV170134014</v>
          </cell>
          <cell r="AH11">
            <v>0</v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>GRABADO "EL LUCERO" CHICO CENTRADO EN EL FRENTE, A 2 CM DEL CIERRE</v>
          </cell>
          <cell r="AX11" t="str">
            <v>VERDE_REVES_VERDE</v>
          </cell>
          <cell r="AY11" t="str">
            <v>BIANCO-CUERO MODENA ESPESOR 1,8</v>
          </cell>
          <cell r="AZ11" t="str">
            <v>CUE0000157</v>
          </cell>
          <cell r="BA11">
            <v>0.14000000000000001</v>
          </cell>
          <cell r="BB11" t="str">
            <v>FOR0000013</v>
          </cell>
          <cell r="BC11">
            <v>0.12</v>
          </cell>
          <cell r="BD11" t="str">
            <v>AV0100010117</v>
          </cell>
          <cell r="BE11">
            <v>0.4</v>
          </cell>
          <cell r="BF11" t="str">
            <v>AV0100020317</v>
          </cell>
          <cell r="BG11">
            <v>0.14000000000000001</v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>AZUL_REVES_AZUL</v>
          </cell>
          <cell r="BS11" t="str">
            <v>BIANCO-CUERO MODENA ESPESOR 1,8</v>
          </cell>
          <cell r="BT11" t="str">
            <v>CUE0000156</v>
          </cell>
          <cell r="BU11">
            <v>0.14000000000000001</v>
          </cell>
          <cell r="BV11" t="str">
            <v>FOR0000014</v>
          </cell>
          <cell r="BW11">
            <v>0.12</v>
          </cell>
          <cell r="BX11" t="str">
            <v>AV0100010115</v>
          </cell>
          <cell r="BY11">
            <v>0.4</v>
          </cell>
          <cell r="BZ11" t="str">
            <v>AV0100020336</v>
          </cell>
          <cell r="CA11">
            <v>0.14000000000000001</v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  <cell r="DW11" t="str">
            <v/>
          </cell>
          <cell r="DX11" t="str">
            <v/>
          </cell>
          <cell r="DY11" t="str">
            <v/>
          </cell>
          <cell r="DZ11" t="str">
            <v/>
          </cell>
          <cell r="EA11" t="str">
            <v/>
          </cell>
          <cell r="EB11" t="str">
            <v/>
          </cell>
          <cell r="EC11" t="str">
            <v/>
          </cell>
          <cell r="ED11" t="str">
            <v/>
          </cell>
          <cell r="EE11" t="str">
            <v/>
          </cell>
          <cell r="EF11" t="str">
            <v/>
          </cell>
          <cell r="EG11" t="str">
            <v/>
          </cell>
          <cell r="EH11" t="str">
            <v/>
          </cell>
          <cell r="EI11" t="str">
            <v/>
          </cell>
          <cell r="EJ11" t="str">
            <v/>
          </cell>
          <cell r="EK11" t="str">
            <v/>
          </cell>
          <cell r="EL11" t="str">
            <v/>
          </cell>
          <cell r="EM11" t="str">
            <v/>
          </cell>
          <cell r="EN11" t="str">
            <v/>
          </cell>
          <cell r="EO11" t="str">
            <v/>
          </cell>
          <cell r="EP11" t="str">
            <v/>
          </cell>
          <cell r="EQ11" t="str">
            <v/>
          </cell>
          <cell r="ER11" t="str">
            <v/>
          </cell>
          <cell r="ES11" t="str">
            <v/>
          </cell>
          <cell r="ET11" t="str">
            <v/>
          </cell>
          <cell r="EU11" t="str">
            <v/>
          </cell>
          <cell r="EV11" t="str">
            <v/>
          </cell>
          <cell r="EW11" t="str">
            <v/>
          </cell>
          <cell r="EX11" t="str">
            <v/>
          </cell>
          <cell r="EY11" t="str">
            <v/>
          </cell>
          <cell r="EZ11" t="str">
            <v/>
          </cell>
          <cell r="FA11" t="str">
            <v/>
          </cell>
          <cell r="FB11" t="str">
            <v/>
          </cell>
          <cell r="FC11" t="str">
            <v/>
          </cell>
          <cell r="FD11" t="str">
            <v/>
          </cell>
          <cell r="FE11" t="str">
            <v/>
          </cell>
          <cell r="FF11" t="str">
            <v/>
          </cell>
          <cell r="FG11" t="str">
            <v/>
          </cell>
          <cell r="FH11" t="str">
            <v/>
          </cell>
          <cell r="FI11" t="str">
            <v/>
          </cell>
          <cell r="FJ11" t="str">
            <v/>
          </cell>
          <cell r="FK11" t="str">
            <v/>
          </cell>
          <cell r="FL11" t="str">
            <v/>
          </cell>
          <cell r="FM11" t="str">
            <v/>
          </cell>
          <cell r="FN11" t="str">
            <v/>
          </cell>
          <cell r="FO11" t="str">
            <v/>
          </cell>
          <cell r="FP11" t="str">
            <v/>
          </cell>
          <cell r="FQ11" t="str">
            <v/>
          </cell>
          <cell r="FR11" t="str">
            <v/>
          </cell>
          <cell r="FS11" t="str">
            <v/>
          </cell>
          <cell r="FT11" t="str">
            <v/>
          </cell>
          <cell r="FU11" t="str">
            <v/>
          </cell>
          <cell r="FV11" t="str">
            <v/>
          </cell>
          <cell r="FW11" t="str">
            <v/>
          </cell>
          <cell r="FX11" t="str">
            <v/>
          </cell>
          <cell r="FY11" t="str">
            <v/>
          </cell>
          <cell r="FZ11" t="str">
            <v/>
          </cell>
          <cell r="GA11" t="str">
            <v/>
          </cell>
          <cell r="GB11" t="str">
            <v/>
          </cell>
          <cell r="GC11" t="str">
            <v/>
          </cell>
          <cell r="GD11" t="str">
            <v/>
          </cell>
          <cell r="GE11" t="str">
            <v/>
          </cell>
          <cell r="GF11" t="str">
            <v/>
          </cell>
          <cell r="GG11" t="str">
            <v/>
          </cell>
          <cell r="GH11" t="str">
            <v/>
          </cell>
          <cell r="GI11" t="str">
            <v/>
          </cell>
          <cell r="GJ11" t="str">
            <v/>
          </cell>
          <cell r="GK11" t="str">
            <v/>
          </cell>
          <cell r="GL11" t="str">
            <v/>
          </cell>
          <cell r="GM11" t="str">
            <v/>
          </cell>
          <cell r="GN11" t="str">
            <v/>
          </cell>
          <cell r="GO11" t="str">
            <v/>
          </cell>
          <cell r="GP11" t="str">
            <v/>
          </cell>
          <cell r="GQ11" t="str">
            <v/>
          </cell>
          <cell r="GR11" t="str">
            <v/>
          </cell>
          <cell r="GS11" t="str">
            <v/>
          </cell>
          <cell r="GT11" t="str">
            <v/>
          </cell>
          <cell r="GU11" t="str">
            <v/>
          </cell>
          <cell r="GV11" t="str">
            <v/>
          </cell>
          <cell r="GW11" t="str">
            <v/>
          </cell>
          <cell r="GX11" t="str">
            <v/>
          </cell>
          <cell r="GY11" t="str">
            <v/>
          </cell>
          <cell r="GZ11" t="str">
            <v/>
          </cell>
          <cell r="HA11" t="str">
            <v/>
          </cell>
          <cell r="HB11" t="str">
            <v/>
          </cell>
          <cell r="HC11" t="str">
            <v/>
          </cell>
          <cell r="HD11" t="str">
            <v/>
          </cell>
          <cell r="HE11" t="str">
            <v/>
          </cell>
          <cell r="HF11" t="str">
            <v/>
          </cell>
          <cell r="HG11" t="str">
            <v/>
          </cell>
          <cell r="HH11" t="str">
            <v/>
          </cell>
          <cell r="HI11" t="str">
            <v/>
          </cell>
          <cell r="HJ11" t="str">
            <v/>
          </cell>
          <cell r="HK11" t="str">
            <v/>
          </cell>
          <cell r="HL11" t="str">
            <v/>
          </cell>
          <cell r="HM11" t="str">
            <v/>
          </cell>
          <cell r="HN11" t="str">
            <v/>
          </cell>
          <cell r="HO11" t="str">
            <v/>
          </cell>
          <cell r="HP11" t="str">
            <v/>
          </cell>
          <cell r="HQ11" t="str">
            <v/>
          </cell>
          <cell r="HR11" t="str">
            <v/>
          </cell>
          <cell r="HS11" t="str">
            <v/>
          </cell>
          <cell r="HT11" t="str">
            <v/>
          </cell>
          <cell r="HU11" t="str">
            <v/>
          </cell>
          <cell r="HV11" t="str">
            <v/>
          </cell>
          <cell r="HW11" t="str">
            <v/>
          </cell>
          <cell r="HX11" t="str">
            <v/>
          </cell>
          <cell r="HY11" t="str">
            <v/>
          </cell>
          <cell r="HZ11" t="str">
            <v/>
          </cell>
          <cell r="IA11" t="str">
            <v/>
          </cell>
          <cell r="IB11" t="str">
            <v/>
          </cell>
          <cell r="IC11" t="str">
            <v/>
          </cell>
          <cell r="ID11" t="str">
            <v/>
          </cell>
          <cell r="IE11" t="str">
            <v/>
          </cell>
          <cell r="IF11" t="str">
            <v/>
          </cell>
          <cell r="IG11" t="str">
            <v/>
          </cell>
          <cell r="IH11" t="str">
            <v/>
          </cell>
          <cell r="II11" t="str">
            <v/>
          </cell>
          <cell r="IJ11" t="str">
            <v/>
          </cell>
          <cell r="IK11" t="str">
            <v/>
          </cell>
          <cell r="IL11" t="str">
            <v/>
          </cell>
          <cell r="IM11" t="str">
            <v/>
          </cell>
          <cell r="IN11" t="str">
            <v/>
          </cell>
          <cell r="IO11" t="str">
            <v/>
          </cell>
          <cell r="IP11" t="str">
            <v/>
          </cell>
          <cell r="IQ11" t="str">
            <v/>
          </cell>
          <cell r="IR11" t="str">
            <v/>
          </cell>
          <cell r="IS11" t="str">
            <v/>
          </cell>
          <cell r="IT11" t="str">
            <v/>
          </cell>
          <cell r="IU11" t="str">
            <v/>
          </cell>
          <cell r="IV11" t="str">
            <v/>
          </cell>
          <cell r="IW11" t="str">
            <v/>
          </cell>
          <cell r="IX11" t="str">
            <v/>
          </cell>
          <cell r="IY11" t="str">
            <v/>
          </cell>
          <cell r="IZ11" t="str">
            <v/>
          </cell>
          <cell r="JA11" t="str">
            <v/>
          </cell>
          <cell r="JB11" t="str">
            <v/>
          </cell>
          <cell r="JC11" t="str">
            <v/>
          </cell>
          <cell r="JD11" t="str">
            <v/>
          </cell>
          <cell r="JE11" t="str">
            <v/>
          </cell>
          <cell r="JF11" t="str">
            <v/>
          </cell>
          <cell r="JG11" t="str">
            <v/>
          </cell>
          <cell r="JH11" t="str">
            <v/>
          </cell>
          <cell r="JI11" t="str">
            <v/>
          </cell>
          <cell r="JJ11" t="str">
            <v/>
          </cell>
          <cell r="JK11" t="str">
            <v/>
          </cell>
          <cell r="JL11" t="str">
            <v/>
          </cell>
          <cell r="JM11" t="str">
            <v/>
          </cell>
          <cell r="JN11" t="str">
            <v/>
          </cell>
          <cell r="JO11" t="str">
            <v/>
          </cell>
          <cell r="JP11" t="str">
            <v/>
          </cell>
          <cell r="JQ11" t="str">
            <v/>
          </cell>
          <cell r="JR11" t="str">
            <v/>
          </cell>
          <cell r="JS11" t="str">
            <v/>
          </cell>
          <cell r="JT11" t="str">
            <v/>
          </cell>
          <cell r="JU11" t="str">
            <v/>
          </cell>
          <cell r="JV11" t="str">
            <v/>
          </cell>
          <cell r="JW11" t="str">
            <v/>
          </cell>
          <cell r="JX11" t="str">
            <v/>
          </cell>
          <cell r="JY11" t="str">
            <v/>
          </cell>
          <cell r="JZ11" t="str">
            <v/>
          </cell>
          <cell r="KA11" t="str">
            <v/>
          </cell>
          <cell r="KB11" t="str">
            <v/>
          </cell>
          <cell r="KC11" t="str">
            <v/>
          </cell>
          <cell r="KD11">
            <v>8</v>
          </cell>
          <cell r="KE11">
            <v>0</v>
          </cell>
          <cell r="KF11">
            <v>0</v>
          </cell>
          <cell r="KG11">
            <v>6</v>
          </cell>
          <cell r="KH11">
            <v>3</v>
          </cell>
          <cell r="KI11">
            <v>3</v>
          </cell>
          <cell r="KJ11">
            <v>0</v>
          </cell>
          <cell r="KM11">
            <v>0</v>
          </cell>
          <cell r="KP11">
            <v>0</v>
          </cell>
          <cell r="KS11">
            <v>0</v>
          </cell>
          <cell r="KV11">
            <v>0</v>
          </cell>
          <cell r="KY11">
            <v>0</v>
          </cell>
          <cell r="LB11">
            <v>0</v>
          </cell>
          <cell r="LE11">
            <v>0</v>
          </cell>
          <cell r="LH11">
            <v>0</v>
          </cell>
          <cell r="LK11">
            <v>0</v>
          </cell>
          <cell r="LO11">
            <v>45685</v>
          </cell>
          <cell r="LP11" t="str">
            <v>COMPLETADO</v>
          </cell>
        </row>
        <row r="12">
          <cell r="A12">
            <v>1594</v>
          </cell>
          <cell r="B12" t="str">
            <v>LUCIANO</v>
          </cell>
          <cell r="C12" t="str">
            <v>BARRACAS CHICA</v>
          </cell>
          <cell r="D12" t="str">
            <v>MARROQUINERIA CHICA</v>
          </cell>
          <cell r="E12">
            <v>30</v>
          </cell>
          <cell r="F12">
            <v>8</v>
          </cell>
          <cell r="G12">
            <v>6</v>
          </cell>
          <cell r="H12">
            <v>45729.575439814813</v>
          </cell>
          <cell r="I12" t="str">
            <v>BILLETERA PENNY</v>
          </cell>
          <cell r="J12">
            <v>45674</v>
          </cell>
          <cell r="K12">
            <v>45674</v>
          </cell>
          <cell r="M12">
            <v>60</v>
          </cell>
          <cell r="N12" t="str">
            <v>M025</v>
          </cell>
          <cell r="O12" t="str">
            <v>BAC1300050727</v>
          </cell>
          <cell r="P12">
            <v>0.03</v>
          </cell>
          <cell r="Q12" t="str">
            <v>BAC0900100161</v>
          </cell>
          <cell r="R12">
            <v>0.01</v>
          </cell>
          <cell r="S12" t="str">
            <v>AV0300440101</v>
          </cell>
          <cell r="T12">
            <v>1</v>
          </cell>
          <cell r="U12" t="str">
            <v>AV0101070301</v>
          </cell>
          <cell r="V12">
            <v>1</v>
          </cell>
          <cell r="W12" t="str">
            <v>AV0700650101</v>
          </cell>
          <cell r="X12">
            <v>1</v>
          </cell>
          <cell r="Y12" t="str">
            <v>AV0600560101</v>
          </cell>
          <cell r="Z12">
            <v>1</v>
          </cell>
          <cell r="AA12" t="str">
            <v>AV170134014</v>
          </cell>
          <cell r="AB12">
            <v>0</v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>CHAPA LETRAS LUCERO, CENTRADA EN FRENTE SOBRE SOLAPA A 2 CM DEL BORDE INFERIOR</v>
          </cell>
          <cell r="AX12" t="str">
            <v>SUELA</v>
          </cell>
          <cell r="AY12" t="str">
            <v>ARENA-CUERO NAPADO</v>
          </cell>
          <cell r="AZ12" t="str">
            <v>CUE0000028</v>
          </cell>
          <cell r="BA12">
            <v>0.16</v>
          </cell>
          <cell r="BB12" t="str">
            <v>FOR0000015</v>
          </cell>
          <cell r="BC12">
            <v>0.19</v>
          </cell>
          <cell r="BD12" t="str">
            <v>AV0100020337</v>
          </cell>
          <cell r="BE12">
            <v>0.17</v>
          </cell>
          <cell r="BF12" t="str">
            <v>AV1401250545</v>
          </cell>
          <cell r="BG12">
            <v>0</v>
          </cell>
          <cell r="BH12" t="str">
            <v>AV1601300955</v>
          </cell>
          <cell r="BI12">
            <v>0</v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>CARAMELO</v>
          </cell>
          <cell r="BS12" t="str">
            <v>ARENA-CUERO NAPADO</v>
          </cell>
          <cell r="BT12" t="str">
            <v>CUE0000022</v>
          </cell>
          <cell r="BU12">
            <v>0.16</v>
          </cell>
          <cell r="BV12" t="str">
            <v>FOR0000015</v>
          </cell>
          <cell r="BW12">
            <v>0.19</v>
          </cell>
          <cell r="BX12" t="str">
            <v>AV0100020305</v>
          </cell>
          <cell r="BY12">
            <v>0.17</v>
          </cell>
          <cell r="BZ12" t="str">
            <v>AV1401250545</v>
          </cell>
          <cell r="CA12">
            <v>0</v>
          </cell>
          <cell r="CB12" t="str">
            <v>AV1601300955</v>
          </cell>
          <cell r="CC12">
            <v>0</v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>AZUL_REVES_AZUL</v>
          </cell>
          <cell r="CM12" t="str">
            <v>BIANCO-CUERO MODENA ESPESOR 1,8</v>
          </cell>
          <cell r="CN12" t="str">
            <v>CUE0000156</v>
          </cell>
          <cell r="CO12">
            <v>0.16</v>
          </cell>
          <cell r="CP12" t="str">
            <v>FOR0000014</v>
          </cell>
          <cell r="CQ12">
            <v>0.19</v>
          </cell>
          <cell r="CR12" t="str">
            <v>AV0100020336</v>
          </cell>
          <cell r="CS12">
            <v>0.17</v>
          </cell>
          <cell r="CT12" t="str">
            <v>AV1401254360</v>
          </cell>
          <cell r="CU12">
            <v>0</v>
          </cell>
          <cell r="CV12" t="str">
            <v>AV1601300956</v>
          </cell>
          <cell r="CW12">
            <v>0</v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>ROJO</v>
          </cell>
          <cell r="DG12" t="str">
            <v>ARENA-CUERO NAPADO</v>
          </cell>
          <cell r="DH12" t="str">
            <v>CUE0000027</v>
          </cell>
          <cell r="DI12">
            <v>0.16</v>
          </cell>
          <cell r="DJ12" t="str">
            <v>FOR0000016</v>
          </cell>
          <cell r="DK12">
            <v>0.19</v>
          </cell>
          <cell r="DL12" t="str">
            <v>AV0100020313</v>
          </cell>
          <cell r="DM12">
            <v>0.17</v>
          </cell>
          <cell r="DN12" t="str">
            <v>AV1401254460</v>
          </cell>
          <cell r="DO12">
            <v>0</v>
          </cell>
          <cell r="DP12" t="str">
            <v>AV1601300929</v>
          </cell>
          <cell r="DQ12">
            <v>0</v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  <cell r="DW12" t="str">
            <v/>
          </cell>
          <cell r="DX12" t="str">
            <v/>
          </cell>
          <cell r="DY12" t="str">
            <v/>
          </cell>
          <cell r="DZ12" t="str">
            <v>VERDE_REVES_VERDE</v>
          </cell>
          <cell r="EA12" t="str">
            <v>BIANCO-CUERO MODENA ESPESOR 1,8</v>
          </cell>
          <cell r="EB12" t="str">
            <v>CUE0000157</v>
          </cell>
          <cell r="EC12">
            <v>0.16</v>
          </cell>
          <cell r="ED12" t="str">
            <v>FOR0000014</v>
          </cell>
          <cell r="EE12">
            <v>0.19</v>
          </cell>
          <cell r="EF12" t="str">
            <v>AV0100020336</v>
          </cell>
          <cell r="EG12">
            <v>0.17</v>
          </cell>
          <cell r="EH12" t="str">
            <v>AV1401254360</v>
          </cell>
          <cell r="EI12">
            <v>0</v>
          </cell>
          <cell r="EJ12" t="str">
            <v>AV1601300956</v>
          </cell>
          <cell r="EK12">
            <v>0</v>
          </cell>
          <cell r="EL12" t="str">
            <v/>
          </cell>
          <cell r="EM12" t="str">
            <v/>
          </cell>
          <cell r="EN12" t="str">
            <v/>
          </cell>
          <cell r="EO12" t="str">
            <v/>
          </cell>
          <cell r="EP12" t="str">
            <v/>
          </cell>
          <cell r="EQ12" t="str">
            <v/>
          </cell>
          <cell r="ER12" t="str">
            <v/>
          </cell>
          <cell r="ES12" t="str">
            <v/>
          </cell>
          <cell r="ET12" t="str">
            <v/>
          </cell>
          <cell r="EU12" t="str">
            <v/>
          </cell>
          <cell r="EV12" t="str">
            <v/>
          </cell>
          <cell r="EW12" t="str">
            <v/>
          </cell>
          <cell r="EX12" t="str">
            <v/>
          </cell>
          <cell r="EY12" t="str">
            <v/>
          </cell>
          <cell r="EZ12" t="str">
            <v/>
          </cell>
          <cell r="FA12" t="str">
            <v/>
          </cell>
          <cell r="FB12" t="str">
            <v/>
          </cell>
          <cell r="FC12" t="str">
            <v/>
          </cell>
          <cell r="FD12" t="str">
            <v/>
          </cell>
          <cell r="FE12" t="str">
            <v/>
          </cell>
          <cell r="FF12" t="str">
            <v/>
          </cell>
          <cell r="FG12" t="str">
            <v/>
          </cell>
          <cell r="FH12" t="str">
            <v/>
          </cell>
          <cell r="FI12" t="str">
            <v/>
          </cell>
          <cell r="FJ12" t="str">
            <v/>
          </cell>
          <cell r="FK12" t="str">
            <v/>
          </cell>
          <cell r="FL12" t="str">
            <v/>
          </cell>
          <cell r="FM12" t="str">
            <v/>
          </cell>
          <cell r="FN12" t="str">
            <v/>
          </cell>
          <cell r="FO12" t="str">
            <v/>
          </cell>
          <cell r="FP12" t="str">
            <v/>
          </cell>
          <cell r="FQ12" t="str">
            <v/>
          </cell>
          <cell r="FR12" t="str">
            <v/>
          </cell>
          <cell r="FS12" t="str">
            <v/>
          </cell>
          <cell r="FT12" t="str">
            <v/>
          </cell>
          <cell r="FU12" t="str">
            <v/>
          </cell>
          <cell r="FV12" t="str">
            <v/>
          </cell>
          <cell r="FW12" t="str">
            <v/>
          </cell>
          <cell r="FX12" t="str">
            <v/>
          </cell>
          <cell r="FY12" t="str">
            <v/>
          </cell>
          <cell r="FZ12" t="str">
            <v/>
          </cell>
          <cell r="GA12" t="str">
            <v/>
          </cell>
          <cell r="GB12" t="str">
            <v/>
          </cell>
          <cell r="GC12" t="str">
            <v/>
          </cell>
          <cell r="GD12" t="str">
            <v/>
          </cell>
          <cell r="GE12" t="str">
            <v/>
          </cell>
          <cell r="GF12" t="str">
            <v/>
          </cell>
          <cell r="GG12" t="str">
            <v/>
          </cell>
          <cell r="GH12" t="str">
            <v/>
          </cell>
          <cell r="GI12" t="str">
            <v/>
          </cell>
          <cell r="GJ12" t="str">
            <v/>
          </cell>
          <cell r="GK12" t="str">
            <v/>
          </cell>
          <cell r="GL12" t="str">
            <v/>
          </cell>
          <cell r="GM12" t="str">
            <v/>
          </cell>
          <cell r="GN12" t="str">
            <v/>
          </cell>
          <cell r="GO12" t="str">
            <v/>
          </cell>
          <cell r="GP12" t="str">
            <v/>
          </cell>
          <cell r="GQ12" t="str">
            <v/>
          </cell>
          <cell r="GR12" t="str">
            <v/>
          </cell>
          <cell r="GS12" t="str">
            <v/>
          </cell>
          <cell r="GT12" t="str">
            <v/>
          </cell>
          <cell r="GU12" t="str">
            <v/>
          </cell>
          <cell r="GV12" t="str">
            <v/>
          </cell>
          <cell r="GW12" t="str">
            <v/>
          </cell>
          <cell r="GX12" t="str">
            <v/>
          </cell>
          <cell r="GY12" t="str">
            <v/>
          </cell>
          <cell r="GZ12" t="str">
            <v/>
          </cell>
          <cell r="HA12" t="str">
            <v/>
          </cell>
          <cell r="HB12" t="str">
            <v/>
          </cell>
          <cell r="HC12" t="str">
            <v/>
          </cell>
          <cell r="HD12" t="str">
            <v/>
          </cell>
          <cell r="HE12" t="str">
            <v/>
          </cell>
          <cell r="HF12" t="str">
            <v/>
          </cell>
          <cell r="HG12" t="str">
            <v/>
          </cell>
          <cell r="HH12" t="str">
            <v/>
          </cell>
          <cell r="HI12" t="str">
            <v/>
          </cell>
          <cell r="HJ12" t="str">
            <v/>
          </cell>
          <cell r="HK12" t="str">
            <v/>
          </cell>
          <cell r="HL12" t="str">
            <v/>
          </cell>
          <cell r="HM12" t="str">
            <v/>
          </cell>
          <cell r="HN12" t="str">
            <v/>
          </cell>
          <cell r="HO12" t="str">
            <v/>
          </cell>
          <cell r="HP12" t="str">
            <v/>
          </cell>
          <cell r="HQ12" t="str">
            <v/>
          </cell>
          <cell r="HR12" t="str">
            <v/>
          </cell>
          <cell r="HS12" t="str">
            <v/>
          </cell>
          <cell r="HT12" t="str">
            <v/>
          </cell>
          <cell r="HU12" t="str">
            <v/>
          </cell>
          <cell r="HV12" t="str">
            <v/>
          </cell>
          <cell r="HW12" t="str">
            <v/>
          </cell>
          <cell r="HX12" t="str">
            <v/>
          </cell>
          <cell r="HY12" t="str">
            <v/>
          </cell>
          <cell r="HZ12" t="str">
            <v/>
          </cell>
          <cell r="IA12" t="str">
            <v/>
          </cell>
          <cell r="IB12" t="str">
            <v/>
          </cell>
          <cell r="IC12" t="str">
            <v/>
          </cell>
          <cell r="ID12" t="str">
            <v/>
          </cell>
          <cell r="IE12" t="str">
            <v/>
          </cell>
          <cell r="IF12" t="str">
            <v/>
          </cell>
          <cell r="IG12" t="str">
            <v/>
          </cell>
          <cell r="IH12" t="str">
            <v/>
          </cell>
          <cell r="II12" t="str">
            <v/>
          </cell>
          <cell r="IJ12" t="str">
            <v/>
          </cell>
          <cell r="IK12" t="str">
            <v/>
          </cell>
          <cell r="IL12" t="str">
            <v/>
          </cell>
          <cell r="IM12" t="str">
            <v/>
          </cell>
          <cell r="IN12" t="str">
            <v/>
          </cell>
          <cell r="IO12" t="str">
            <v/>
          </cell>
          <cell r="IP12" t="str">
            <v/>
          </cell>
          <cell r="IQ12" t="str">
            <v/>
          </cell>
          <cell r="IR12" t="str">
            <v/>
          </cell>
          <cell r="IS12" t="str">
            <v/>
          </cell>
          <cell r="IT12" t="str">
            <v/>
          </cell>
          <cell r="IU12" t="str">
            <v/>
          </cell>
          <cell r="IV12" t="str">
            <v/>
          </cell>
          <cell r="IW12" t="str">
            <v/>
          </cell>
          <cell r="IX12" t="str">
            <v/>
          </cell>
          <cell r="IY12" t="str">
            <v/>
          </cell>
          <cell r="IZ12" t="str">
            <v/>
          </cell>
          <cell r="JA12" t="str">
            <v/>
          </cell>
          <cell r="JB12" t="str">
            <v/>
          </cell>
          <cell r="JC12" t="str">
            <v/>
          </cell>
          <cell r="JD12" t="str">
            <v/>
          </cell>
          <cell r="JE12" t="str">
            <v/>
          </cell>
          <cell r="JF12" t="str">
            <v/>
          </cell>
          <cell r="JG12" t="str">
            <v/>
          </cell>
          <cell r="JH12" t="str">
            <v/>
          </cell>
          <cell r="JI12" t="str">
            <v/>
          </cell>
          <cell r="JJ12" t="str">
            <v/>
          </cell>
          <cell r="JK12" t="str">
            <v/>
          </cell>
          <cell r="JL12" t="str">
            <v/>
          </cell>
          <cell r="JM12" t="str">
            <v/>
          </cell>
          <cell r="JN12" t="str">
            <v/>
          </cell>
          <cell r="JO12" t="str">
            <v/>
          </cell>
          <cell r="JP12" t="str">
            <v/>
          </cell>
          <cell r="JQ12" t="str">
            <v/>
          </cell>
          <cell r="JR12" t="str">
            <v/>
          </cell>
          <cell r="JS12" t="str">
            <v/>
          </cell>
          <cell r="JT12" t="str">
            <v/>
          </cell>
          <cell r="JU12" t="str">
            <v/>
          </cell>
          <cell r="JV12" t="str">
            <v/>
          </cell>
          <cell r="JW12" t="str">
            <v/>
          </cell>
          <cell r="JX12" t="str">
            <v/>
          </cell>
          <cell r="JY12" t="str">
            <v/>
          </cell>
          <cell r="JZ12" t="str">
            <v/>
          </cell>
          <cell r="KA12" t="str">
            <v/>
          </cell>
          <cell r="KB12" t="str">
            <v/>
          </cell>
          <cell r="KC12" t="str">
            <v/>
          </cell>
          <cell r="KD12">
            <v>6</v>
          </cell>
          <cell r="KE12">
            <v>0</v>
          </cell>
          <cell r="KF12">
            <v>0</v>
          </cell>
          <cell r="KG12">
            <v>6</v>
          </cell>
          <cell r="KH12">
            <v>6</v>
          </cell>
          <cell r="KI12">
            <v>6</v>
          </cell>
          <cell r="KJ12">
            <v>6</v>
          </cell>
          <cell r="KK12">
            <v>0</v>
          </cell>
          <cell r="KM12">
            <v>2</v>
          </cell>
          <cell r="KN12">
            <v>2</v>
          </cell>
          <cell r="KP12">
            <v>10</v>
          </cell>
          <cell r="KQ12">
            <v>0</v>
          </cell>
          <cell r="KS12">
            <v>0</v>
          </cell>
          <cell r="KV12">
            <v>0</v>
          </cell>
          <cell r="KY12">
            <v>0</v>
          </cell>
          <cell r="LB12">
            <v>0</v>
          </cell>
          <cell r="LE12">
            <v>0</v>
          </cell>
          <cell r="LH12">
            <v>0</v>
          </cell>
          <cell r="LK12">
            <v>0</v>
          </cell>
          <cell r="LO12">
            <v>45688</v>
          </cell>
          <cell r="LP12" t="str">
            <v>COMPLETADO</v>
          </cell>
        </row>
        <row r="13">
          <cell r="A13">
            <v>1595</v>
          </cell>
          <cell r="B13" t="str">
            <v>LUCIANO</v>
          </cell>
          <cell r="C13" t="str">
            <v>BARRACAS CHICA</v>
          </cell>
          <cell r="D13" t="str">
            <v>MARROQUINERIA CHICA</v>
          </cell>
          <cell r="E13">
            <v>8</v>
          </cell>
          <cell r="F13">
            <v>8</v>
          </cell>
          <cell r="G13">
            <v>8</v>
          </cell>
          <cell r="H13">
            <v>45730.800578703704</v>
          </cell>
          <cell r="I13" t="str">
            <v>MONEDERO LUISA</v>
          </cell>
          <cell r="J13">
            <v>45674</v>
          </cell>
          <cell r="K13">
            <v>45674</v>
          </cell>
          <cell r="M13">
            <v>50</v>
          </cell>
          <cell r="N13" t="str">
            <v>M064</v>
          </cell>
          <cell r="O13" t="str">
            <v>VAR0000002</v>
          </cell>
          <cell r="P13">
            <v>0.01</v>
          </cell>
          <cell r="Q13" t="str">
            <v>BAC0200071027</v>
          </cell>
          <cell r="R13">
            <v>0.01</v>
          </cell>
          <cell r="S13" t="str">
            <v>BAC1300050727</v>
          </cell>
          <cell r="T13">
            <v>0.02</v>
          </cell>
          <cell r="U13" t="str">
            <v>AV0700420101</v>
          </cell>
          <cell r="V13">
            <v>1</v>
          </cell>
          <cell r="W13" t="str">
            <v>AV0101070301</v>
          </cell>
          <cell r="X13">
            <v>1</v>
          </cell>
          <cell r="Y13" t="str">
            <v>AV0600560101</v>
          </cell>
          <cell r="Z13">
            <v>1</v>
          </cell>
          <cell r="AA13" t="str">
            <v>AV170134014</v>
          </cell>
          <cell r="AB13">
            <v>0</v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>GRABADO EL LUCERO ARGENTINA PIEZA INTERNA IZQUIERDA ABAJO</v>
          </cell>
          <cell r="AX13" t="str">
            <v>ROJO</v>
          </cell>
          <cell r="AY13" t="str">
            <v>ARENA-CUERO BRIDGE</v>
          </cell>
          <cell r="AZ13" t="str">
            <v>CUE0000010</v>
          </cell>
          <cell r="BA13">
            <v>0.08</v>
          </cell>
          <cell r="BB13" t="str">
            <v>AV1401254460</v>
          </cell>
          <cell r="BC13">
            <v>0</v>
          </cell>
          <cell r="BD13" t="str">
            <v>FOR0000016</v>
          </cell>
          <cell r="BE13">
            <v>0.08</v>
          </cell>
          <cell r="BF13" t="str">
            <v>AV0100020313</v>
          </cell>
          <cell r="BG13">
            <v>0.1</v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>TABACO</v>
          </cell>
          <cell r="BS13" t="str">
            <v>ARENA-CUERO BRIDGE</v>
          </cell>
          <cell r="BT13" t="str">
            <v>CUE0000012</v>
          </cell>
          <cell r="BU13">
            <v>0.08</v>
          </cell>
          <cell r="BV13" t="str">
            <v>AV1401250545</v>
          </cell>
          <cell r="BW13">
            <v>0</v>
          </cell>
          <cell r="BX13" t="str">
            <v>FOR0000015</v>
          </cell>
          <cell r="BY13">
            <v>0.08</v>
          </cell>
          <cell r="BZ13" t="str">
            <v>CIE0000004</v>
          </cell>
          <cell r="CA13">
            <v>0.1</v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  <cell r="DW13" t="str">
            <v/>
          </cell>
          <cell r="DX13" t="str">
            <v/>
          </cell>
          <cell r="DY13" t="str">
            <v/>
          </cell>
          <cell r="DZ13" t="str">
            <v/>
          </cell>
          <cell r="EA13" t="str">
            <v/>
          </cell>
          <cell r="EB13" t="str">
            <v/>
          </cell>
          <cell r="EC13" t="str">
            <v/>
          </cell>
          <cell r="ED13" t="str">
            <v/>
          </cell>
          <cell r="EE13" t="str">
            <v/>
          </cell>
          <cell r="EF13" t="str">
            <v/>
          </cell>
          <cell r="EG13" t="str">
            <v/>
          </cell>
          <cell r="EH13" t="str">
            <v/>
          </cell>
          <cell r="EI13" t="str">
            <v/>
          </cell>
          <cell r="EJ13" t="str">
            <v/>
          </cell>
          <cell r="EK13" t="str">
            <v/>
          </cell>
          <cell r="EL13" t="str">
            <v/>
          </cell>
          <cell r="EM13" t="str">
            <v/>
          </cell>
          <cell r="EN13" t="str">
            <v/>
          </cell>
          <cell r="EO13" t="str">
            <v/>
          </cell>
          <cell r="EP13" t="str">
            <v/>
          </cell>
          <cell r="EQ13" t="str">
            <v/>
          </cell>
          <cell r="ER13" t="str">
            <v/>
          </cell>
          <cell r="ES13" t="str">
            <v/>
          </cell>
          <cell r="ET13" t="str">
            <v/>
          </cell>
          <cell r="EU13" t="str">
            <v/>
          </cell>
          <cell r="EV13" t="str">
            <v/>
          </cell>
          <cell r="EW13" t="str">
            <v/>
          </cell>
          <cell r="EX13" t="str">
            <v/>
          </cell>
          <cell r="EY13" t="str">
            <v/>
          </cell>
          <cell r="EZ13" t="str">
            <v/>
          </cell>
          <cell r="FA13" t="str">
            <v/>
          </cell>
          <cell r="FB13" t="str">
            <v/>
          </cell>
          <cell r="FC13" t="str">
            <v/>
          </cell>
          <cell r="FD13" t="str">
            <v/>
          </cell>
          <cell r="FE13" t="str">
            <v/>
          </cell>
          <cell r="FF13" t="str">
            <v/>
          </cell>
          <cell r="FG13" t="str">
            <v/>
          </cell>
          <cell r="FH13" t="str">
            <v/>
          </cell>
          <cell r="FI13" t="str">
            <v/>
          </cell>
          <cell r="FJ13" t="str">
            <v/>
          </cell>
          <cell r="FK13" t="str">
            <v/>
          </cell>
          <cell r="FL13" t="str">
            <v/>
          </cell>
          <cell r="FM13" t="str">
            <v/>
          </cell>
          <cell r="FN13" t="str">
            <v/>
          </cell>
          <cell r="FO13" t="str">
            <v/>
          </cell>
          <cell r="FP13" t="str">
            <v/>
          </cell>
          <cell r="FQ13" t="str">
            <v/>
          </cell>
          <cell r="FR13" t="str">
            <v/>
          </cell>
          <cell r="FS13" t="str">
            <v/>
          </cell>
          <cell r="FT13" t="str">
            <v/>
          </cell>
          <cell r="FU13" t="str">
            <v/>
          </cell>
          <cell r="FV13" t="str">
            <v/>
          </cell>
          <cell r="FW13" t="str">
            <v/>
          </cell>
          <cell r="FX13" t="str">
            <v/>
          </cell>
          <cell r="FY13" t="str">
            <v/>
          </cell>
          <cell r="FZ13" t="str">
            <v/>
          </cell>
          <cell r="GA13" t="str">
            <v/>
          </cell>
          <cell r="GB13" t="str">
            <v/>
          </cell>
          <cell r="GC13" t="str">
            <v/>
          </cell>
          <cell r="GD13" t="str">
            <v/>
          </cell>
          <cell r="GE13" t="str">
            <v/>
          </cell>
          <cell r="GF13" t="str">
            <v/>
          </cell>
          <cell r="GG13" t="str">
            <v/>
          </cell>
          <cell r="GH13" t="str">
            <v/>
          </cell>
          <cell r="GI13" t="str">
            <v/>
          </cell>
          <cell r="GJ13" t="str">
            <v/>
          </cell>
          <cell r="GK13" t="str">
            <v/>
          </cell>
          <cell r="GL13" t="str">
            <v/>
          </cell>
          <cell r="GM13" t="str">
            <v/>
          </cell>
          <cell r="GN13" t="str">
            <v/>
          </cell>
          <cell r="GO13" t="str">
            <v/>
          </cell>
          <cell r="GP13" t="str">
            <v/>
          </cell>
          <cell r="GQ13" t="str">
            <v/>
          </cell>
          <cell r="GR13" t="str">
            <v/>
          </cell>
          <cell r="GS13" t="str">
            <v/>
          </cell>
          <cell r="GT13" t="str">
            <v/>
          </cell>
          <cell r="GU13" t="str">
            <v/>
          </cell>
          <cell r="GV13" t="str">
            <v/>
          </cell>
          <cell r="GW13" t="str">
            <v/>
          </cell>
          <cell r="GX13" t="str">
            <v/>
          </cell>
          <cell r="GY13" t="str">
            <v/>
          </cell>
          <cell r="GZ13" t="str">
            <v/>
          </cell>
          <cell r="HA13" t="str">
            <v/>
          </cell>
          <cell r="HB13" t="str">
            <v/>
          </cell>
          <cell r="HC13" t="str">
            <v/>
          </cell>
          <cell r="HD13" t="str">
            <v/>
          </cell>
          <cell r="HE13" t="str">
            <v/>
          </cell>
          <cell r="HF13" t="str">
            <v/>
          </cell>
          <cell r="HG13" t="str">
            <v/>
          </cell>
          <cell r="HH13" t="str">
            <v/>
          </cell>
          <cell r="HI13" t="str">
            <v/>
          </cell>
          <cell r="HJ13" t="str">
            <v/>
          </cell>
          <cell r="HK13" t="str">
            <v/>
          </cell>
          <cell r="HL13" t="str">
            <v/>
          </cell>
          <cell r="HM13" t="str">
            <v/>
          </cell>
          <cell r="HN13" t="str">
            <v/>
          </cell>
          <cell r="HO13" t="str">
            <v/>
          </cell>
          <cell r="HP13" t="str">
            <v/>
          </cell>
          <cell r="HQ13" t="str">
            <v/>
          </cell>
          <cell r="HR13" t="str">
            <v/>
          </cell>
          <cell r="HS13" t="str">
            <v/>
          </cell>
          <cell r="HT13" t="str">
            <v/>
          </cell>
          <cell r="HU13" t="str">
            <v/>
          </cell>
          <cell r="HV13" t="str">
            <v/>
          </cell>
          <cell r="HW13" t="str">
            <v/>
          </cell>
          <cell r="HX13" t="str">
            <v/>
          </cell>
          <cell r="HY13" t="str">
            <v/>
          </cell>
          <cell r="HZ13" t="str">
            <v/>
          </cell>
          <cell r="IA13" t="str">
            <v/>
          </cell>
          <cell r="IB13" t="str">
            <v/>
          </cell>
          <cell r="IC13" t="str">
            <v/>
          </cell>
          <cell r="ID13" t="str">
            <v/>
          </cell>
          <cell r="IE13" t="str">
            <v/>
          </cell>
          <cell r="IF13" t="str">
            <v/>
          </cell>
          <cell r="IG13" t="str">
            <v/>
          </cell>
          <cell r="IH13" t="str">
            <v/>
          </cell>
          <cell r="II13" t="str">
            <v/>
          </cell>
          <cell r="IJ13" t="str">
            <v/>
          </cell>
          <cell r="IK13" t="str">
            <v/>
          </cell>
          <cell r="IL13" t="str">
            <v/>
          </cell>
          <cell r="IM13" t="str">
            <v/>
          </cell>
          <cell r="IN13" t="str">
            <v/>
          </cell>
          <cell r="IO13" t="str">
            <v/>
          </cell>
          <cell r="IP13" t="str">
            <v/>
          </cell>
          <cell r="IQ13" t="str">
            <v/>
          </cell>
          <cell r="IR13" t="str">
            <v/>
          </cell>
          <cell r="IS13" t="str">
            <v/>
          </cell>
          <cell r="IT13" t="str">
            <v/>
          </cell>
          <cell r="IU13" t="str">
            <v/>
          </cell>
          <cell r="IV13" t="str">
            <v/>
          </cell>
          <cell r="IW13" t="str">
            <v/>
          </cell>
          <cell r="IX13" t="str">
            <v/>
          </cell>
          <cell r="IY13" t="str">
            <v/>
          </cell>
          <cell r="IZ13" t="str">
            <v/>
          </cell>
          <cell r="JA13" t="str">
            <v/>
          </cell>
          <cell r="JB13" t="str">
            <v/>
          </cell>
          <cell r="JC13" t="str">
            <v/>
          </cell>
          <cell r="JD13" t="str">
            <v/>
          </cell>
          <cell r="JE13" t="str">
            <v/>
          </cell>
          <cell r="JF13" t="str">
            <v/>
          </cell>
          <cell r="JG13" t="str">
            <v/>
          </cell>
          <cell r="JH13" t="str">
            <v/>
          </cell>
          <cell r="JI13" t="str">
            <v/>
          </cell>
          <cell r="JJ13" t="str">
            <v/>
          </cell>
          <cell r="JK13" t="str">
            <v/>
          </cell>
          <cell r="JL13" t="str">
            <v/>
          </cell>
          <cell r="JM13" t="str">
            <v/>
          </cell>
          <cell r="JN13" t="str">
            <v/>
          </cell>
          <cell r="JO13" t="str">
            <v/>
          </cell>
          <cell r="JP13" t="str">
            <v/>
          </cell>
          <cell r="JQ13" t="str">
            <v/>
          </cell>
          <cell r="JR13" t="str">
            <v/>
          </cell>
          <cell r="JS13" t="str">
            <v/>
          </cell>
          <cell r="JT13" t="str">
            <v/>
          </cell>
          <cell r="JU13" t="str">
            <v/>
          </cell>
          <cell r="JV13" t="str">
            <v/>
          </cell>
          <cell r="JW13" t="str">
            <v/>
          </cell>
          <cell r="JX13" t="str">
            <v/>
          </cell>
          <cell r="JY13" t="str">
            <v/>
          </cell>
          <cell r="JZ13" t="str">
            <v/>
          </cell>
          <cell r="KA13" t="str">
            <v/>
          </cell>
          <cell r="KB13" t="str">
            <v/>
          </cell>
          <cell r="KC13" t="str">
            <v/>
          </cell>
          <cell r="KD13">
            <v>6</v>
          </cell>
          <cell r="KE13">
            <v>6</v>
          </cell>
          <cell r="KF13">
            <v>6</v>
          </cell>
          <cell r="KG13">
            <v>2</v>
          </cell>
          <cell r="KH13">
            <v>2</v>
          </cell>
          <cell r="KI13">
            <v>2</v>
          </cell>
          <cell r="KJ13">
            <v>0</v>
          </cell>
          <cell r="KM13">
            <v>0</v>
          </cell>
          <cell r="KP13">
            <v>0</v>
          </cell>
          <cell r="KS13">
            <v>0</v>
          </cell>
          <cell r="KV13">
            <v>0</v>
          </cell>
          <cell r="KY13">
            <v>0</v>
          </cell>
          <cell r="LB13">
            <v>0</v>
          </cell>
          <cell r="LE13">
            <v>0</v>
          </cell>
          <cell r="LH13">
            <v>0</v>
          </cell>
          <cell r="LK13">
            <v>0</v>
          </cell>
          <cell r="LO13">
            <v>45688</v>
          </cell>
          <cell r="LP13" t="str">
            <v>COMPLETADO</v>
          </cell>
        </row>
        <row r="14">
          <cell r="A14">
            <v>1598</v>
          </cell>
          <cell r="B14" t="str">
            <v xml:space="preserve"> -----</v>
          </cell>
          <cell r="C14" t="str">
            <v>EXTERNO</v>
          </cell>
          <cell r="D14" t="str">
            <v>MARROQUINERIA CHICA</v>
          </cell>
          <cell r="E14">
            <v>62</v>
          </cell>
          <cell r="F14">
            <v>37</v>
          </cell>
          <cell r="G14">
            <v>37</v>
          </cell>
          <cell r="H14">
            <v>45731.640983796293</v>
          </cell>
          <cell r="I14" t="str">
            <v>TARJETERO ARIES</v>
          </cell>
          <cell r="J14">
            <v>45674</v>
          </cell>
          <cell r="K14">
            <v>45674</v>
          </cell>
          <cell r="M14">
            <v>10</v>
          </cell>
          <cell r="N14" t="str">
            <v>M123</v>
          </cell>
          <cell r="O14" t="str">
            <v>AV170134014</v>
          </cell>
          <cell r="P14">
            <v>0</v>
          </cell>
          <cell r="Q14" t="str">
            <v/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 xml:space="preserve">GRABADO " EL LUCERO ARGENTINA" CHICO EN TIRA DEL FRENTE, CENTRADO   </v>
          </cell>
          <cell r="AX14" t="str">
            <v>ROJO</v>
          </cell>
          <cell r="AY14" t="str">
            <v>ARENA-CUERO BRIDGE</v>
          </cell>
          <cell r="AZ14" t="str">
            <v>CUE0000010</v>
          </cell>
          <cell r="BA14">
            <v>0.02</v>
          </cell>
          <cell r="BB14" t="str">
            <v>AV1401254460</v>
          </cell>
          <cell r="BC14">
            <v>0</v>
          </cell>
          <cell r="BD14" t="str">
            <v>AV1601300929</v>
          </cell>
          <cell r="BE14">
            <v>0</v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>CEDRO</v>
          </cell>
          <cell r="BS14" t="str">
            <v>BIANCO-CUERO FIORENTINO</v>
          </cell>
          <cell r="BT14" t="str">
            <v>CUE0000055</v>
          </cell>
          <cell r="BU14">
            <v>0.02</v>
          </cell>
          <cell r="BV14" t="str">
            <v>AV1401250545</v>
          </cell>
          <cell r="BW14">
            <v>0</v>
          </cell>
          <cell r="BX14" t="str">
            <v>AV1601300955</v>
          </cell>
          <cell r="BY14">
            <v>0</v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>VERDE_REVES_VERDE</v>
          </cell>
          <cell r="CM14" t="str">
            <v>BIANCO-CUERO MODENA ESPESOR 1,8</v>
          </cell>
          <cell r="CN14" t="str">
            <v>CUE0000157</v>
          </cell>
          <cell r="CO14">
            <v>0.02</v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>CUERO_VINTAGE_DARK</v>
          </cell>
          <cell r="DG14" t="str">
            <v>LEDER-CUERO</v>
          </cell>
          <cell r="DH14" t="str">
            <v>CUE0000101</v>
          </cell>
          <cell r="DI14">
            <v>0.02</v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  <cell r="DW14" t="str">
            <v/>
          </cell>
          <cell r="DX14" t="str">
            <v/>
          </cell>
          <cell r="DY14" t="str">
            <v/>
          </cell>
          <cell r="DZ14" t="str">
            <v>CUERO_VINTAGE_MEDIO</v>
          </cell>
          <cell r="EA14" t="str">
            <v>LEDER-CUERO</v>
          </cell>
          <cell r="EB14" t="str">
            <v>CUE0000100</v>
          </cell>
          <cell r="EC14">
            <v>0.02</v>
          </cell>
          <cell r="ED14" t="str">
            <v/>
          </cell>
          <cell r="EE14" t="str">
            <v/>
          </cell>
          <cell r="EF14" t="str">
            <v/>
          </cell>
          <cell r="EG14" t="str">
            <v/>
          </cell>
          <cell r="EH14" t="str">
            <v/>
          </cell>
          <cell r="EI14" t="str">
            <v/>
          </cell>
          <cell r="EJ14" t="str">
            <v/>
          </cell>
          <cell r="EK14" t="str">
            <v/>
          </cell>
          <cell r="EL14" t="str">
            <v/>
          </cell>
          <cell r="EM14" t="str">
            <v/>
          </cell>
          <cell r="EN14" t="str">
            <v/>
          </cell>
          <cell r="EO14" t="str">
            <v/>
          </cell>
          <cell r="EP14" t="str">
            <v/>
          </cell>
          <cell r="EQ14" t="str">
            <v/>
          </cell>
          <cell r="ER14" t="str">
            <v/>
          </cell>
          <cell r="ES14" t="str">
            <v/>
          </cell>
          <cell r="ET14" t="str">
            <v/>
          </cell>
          <cell r="EU14" t="str">
            <v/>
          </cell>
          <cell r="EV14" t="str">
            <v/>
          </cell>
          <cell r="EW14" t="str">
            <v/>
          </cell>
          <cell r="EX14" t="str">
            <v/>
          </cell>
          <cell r="EY14" t="str">
            <v/>
          </cell>
          <cell r="EZ14" t="str">
            <v/>
          </cell>
          <cell r="FA14" t="str">
            <v/>
          </cell>
          <cell r="FB14" t="str">
            <v/>
          </cell>
          <cell r="FC14" t="str">
            <v/>
          </cell>
          <cell r="FD14" t="str">
            <v/>
          </cell>
          <cell r="FE14" t="str">
            <v/>
          </cell>
          <cell r="FF14" t="str">
            <v/>
          </cell>
          <cell r="FG14" t="str">
            <v/>
          </cell>
          <cell r="FH14" t="str">
            <v/>
          </cell>
          <cell r="FI14" t="str">
            <v/>
          </cell>
          <cell r="FJ14" t="str">
            <v/>
          </cell>
          <cell r="FK14" t="str">
            <v/>
          </cell>
          <cell r="FL14" t="str">
            <v/>
          </cell>
          <cell r="FM14" t="str">
            <v/>
          </cell>
          <cell r="FN14" t="str">
            <v/>
          </cell>
          <cell r="FO14" t="str">
            <v/>
          </cell>
          <cell r="FP14" t="str">
            <v/>
          </cell>
          <cell r="FQ14" t="str">
            <v/>
          </cell>
          <cell r="FR14" t="str">
            <v/>
          </cell>
          <cell r="FS14" t="str">
            <v/>
          </cell>
          <cell r="FT14" t="str">
            <v/>
          </cell>
          <cell r="FU14" t="str">
            <v/>
          </cell>
          <cell r="FV14" t="str">
            <v/>
          </cell>
          <cell r="FW14" t="str">
            <v/>
          </cell>
          <cell r="FX14" t="str">
            <v/>
          </cell>
          <cell r="FY14" t="str">
            <v/>
          </cell>
          <cell r="FZ14" t="str">
            <v/>
          </cell>
          <cell r="GA14" t="str">
            <v/>
          </cell>
          <cell r="GB14" t="str">
            <v/>
          </cell>
          <cell r="GC14" t="str">
            <v/>
          </cell>
          <cell r="GD14" t="str">
            <v/>
          </cell>
          <cell r="GE14" t="str">
            <v/>
          </cell>
          <cell r="GF14" t="str">
            <v/>
          </cell>
          <cell r="GG14" t="str">
            <v/>
          </cell>
          <cell r="GH14" t="str">
            <v/>
          </cell>
          <cell r="GI14" t="str">
            <v/>
          </cell>
          <cell r="GJ14" t="str">
            <v/>
          </cell>
          <cell r="GK14" t="str">
            <v/>
          </cell>
          <cell r="GL14" t="str">
            <v/>
          </cell>
          <cell r="GM14" t="str">
            <v/>
          </cell>
          <cell r="GN14" t="str">
            <v/>
          </cell>
          <cell r="GO14" t="str">
            <v/>
          </cell>
          <cell r="GP14" t="str">
            <v/>
          </cell>
          <cell r="GQ14" t="str">
            <v/>
          </cell>
          <cell r="GR14" t="str">
            <v/>
          </cell>
          <cell r="GS14" t="str">
            <v/>
          </cell>
          <cell r="GT14" t="str">
            <v/>
          </cell>
          <cell r="GU14" t="str">
            <v/>
          </cell>
          <cell r="GV14" t="str">
            <v/>
          </cell>
          <cell r="GW14" t="str">
            <v/>
          </cell>
          <cell r="GX14" t="str">
            <v/>
          </cell>
          <cell r="GY14" t="str">
            <v/>
          </cell>
          <cell r="GZ14" t="str">
            <v/>
          </cell>
          <cell r="HA14" t="str">
            <v/>
          </cell>
          <cell r="HB14" t="str">
            <v/>
          </cell>
          <cell r="HC14" t="str">
            <v/>
          </cell>
          <cell r="HD14" t="str">
            <v/>
          </cell>
          <cell r="HE14" t="str">
            <v/>
          </cell>
          <cell r="HF14" t="str">
            <v/>
          </cell>
          <cell r="HG14" t="str">
            <v/>
          </cell>
          <cell r="HH14" t="str">
            <v/>
          </cell>
          <cell r="HI14" t="str">
            <v/>
          </cell>
          <cell r="HJ14" t="str">
            <v/>
          </cell>
          <cell r="HK14" t="str">
            <v/>
          </cell>
          <cell r="HL14" t="str">
            <v/>
          </cell>
          <cell r="HM14" t="str">
            <v/>
          </cell>
          <cell r="HN14" t="str">
            <v/>
          </cell>
          <cell r="HO14" t="str">
            <v/>
          </cell>
          <cell r="HP14" t="str">
            <v/>
          </cell>
          <cell r="HQ14" t="str">
            <v/>
          </cell>
          <cell r="HR14" t="str">
            <v/>
          </cell>
          <cell r="HS14" t="str">
            <v/>
          </cell>
          <cell r="HT14" t="str">
            <v/>
          </cell>
          <cell r="HU14" t="str">
            <v/>
          </cell>
          <cell r="HV14" t="str">
            <v/>
          </cell>
          <cell r="HW14" t="str">
            <v/>
          </cell>
          <cell r="HX14" t="str">
            <v/>
          </cell>
          <cell r="HY14" t="str">
            <v/>
          </cell>
          <cell r="HZ14" t="str">
            <v/>
          </cell>
          <cell r="IA14" t="str">
            <v/>
          </cell>
          <cell r="IB14" t="str">
            <v/>
          </cell>
          <cell r="IC14" t="str">
            <v/>
          </cell>
          <cell r="ID14" t="str">
            <v/>
          </cell>
          <cell r="IE14" t="str">
            <v/>
          </cell>
          <cell r="IF14" t="str">
            <v/>
          </cell>
          <cell r="IG14" t="str">
            <v/>
          </cell>
          <cell r="IH14" t="str">
            <v/>
          </cell>
          <cell r="II14" t="str">
            <v/>
          </cell>
          <cell r="IJ14" t="str">
            <v/>
          </cell>
          <cell r="IK14" t="str">
            <v/>
          </cell>
          <cell r="IL14" t="str">
            <v/>
          </cell>
          <cell r="IM14" t="str">
            <v/>
          </cell>
          <cell r="IN14" t="str">
            <v/>
          </cell>
          <cell r="IO14" t="str">
            <v/>
          </cell>
          <cell r="IP14" t="str">
            <v/>
          </cell>
          <cell r="IQ14" t="str">
            <v/>
          </cell>
          <cell r="IR14" t="str">
            <v/>
          </cell>
          <cell r="IS14" t="str">
            <v/>
          </cell>
          <cell r="IT14" t="str">
            <v/>
          </cell>
          <cell r="IU14" t="str">
            <v/>
          </cell>
          <cell r="IV14" t="str">
            <v/>
          </cell>
          <cell r="IW14" t="str">
            <v/>
          </cell>
          <cell r="IX14" t="str">
            <v/>
          </cell>
          <cell r="IY14" t="str">
            <v/>
          </cell>
          <cell r="IZ14" t="str">
            <v/>
          </cell>
          <cell r="JA14" t="str">
            <v/>
          </cell>
          <cell r="JB14" t="str">
            <v/>
          </cell>
          <cell r="JC14" t="str">
            <v/>
          </cell>
          <cell r="JD14" t="str">
            <v/>
          </cell>
          <cell r="JE14" t="str">
            <v/>
          </cell>
          <cell r="JF14" t="str">
            <v/>
          </cell>
          <cell r="JG14" t="str">
            <v/>
          </cell>
          <cell r="JH14" t="str">
            <v/>
          </cell>
          <cell r="JI14" t="str">
            <v/>
          </cell>
          <cell r="JJ14" t="str">
            <v/>
          </cell>
          <cell r="JK14" t="str">
            <v/>
          </cell>
          <cell r="JL14" t="str">
            <v/>
          </cell>
          <cell r="JM14" t="str">
            <v/>
          </cell>
          <cell r="JN14" t="str">
            <v/>
          </cell>
          <cell r="JO14" t="str">
            <v/>
          </cell>
          <cell r="JP14" t="str">
            <v/>
          </cell>
          <cell r="JQ14" t="str">
            <v/>
          </cell>
          <cell r="JR14" t="str">
            <v/>
          </cell>
          <cell r="JS14" t="str">
            <v/>
          </cell>
          <cell r="JT14" t="str">
            <v/>
          </cell>
          <cell r="JU14" t="str">
            <v/>
          </cell>
          <cell r="JV14" t="str">
            <v/>
          </cell>
          <cell r="JW14" t="str">
            <v/>
          </cell>
          <cell r="JX14" t="str">
            <v/>
          </cell>
          <cell r="JY14" t="str">
            <v/>
          </cell>
          <cell r="JZ14" t="str">
            <v/>
          </cell>
          <cell r="KA14" t="str">
            <v/>
          </cell>
          <cell r="KB14" t="str">
            <v/>
          </cell>
          <cell r="KC14" t="str">
            <v/>
          </cell>
          <cell r="KD14">
            <v>12</v>
          </cell>
          <cell r="KE14">
            <v>12</v>
          </cell>
          <cell r="KF14">
            <v>12</v>
          </cell>
          <cell r="KG14">
            <v>15</v>
          </cell>
          <cell r="KH14">
            <v>15</v>
          </cell>
          <cell r="KI14">
            <v>15</v>
          </cell>
          <cell r="KJ14">
            <v>15</v>
          </cell>
          <cell r="KK14">
            <v>0</v>
          </cell>
          <cell r="KL14">
            <v>0</v>
          </cell>
          <cell r="KM14">
            <v>10</v>
          </cell>
          <cell r="KN14">
            <v>0</v>
          </cell>
          <cell r="KO14">
            <v>0</v>
          </cell>
          <cell r="KP14">
            <v>10</v>
          </cell>
          <cell r="KQ14">
            <v>10</v>
          </cell>
          <cell r="KR14">
            <v>10</v>
          </cell>
          <cell r="KS14">
            <v>0</v>
          </cell>
          <cell r="KV14">
            <v>0</v>
          </cell>
          <cell r="KY14">
            <v>0</v>
          </cell>
          <cell r="LB14">
            <v>0</v>
          </cell>
          <cell r="LE14">
            <v>0</v>
          </cell>
          <cell r="LH14">
            <v>0</v>
          </cell>
          <cell r="LK14">
            <v>0</v>
          </cell>
          <cell r="LO14">
            <v>45679</v>
          </cell>
          <cell r="LP14" t="str">
            <v>COMPLETADO</v>
          </cell>
        </row>
        <row r="15">
          <cell r="A15">
            <v>1599</v>
          </cell>
          <cell r="B15" t="str">
            <v xml:space="preserve"> -----</v>
          </cell>
          <cell r="C15" t="str">
            <v>EXTERNO</v>
          </cell>
          <cell r="D15" t="str">
            <v>MARROQUINERIA CHICA</v>
          </cell>
          <cell r="E15">
            <v>32</v>
          </cell>
          <cell r="F15">
            <v>10</v>
          </cell>
          <cell r="G15">
            <v>10</v>
          </cell>
          <cell r="H15">
            <v>45731.648101851853</v>
          </cell>
          <cell r="I15" t="str">
            <v>TARJETERO BILL</v>
          </cell>
          <cell r="J15">
            <v>45667</v>
          </cell>
          <cell r="K15">
            <v>45667</v>
          </cell>
          <cell r="M15">
            <v>13</v>
          </cell>
          <cell r="N15" t="str">
            <v>M124</v>
          </cell>
          <cell r="O15" t="str">
            <v>AV170134014</v>
          </cell>
          <cell r="P15">
            <v>0</v>
          </cell>
          <cell r="Q15" t="str">
            <v/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 xml:space="preserve">GRABADO " EL LUCERO ARG." CHICO EN EL FRENTE CENTRADO, A 1,5CM DEL BORDE INFERIOR  </v>
          </cell>
          <cell r="AX15" t="str">
            <v>AZUL_REVES_AZUL</v>
          </cell>
          <cell r="AY15" t="str">
            <v>BIANCO-CUERO MODENA ESPESOR 1,8</v>
          </cell>
          <cell r="AZ15" t="str">
            <v>CUE0000156</v>
          </cell>
          <cell r="BA15">
            <v>0.05</v>
          </cell>
          <cell r="BB15" t="str">
            <v>AV1401254360</v>
          </cell>
          <cell r="BC15">
            <v>0</v>
          </cell>
          <cell r="BD15" t="str">
            <v>AV1601300956</v>
          </cell>
          <cell r="BE15">
            <v>0</v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>VERDE_REVES_VERDE</v>
          </cell>
          <cell r="BS15" t="str">
            <v>BIANCO-CUERO MODENA ESPESOR 1,8</v>
          </cell>
          <cell r="BT15" t="str">
            <v>CUE0000157</v>
          </cell>
          <cell r="BU15">
            <v>0.05</v>
          </cell>
          <cell r="BV15" t="str">
            <v>AV1401254260</v>
          </cell>
          <cell r="BW15">
            <v>0</v>
          </cell>
          <cell r="BX15" t="str">
            <v>AV1601300957</v>
          </cell>
          <cell r="BY15">
            <v>0</v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>SUELA</v>
          </cell>
          <cell r="CM15" t="str">
            <v>ARENA-CUERO NAPADO</v>
          </cell>
          <cell r="CN15" t="str">
            <v>CUE0000028</v>
          </cell>
          <cell r="CO15">
            <v>0.05</v>
          </cell>
          <cell r="CP15" t="str">
            <v>AV1401250545</v>
          </cell>
          <cell r="CQ15">
            <v>0</v>
          </cell>
          <cell r="CR15" t="str">
            <v>AV1601300955</v>
          </cell>
          <cell r="CS15">
            <v>0</v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  <cell r="DW15" t="str">
            <v/>
          </cell>
          <cell r="DX15" t="str">
            <v/>
          </cell>
          <cell r="DY15" t="str">
            <v/>
          </cell>
          <cell r="DZ15" t="str">
            <v/>
          </cell>
          <cell r="EA15" t="str">
            <v/>
          </cell>
          <cell r="EB15" t="str">
            <v/>
          </cell>
          <cell r="EC15" t="str">
            <v/>
          </cell>
          <cell r="ED15" t="str">
            <v/>
          </cell>
          <cell r="EE15" t="str">
            <v/>
          </cell>
          <cell r="EF15" t="str">
            <v/>
          </cell>
          <cell r="EG15" t="str">
            <v/>
          </cell>
          <cell r="EH15" t="str">
            <v/>
          </cell>
          <cell r="EI15" t="str">
            <v/>
          </cell>
          <cell r="EJ15" t="str">
            <v/>
          </cell>
          <cell r="EK15" t="str">
            <v/>
          </cell>
          <cell r="EL15" t="str">
            <v/>
          </cell>
          <cell r="EM15" t="str">
            <v/>
          </cell>
          <cell r="EN15" t="str">
            <v/>
          </cell>
          <cell r="EO15" t="str">
            <v/>
          </cell>
          <cell r="EP15" t="str">
            <v/>
          </cell>
          <cell r="EQ15" t="str">
            <v/>
          </cell>
          <cell r="ER15" t="str">
            <v/>
          </cell>
          <cell r="ES15" t="str">
            <v/>
          </cell>
          <cell r="ET15" t="str">
            <v/>
          </cell>
          <cell r="EU15" t="str">
            <v/>
          </cell>
          <cell r="EV15" t="str">
            <v/>
          </cell>
          <cell r="EW15" t="str">
            <v/>
          </cell>
          <cell r="EX15" t="str">
            <v/>
          </cell>
          <cell r="EY15" t="str">
            <v/>
          </cell>
          <cell r="EZ15" t="str">
            <v/>
          </cell>
          <cell r="FA15" t="str">
            <v/>
          </cell>
          <cell r="FB15" t="str">
            <v/>
          </cell>
          <cell r="FC15" t="str">
            <v/>
          </cell>
          <cell r="FD15" t="str">
            <v/>
          </cell>
          <cell r="FE15" t="str">
            <v/>
          </cell>
          <cell r="FF15" t="str">
            <v/>
          </cell>
          <cell r="FG15" t="str">
            <v/>
          </cell>
          <cell r="FH15" t="str">
            <v/>
          </cell>
          <cell r="FI15" t="str">
            <v/>
          </cell>
          <cell r="FJ15" t="str">
            <v/>
          </cell>
          <cell r="FK15" t="str">
            <v/>
          </cell>
          <cell r="FL15" t="str">
            <v/>
          </cell>
          <cell r="FM15" t="str">
            <v/>
          </cell>
          <cell r="FN15" t="str">
            <v/>
          </cell>
          <cell r="FO15" t="str">
            <v/>
          </cell>
          <cell r="FP15" t="str">
            <v/>
          </cell>
          <cell r="FQ15" t="str">
            <v/>
          </cell>
          <cell r="FR15" t="str">
            <v/>
          </cell>
          <cell r="FS15" t="str">
            <v/>
          </cell>
          <cell r="FT15" t="str">
            <v/>
          </cell>
          <cell r="FU15" t="str">
            <v/>
          </cell>
          <cell r="FV15" t="str">
            <v/>
          </cell>
          <cell r="FW15" t="str">
            <v/>
          </cell>
          <cell r="FX15" t="str">
            <v/>
          </cell>
          <cell r="FY15" t="str">
            <v/>
          </cell>
          <cell r="FZ15" t="str">
            <v/>
          </cell>
          <cell r="GA15" t="str">
            <v/>
          </cell>
          <cell r="GB15" t="str">
            <v/>
          </cell>
          <cell r="GC15" t="str">
            <v/>
          </cell>
          <cell r="GD15" t="str">
            <v/>
          </cell>
          <cell r="GE15" t="str">
            <v/>
          </cell>
          <cell r="GF15" t="str">
            <v/>
          </cell>
          <cell r="GG15" t="str">
            <v/>
          </cell>
          <cell r="GH15" t="str">
            <v/>
          </cell>
          <cell r="GI15" t="str">
            <v/>
          </cell>
          <cell r="GJ15" t="str">
            <v/>
          </cell>
          <cell r="GK15" t="str">
            <v/>
          </cell>
          <cell r="GL15" t="str">
            <v/>
          </cell>
          <cell r="GM15" t="str">
            <v/>
          </cell>
          <cell r="GN15" t="str">
            <v/>
          </cell>
          <cell r="GO15" t="str">
            <v/>
          </cell>
          <cell r="GP15" t="str">
            <v/>
          </cell>
          <cell r="GQ15" t="str">
            <v/>
          </cell>
          <cell r="GR15" t="str">
            <v/>
          </cell>
          <cell r="GS15" t="str">
            <v/>
          </cell>
          <cell r="GT15" t="str">
            <v/>
          </cell>
          <cell r="GU15" t="str">
            <v/>
          </cell>
          <cell r="GV15" t="str">
            <v/>
          </cell>
          <cell r="GW15" t="str">
            <v/>
          </cell>
          <cell r="GX15" t="str">
            <v/>
          </cell>
          <cell r="GY15" t="str">
            <v/>
          </cell>
          <cell r="GZ15" t="str">
            <v/>
          </cell>
          <cell r="HA15" t="str">
            <v/>
          </cell>
          <cell r="HB15" t="str">
            <v/>
          </cell>
          <cell r="HC15" t="str">
            <v/>
          </cell>
          <cell r="HD15" t="str">
            <v/>
          </cell>
          <cell r="HE15" t="str">
            <v/>
          </cell>
          <cell r="HF15" t="str">
            <v/>
          </cell>
          <cell r="HG15" t="str">
            <v/>
          </cell>
          <cell r="HH15" t="str">
            <v/>
          </cell>
          <cell r="HI15" t="str">
            <v/>
          </cell>
          <cell r="HJ15" t="str">
            <v/>
          </cell>
          <cell r="HK15" t="str">
            <v/>
          </cell>
          <cell r="HL15" t="str">
            <v/>
          </cell>
          <cell r="HM15" t="str">
            <v/>
          </cell>
          <cell r="HN15" t="str">
            <v/>
          </cell>
          <cell r="HO15" t="str">
            <v/>
          </cell>
          <cell r="HP15" t="str">
            <v/>
          </cell>
          <cell r="HQ15" t="str">
            <v/>
          </cell>
          <cell r="HR15" t="str">
            <v/>
          </cell>
          <cell r="HS15" t="str">
            <v/>
          </cell>
          <cell r="HT15" t="str">
            <v/>
          </cell>
          <cell r="HU15" t="str">
            <v/>
          </cell>
          <cell r="HV15" t="str">
            <v/>
          </cell>
          <cell r="HW15" t="str">
            <v/>
          </cell>
          <cell r="HX15" t="str">
            <v/>
          </cell>
          <cell r="HY15" t="str">
            <v/>
          </cell>
          <cell r="HZ15" t="str">
            <v/>
          </cell>
          <cell r="IA15" t="str">
            <v/>
          </cell>
          <cell r="IB15" t="str">
            <v/>
          </cell>
          <cell r="IC15" t="str">
            <v/>
          </cell>
          <cell r="ID15" t="str">
            <v/>
          </cell>
          <cell r="IE15" t="str">
            <v/>
          </cell>
          <cell r="IF15" t="str">
            <v/>
          </cell>
          <cell r="IG15" t="str">
            <v/>
          </cell>
          <cell r="IH15" t="str">
            <v/>
          </cell>
          <cell r="II15" t="str">
            <v/>
          </cell>
          <cell r="IJ15" t="str">
            <v/>
          </cell>
          <cell r="IK15" t="str">
            <v/>
          </cell>
          <cell r="IL15" t="str">
            <v/>
          </cell>
          <cell r="IM15" t="str">
            <v/>
          </cell>
          <cell r="IN15" t="str">
            <v/>
          </cell>
          <cell r="IO15" t="str">
            <v/>
          </cell>
          <cell r="IP15" t="str">
            <v/>
          </cell>
          <cell r="IQ15" t="str">
            <v/>
          </cell>
          <cell r="IR15" t="str">
            <v/>
          </cell>
          <cell r="IS15" t="str">
            <v/>
          </cell>
          <cell r="IT15" t="str">
            <v/>
          </cell>
          <cell r="IU15" t="str">
            <v/>
          </cell>
          <cell r="IV15" t="str">
            <v/>
          </cell>
          <cell r="IW15" t="str">
            <v/>
          </cell>
          <cell r="IX15" t="str">
            <v/>
          </cell>
          <cell r="IY15" t="str">
            <v/>
          </cell>
          <cell r="IZ15" t="str">
            <v/>
          </cell>
          <cell r="JA15" t="str">
            <v/>
          </cell>
          <cell r="JB15" t="str">
            <v/>
          </cell>
          <cell r="JC15" t="str">
            <v/>
          </cell>
          <cell r="JD15" t="str">
            <v/>
          </cell>
          <cell r="JE15" t="str">
            <v/>
          </cell>
          <cell r="JF15" t="str">
            <v/>
          </cell>
          <cell r="JG15" t="str">
            <v/>
          </cell>
          <cell r="JH15" t="str">
            <v/>
          </cell>
          <cell r="JI15" t="str">
            <v/>
          </cell>
          <cell r="JJ15" t="str">
            <v/>
          </cell>
          <cell r="JK15" t="str">
            <v/>
          </cell>
          <cell r="JL15" t="str">
            <v/>
          </cell>
          <cell r="JM15" t="str">
            <v/>
          </cell>
          <cell r="JN15" t="str">
            <v/>
          </cell>
          <cell r="JO15" t="str">
            <v/>
          </cell>
          <cell r="JP15" t="str">
            <v/>
          </cell>
          <cell r="JQ15" t="str">
            <v/>
          </cell>
          <cell r="JR15" t="str">
            <v/>
          </cell>
          <cell r="JS15" t="str">
            <v/>
          </cell>
          <cell r="JT15" t="str">
            <v/>
          </cell>
          <cell r="JU15" t="str">
            <v/>
          </cell>
          <cell r="JV15" t="str">
            <v/>
          </cell>
          <cell r="JW15" t="str">
            <v/>
          </cell>
          <cell r="JX15" t="str">
            <v/>
          </cell>
          <cell r="JY15" t="str">
            <v/>
          </cell>
          <cell r="JZ15" t="str">
            <v/>
          </cell>
          <cell r="KA15" t="str">
            <v/>
          </cell>
          <cell r="KB15" t="str">
            <v/>
          </cell>
          <cell r="KC15" t="str">
            <v/>
          </cell>
          <cell r="KD15">
            <v>10</v>
          </cell>
          <cell r="KE15">
            <v>10</v>
          </cell>
          <cell r="KF15">
            <v>10</v>
          </cell>
          <cell r="KG15">
            <v>10</v>
          </cell>
          <cell r="KH15">
            <v>0</v>
          </cell>
          <cell r="KI15">
            <v>0</v>
          </cell>
          <cell r="KJ15">
            <v>12</v>
          </cell>
          <cell r="KK15">
            <v>0</v>
          </cell>
          <cell r="KL15">
            <v>0</v>
          </cell>
          <cell r="KM15">
            <v>0</v>
          </cell>
          <cell r="KP15">
            <v>0</v>
          </cell>
          <cell r="KS15">
            <v>0</v>
          </cell>
          <cell r="KV15">
            <v>0</v>
          </cell>
          <cell r="KY15">
            <v>0</v>
          </cell>
          <cell r="LB15">
            <v>0</v>
          </cell>
          <cell r="LE15">
            <v>0</v>
          </cell>
          <cell r="LH15">
            <v>0</v>
          </cell>
          <cell r="LK15">
            <v>0</v>
          </cell>
          <cell r="LO15">
            <v>45670</v>
          </cell>
          <cell r="LP15" t="str">
            <v>COMPLETADO</v>
          </cell>
        </row>
        <row r="16">
          <cell r="A16">
            <v>1600</v>
          </cell>
          <cell r="B16" t="str">
            <v xml:space="preserve"> -----</v>
          </cell>
          <cell r="C16" t="str">
            <v>EXTERNO</v>
          </cell>
          <cell r="D16" t="str">
            <v>MARROQUINERIA CHICA</v>
          </cell>
          <cell r="E16">
            <v>107</v>
          </cell>
          <cell r="F16">
            <v>52</v>
          </cell>
          <cell r="G16">
            <v>52</v>
          </cell>
          <cell r="H16">
            <v>45731.706747685188</v>
          </cell>
          <cell r="I16" t="str">
            <v>TARJETERO HARRY</v>
          </cell>
          <cell r="J16">
            <v>45680</v>
          </cell>
          <cell r="K16">
            <v>45680</v>
          </cell>
          <cell r="L16">
            <v>45854</v>
          </cell>
          <cell r="M16">
            <v>20</v>
          </cell>
          <cell r="N16" t="str">
            <v>M125</v>
          </cell>
          <cell r="O16" t="str">
            <v>AV170134014</v>
          </cell>
          <cell r="P16">
            <v>0</v>
          </cell>
          <cell r="Q16" t="str">
            <v/>
          </cell>
          <cell r="R16" t="str">
            <v/>
          </cell>
          <cell r="S16" t="str">
            <v/>
          </cell>
          <cell r="T16" t="str">
            <v/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 xml:space="preserve">GRABADO " EL LUCERO ARGENTINA" CHICO ENINTERIOR CENTRADO SOBRE LA DERECHA (VER MUESTRA)   </v>
          </cell>
          <cell r="AX16" t="str">
            <v>CARAMELO</v>
          </cell>
          <cell r="AY16" t="str">
            <v>ARENA-CUERO BRIDGE</v>
          </cell>
          <cell r="AZ16" t="str">
            <v>CUE0000004</v>
          </cell>
          <cell r="BA16">
            <v>0.05</v>
          </cell>
          <cell r="BB16" t="str">
            <v>FOR0000031</v>
          </cell>
          <cell r="BC16">
            <v>0.02</v>
          </cell>
          <cell r="BD16" t="str">
            <v>FOR0000015</v>
          </cell>
          <cell r="BE16">
            <v>0</v>
          </cell>
          <cell r="BF16" t="str">
            <v>AV1401250545</v>
          </cell>
          <cell r="BG16">
            <v>0</v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>NEGRO</v>
          </cell>
          <cell r="BS16" t="str">
            <v>ARENA-CUERO BRIDGE</v>
          </cell>
          <cell r="BT16" t="str">
            <v>CUE0000009</v>
          </cell>
          <cell r="BU16">
            <v>0.05</v>
          </cell>
          <cell r="BV16" t="str">
            <v>FOR0000029</v>
          </cell>
          <cell r="BW16">
            <v>0.02</v>
          </cell>
          <cell r="BX16" t="str">
            <v>FOR0000018</v>
          </cell>
          <cell r="BY16">
            <v>0</v>
          </cell>
          <cell r="BZ16" t="str">
            <v>AV1401254060</v>
          </cell>
          <cell r="CA16">
            <v>0</v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>MALBEC</v>
          </cell>
          <cell r="CM16" t="str">
            <v>ARENA-CUERO BRIDGE</v>
          </cell>
          <cell r="CN16" t="str">
            <v>CUE0000008</v>
          </cell>
          <cell r="CO16">
            <v>0.05</v>
          </cell>
          <cell r="CP16" t="str">
            <v>FOR0000030</v>
          </cell>
          <cell r="CQ16">
            <v>0.02</v>
          </cell>
          <cell r="CR16" t="str">
            <v>FOR0000016</v>
          </cell>
          <cell r="CS16">
            <v>0</v>
          </cell>
          <cell r="CT16" t="str">
            <v>AV1401250545</v>
          </cell>
          <cell r="CU16">
            <v>0</v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>ROJO</v>
          </cell>
          <cell r="DG16" t="str">
            <v>ARENA-CUERO BRIDGE</v>
          </cell>
          <cell r="DH16" t="str">
            <v>CUE0000010</v>
          </cell>
          <cell r="DI16">
            <v>0.05</v>
          </cell>
          <cell r="DJ16" t="str">
            <v>FOR0000030</v>
          </cell>
          <cell r="DK16">
            <v>0.02</v>
          </cell>
          <cell r="DL16" t="str">
            <v>FOR0000016</v>
          </cell>
          <cell r="DM16">
            <v>0</v>
          </cell>
          <cell r="DN16" t="str">
            <v>AV1401254460</v>
          </cell>
          <cell r="DO16">
            <v>0</v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  <cell r="DW16" t="str">
            <v/>
          </cell>
          <cell r="DX16" t="str">
            <v/>
          </cell>
          <cell r="DY16" t="str">
            <v/>
          </cell>
          <cell r="DZ16" t="str">
            <v>VERDE_REVES_VERDE</v>
          </cell>
          <cell r="EA16" t="str">
            <v>BIANCO-CUERO MODENA ESPESOR 1,8</v>
          </cell>
          <cell r="EB16" t="str">
            <v>CUE0000157</v>
          </cell>
          <cell r="EC16">
            <v>0.05</v>
          </cell>
          <cell r="ED16" t="str">
            <v>FOR0000029</v>
          </cell>
          <cell r="EE16">
            <v>0.02</v>
          </cell>
          <cell r="EF16" t="str">
            <v>FOR0000014</v>
          </cell>
          <cell r="EG16">
            <v>0</v>
          </cell>
          <cell r="EH16" t="str">
            <v>AV1401254360</v>
          </cell>
          <cell r="EI16">
            <v>0</v>
          </cell>
          <cell r="EJ16" t="str">
            <v/>
          </cell>
          <cell r="EK16" t="str">
            <v/>
          </cell>
          <cell r="EL16" t="str">
            <v/>
          </cell>
          <cell r="EM16" t="str">
            <v/>
          </cell>
          <cell r="EN16" t="str">
            <v/>
          </cell>
          <cell r="EO16" t="str">
            <v/>
          </cell>
          <cell r="EP16" t="str">
            <v/>
          </cell>
          <cell r="EQ16" t="str">
            <v/>
          </cell>
          <cell r="ER16" t="str">
            <v/>
          </cell>
          <cell r="ES16" t="str">
            <v/>
          </cell>
          <cell r="ET16" t="str">
            <v>AZUL_REVES_AZUL</v>
          </cell>
          <cell r="EU16" t="str">
            <v>BIANCO-CUERO MODENA ESPESOR 1,8</v>
          </cell>
          <cell r="EV16" t="str">
            <v>CUE0000156</v>
          </cell>
          <cell r="EW16">
            <v>0.05</v>
          </cell>
          <cell r="EX16" t="str">
            <v>FOR0000029</v>
          </cell>
          <cell r="EY16">
            <v>0.02</v>
          </cell>
          <cell r="EZ16" t="str">
            <v>FOR0000014</v>
          </cell>
          <cell r="FA16">
            <v>0</v>
          </cell>
          <cell r="FB16" t="str">
            <v>AV1401254360</v>
          </cell>
          <cell r="FC16">
            <v>0</v>
          </cell>
          <cell r="FD16" t="str">
            <v/>
          </cell>
          <cell r="FE16" t="str">
            <v/>
          </cell>
          <cell r="FF16" t="str">
            <v/>
          </cell>
          <cell r="FG16" t="str">
            <v/>
          </cell>
          <cell r="FH16" t="str">
            <v/>
          </cell>
          <cell r="FI16" t="str">
            <v/>
          </cell>
          <cell r="FJ16" t="str">
            <v/>
          </cell>
          <cell r="FK16" t="str">
            <v/>
          </cell>
          <cell r="FL16" t="str">
            <v/>
          </cell>
          <cell r="FM16" t="str">
            <v/>
          </cell>
          <cell r="FN16" t="str">
            <v>TABACO</v>
          </cell>
          <cell r="FO16" t="str">
            <v>ARENA-CUERO BRIDGE</v>
          </cell>
          <cell r="FP16" t="str">
            <v>CUE0000012</v>
          </cell>
          <cell r="FQ16">
            <v>0.05</v>
          </cell>
          <cell r="FR16" t="str">
            <v>FOR0000031</v>
          </cell>
          <cell r="FS16">
            <v>0.02</v>
          </cell>
          <cell r="FT16" t="str">
            <v>FOR0000015</v>
          </cell>
          <cell r="FU16">
            <v>0</v>
          </cell>
          <cell r="FV16" t="str">
            <v>AV1401250545</v>
          </cell>
          <cell r="FW16">
            <v>0</v>
          </cell>
          <cell r="FX16" t="str">
            <v/>
          </cell>
          <cell r="FY16" t="str">
            <v/>
          </cell>
          <cell r="FZ16" t="str">
            <v/>
          </cell>
          <cell r="GA16" t="str">
            <v/>
          </cell>
          <cell r="GB16" t="str">
            <v/>
          </cell>
          <cell r="GC16" t="str">
            <v/>
          </cell>
          <cell r="GD16" t="str">
            <v/>
          </cell>
          <cell r="GE16" t="str">
            <v/>
          </cell>
          <cell r="GF16" t="str">
            <v/>
          </cell>
          <cell r="GG16" t="str">
            <v/>
          </cell>
          <cell r="GH16" t="str">
            <v/>
          </cell>
          <cell r="GI16" t="str">
            <v/>
          </cell>
          <cell r="GJ16" t="str">
            <v/>
          </cell>
          <cell r="GK16" t="str">
            <v/>
          </cell>
          <cell r="GL16" t="str">
            <v/>
          </cell>
          <cell r="GM16" t="str">
            <v/>
          </cell>
          <cell r="GN16" t="str">
            <v/>
          </cell>
          <cell r="GO16" t="str">
            <v/>
          </cell>
          <cell r="GP16" t="str">
            <v/>
          </cell>
          <cell r="GQ16" t="str">
            <v/>
          </cell>
          <cell r="GR16" t="str">
            <v/>
          </cell>
          <cell r="GS16" t="str">
            <v/>
          </cell>
          <cell r="GT16" t="str">
            <v/>
          </cell>
          <cell r="GU16" t="str">
            <v/>
          </cell>
          <cell r="GV16" t="str">
            <v/>
          </cell>
          <cell r="GW16" t="str">
            <v/>
          </cell>
          <cell r="GX16" t="str">
            <v/>
          </cell>
          <cell r="GY16" t="str">
            <v/>
          </cell>
          <cell r="GZ16" t="str">
            <v/>
          </cell>
          <cell r="HA16" t="str">
            <v/>
          </cell>
          <cell r="HB16" t="str">
            <v/>
          </cell>
          <cell r="HC16" t="str">
            <v/>
          </cell>
          <cell r="HD16" t="str">
            <v/>
          </cell>
          <cell r="HE16" t="str">
            <v/>
          </cell>
          <cell r="HF16" t="str">
            <v/>
          </cell>
          <cell r="HG16" t="str">
            <v/>
          </cell>
          <cell r="HH16" t="str">
            <v/>
          </cell>
          <cell r="HI16" t="str">
            <v/>
          </cell>
          <cell r="HJ16" t="str">
            <v/>
          </cell>
          <cell r="HK16" t="str">
            <v/>
          </cell>
          <cell r="HL16" t="str">
            <v/>
          </cell>
          <cell r="HM16" t="str">
            <v/>
          </cell>
          <cell r="HN16" t="str">
            <v/>
          </cell>
          <cell r="HO16" t="str">
            <v/>
          </cell>
          <cell r="HP16" t="str">
            <v/>
          </cell>
          <cell r="HQ16" t="str">
            <v/>
          </cell>
          <cell r="HR16" t="str">
            <v/>
          </cell>
          <cell r="HS16" t="str">
            <v/>
          </cell>
          <cell r="HT16" t="str">
            <v/>
          </cell>
          <cell r="HU16" t="str">
            <v/>
          </cell>
          <cell r="HV16" t="str">
            <v/>
          </cell>
          <cell r="HW16" t="str">
            <v/>
          </cell>
          <cell r="HX16" t="str">
            <v/>
          </cell>
          <cell r="HY16" t="str">
            <v/>
          </cell>
          <cell r="HZ16" t="str">
            <v/>
          </cell>
          <cell r="IA16" t="str">
            <v/>
          </cell>
          <cell r="IB16" t="str">
            <v/>
          </cell>
          <cell r="IC16" t="str">
            <v/>
          </cell>
          <cell r="ID16" t="str">
            <v/>
          </cell>
          <cell r="IE16" t="str">
            <v/>
          </cell>
          <cell r="IF16" t="str">
            <v/>
          </cell>
          <cell r="IG16" t="str">
            <v/>
          </cell>
          <cell r="IH16" t="str">
            <v/>
          </cell>
          <cell r="II16" t="str">
            <v/>
          </cell>
          <cell r="IJ16" t="str">
            <v/>
          </cell>
          <cell r="IK16" t="str">
            <v/>
          </cell>
          <cell r="IL16" t="str">
            <v/>
          </cell>
          <cell r="IM16" t="str">
            <v/>
          </cell>
          <cell r="IN16" t="str">
            <v/>
          </cell>
          <cell r="IO16" t="str">
            <v/>
          </cell>
          <cell r="IP16" t="str">
            <v/>
          </cell>
          <cell r="IQ16" t="str">
            <v/>
          </cell>
          <cell r="IR16" t="str">
            <v/>
          </cell>
          <cell r="IS16" t="str">
            <v/>
          </cell>
          <cell r="IT16" t="str">
            <v/>
          </cell>
          <cell r="IU16" t="str">
            <v/>
          </cell>
          <cell r="IV16" t="str">
            <v/>
          </cell>
          <cell r="IW16" t="str">
            <v/>
          </cell>
          <cell r="IX16" t="str">
            <v/>
          </cell>
          <cell r="IY16" t="str">
            <v/>
          </cell>
          <cell r="IZ16" t="str">
            <v/>
          </cell>
          <cell r="JA16" t="str">
            <v/>
          </cell>
          <cell r="JB16" t="str">
            <v/>
          </cell>
          <cell r="JC16" t="str">
            <v/>
          </cell>
          <cell r="JD16" t="str">
            <v/>
          </cell>
          <cell r="JE16" t="str">
            <v/>
          </cell>
          <cell r="JF16" t="str">
            <v/>
          </cell>
          <cell r="JG16" t="str">
            <v/>
          </cell>
          <cell r="JH16" t="str">
            <v/>
          </cell>
          <cell r="JI16" t="str">
            <v/>
          </cell>
          <cell r="JJ16" t="str">
            <v/>
          </cell>
          <cell r="JK16" t="str">
            <v/>
          </cell>
          <cell r="JL16" t="str">
            <v/>
          </cell>
          <cell r="JM16" t="str">
            <v/>
          </cell>
          <cell r="JN16" t="str">
            <v/>
          </cell>
          <cell r="JO16" t="str">
            <v/>
          </cell>
          <cell r="JP16" t="str">
            <v/>
          </cell>
          <cell r="JQ16" t="str">
            <v/>
          </cell>
          <cell r="JR16" t="str">
            <v/>
          </cell>
          <cell r="JS16" t="str">
            <v/>
          </cell>
          <cell r="JT16" t="str">
            <v/>
          </cell>
          <cell r="JU16" t="str">
            <v/>
          </cell>
          <cell r="JV16" t="str">
            <v/>
          </cell>
          <cell r="JW16" t="str">
            <v/>
          </cell>
          <cell r="JX16" t="str">
            <v/>
          </cell>
          <cell r="JY16" t="str">
            <v/>
          </cell>
          <cell r="JZ16" t="str">
            <v/>
          </cell>
          <cell r="KA16" t="str">
            <v/>
          </cell>
          <cell r="KB16" t="str">
            <v/>
          </cell>
          <cell r="KC16" t="str">
            <v/>
          </cell>
          <cell r="KD16">
            <v>15</v>
          </cell>
          <cell r="KE16">
            <v>15</v>
          </cell>
          <cell r="KF16">
            <v>15</v>
          </cell>
          <cell r="KG16">
            <v>15</v>
          </cell>
          <cell r="KH16">
            <v>15</v>
          </cell>
          <cell r="KI16">
            <v>15</v>
          </cell>
          <cell r="KJ16">
            <v>15</v>
          </cell>
          <cell r="KK16">
            <v>0</v>
          </cell>
          <cell r="KL16">
            <v>0</v>
          </cell>
          <cell r="KM16">
            <v>10</v>
          </cell>
          <cell r="KN16">
            <v>10</v>
          </cell>
          <cell r="KO16">
            <v>10</v>
          </cell>
          <cell r="KP16">
            <v>20</v>
          </cell>
          <cell r="KQ16">
            <v>0</v>
          </cell>
          <cell r="KR16">
            <v>0</v>
          </cell>
          <cell r="KS16">
            <v>20</v>
          </cell>
          <cell r="KT16">
            <v>0</v>
          </cell>
          <cell r="KU16">
            <v>0</v>
          </cell>
          <cell r="KV16">
            <v>12</v>
          </cell>
          <cell r="KW16">
            <v>12</v>
          </cell>
          <cell r="KX16">
            <v>12</v>
          </cell>
          <cell r="KY16">
            <v>0</v>
          </cell>
          <cell r="LB16">
            <v>0</v>
          </cell>
          <cell r="LE16">
            <v>0</v>
          </cell>
          <cell r="LH16">
            <v>0</v>
          </cell>
          <cell r="LK16">
            <v>0</v>
          </cell>
          <cell r="LN16">
            <v>45680</v>
          </cell>
          <cell r="LO16">
            <v>45686</v>
          </cell>
          <cell r="LP16" t="str">
            <v>COMPLETADO</v>
          </cell>
        </row>
        <row r="17">
          <cell r="A17">
            <v>1601</v>
          </cell>
          <cell r="B17" t="str">
            <v xml:space="preserve"> -----</v>
          </cell>
          <cell r="C17" t="str">
            <v>EXTERNO</v>
          </cell>
          <cell r="D17" t="str">
            <v>MARROQUINERIA CHICA</v>
          </cell>
          <cell r="E17">
            <v>62</v>
          </cell>
          <cell r="F17">
            <v>42</v>
          </cell>
          <cell r="G17">
            <v>42</v>
          </cell>
          <cell r="H17">
            <v>45731.713101851848</v>
          </cell>
          <cell r="I17" t="str">
            <v>TARJETERO JUAN</v>
          </cell>
          <cell r="J17">
            <v>45667</v>
          </cell>
          <cell r="K17">
            <v>45667</v>
          </cell>
          <cell r="M17">
            <v>22</v>
          </cell>
          <cell r="N17" t="str">
            <v>M126</v>
          </cell>
          <cell r="O17" t="str">
            <v>AV170134014</v>
          </cell>
          <cell r="P17">
            <v>0</v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 xml:space="preserve">GRABADO "EL LUCERO ARG." EN FRENTE CENTRADO   </v>
          </cell>
          <cell r="AX17" t="str">
            <v>AZUL_REVES_AZUL</v>
          </cell>
          <cell r="AY17" t="str">
            <v>BIANCO-CUERO MODENA ESPESOR 1,8</v>
          </cell>
          <cell r="AZ17" t="str">
            <v>CUE0000156</v>
          </cell>
          <cell r="BA17">
            <v>0.06</v>
          </cell>
          <cell r="BB17" t="str">
            <v>AV1401254360</v>
          </cell>
          <cell r="BC17">
            <v>0</v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>VERDE_REVES_VERDE</v>
          </cell>
          <cell r="BS17" t="str">
            <v>BIANCO-CUERO MODENA ESPESOR 1,8</v>
          </cell>
          <cell r="BT17" t="str">
            <v>CUE0000157</v>
          </cell>
          <cell r="BU17">
            <v>0.06</v>
          </cell>
          <cell r="BV17" t="str">
            <v>AV1401254260</v>
          </cell>
          <cell r="BW17">
            <v>0</v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>ROJO</v>
          </cell>
          <cell r="CM17" t="str">
            <v>ARENA-CUERO BRIDGE</v>
          </cell>
          <cell r="CN17" t="str">
            <v>CUE0000010</v>
          </cell>
          <cell r="CO17">
            <v>0.06</v>
          </cell>
          <cell r="CP17" t="str">
            <v>AV1401250545</v>
          </cell>
          <cell r="CQ17">
            <v>0</v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>CEDRO</v>
          </cell>
          <cell r="DG17" t="str">
            <v>BIANCO-CUERO FIORENTINO</v>
          </cell>
          <cell r="DH17" t="str">
            <v>CUE0000055</v>
          </cell>
          <cell r="DI17">
            <v>0.06</v>
          </cell>
          <cell r="DJ17" t="str">
            <v>AV1401250545</v>
          </cell>
          <cell r="DK17">
            <v>0</v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  <cell r="DW17" t="str">
            <v/>
          </cell>
          <cell r="DX17" t="str">
            <v/>
          </cell>
          <cell r="DY17" t="str">
            <v/>
          </cell>
          <cell r="DZ17" t="str">
            <v/>
          </cell>
          <cell r="EA17" t="str">
            <v/>
          </cell>
          <cell r="EB17" t="str">
            <v/>
          </cell>
          <cell r="EC17" t="str">
            <v/>
          </cell>
          <cell r="ED17" t="str">
            <v/>
          </cell>
          <cell r="EE17" t="str">
            <v/>
          </cell>
          <cell r="EF17" t="str">
            <v/>
          </cell>
          <cell r="EG17" t="str">
            <v/>
          </cell>
          <cell r="EH17" t="str">
            <v/>
          </cell>
          <cell r="EI17" t="str">
            <v/>
          </cell>
          <cell r="EJ17" t="str">
            <v/>
          </cell>
          <cell r="EK17" t="str">
            <v/>
          </cell>
          <cell r="EL17" t="str">
            <v/>
          </cell>
          <cell r="EM17" t="str">
            <v/>
          </cell>
          <cell r="EN17" t="str">
            <v/>
          </cell>
          <cell r="EO17" t="str">
            <v/>
          </cell>
          <cell r="EP17" t="str">
            <v/>
          </cell>
          <cell r="EQ17" t="str">
            <v/>
          </cell>
          <cell r="ER17" t="str">
            <v/>
          </cell>
          <cell r="ES17" t="str">
            <v/>
          </cell>
          <cell r="ET17" t="str">
            <v/>
          </cell>
          <cell r="EU17" t="str">
            <v/>
          </cell>
          <cell r="EV17" t="str">
            <v/>
          </cell>
          <cell r="EW17" t="str">
            <v/>
          </cell>
          <cell r="EX17" t="str">
            <v/>
          </cell>
          <cell r="EY17" t="str">
            <v/>
          </cell>
          <cell r="EZ17" t="str">
            <v/>
          </cell>
          <cell r="FA17" t="str">
            <v/>
          </cell>
          <cell r="FB17" t="str">
            <v/>
          </cell>
          <cell r="FC17" t="str">
            <v/>
          </cell>
          <cell r="FD17" t="str">
            <v/>
          </cell>
          <cell r="FE17" t="str">
            <v/>
          </cell>
          <cell r="FF17" t="str">
            <v/>
          </cell>
          <cell r="FG17" t="str">
            <v/>
          </cell>
          <cell r="FH17" t="str">
            <v/>
          </cell>
          <cell r="FI17" t="str">
            <v/>
          </cell>
          <cell r="FJ17" t="str">
            <v/>
          </cell>
          <cell r="FK17" t="str">
            <v/>
          </cell>
          <cell r="FL17" t="str">
            <v/>
          </cell>
          <cell r="FM17" t="str">
            <v/>
          </cell>
          <cell r="FN17" t="str">
            <v/>
          </cell>
          <cell r="FO17" t="str">
            <v/>
          </cell>
          <cell r="FP17" t="str">
            <v/>
          </cell>
          <cell r="FQ17" t="str">
            <v/>
          </cell>
          <cell r="FR17" t="str">
            <v/>
          </cell>
          <cell r="FS17" t="str">
            <v/>
          </cell>
          <cell r="FT17" t="str">
            <v/>
          </cell>
          <cell r="FU17" t="str">
            <v/>
          </cell>
          <cell r="FV17" t="str">
            <v/>
          </cell>
          <cell r="FW17" t="str">
            <v/>
          </cell>
          <cell r="FX17" t="str">
            <v/>
          </cell>
          <cell r="FY17" t="str">
            <v/>
          </cell>
          <cell r="FZ17" t="str">
            <v/>
          </cell>
          <cell r="GA17" t="str">
            <v/>
          </cell>
          <cell r="GB17" t="str">
            <v/>
          </cell>
          <cell r="GC17" t="str">
            <v/>
          </cell>
          <cell r="GD17" t="str">
            <v/>
          </cell>
          <cell r="GE17" t="str">
            <v/>
          </cell>
          <cell r="GF17" t="str">
            <v/>
          </cell>
          <cell r="GG17" t="str">
            <v/>
          </cell>
          <cell r="GH17" t="str">
            <v/>
          </cell>
          <cell r="GI17" t="str">
            <v/>
          </cell>
          <cell r="GJ17" t="str">
            <v/>
          </cell>
          <cell r="GK17" t="str">
            <v/>
          </cell>
          <cell r="GL17" t="str">
            <v/>
          </cell>
          <cell r="GM17" t="str">
            <v/>
          </cell>
          <cell r="GN17" t="str">
            <v/>
          </cell>
          <cell r="GO17" t="str">
            <v/>
          </cell>
          <cell r="GP17" t="str">
            <v/>
          </cell>
          <cell r="GQ17" t="str">
            <v/>
          </cell>
          <cell r="GR17" t="str">
            <v/>
          </cell>
          <cell r="GS17" t="str">
            <v/>
          </cell>
          <cell r="GT17" t="str">
            <v/>
          </cell>
          <cell r="GU17" t="str">
            <v/>
          </cell>
          <cell r="GV17" t="str">
            <v/>
          </cell>
          <cell r="GW17" t="str">
            <v/>
          </cell>
          <cell r="GX17" t="str">
            <v/>
          </cell>
          <cell r="GY17" t="str">
            <v/>
          </cell>
          <cell r="GZ17" t="str">
            <v/>
          </cell>
          <cell r="HA17" t="str">
            <v/>
          </cell>
          <cell r="HB17" t="str">
            <v/>
          </cell>
          <cell r="HC17" t="str">
            <v/>
          </cell>
          <cell r="HD17" t="str">
            <v/>
          </cell>
          <cell r="HE17" t="str">
            <v/>
          </cell>
          <cell r="HF17" t="str">
            <v/>
          </cell>
          <cell r="HG17" t="str">
            <v/>
          </cell>
          <cell r="HH17" t="str">
            <v/>
          </cell>
          <cell r="HI17" t="str">
            <v/>
          </cell>
          <cell r="HJ17" t="str">
            <v/>
          </cell>
          <cell r="HK17" t="str">
            <v/>
          </cell>
          <cell r="HL17" t="str">
            <v/>
          </cell>
          <cell r="HM17" t="str">
            <v/>
          </cell>
          <cell r="HN17" t="str">
            <v/>
          </cell>
          <cell r="HO17" t="str">
            <v/>
          </cell>
          <cell r="HP17" t="str">
            <v/>
          </cell>
          <cell r="HQ17" t="str">
            <v/>
          </cell>
          <cell r="HR17" t="str">
            <v/>
          </cell>
          <cell r="HS17" t="str">
            <v/>
          </cell>
          <cell r="HT17" t="str">
            <v/>
          </cell>
          <cell r="HU17" t="str">
            <v/>
          </cell>
          <cell r="HV17" t="str">
            <v/>
          </cell>
          <cell r="HW17" t="str">
            <v/>
          </cell>
          <cell r="HX17" t="str">
            <v/>
          </cell>
          <cell r="HY17" t="str">
            <v/>
          </cell>
          <cell r="HZ17" t="str">
            <v/>
          </cell>
          <cell r="IA17" t="str">
            <v/>
          </cell>
          <cell r="IB17" t="str">
            <v/>
          </cell>
          <cell r="IC17" t="str">
            <v/>
          </cell>
          <cell r="ID17" t="str">
            <v/>
          </cell>
          <cell r="IE17" t="str">
            <v/>
          </cell>
          <cell r="IF17" t="str">
            <v/>
          </cell>
          <cell r="IG17" t="str">
            <v/>
          </cell>
          <cell r="IH17" t="str">
            <v/>
          </cell>
          <cell r="II17" t="str">
            <v/>
          </cell>
          <cell r="IJ17" t="str">
            <v/>
          </cell>
          <cell r="IK17" t="str">
            <v/>
          </cell>
          <cell r="IL17" t="str">
            <v/>
          </cell>
          <cell r="IM17" t="str">
            <v/>
          </cell>
          <cell r="IN17" t="str">
            <v/>
          </cell>
          <cell r="IO17" t="str">
            <v/>
          </cell>
          <cell r="IP17" t="str">
            <v/>
          </cell>
          <cell r="IQ17" t="str">
            <v/>
          </cell>
          <cell r="IR17" t="str">
            <v/>
          </cell>
          <cell r="IS17" t="str">
            <v/>
          </cell>
          <cell r="IT17" t="str">
            <v/>
          </cell>
          <cell r="IU17" t="str">
            <v/>
          </cell>
          <cell r="IV17" t="str">
            <v/>
          </cell>
          <cell r="IW17" t="str">
            <v/>
          </cell>
          <cell r="IX17" t="str">
            <v/>
          </cell>
          <cell r="IY17" t="str">
            <v/>
          </cell>
          <cell r="IZ17" t="str">
            <v/>
          </cell>
          <cell r="JA17" t="str">
            <v/>
          </cell>
          <cell r="JB17" t="str">
            <v/>
          </cell>
          <cell r="JC17" t="str">
            <v/>
          </cell>
          <cell r="JD17" t="str">
            <v/>
          </cell>
          <cell r="JE17" t="str">
            <v/>
          </cell>
          <cell r="JF17" t="str">
            <v/>
          </cell>
          <cell r="JG17" t="str">
            <v/>
          </cell>
          <cell r="JH17" t="str">
            <v/>
          </cell>
          <cell r="JI17" t="str">
            <v/>
          </cell>
          <cell r="JJ17" t="str">
            <v/>
          </cell>
          <cell r="JK17" t="str">
            <v/>
          </cell>
          <cell r="JL17" t="str">
            <v/>
          </cell>
          <cell r="JM17" t="str">
            <v/>
          </cell>
          <cell r="JN17" t="str">
            <v/>
          </cell>
          <cell r="JO17" t="str">
            <v/>
          </cell>
          <cell r="JP17" t="str">
            <v/>
          </cell>
          <cell r="JQ17" t="str">
            <v/>
          </cell>
          <cell r="JR17" t="str">
            <v/>
          </cell>
          <cell r="JS17" t="str">
            <v/>
          </cell>
          <cell r="JT17" t="str">
            <v/>
          </cell>
          <cell r="JU17" t="str">
            <v/>
          </cell>
          <cell r="JV17" t="str">
            <v/>
          </cell>
          <cell r="JW17" t="str">
            <v/>
          </cell>
          <cell r="JX17" t="str">
            <v/>
          </cell>
          <cell r="JY17" t="str">
            <v/>
          </cell>
          <cell r="JZ17" t="str">
            <v/>
          </cell>
          <cell r="KA17" t="str">
            <v/>
          </cell>
          <cell r="KB17" t="str">
            <v/>
          </cell>
          <cell r="KC17" t="str">
            <v/>
          </cell>
          <cell r="KD17">
            <v>20</v>
          </cell>
          <cell r="KE17">
            <v>20</v>
          </cell>
          <cell r="KF17">
            <v>20</v>
          </cell>
          <cell r="KG17">
            <v>20</v>
          </cell>
          <cell r="KH17">
            <v>0</v>
          </cell>
          <cell r="KI17">
            <v>0</v>
          </cell>
          <cell r="KJ17">
            <v>10</v>
          </cell>
          <cell r="KK17">
            <v>10</v>
          </cell>
          <cell r="KL17">
            <v>10</v>
          </cell>
          <cell r="KM17">
            <v>12</v>
          </cell>
          <cell r="KN17">
            <v>12</v>
          </cell>
          <cell r="KO17">
            <v>12</v>
          </cell>
          <cell r="KP17">
            <v>0</v>
          </cell>
          <cell r="KS17">
            <v>0</v>
          </cell>
          <cell r="KV17">
            <v>0</v>
          </cell>
          <cell r="KY17">
            <v>0</v>
          </cell>
          <cell r="LB17">
            <v>0</v>
          </cell>
          <cell r="LE17">
            <v>0</v>
          </cell>
          <cell r="LH17">
            <v>0</v>
          </cell>
          <cell r="LK17">
            <v>0</v>
          </cell>
          <cell r="LO17">
            <v>45677</v>
          </cell>
          <cell r="LP17" t="str">
            <v>COMPLETADO</v>
          </cell>
        </row>
        <row r="18">
          <cell r="A18">
            <v>1602</v>
          </cell>
          <cell r="B18" t="str">
            <v xml:space="preserve"> -----</v>
          </cell>
          <cell r="C18" t="str">
            <v>VANESA</v>
          </cell>
          <cell r="D18" t="str">
            <v>MARROQUINERIA CHICA</v>
          </cell>
          <cell r="E18">
            <v>70</v>
          </cell>
          <cell r="F18">
            <v>70</v>
          </cell>
          <cell r="G18">
            <v>70</v>
          </cell>
          <cell r="H18">
            <v>45731.725393518522</v>
          </cell>
          <cell r="I18" t="str">
            <v>TARJETERO ROMA</v>
          </cell>
          <cell r="J18">
            <v>45678</v>
          </cell>
          <cell r="K18">
            <v>45678</v>
          </cell>
          <cell r="M18">
            <v>8</v>
          </cell>
          <cell r="N18" t="str">
            <v>M145</v>
          </cell>
          <cell r="O18" t="str">
            <v>AV0700420101</v>
          </cell>
          <cell r="P18">
            <v>1</v>
          </cell>
          <cell r="Q18" t="str">
            <v>AV170134014</v>
          </cell>
          <cell r="R18">
            <v>0</v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>GRABADO "EL LUCERO " CHICO EN ESPALDA CENTRADO, BORDE INFERIOR</v>
          </cell>
          <cell r="AX18" t="str">
            <v>NEGRO</v>
          </cell>
          <cell r="AY18" t="str">
            <v>VANESKA-CUERO NAPADO DUNA</v>
          </cell>
          <cell r="AZ18" t="str">
            <v>CUE0000059</v>
          </cell>
          <cell r="BA18">
            <v>0.03</v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>CARAMELO</v>
          </cell>
          <cell r="BS18" t="str">
            <v>ARENA-CUERO BRIDGE</v>
          </cell>
          <cell r="BT18" t="str">
            <v>CUE0000004</v>
          </cell>
          <cell r="BU18">
            <v>0.03</v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>ROJO</v>
          </cell>
          <cell r="CM18" t="str">
            <v>ARENA-CUERO NAPADO</v>
          </cell>
          <cell r="CN18" t="str">
            <v>CUE0000027</v>
          </cell>
          <cell r="CO18">
            <v>0.03</v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>TABACO</v>
          </cell>
          <cell r="DG18" t="str">
            <v>ARENA-CUERO BRIDGE</v>
          </cell>
          <cell r="DH18" t="str">
            <v>CUE0000012</v>
          </cell>
          <cell r="DI18">
            <v>0.03</v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  <cell r="DW18" t="str">
            <v/>
          </cell>
          <cell r="DX18" t="str">
            <v/>
          </cell>
          <cell r="DY18" t="str">
            <v/>
          </cell>
          <cell r="DZ18" t="str">
            <v/>
          </cell>
          <cell r="EA18" t="str">
            <v/>
          </cell>
          <cell r="EB18" t="str">
            <v/>
          </cell>
          <cell r="EC18" t="str">
            <v/>
          </cell>
          <cell r="ED18" t="str">
            <v/>
          </cell>
          <cell r="EE18" t="str">
            <v/>
          </cell>
          <cell r="EF18" t="str">
            <v/>
          </cell>
          <cell r="EG18" t="str">
            <v/>
          </cell>
          <cell r="EH18" t="str">
            <v/>
          </cell>
          <cell r="EI18" t="str">
            <v/>
          </cell>
          <cell r="EJ18" t="str">
            <v/>
          </cell>
          <cell r="EK18" t="str">
            <v/>
          </cell>
          <cell r="EL18" t="str">
            <v/>
          </cell>
          <cell r="EM18" t="str">
            <v/>
          </cell>
          <cell r="EN18" t="str">
            <v/>
          </cell>
          <cell r="EO18" t="str">
            <v/>
          </cell>
          <cell r="EP18" t="str">
            <v/>
          </cell>
          <cell r="EQ18" t="str">
            <v/>
          </cell>
          <cell r="ER18" t="str">
            <v/>
          </cell>
          <cell r="ES18" t="str">
            <v/>
          </cell>
          <cell r="ET18" t="str">
            <v/>
          </cell>
          <cell r="EU18" t="str">
            <v/>
          </cell>
          <cell r="EV18" t="str">
            <v/>
          </cell>
          <cell r="EW18" t="str">
            <v/>
          </cell>
          <cell r="EX18" t="str">
            <v/>
          </cell>
          <cell r="EY18" t="str">
            <v/>
          </cell>
          <cell r="EZ18" t="str">
            <v/>
          </cell>
          <cell r="FA18" t="str">
            <v/>
          </cell>
          <cell r="FB18" t="str">
            <v/>
          </cell>
          <cell r="FC18" t="str">
            <v/>
          </cell>
          <cell r="FD18" t="str">
            <v/>
          </cell>
          <cell r="FE18" t="str">
            <v/>
          </cell>
          <cell r="FF18" t="str">
            <v/>
          </cell>
          <cell r="FG18" t="str">
            <v/>
          </cell>
          <cell r="FH18" t="str">
            <v/>
          </cell>
          <cell r="FI18" t="str">
            <v/>
          </cell>
          <cell r="FJ18" t="str">
            <v/>
          </cell>
          <cell r="FK18" t="str">
            <v/>
          </cell>
          <cell r="FL18" t="str">
            <v/>
          </cell>
          <cell r="FM18" t="str">
            <v/>
          </cell>
          <cell r="FN18" t="str">
            <v/>
          </cell>
          <cell r="FO18" t="str">
            <v/>
          </cell>
          <cell r="FP18" t="str">
            <v/>
          </cell>
          <cell r="FQ18" t="str">
            <v/>
          </cell>
          <cell r="FR18" t="str">
            <v/>
          </cell>
          <cell r="FS18" t="str">
            <v/>
          </cell>
          <cell r="FT18" t="str">
            <v/>
          </cell>
          <cell r="FU18" t="str">
            <v/>
          </cell>
          <cell r="FV18" t="str">
            <v/>
          </cell>
          <cell r="FW18" t="str">
            <v/>
          </cell>
          <cell r="FX18" t="str">
            <v/>
          </cell>
          <cell r="FY18" t="str">
            <v/>
          </cell>
          <cell r="FZ18" t="str">
            <v/>
          </cell>
          <cell r="GA18" t="str">
            <v/>
          </cell>
          <cell r="GB18" t="str">
            <v/>
          </cell>
          <cell r="GC18" t="str">
            <v/>
          </cell>
          <cell r="GD18" t="str">
            <v/>
          </cell>
          <cell r="GE18" t="str">
            <v/>
          </cell>
          <cell r="GF18" t="str">
            <v/>
          </cell>
          <cell r="GG18" t="str">
            <v/>
          </cell>
          <cell r="GH18" t="str">
            <v/>
          </cell>
          <cell r="GI18" t="str">
            <v/>
          </cell>
          <cell r="GJ18" t="str">
            <v/>
          </cell>
          <cell r="GK18" t="str">
            <v/>
          </cell>
          <cell r="GL18" t="str">
            <v/>
          </cell>
          <cell r="GM18" t="str">
            <v/>
          </cell>
          <cell r="GN18" t="str">
            <v/>
          </cell>
          <cell r="GO18" t="str">
            <v/>
          </cell>
          <cell r="GP18" t="str">
            <v/>
          </cell>
          <cell r="GQ18" t="str">
            <v/>
          </cell>
          <cell r="GR18" t="str">
            <v/>
          </cell>
          <cell r="GS18" t="str">
            <v/>
          </cell>
          <cell r="GT18" t="str">
            <v/>
          </cell>
          <cell r="GU18" t="str">
            <v/>
          </cell>
          <cell r="GV18" t="str">
            <v/>
          </cell>
          <cell r="GW18" t="str">
            <v/>
          </cell>
          <cell r="GX18" t="str">
            <v/>
          </cell>
          <cell r="GY18" t="str">
            <v/>
          </cell>
          <cell r="GZ18" t="str">
            <v/>
          </cell>
          <cell r="HA18" t="str">
            <v/>
          </cell>
          <cell r="HB18" t="str">
            <v/>
          </cell>
          <cell r="HC18" t="str">
            <v/>
          </cell>
          <cell r="HD18" t="str">
            <v/>
          </cell>
          <cell r="HE18" t="str">
            <v/>
          </cell>
          <cell r="HF18" t="str">
            <v/>
          </cell>
          <cell r="HG18" t="str">
            <v/>
          </cell>
          <cell r="HH18" t="str">
            <v/>
          </cell>
          <cell r="HI18" t="str">
            <v/>
          </cell>
          <cell r="HJ18" t="str">
            <v/>
          </cell>
          <cell r="HK18" t="str">
            <v/>
          </cell>
          <cell r="HL18" t="str">
            <v/>
          </cell>
          <cell r="HM18" t="str">
            <v/>
          </cell>
          <cell r="HN18" t="str">
            <v/>
          </cell>
          <cell r="HO18" t="str">
            <v/>
          </cell>
          <cell r="HP18" t="str">
            <v/>
          </cell>
          <cell r="HQ18" t="str">
            <v/>
          </cell>
          <cell r="HR18" t="str">
            <v/>
          </cell>
          <cell r="HS18" t="str">
            <v/>
          </cell>
          <cell r="HT18" t="str">
            <v/>
          </cell>
          <cell r="HU18" t="str">
            <v/>
          </cell>
          <cell r="HV18" t="str">
            <v/>
          </cell>
          <cell r="HW18" t="str">
            <v/>
          </cell>
          <cell r="HX18" t="str">
            <v/>
          </cell>
          <cell r="HY18" t="str">
            <v/>
          </cell>
          <cell r="HZ18" t="str">
            <v/>
          </cell>
          <cell r="IA18" t="str">
            <v/>
          </cell>
          <cell r="IB18" t="str">
            <v/>
          </cell>
          <cell r="IC18" t="str">
            <v/>
          </cell>
          <cell r="ID18" t="str">
            <v/>
          </cell>
          <cell r="IE18" t="str">
            <v/>
          </cell>
          <cell r="IF18" t="str">
            <v/>
          </cell>
          <cell r="IG18" t="str">
            <v/>
          </cell>
          <cell r="IH18" t="str">
            <v/>
          </cell>
          <cell r="II18" t="str">
            <v/>
          </cell>
          <cell r="IJ18" t="str">
            <v/>
          </cell>
          <cell r="IK18" t="str">
            <v/>
          </cell>
          <cell r="IL18" t="str">
            <v/>
          </cell>
          <cell r="IM18" t="str">
            <v/>
          </cell>
          <cell r="IN18" t="str">
            <v/>
          </cell>
          <cell r="IO18" t="str">
            <v/>
          </cell>
          <cell r="IP18" t="str">
            <v/>
          </cell>
          <cell r="IQ18" t="str">
            <v/>
          </cell>
          <cell r="IR18" t="str">
            <v/>
          </cell>
          <cell r="IS18" t="str">
            <v/>
          </cell>
          <cell r="IT18" t="str">
            <v/>
          </cell>
          <cell r="IU18" t="str">
            <v/>
          </cell>
          <cell r="IV18" t="str">
            <v/>
          </cell>
          <cell r="IW18" t="str">
            <v/>
          </cell>
          <cell r="IX18" t="str">
            <v/>
          </cell>
          <cell r="IY18" t="str">
            <v/>
          </cell>
          <cell r="IZ18" t="str">
            <v/>
          </cell>
          <cell r="JA18" t="str">
            <v/>
          </cell>
          <cell r="JB18" t="str">
            <v/>
          </cell>
          <cell r="JC18" t="str">
            <v/>
          </cell>
          <cell r="JD18" t="str">
            <v/>
          </cell>
          <cell r="JE18" t="str">
            <v/>
          </cell>
          <cell r="JF18" t="str">
            <v/>
          </cell>
          <cell r="JG18" t="str">
            <v/>
          </cell>
          <cell r="JH18" t="str">
            <v/>
          </cell>
          <cell r="JI18" t="str">
            <v/>
          </cell>
          <cell r="JJ18" t="str">
            <v/>
          </cell>
          <cell r="JK18" t="str">
            <v/>
          </cell>
          <cell r="JL18" t="str">
            <v/>
          </cell>
          <cell r="JM18" t="str">
            <v/>
          </cell>
          <cell r="JN18" t="str">
            <v/>
          </cell>
          <cell r="JO18" t="str">
            <v/>
          </cell>
          <cell r="JP18" t="str">
            <v/>
          </cell>
          <cell r="JQ18" t="str">
            <v/>
          </cell>
          <cell r="JR18" t="str">
            <v/>
          </cell>
          <cell r="JS18" t="str">
            <v/>
          </cell>
          <cell r="JT18" t="str">
            <v/>
          </cell>
          <cell r="JU18" t="str">
            <v/>
          </cell>
          <cell r="JV18" t="str">
            <v/>
          </cell>
          <cell r="JW18" t="str">
            <v/>
          </cell>
          <cell r="JX18" t="str">
            <v/>
          </cell>
          <cell r="JY18" t="str">
            <v/>
          </cell>
          <cell r="JZ18" t="str">
            <v/>
          </cell>
          <cell r="KA18" t="str">
            <v/>
          </cell>
          <cell r="KB18" t="str">
            <v/>
          </cell>
          <cell r="KC18" t="str">
            <v/>
          </cell>
          <cell r="KD18">
            <v>20</v>
          </cell>
          <cell r="KE18">
            <v>20</v>
          </cell>
          <cell r="KF18">
            <v>20</v>
          </cell>
          <cell r="KG18">
            <v>15</v>
          </cell>
          <cell r="KH18">
            <v>15</v>
          </cell>
          <cell r="KI18">
            <v>15</v>
          </cell>
          <cell r="KJ18">
            <v>15</v>
          </cell>
          <cell r="KK18">
            <v>15</v>
          </cell>
          <cell r="KL18">
            <v>15</v>
          </cell>
          <cell r="KM18">
            <v>20</v>
          </cell>
          <cell r="KN18">
            <v>20</v>
          </cell>
          <cell r="KO18">
            <v>20</v>
          </cell>
          <cell r="KP18">
            <v>0</v>
          </cell>
          <cell r="KS18">
            <v>0</v>
          </cell>
          <cell r="KV18">
            <v>0</v>
          </cell>
          <cell r="KY18">
            <v>0</v>
          </cell>
          <cell r="LB18">
            <v>0</v>
          </cell>
          <cell r="LE18">
            <v>0</v>
          </cell>
          <cell r="LH18">
            <v>0</v>
          </cell>
          <cell r="LK18">
            <v>0</v>
          </cell>
          <cell r="LO18">
            <v>45714</v>
          </cell>
          <cell r="LP18" t="str">
            <v>COMPLETADO</v>
          </cell>
        </row>
        <row r="19">
          <cell r="A19">
            <v>1603</v>
          </cell>
          <cell r="B19" t="str">
            <v xml:space="preserve"> -----</v>
          </cell>
          <cell r="C19" t="str">
            <v>VANESA</v>
          </cell>
          <cell r="D19" t="str">
            <v>MARROQUINERIA CHICA</v>
          </cell>
          <cell r="E19">
            <v>64</v>
          </cell>
          <cell r="F19">
            <v>20</v>
          </cell>
          <cell r="G19">
            <v>20</v>
          </cell>
          <cell r="H19">
            <v>45731.729861111111</v>
          </cell>
          <cell r="I19" t="str">
            <v>TARJETERO RUBI</v>
          </cell>
          <cell r="J19">
            <v>45678</v>
          </cell>
          <cell r="K19">
            <v>45678</v>
          </cell>
          <cell r="M19">
            <v>10</v>
          </cell>
          <cell r="N19" t="str">
            <v>M129</v>
          </cell>
          <cell r="O19" t="str">
            <v>AV0700420101</v>
          </cell>
          <cell r="P19">
            <v>1</v>
          </cell>
          <cell r="Q19" t="str">
            <v>AV170134014</v>
          </cell>
          <cell r="R19">
            <v>0</v>
          </cell>
          <cell r="S19" t="str">
            <v/>
          </cell>
          <cell r="T19" t="str">
            <v/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 xml:space="preserve">GRABADO "EL LUCERO ARGENTINA " EN ESPALDA CENTRADO, BORDE INFERIOR </v>
          </cell>
          <cell r="AX19" t="str">
            <v>MALBEC</v>
          </cell>
          <cell r="AY19" t="str">
            <v>ARENA-CUERO BRIDGE</v>
          </cell>
          <cell r="AZ19" t="str">
            <v>CUE0000008</v>
          </cell>
          <cell r="BA19">
            <v>0.03</v>
          </cell>
          <cell r="BB19" t="str">
            <v>AV1401250545</v>
          </cell>
          <cell r="BC19">
            <v>0</v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>ROJO</v>
          </cell>
          <cell r="BS19" t="str">
            <v>ARENA-CUERO BRIDGE IGUANA</v>
          </cell>
          <cell r="BT19" t="str">
            <v>CUE0000018</v>
          </cell>
          <cell r="BU19">
            <v>0.03</v>
          </cell>
          <cell r="BV19" t="str">
            <v>AV1401254460</v>
          </cell>
          <cell r="BW19">
            <v>0</v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>VERDE_REVES_VERDE</v>
          </cell>
          <cell r="CM19" t="str">
            <v>BIANCO-CUERO MODENA ESPESOR 1,8</v>
          </cell>
          <cell r="CN19" t="str">
            <v>CUE0000157</v>
          </cell>
          <cell r="CO19">
            <v>0.03</v>
          </cell>
          <cell r="CP19" t="str">
            <v>AV1401254260</v>
          </cell>
          <cell r="CQ19">
            <v>0</v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>AZUL_REVES_AZUL</v>
          </cell>
          <cell r="DG19" t="str">
            <v>BIANCO-CUERO MODENA ESPESOR 1,8</v>
          </cell>
          <cell r="DH19" t="str">
            <v>CUE0000156</v>
          </cell>
          <cell r="DI19">
            <v>0.03</v>
          </cell>
          <cell r="DJ19" t="str">
            <v>AV1401254360</v>
          </cell>
          <cell r="DK19">
            <v>0</v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  <cell r="DW19" t="str">
            <v/>
          </cell>
          <cell r="DX19" t="str">
            <v/>
          </cell>
          <cell r="DY19" t="str">
            <v/>
          </cell>
          <cell r="DZ19" t="str">
            <v/>
          </cell>
          <cell r="EA19" t="str">
            <v/>
          </cell>
          <cell r="EB19" t="str">
            <v/>
          </cell>
          <cell r="EC19" t="str">
            <v/>
          </cell>
          <cell r="ED19" t="str">
            <v/>
          </cell>
          <cell r="EE19" t="str">
            <v/>
          </cell>
          <cell r="EF19" t="str">
            <v/>
          </cell>
          <cell r="EG19" t="str">
            <v/>
          </cell>
          <cell r="EH19" t="str">
            <v/>
          </cell>
          <cell r="EI19" t="str">
            <v/>
          </cell>
          <cell r="EJ19" t="str">
            <v/>
          </cell>
          <cell r="EK19" t="str">
            <v/>
          </cell>
          <cell r="EL19" t="str">
            <v/>
          </cell>
          <cell r="EM19" t="str">
            <v/>
          </cell>
          <cell r="EN19" t="str">
            <v/>
          </cell>
          <cell r="EO19" t="str">
            <v/>
          </cell>
          <cell r="EP19" t="str">
            <v/>
          </cell>
          <cell r="EQ19" t="str">
            <v/>
          </cell>
          <cell r="ER19" t="str">
            <v/>
          </cell>
          <cell r="ES19" t="str">
            <v/>
          </cell>
          <cell r="ET19" t="str">
            <v/>
          </cell>
          <cell r="EU19" t="str">
            <v/>
          </cell>
          <cell r="EV19" t="str">
            <v/>
          </cell>
          <cell r="EW19" t="str">
            <v/>
          </cell>
          <cell r="EX19" t="str">
            <v/>
          </cell>
          <cell r="EY19" t="str">
            <v/>
          </cell>
          <cell r="EZ19" t="str">
            <v/>
          </cell>
          <cell r="FA19" t="str">
            <v/>
          </cell>
          <cell r="FB19" t="str">
            <v/>
          </cell>
          <cell r="FC19" t="str">
            <v/>
          </cell>
          <cell r="FD19" t="str">
            <v/>
          </cell>
          <cell r="FE19" t="str">
            <v/>
          </cell>
          <cell r="FF19" t="str">
            <v/>
          </cell>
          <cell r="FG19" t="str">
            <v/>
          </cell>
          <cell r="FH19" t="str">
            <v/>
          </cell>
          <cell r="FI19" t="str">
            <v/>
          </cell>
          <cell r="FJ19" t="str">
            <v/>
          </cell>
          <cell r="FK19" t="str">
            <v/>
          </cell>
          <cell r="FL19" t="str">
            <v/>
          </cell>
          <cell r="FM19" t="str">
            <v/>
          </cell>
          <cell r="FN19" t="str">
            <v/>
          </cell>
          <cell r="FO19" t="str">
            <v/>
          </cell>
          <cell r="FP19" t="str">
            <v/>
          </cell>
          <cell r="FQ19" t="str">
            <v/>
          </cell>
          <cell r="FR19" t="str">
            <v/>
          </cell>
          <cell r="FS19" t="str">
            <v/>
          </cell>
          <cell r="FT19" t="str">
            <v/>
          </cell>
          <cell r="FU19" t="str">
            <v/>
          </cell>
          <cell r="FV19" t="str">
            <v/>
          </cell>
          <cell r="FW19" t="str">
            <v/>
          </cell>
          <cell r="FX19" t="str">
            <v/>
          </cell>
          <cell r="FY19" t="str">
            <v/>
          </cell>
          <cell r="FZ19" t="str">
            <v/>
          </cell>
          <cell r="GA19" t="str">
            <v/>
          </cell>
          <cell r="GB19" t="str">
            <v/>
          </cell>
          <cell r="GC19" t="str">
            <v/>
          </cell>
          <cell r="GD19" t="str">
            <v/>
          </cell>
          <cell r="GE19" t="str">
            <v/>
          </cell>
          <cell r="GF19" t="str">
            <v/>
          </cell>
          <cell r="GG19" t="str">
            <v/>
          </cell>
          <cell r="GH19" t="str">
            <v/>
          </cell>
          <cell r="GI19" t="str">
            <v/>
          </cell>
          <cell r="GJ19" t="str">
            <v/>
          </cell>
          <cell r="GK19" t="str">
            <v/>
          </cell>
          <cell r="GL19" t="str">
            <v/>
          </cell>
          <cell r="GM19" t="str">
            <v/>
          </cell>
          <cell r="GN19" t="str">
            <v/>
          </cell>
          <cell r="GO19" t="str">
            <v/>
          </cell>
          <cell r="GP19" t="str">
            <v/>
          </cell>
          <cell r="GQ19" t="str">
            <v/>
          </cell>
          <cell r="GR19" t="str">
            <v/>
          </cell>
          <cell r="GS19" t="str">
            <v/>
          </cell>
          <cell r="GT19" t="str">
            <v/>
          </cell>
          <cell r="GU19" t="str">
            <v/>
          </cell>
          <cell r="GV19" t="str">
            <v/>
          </cell>
          <cell r="GW19" t="str">
            <v/>
          </cell>
          <cell r="GX19" t="str">
            <v/>
          </cell>
          <cell r="GY19" t="str">
            <v/>
          </cell>
          <cell r="GZ19" t="str">
            <v/>
          </cell>
          <cell r="HA19" t="str">
            <v/>
          </cell>
          <cell r="HB19" t="str">
            <v/>
          </cell>
          <cell r="HC19" t="str">
            <v/>
          </cell>
          <cell r="HD19" t="str">
            <v/>
          </cell>
          <cell r="HE19" t="str">
            <v/>
          </cell>
          <cell r="HF19" t="str">
            <v/>
          </cell>
          <cell r="HG19" t="str">
            <v/>
          </cell>
          <cell r="HH19" t="str">
            <v/>
          </cell>
          <cell r="HI19" t="str">
            <v/>
          </cell>
          <cell r="HJ19" t="str">
            <v/>
          </cell>
          <cell r="HK19" t="str">
            <v/>
          </cell>
          <cell r="HL19" t="str">
            <v/>
          </cell>
          <cell r="HM19" t="str">
            <v/>
          </cell>
          <cell r="HN19" t="str">
            <v/>
          </cell>
          <cell r="HO19" t="str">
            <v/>
          </cell>
          <cell r="HP19" t="str">
            <v/>
          </cell>
          <cell r="HQ19" t="str">
            <v/>
          </cell>
          <cell r="HR19" t="str">
            <v/>
          </cell>
          <cell r="HS19" t="str">
            <v/>
          </cell>
          <cell r="HT19" t="str">
            <v/>
          </cell>
          <cell r="HU19" t="str">
            <v/>
          </cell>
          <cell r="HV19" t="str">
            <v/>
          </cell>
          <cell r="HW19" t="str">
            <v/>
          </cell>
          <cell r="HX19" t="str">
            <v/>
          </cell>
          <cell r="HY19" t="str">
            <v/>
          </cell>
          <cell r="HZ19" t="str">
            <v/>
          </cell>
          <cell r="IA19" t="str">
            <v/>
          </cell>
          <cell r="IB19" t="str">
            <v/>
          </cell>
          <cell r="IC19" t="str">
            <v/>
          </cell>
          <cell r="ID19" t="str">
            <v/>
          </cell>
          <cell r="IE19" t="str">
            <v/>
          </cell>
          <cell r="IF19" t="str">
            <v/>
          </cell>
          <cell r="IG19" t="str">
            <v/>
          </cell>
          <cell r="IH19" t="str">
            <v/>
          </cell>
          <cell r="II19" t="str">
            <v/>
          </cell>
          <cell r="IJ19" t="str">
            <v/>
          </cell>
          <cell r="IK19" t="str">
            <v/>
          </cell>
          <cell r="IL19" t="str">
            <v/>
          </cell>
          <cell r="IM19" t="str">
            <v/>
          </cell>
          <cell r="IN19" t="str">
            <v/>
          </cell>
          <cell r="IO19" t="str">
            <v/>
          </cell>
          <cell r="IP19" t="str">
            <v/>
          </cell>
          <cell r="IQ19" t="str">
            <v/>
          </cell>
          <cell r="IR19" t="str">
            <v/>
          </cell>
          <cell r="IS19" t="str">
            <v/>
          </cell>
          <cell r="IT19" t="str">
            <v/>
          </cell>
          <cell r="IU19" t="str">
            <v/>
          </cell>
          <cell r="IV19" t="str">
            <v/>
          </cell>
          <cell r="IW19" t="str">
            <v/>
          </cell>
          <cell r="IX19" t="str">
            <v/>
          </cell>
          <cell r="IY19" t="str">
            <v/>
          </cell>
          <cell r="IZ19" t="str">
            <v/>
          </cell>
          <cell r="JA19" t="str">
            <v/>
          </cell>
          <cell r="JB19" t="str">
            <v/>
          </cell>
          <cell r="JC19" t="str">
            <v/>
          </cell>
          <cell r="JD19" t="str">
            <v/>
          </cell>
          <cell r="JE19" t="str">
            <v/>
          </cell>
          <cell r="JF19" t="str">
            <v/>
          </cell>
          <cell r="JG19" t="str">
            <v/>
          </cell>
          <cell r="JH19" t="str">
            <v/>
          </cell>
          <cell r="JI19" t="str">
            <v/>
          </cell>
          <cell r="JJ19" t="str">
            <v/>
          </cell>
          <cell r="JK19" t="str">
            <v/>
          </cell>
          <cell r="JL19" t="str">
            <v/>
          </cell>
          <cell r="JM19" t="str">
            <v/>
          </cell>
          <cell r="JN19" t="str">
            <v/>
          </cell>
          <cell r="JO19" t="str">
            <v/>
          </cell>
          <cell r="JP19" t="str">
            <v/>
          </cell>
          <cell r="JQ19" t="str">
            <v/>
          </cell>
          <cell r="JR19" t="str">
            <v/>
          </cell>
          <cell r="JS19" t="str">
            <v/>
          </cell>
          <cell r="JT19" t="str">
            <v/>
          </cell>
          <cell r="JU19" t="str">
            <v/>
          </cell>
          <cell r="JV19" t="str">
            <v/>
          </cell>
          <cell r="JW19" t="str">
            <v/>
          </cell>
          <cell r="JX19" t="str">
            <v/>
          </cell>
          <cell r="JY19" t="str">
            <v/>
          </cell>
          <cell r="JZ19" t="str">
            <v/>
          </cell>
          <cell r="KA19" t="str">
            <v/>
          </cell>
          <cell r="KB19" t="str">
            <v/>
          </cell>
          <cell r="KC19" t="str">
            <v/>
          </cell>
          <cell r="KD19">
            <v>20</v>
          </cell>
          <cell r="KE19">
            <v>0</v>
          </cell>
          <cell r="KF19">
            <v>0</v>
          </cell>
          <cell r="KG19">
            <v>20</v>
          </cell>
          <cell r="KH19">
            <v>20</v>
          </cell>
          <cell r="KI19">
            <v>20</v>
          </cell>
          <cell r="KJ19">
            <v>12</v>
          </cell>
          <cell r="KK19">
            <v>0</v>
          </cell>
          <cell r="KL19">
            <v>0</v>
          </cell>
          <cell r="KM19">
            <v>12</v>
          </cell>
          <cell r="KN19">
            <v>0</v>
          </cell>
          <cell r="KO19">
            <v>0</v>
          </cell>
          <cell r="KP19">
            <v>0</v>
          </cell>
          <cell r="KS19">
            <v>0</v>
          </cell>
          <cell r="KV19">
            <v>0</v>
          </cell>
          <cell r="KY19">
            <v>0</v>
          </cell>
          <cell r="LB19">
            <v>0</v>
          </cell>
          <cell r="LE19">
            <v>0</v>
          </cell>
          <cell r="LH19">
            <v>0</v>
          </cell>
          <cell r="LK19">
            <v>0</v>
          </cell>
          <cell r="LO19">
            <v>45714</v>
          </cell>
          <cell r="LP19" t="str">
            <v>COMPLETADO</v>
          </cell>
        </row>
        <row r="20">
          <cell r="A20">
            <v>1604</v>
          </cell>
          <cell r="B20" t="str">
            <v>LUCIANO</v>
          </cell>
          <cell r="C20" t="str">
            <v>BARRACAS CHICA</v>
          </cell>
          <cell r="D20" t="str">
            <v>MARROQUINERIA CHICA</v>
          </cell>
          <cell r="E20">
            <v>27</v>
          </cell>
          <cell r="F20">
            <v>27</v>
          </cell>
          <cell r="G20">
            <v>27</v>
          </cell>
          <cell r="H20">
            <v>45731.795729166668</v>
          </cell>
          <cell r="I20" t="str">
            <v>PORTAVINO CAFAYATE</v>
          </cell>
          <cell r="J20">
            <v>45673</v>
          </cell>
          <cell r="K20">
            <v>45673</v>
          </cell>
          <cell r="M20">
            <v>15</v>
          </cell>
          <cell r="N20" t="str">
            <v>M156</v>
          </cell>
          <cell r="O20" t="str">
            <v>AV0700420101</v>
          </cell>
          <cell r="P20">
            <v>1</v>
          </cell>
          <cell r="Q20" t="str">
            <v>AV170134014</v>
          </cell>
          <cell r="R20">
            <v>0</v>
          </cell>
          <cell r="S20" t="str">
            <v/>
          </cell>
          <cell r="T20" t="str">
            <v/>
          </cell>
          <cell r="U20" t="str">
            <v/>
          </cell>
          <cell r="V20" t="str">
            <v/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>GRABADO "EL LUCERO ARGENTINA " EN LA PARTE DE ATRAS A 2CM DESDE BASE CENTRADO</v>
          </cell>
          <cell r="AX20" t="str">
            <v>SUELA</v>
          </cell>
          <cell r="AY20" t="str">
            <v>LA HERMIDA-CUERO VACHETTA LADO COLOR</v>
          </cell>
          <cell r="AZ20" t="str">
            <v>CUE0000065</v>
          </cell>
          <cell r="BA20">
            <v>0.14000000000000001</v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>NATURAL</v>
          </cell>
          <cell r="BS20" t="str">
            <v>LA HERMIDA-CUERO VACHETTA LADO NATURAL</v>
          </cell>
          <cell r="BT20" t="str">
            <v>CUE0000066</v>
          </cell>
          <cell r="BU20">
            <v>0.14000000000000001</v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  <cell r="DW20" t="str">
            <v/>
          </cell>
          <cell r="DX20" t="str">
            <v/>
          </cell>
          <cell r="DY20" t="str">
            <v/>
          </cell>
          <cell r="DZ20" t="str">
            <v/>
          </cell>
          <cell r="EA20" t="str">
            <v/>
          </cell>
          <cell r="EB20" t="str">
            <v/>
          </cell>
          <cell r="EC20" t="str">
            <v/>
          </cell>
          <cell r="ED20" t="str">
            <v/>
          </cell>
          <cell r="EE20" t="str">
            <v/>
          </cell>
          <cell r="EF20" t="str">
            <v/>
          </cell>
          <cell r="EG20" t="str">
            <v/>
          </cell>
          <cell r="EH20" t="str">
            <v/>
          </cell>
          <cell r="EI20" t="str">
            <v/>
          </cell>
          <cell r="EJ20" t="str">
            <v/>
          </cell>
          <cell r="EK20" t="str">
            <v/>
          </cell>
          <cell r="EL20" t="str">
            <v/>
          </cell>
          <cell r="EM20" t="str">
            <v/>
          </cell>
          <cell r="EN20" t="str">
            <v/>
          </cell>
          <cell r="EO20" t="str">
            <v/>
          </cell>
          <cell r="EP20" t="str">
            <v/>
          </cell>
          <cell r="EQ20" t="str">
            <v/>
          </cell>
          <cell r="ER20" t="str">
            <v/>
          </cell>
          <cell r="ES20" t="str">
            <v/>
          </cell>
          <cell r="ET20" t="str">
            <v/>
          </cell>
          <cell r="EU20" t="str">
            <v/>
          </cell>
          <cell r="EV20" t="str">
            <v/>
          </cell>
          <cell r="EW20" t="str">
            <v/>
          </cell>
          <cell r="EX20" t="str">
            <v/>
          </cell>
          <cell r="EY20" t="str">
            <v/>
          </cell>
          <cell r="EZ20" t="str">
            <v/>
          </cell>
          <cell r="FA20" t="str">
            <v/>
          </cell>
          <cell r="FB20" t="str">
            <v/>
          </cell>
          <cell r="FC20" t="str">
            <v/>
          </cell>
          <cell r="FD20" t="str">
            <v/>
          </cell>
          <cell r="FE20" t="str">
            <v/>
          </cell>
          <cell r="FF20" t="str">
            <v/>
          </cell>
          <cell r="FG20" t="str">
            <v/>
          </cell>
          <cell r="FH20" t="str">
            <v/>
          </cell>
          <cell r="FI20" t="str">
            <v/>
          </cell>
          <cell r="FJ20" t="str">
            <v/>
          </cell>
          <cell r="FK20" t="str">
            <v/>
          </cell>
          <cell r="FL20" t="str">
            <v/>
          </cell>
          <cell r="FM20" t="str">
            <v/>
          </cell>
          <cell r="FN20" t="str">
            <v/>
          </cell>
          <cell r="FO20" t="str">
            <v/>
          </cell>
          <cell r="FP20" t="str">
            <v/>
          </cell>
          <cell r="FQ20" t="str">
            <v/>
          </cell>
          <cell r="FR20" t="str">
            <v/>
          </cell>
          <cell r="FS20" t="str">
            <v/>
          </cell>
          <cell r="FT20" t="str">
            <v/>
          </cell>
          <cell r="FU20" t="str">
            <v/>
          </cell>
          <cell r="FV20" t="str">
            <v/>
          </cell>
          <cell r="FW20" t="str">
            <v/>
          </cell>
          <cell r="FX20" t="str">
            <v/>
          </cell>
          <cell r="FY20" t="str">
            <v/>
          </cell>
          <cell r="FZ20" t="str">
            <v/>
          </cell>
          <cell r="GA20" t="str">
            <v/>
          </cell>
          <cell r="GB20" t="str">
            <v/>
          </cell>
          <cell r="GC20" t="str">
            <v/>
          </cell>
          <cell r="GD20" t="str">
            <v/>
          </cell>
          <cell r="GE20" t="str">
            <v/>
          </cell>
          <cell r="GF20" t="str">
            <v/>
          </cell>
          <cell r="GG20" t="str">
            <v/>
          </cell>
          <cell r="GH20" t="str">
            <v/>
          </cell>
          <cell r="GI20" t="str">
            <v/>
          </cell>
          <cell r="GJ20" t="str">
            <v/>
          </cell>
          <cell r="GK20" t="str">
            <v/>
          </cell>
          <cell r="GL20" t="str">
            <v/>
          </cell>
          <cell r="GM20" t="str">
            <v/>
          </cell>
          <cell r="GN20" t="str">
            <v/>
          </cell>
          <cell r="GO20" t="str">
            <v/>
          </cell>
          <cell r="GP20" t="str">
            <v/>
          </cell>
          <cell r="GQ20" t="str">
            <v/>
          </cell>
          <cell r="GR20" t="str">
            <v/>
          </cell>
          <cell r="GS20" t="str">
            <v/>
          </cell>
          <cell r="GT20" t="str">
            <v/>
          </cell>
          <cell r="GU20" t="str">
            <v/>
          </cell>
          <cell r="GV20" t="str">
            <v/>
          </cell>
          <cell r="GW20" t="str">
            <v/>
          </cell>
          <cell r="GX20" t="str">
            <v/>
          </cell>
          <cell r="GY20" t="str">
            <v/>
          </cell>
          <cell r="GZ20" t="str">
            <v/>
          </cell>
          <cell r="HA20" t="str">
            <v/>
          </cell>
          <cell r="HB20" t="str">
            <v/>
          </cell>
          <cell r="HC20" t="str">
            <v/>
          </cell>
          <cell r="HD20" t="str">
            <v/>
          </cell>
          <cell r="HE20" t="str">
            <v/>
          </cell>
          <cell r="HF20" t="str">
            <v/>
          </cell>
          <cell r="HG20" t="str">
            <v/>
          </cell>
          <cell r="HH20" t="str">
            <v/>
          </cell>
          <cell r="HI20" t="str">
            <v/>
          </cell>
          <cell r="HJ20" t="str">
            <v/>
          </cell>
          <cell r="HK20" t="str">
            <v/>
          </cell>
          <cell r="HL20" t="str">
            <v/>
          </cell>
          <cell r="HM20" t="str">
            <v/>
          </cell>
          <cell r="HN20" t="str">
            <v/>
          </cell>
          <cell r="HO20" t="str">
            <v/>
          </cell>
          <cell r="HP20" t="str">
            <v/>
          </cell>
          <cell r="HQ20" t="str">
            <v/>
          </cell>
          <cell r="HR20" t="str">
            <v/>
          </cell>
          <cell r="HS20" t="str">
            <v/>
          </cell>
          <cell r="HT20" t="str">
            <v/>
          </cell>
          <cell r="HU20" t="str">
            <v/>
          </cell>
          <cell r="HV20" t="str">
            <v/>
          </cell>
          <cell r="HW20" t="str">
            <v/>
          </cell>
          <cell r="HX20" t="str">
            <v/>
          </cell>
          <cell r="HY20" t="str">
            <v/>
          </cell>
          <cell r="HZ20" t="str">
            <v/>
          </cell>
          <cell r="IA20" t="str">
            <v/>
          </cell>
          <cell r="IB20" t="str">
            <v/>
          </cell>
          <cell r="IC20" t="str">
            <v/>
          </cell>
          <cell r="ID20" t="str">
            <v/>
          </cell>
          <cell r="IE20" t="str">
            <v/>
          </cell>
          <cell r="IF20" t="str">
            <v/>
          </cell>
          <cell r="IG20" t="str">
            <v/>
          </cell>
          <cell r="IH20" t="str">
            <v/>
          </cell>
          <cell r="II20" t="str">
            <v/>
          </cell>
          <cell r="IJ20" t="str">
            <v/>
          </cell>
          <cell r="IK20" t="str">
            <v/>
          </cell>
          <cell r="IL20" t="str">
            <v/>
          </cell>
          <cell r="IM20" t="str">
            <v/>
          </cell>
          <cell r="IN20" t="str">
            <v/>
          </cell>
          <cell r="IO20" t="str">
            <v/>
          </cell>
          <cell r="IP20" t="str">
            <v/>
          </cell>
          <cell r="IQ20" t="str">
            <v/>
          </cell>
          <cell r="IR20" t="str">
            <v/>
          </cell>
          <cell r="IS20" t="str">
            <v/>
          </cell>
          <cell r="IT20" t="str">
            <v/>
          </cell>
          <cell r="IU20" t="str">
            <v/>
          </cell>
          <cell r="IV20" t="str">
            <v/>
          </cell>
          <cell r="IW20" t="str">
            <v/>
          </cell>
          <cell r="IX20" t="str">
            <v/>
          </cell>
          <cell r="IY20" t="str">
            <v/>
          </cell>
          <cell r="IZ20" t="str">
            <v/>
          </cell>
          <cell r="JA20" t="str">
            <v/>
          </cell>
          <cell r="JB20" t="str">
            <v/>
          </cell>
          <cell r="JC20" t="str">
            <v/>
          </cell>
          <cell r="JD20" t="str">
            <v/>
          </cell>
          <cell r="JE20" t="str">
            <v/>
          </cell>
          <cell r="JF20" t="str">
            <v/>
          </cell>
          <cell r="JG20" t="str">
            <v/>
          </cell>
          <cell r="JH20" t="str">
            <v/>
          </cell>
          <cell r="JI20" t="str">
            <v/>
          </cell>
          <cell r="JJ20" t="str">
            <v/>
          </cell>
          <cell r="JK20" t="str">
            <v/>
          </cell>
          <cell r="JL20" t="str">
            <v/>
          </cell>
          <cell r="JM20" t="str">
            <v/>
          </cell>
          <cell r="JN20" t="str">
            <v/>
          </cell>
          <cell r="JO20" t="str">
            <v/>
          </cell>
          <cell r="JP20" t="str">
            <v/>
          </cell>
          <cell r="JQ20" t="str">
            <v/>
          </cell>
          <cell r="JR20" t="str">
            <v/>
          </cell>
          <cell r="JS20" t="str">
            <v/>
          </cell>
          <cell r="JT20" t="str">
            <v/>
          </cell>
          <cell r="JU20" t="str">
            <v/>
          </cell>
          <cell r="JV20" t="str">
            <v/>
          </cell>
          <cell r="JW20" t="str">
            <v/>
          </cell>
          <cell r="JX20" t="str">
            <v/>
          </cell>
          <cell r="JY20" t="str">
            <v/>
          </cell>
          <cell r="JZ20" t="str">
            <v/>
          </cell>
          <cell r="KA20" t="str">
            <v/>
          </cell>
          <cell r="KB20" t="str">
            <v/>
          </cell>
          <cell r="KC20" t="str">
            <v/>
          </cell>
          <cell r="KD20">
            <v>24</v>
          </cell>
          <cell r="KE20">
            <v>24</v>
          </cell>
          <cell r="KF20">
            <v>24</v>
          </cell>
          <cell r="KG20">
            <v>3</v>
          </cell>
          <cell r="KH20">
            <v>3</v>
          </cell>
          <cell r="KI20">
            <v>3</v>
          </cell>
          <cell r="KJ20">
            <v>0</v>
          </cell>
          <cell r="KM20">
            <v>0</v>
          </cell>
          <cell r="KP20">
            <v>0</v>
          </cell>
          <cell r="KS20">
            <v>0</v>
          </cell>
          <cell r="KV20">
            <v>0</v>
          </cell>
          <cell r="KY20">
            <v>0</v>
          </cell>
          <cell r="LB20">
            <v>0</v>
          </cell>
          <cell r="LE20">
            <v>0</v>
          </cell>
          <cell r="LH20">
            <v>0</v>
          </cell>
          <cell r="LK20">
            <v>0</v>
          </cell>
          <cell r="LO20">
            <v>45681</v>
          </cell>
          <cell r="LP20" t="str">
            <v>COMPLETADO</v>
          </cell>
        </row>
        <row r="21">
          <cell r="A21">
            <v>1605</v>
          </cell>
          <cell r="B21" t="str">
            <v>LUCIANO</v>
          </cell>
          <cell r="C21" t="str">
            <v>BARRACAS CHICA</v>
          </cell>
          <cell r="D21" t="str">
            <v>MARROQUINERIA CHICA</v>
          </cell>
          <cell r="E21">
            <v>9</v>
          </cell>
          <cell r="F21">
            <v>9</v>
          </cell>
          <cell r="G21">
            <v>9</v>
          </cell>
          <cell r="H21">
            <v>45731.800787037035</v>
          </cell>
          <cell r="I21" t="str">
            <v>PORTAVINO RIOJA</v>
          </cell>
          <cell r="J21">
            <v>45673</v>
          </cell>
          <cell r="K21">
            <v>45673</v>
          </cell>
          <cell r="M21">
            <v>15</v>
          </cell>
          <cell r="N21" t="str">
            <v>M155</v>
          </cell>
          <cell r="O21" t="str">
            <v>AV170134014</v>
          </cell>
          <cell r="P21">
            <v>0</v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>GRABADO "EL LUCERO ARGENTINA " EN LA PARTE DE ATRAS A 2CM DE LA COSTURA DE LA MANIJA</v>
          </cell>
          <cell r="AX21" t="str">
            <v>NATURAL</v>
          </cell>
          <cell r="AY21" t="str">
            <v>LA HERMIDA-CUERO VACHETTA LADO NATURAL</v>
          </cell>
          <cell r="AZ21" t="str">
            <v>CUE0000066</v>
          </cell>
          <cell r="BA21">
            <v>0.14000000000000001</v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>SUELA</v>
          </cell>
          <cell r="BS21" t="str">
            <v>LA HERMIDA-CUERO VACHETTA LADO COLOR</v>
          </cell>
          <cell r="BT21" t="str">
            <v>CUE0000065</v>
          </cell>
          <cell r="BU21">
            <v>0.14000000000000001</v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  <cell r="DY21" t="str">
            <v/>
          </cell>
          <cell r="DZ21" t="str">
            <v/>
          </cell>
          <cell r="EA21" t="str">
            <v/>
          </cell>
          <cell r="EB21" t="str">
            <v/>
          </cell>
          <cell r="EC21" t="str">
            <v/>
          </cell>
          <cell r="ED21" t="str">
            <v/>
          </cell>
          <cell r="EE21" t="str">
            <v/>
          </cell>
          <cell r="EF21" t="str">
            <v/>
          </cell>
          <cell r="EG21" t="str">
            <v/>
          </cell>
          <cell r="EH21" t="str">
            <v/>
          </cell>
          <cell r="EI21" t="str">
            <v/>
          </cell>
          <cell r="EJ21" t="str">
            <v/>
          </cell>
          <cell r="EK21" t="str">
            <v/>
          </cell>
          <cell r="EL21" t="str">
            <v/>
          </cell>
          <cell r="EM21" t="str">
            <v/>
          </cell>
          <cell r="EN21" t="str">
            <v/>
          </cell>
          <cell r="EO21" t="str">
            <v/>
          </cell>
          <cell r="EP21" t="str">
            <v/>
          </cell>
          <cell r="EQ21" t="str">
            <v/>
          </cell>
          <cell r="ER21" t="str">
            <v/>
          </cell>
          <cell r="ES21" t="str">
            <v/>
          </cell>
          <cell r="ET21" t="str">
            <v/>
          </cell>
          <cell r="EU21" t="str">
            <v/>
          </cell>
          <cell r="EV21" t="str">
            <v/>
          </cell>
          <cell r="EW21" t="str">
            <v/>
          </cell>
          <cell r="EX21" t="str">
            <v/>
          </cell>
          <cell r="EY21" t="str">
            <v/>
          </cell>
          <cell r="EZ21" t="str">
            <v/>
          </cell>
          <cell r="FA21" t="str">
            <v/>
          </cell>
          <cell r="FB21" t="str">
            <v/>
          </cell>
          <cell r="FC21" t="str">
            <v/>
          </cell>
          <cell r="FD21" t="str">
            <v/>
          </cell>
          <cell r="FE21" t="str">
            <v/>
          </cell>
          <cell r="FF21" t="str">
            <v/>
          </cell>
          <cell r="FG21" t="str">
            <v/>
          </cell>
          <cell r="FH21" t="str">
            <v/>
          </cell>
          <cell r="FI21" t="str">
            <v/>
          </cell>
          <cell r="FJ21" t="str">
            <v/>
          </cell>
          <cell r="FK21" t="str">
            <v/>
          </cell>
          <cell r="FL21" t="str">
            <v/>
          </cell>
          <cell r="FM21" t="str">
            <v/>
          </cell>
          <cell r="FN21" t="str">
            <v/>
          </cell>
          <cell r="FO21" t="str">
            <v/>
          </cell>
          <cell r="FP21" t="str">
            <v/>
          </cell>
          <cell r="FQ21" t="str">
            <v/>
          </cell>
          <cell r="FR21" t="str">
            <v/>
          </cell>
          <cell r="FS21" t="str">
            <v/>
          </cell>
          <cell r="FT21" t="str">
            <v/>
          </cell>
          <cell r="FU21" t="str">
            <v/>
          </cell>
          <cell r="FV21" t="str">
            <v/>
          </cell>
          <cell r="FW21" t="str">
            <v/>
          </cell>
          <cell r="FX21" t="str">
            <v/>
          </cell>
          <cell r="FY21" t="str">
            <v/>
          </cell>
          <cell r="FZ21" t="str">
            <v/>
          </cell>
          <cell r="GA21" t="str">
            <v/>
          </cell>
          <cell r="GB21" t="str">
            <v/>
          </cell>
          <cell r="GC21" t="str">
            <v/>
          </cell>
          <cell r="GD21" t="str">
            <v/>
          </cell>
          <cell r="GE21" t="str">
            <v/>
          </cell>
          <cell r="GF21" t="str">
            <v/>
          </cell>
          <cell r="GG21" t="str">
            <v/>
          </cell>
          <cell r="GH21" t="str">
            <v/>
          </cell>
          <cell r="GI21" t="str">
            <v/>
          </cell>
          <cell r="GJ21" t="str">
            <v/>
          </cell>
          <cell r="GK21" t="str">
            <v/>
          </cell>
          <cell r="GL21" t="str">
            <v/>
          </cell>
          <cell r="GM21" t="str">
            <v/>
          </cell>
          <cell r="GN21" t="str">
            <v/>
          </cell>
          <cell r="GO21" t="str">
            <v/>
          </cell>
          <cell r="GP21" t="str">
            <v/>
          </cell>
          <cell r="GQ21" t="str">
            <v/>
          </cell>
          <cell r="GR21" t="str">
            <v/>
          </cell>
          <cell r="GS21" t="str">
            <v/>
          </cell>
          <cell r="GT21" t="str">
            <v/>
          </cell>
          <cell r="GU21" t="str">
            <v/>
          </cell>
          <cell r="GV21" t="str">
            <v/>
          </cell>
          <cell r="GW21" t="str">
            <v/>
          </cell>
          <cell r="GX21" t="str">
            <v/>
          </cell>
          <cell r="GY21" t="str">
            <v/>
          </cell>
          <cell r="GZ21" t="str">
            <v/>
          </cell>
          <cell r="HA21" t="str">
            <v/>
          </cell>
          <cell r="HB21" t="str">
            <v/>
          </cell>
          <cell r="HC21" t="str">
            <v/>
          </cell>
          <cell r="HD21" t="str">
            <v/>
          </cell>
          <cell r="HE21" t="str">
            <v/>
          </cell>
          <cell r="HF21" t="str">
            <v/>
          </cell>
          <cell r="HG21" t="str">
            <v/>
          </cell>
          <cell r="HH21" t="str">
            <v/>
          </cell>
          <cell r="HI21" t="str">
            <v/>
          </cell>
          <cell r="HJ21" t="str">
            <v/>
          </cell>
          <cell r="HK21" t="str">
            <v/>
          </cell>
          <cell r="HL21" t="str">
            <v/>
          </cell>
          <cell r="HM21" t="str">
            <v/>
          </cell>
          <cell r="HN21" t="str">
            <v/>
          </cell>
          <cell r="HO21" t="str">
            <v/>
          </cell>
          <cell r="HP21" t="str">
            <v/>
          </cell>
          <cell r="HQ21" t="str">
            <v/>
          </cell>
          <cell r="HR21" t="str">
            <v/>
          </cell>
          <cell r="HS21" t="str">
            <v/>
          </cell>
          <cell r="HT21" t="str">
            <v/>
          </cell>
          <cell r="HU21" t="str">
            <v/>
          </cell>
          <cell r="HV21" t="str">
            <v/>
          </cell>
          <cell r="HW21" t="str">
            <v/>
          </cell>
          <cell r="HX21" t="str">
            <v/>
          </cell>
          <cell r="HY21" t="str">
            <v/>
          </cell>
          <cell r="HZ21" t="str">
            <v/>
          </cell>
          <cell r="IA21" t="str">
            <v/>
          </cell>
          <cell r="IB21" t="str">
            <v/>
          </cell>
          <cell r="IC21" t="str">
            <v/>
          </cell>
          <cell r="ID21" t="str">
            <v/>
          </cell>
          <cell r="IE21" t="str">
            <v/>
          </cell>
          <cell r="IF21" t="str">
            <v/>
          </cell>
          <cell r="IG21" t="str">
            <v/>
          </cell>
          <cell r="IH21" t="str">
            <v/>
          </cell>
          <cell r="II21" t="str">
            <v/>
          </cell>
          <cell r="IJ21" t="str">
            <v/>
          </cell>
          <cell r="IK21" t="str">
            <v/>
          </cell>
          <cell r="IL21" t="str">
            <v/>
          </cell>
          <cell r="IM21" t="str">
            <v/>
          </cell>
          <cell r="IN21" t="str">
            <v/>
          </cell>
          <cell r="IO21" t="str">
            <v/>
          </cell>
          <cell r="IP21" t="str">
            <v/>
          </cell>
          <cell r="IQ21" t="str">
            <v/>
          </cell>
          <cell r="IR21" t="str">
            <v/>
          </cell>
          <cell r="IS21" t="str">
            <v/>
          </cell>
          <cell r="IT21" t="str">
            <v/>
          </cell>
          <cell r="IU21" t="str">
            <v/>
          </cell>
          <cell r="IV21" t="str">
            <v/>
          </cell>
          <cell r="IW21" t="str">
            <v/>
          </cell>
          <cell r="IX21" t="str">
            <v/>
          </cell>
          <cell r="IY21" t="str">
            <v/>
          </cell>
          <cell r="IZ21" t="str">
            <v/>
          </cell>
          <cell r="JA21" t="str">
            <v/>
          </cell>
          <cell r="JB21" t="str">
            <v/>
          </cell>
          <cell r="JC21" t="str">
            <v/>
          </cell>
          <cell r="JD21" t="str">
            <v/>
          </cell>
          <cell r="JE21" t="str">
            <v/>
          </cell>
          <cell r="JF21" t="str">
            <v/>
          </cell>
          <cell r="JG21" t="str">
            <v/>
          </cell>
          <cell r="JH21" t="str">
            <v/>
          </cell>
          <cell r="JI21" t="str">
            <v/>
          </cell>
          <cell r="JJ21" t="str">
            <v/>
          </cell>
          <cell r="JK21" t="str">
            <v/>
          </cell>
          <cell r="JL21" t="str">
            <v/>
          </cell>
          <cell r="JM21" t="str">
            <v/>
          </cell>
          <cell r="JN21" t="str">
            <v/>
          </cell>
          <cell r="JO21" t="str">
            <v/>
          </cell>
          <cell r="JP21" t="str">
            <v/>
          </cell>
          <cell r="JQ21" t="str">
            <v/>
          </cell>
          <cell r="JR21" t="str">
            <v/>
          </cell>
          <cell r="JS21" t="str">
            <v/>
          </cell>
          <cell r="JT21" t="str">
            <v/>
          </cell>
          <cell r="JU21" t="str">
            <v/>
          </cell>
          <cell r="JV21" t="str">
            <v/>
          </cell>
          <cell r="JW21" t="str">
            <v/>
          </cell>
          <cell r="JX21" t="str">
            <v/>
          </cell>
          <cell r="JY21" t="str">
            <v/>
          </cell>
          <cell r="JZ21" t="str">
            <v/>
          </cell>
          <cell r="KA21" t="str">
            <v/>
          </cell>
          <cell r="KB21" t="str">
            <v/>
          </cell>
          <cell r="KC21" t="str">
            <v/>
          </cell>
          <cell r="KD21">
            <v>4</v>
          </cell>
          <cell r="KE21">
            <v>4</v>
          </cell>
          <cell r="KF21">
            <v>4</v>
          </cell>
          <cell r="KG21">
            <v>5</v>
          </cell>
          <cell r="KH21">
            <v>5</v>
          </cell>
          <cell r="KI21">
            <v>5</v>
          </cell>
          <cell r="KJ21">
            <v>0</v>
          </cell>
          <cell r="KM21">
            <v>0</v>
          </cell>
          <cell r="KP21">
            <v>0</v>
          </cell>
          <cell r="KS21">
            <v>0</v>
          </cell>
          <cell r="KV21">
            <v>0</v>
          </cell>
          <cell r="KY21">
            <v>0</v>
          </cell>
          <cell r="LB21">
            <v>0</v>
          </cell>
          <cell r="LE21">
            <v>0</v>
          </cell>
          <cell r="LH21">
            <v>0</v>
          </cell>
          <cell r="LK21">
            <v>0</v>
          </cell>
          <cell r="LO21">
            <v>45679</v>
          </cell>
          <cell r="LP21" t="str">
            <v>COMPLETADO</v>
          </cell>
        </row>
        <row r="22">
          <cell r="A22">
            <v>1621</v>
          </cell>
          <cell r="B22" t="str">
            <v>LUCIANO</v>
          </cell>
          <cell r="C22" t="str">
            <v>BARRACAS CHICA</v>
          </cell>
          <cell r="D22" t="str">
            <v>MARROQUINERIA CHICA</v>
          </cell>
          <cell r="E22">
            <v>14</v>
          </cell>
          <cell r="F22">
            <v>14</v>
          </cell>
          <cell r="G22">
            <v>14</v>
          </cell>
          <cell r="H22">
            <v>45731.809525462966</v>
          </cell>
          <cell r="I22" t="str">
            <v>BILLETERA ARLO</v>
          </cell>
          <cell r="J22">
            <v>45695</v>
          </cell>
          <cell r="K22">
            <v>45695</v>
          </cell>
          <cell r="M22">
            <v>50</v>
          </cell>
          <cell r="N22" t="str">
            <v>M162</v>
          </cell>
          <cell r="O22" t="str">
            <v>BAC0900100161</v>
          </cell>
          <cell r="P22">
            <v>0.1</v>
          </cell>
          <cell r="Q22" t="str">
            <v>AV170134014</v>
          </cell>
          <cell r="R22">
            <v>0</v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>GRABADO EN TARJETERO "EL LUCERO ARGENTINA" CHICO 
ATRAS CENTRADO A 1 CM DESDE EL BORDE INFERIOR</v>
          </cell>
          <cell r="AT22" t="str">
            <v/>
          </cell>
          <cell r="AU22" t="str">
            <v/>
          </cell>
          <cell r="AV22" t="str">
            <v/>
          </cell>
          <cell r="AW22" t="str">
            <v>GRABADO EN INTERIOR  
"EL LUCERO 
ARGENTINA" CHICO - 
CENTRADO A 1 CM 
DESDE EL BORDE 
INFERIOR</v>
          </cell>
          <cell r="AX22" t="str">
            <v>TABACO</v>
          </cell>
          <cell r="AY22" t="str">
            <v>ARENA-CUERO BRIDGE</v>
          </cell>
          <cell r="AZ22" t="str">
            <v>CUE0000012</v>
          </cell>
          <cell r="BA22">
            <v>0.11</v>
          </cell>
          <cell r="BB22" t="str">
            <v>FOR0000015</v>
          </cell>
          <cell r="BC22">
            <v>0.1</v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>CARAMELO</v>
          </cell>
          <cell r="BS22" t="str">
            <v>ARENA-CUERO BRIDGE</v>
          </cell>
          <cell r="BT22" t="str">
            <v>CUE0000004</v>
          </cell>
          <cell r="BU22">
            <v>0.11</v>
          </cell>
          <cell r="BV22" t="str">
            <v>FOR0000015</v>
          </cell>
          <cell r="BW22">
            <v>0.1</v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>CHOCOLATE</v>
          </cell>
          <cell r="CM22" t="str">
            <v>ARENA-CUERO BRIDGE</v>
          </cell>
          <cell r="CN22" t="str">
            <v>CUE0000005</v>
          </cell>
          <cell r="CO22">
            <v>0.11</v>
          </cell>
          <cell r="CP22" t="str">
            <v>FOR0000015</v>
          </cell>
          <cell r="CQ22">
            <v>0.1</v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  <cell r="DW22" t="str">
            <v/>
          </cell>
          <cell r="DX22" t="str">
            <v/>
          </cell>
          <cell r="DY22" t="str">
            <v/>
          </cell>
          <cell r="DZ22" t="str">
            <v/>
          </cell>
          <cell r="EA22" t="str">
            <v/>
          </cell>
          <cell r="EB22" t="str">
            <v/>
          </cell>
          <cell r="EC22" t="str">
            <v/>
          </cell>
          <cell r="ED22" t="str">
            <v/>
          </cell>
          <cell r="EE22" t="str">
            <v/>
          </cell>
          <cell r="EF22" t="str">
            <v/>
          </cell>
          <cell r="EG22" t="str">
            <v/>
          </cell>
          <cell r="EH22" t="str">
            <v/>
          </cell>
          <cell r="EI22" t="str">
            <v/>
          </cell>
          <cell r="EJ22" t="str">
            <v/>
          </cell>
          <cell r="EK22" t="str">
            <v/>
          </cell>
          <cell r="EL22" t="str">
            <v/>
          </cell>
          <cell r="EM22" t="str">
            <v/>
          </cell>
          <cell r="EN22" t="str">
            <v/>
          </cell>
          <cell r="EO22" t="str">
            <v/>
          </cell>
          <cell r="EP22" t="str">
            <v/>
          </cell>
          <cell r="EQ22" t="str">
            <v/>
          </cell>
          <cell r="ER22" t="str">
            <v/>
          </cell>
          <cell r="ES22" t="str">
            <v/>
          </cell>
          <cell r="ET22" t="str">
            <v/>
          </cell>
          <cell r="EU22" t="str">
            <v/>
          </cell>
          <cell r="EV22" t="str">
            <v/>
          </cell>
          <cell r="EW22" t="str">
            <v/>
          </cell>
          <cell r="EX22" t="str">
            <v/>
          </cell>
          <cell r="EY22" t="str">
            <v/>
          </cell>
          <cell r="EZ22" t="str">
            <v/>
          </cell>
          <cell r="FA22" t="str">
            <v/>
          </cell>
          <cell r="FB22" t="str">
            <v/>
          </cell>
          <cell r="FC22" t="str">
            <v/>
          </cell>
          <cell r="FD22" t="str">
            <v/>
          </cell>
          <cell r="FE22" t="str">
            <v/>
          </cell>
          <cell r="FF22" t="str">
            <v/>
          </cell>
          <cell r="FG22" t="str">
            <v/>
          </cell>
          <cell r="FH22" t="str">
            <v/>
          </cell>
          <cell r="FI22" t="str">
            <v/>
          </cell>
          <cell r="FJ22" t="str">
            <v/>
          </cell>
          <cell r="FK22" t="str">
            <v/>
          </cell>
          <cell r="FL22" t="str">
            <v/>
          </cell>
          <cell r="FM22" t="str">
            <v/>
          </cell>
          <cell r="FN22" t="str">
            <v/>
          </cell>
          <cell r="FO22" t="str">
            <v/>
          </cell>
          <cell r="FP22" t="str">
            <v/>
          </cell>
          <cell r="FQ22" t="str">
            <v/>
          </cell>
          <cell r="FR22" t="str">
            <v/>
          </cell>
          <cell r="FS22" t="str">
            <v/>
          </cell>
          <cell r="FT22" t="str">
            <v/>
          </cell>
          <cell r="FU22" t="str">
            <v/>
          </cell>
          <cell r="FV22" t="str">
            <v/>
          </cell>
          <cell r="FW22" t="str">
            <v/>
          </cell>
          <cell r="FX22" t="str">
            <v/>
          </cell>
          <cell r="FY22" t="str">
            <v/>
          </cell>
          <cell r="FZ22" t="str">
            <v/>
          </cell>
          <cell r="GA22" t="str">
            <v/>
          </cell>
          <cell r="GB22" t="str">
            <v/>
          </cell>
          <cell r="GC22" t="str">
            <v/>
          </cell>
          <cell r="GD22" t="str">
            <v/>
          </cell>
          <cell r="GE22" t="str">
            <v/>
          </cell>
          <cell r="GF22" t="str">
            <v/>
          </cell>
          <cell r="GG22" t="str">
            <v/>
          </cell>
          <cell r="GH22" t="str">
            <v/>
          </cell>
          <cell r="GI22" t="str">
            <v/>
          </cell>
          <cell r="GJ22" t="str">
            <v/>
          </cell>
          <cell r="GK22" t="str">
            <v/>
          </cell>
          <cell r="GL22" t="str">
            <v/>
          </cell>
          <cell r="GM22" t="str">
            <v/>
          </cell>
          <cell r="GN22" t="str">
            <v/>
          </cell>
          <cell r="GO22" t="str">
            <v/>
          </cell>
          <cell r="GP22" t="str">
            <v/>
          </cell>
          <cell r="GQ22" t="str">
            <v/>
          </cell>
          <cell r="GR22" t="str">
            <v/>
          </cell>
          <cell r="GS22" t="str">
            <v/>
          </cell>
          <cell r="GT22" t="str">
            <v/>
          </cell>
          <cell r="GU22" t="str">
            <v/>
          </cell>
          <cell r="GV22" t="str">
            <v/>
          </cell>
          <cell r="GW22" t="str">
            <v/>
          </cell>
          <cell r="GX22" t="str">
            <v/>
          </cell>
          <cell r="GY22" t="str">
            <v/>
          </cell>
          <cell r="GZ22" t="str">
            <v/>
          </cell>
          <cell r="HA22" t="str">
            <v/>
          </cell>
          <cell r="HB22" t="str">
            <v/>
          </cell>
          <cell r="HC22" t="str">
            <v/>
          </cell>
          <cell r="HD22" t="str">
            <v/>
          </cell>
          <cell r="HE22" t="str">
            <v/>
          </cell>
          <cell r="HF22" t="str">
            <v/>
          </cell>
          <cell r="HG22" t="str">
            <v/>
          </cell>
          <cell r="HH22" t="str">
            <v/>
          </cell>
          <cell r="HI22" t="str">
            <v/>
          </cell>
          <cell r="HJ22" t="str">
            <v/>
          </cell>
          <cell r="HK22" t="str">
            <v/>
          </cell>
          <cell r="HL22" t="str">
            <v/>
          </cell>
          <cell r="HM22" t="str">
            <v/>
          </cell>
          <cell r="HN22" t="str">
            <v/>
          </cell>
          <cell r="HO22" t="str">
            <v/>
          </cell>
          <cell r="HP22" t="str">
            <v/>
          </cell>
          <cell r="HQ22" t="str">
            <v/>
          </cell>
          <cell r="HR22" t="str">
            <v/>
          </cell>
          <cell r="HS22" t="str">
            <v/>
          </cell>
          <cell r="HT22" t="str">
            <v/>
          </cell>
          <cell r="HU22" t="str">
            <v/>
          </cell>
          <cell r="HV22" t="str">
            <v/>
          </cell>
          <cell r="HW22" t="str">
            <v/>
          </cell>
          <cell r="HX22" t="str">
            <v/>
          </cell>
          <cell r="HY22" t="str">
            <v/>
          </cell>
          <cell r="HZ22" t="str">
            <v/>
          </cell>
          <cell r="IA22" t="str">
            <v/>
          </cell>
          <cell r="IB22" t="str">
            <v/>
          </cell>
          <cell r="IC22" t="str">
            <v/>
          </cell>
          <cell r="ID22" t="str">
            <v/>
          </cell>
          <cell r="IE22" t="str">
            <v/>
          </cell>
          <cell r="IF22" t="str">
            <v/>
          </cell>
          <cell r="IG22" t="str">
            <v/>
          </cell>
          <cell r="IH22" t="str">
            <v/>
          </cell>
          <cell r="II22" t="str">
            <v/>
          </cell>
          <cell r="IJ22" t="str">
            <v/>
          </cell>
          <cell r="IK22" t="str">
            <v/>
          </cell>
          <cell r="IL22" t="str">
            <v/>
          </cell>
          <cell r="IM22" t="str">
            <v/>
          </cell>
          <cell r="IN22" t="str">
            <v/>
          </cell>
          <cell r="IO22" t="str">
            <v/>
          </cell>
          <cell r="IP22" t="str">
            <v/>
          </cell>
          <cell r="IQ22" t="str">
            <v/>
          </cell>
          <cell r="IR22" t="str">
            <v/>
          </cell>
          <cell r="IS22" t="str">
            <v/>
          </cell>
          <cell r="IT22" t="str">
            <v/>
          </cell>
          <cell r="IU22" t="str">
            <v/>
          </cell>
          <cell r="IV22" t="str">
            <v/>
          </cell>
          <cell r="IW22" t="str">
            <v/>
          </cell>
          <cell r="IX22" t="str">
            <v/>
          </cell>
          <cell r="IY22" t="str">
            <v/>
          </cell>
          <cell r="IZ22" t="str">
            <v/>
          </cell>
          <cell r="JA22" t="str">
            <v/>
          </cell>
          <cell r="JB22" t="str">
            <v/>
          </cell>
          <cell r="JC22" t="str">
            <v/>
          </cell>
          <cell r="JD22" t="str">
            <v/>
          </cell>
          <cell r="JE22" t="str">
            <v/>
          </cell>
          <cell r="JF22" t="str">
            <v/>
          </cell>
          <cell r="JG22" t="str">
            <v/>
          </cell>
          <cell r="JH22" t="str">
            <v/>
          </cell>
          <cell r="JI22" t="str">
            <v/>
          </cell>
          <cell r="JJ22" t="str">
            <v/>
          </cell>
          <cell r="JK22" t="str">
            <v/>
          </cell>
          <cell r="JL22" t="str">
            <v/>
          </cell>
          <cell r="JM22" t="str">
            <v/>
          </cell>
          <cell r="JN22" t="str">
            <v/>
          </cell>
          <cell r="JO22" t="str">
            <v/>
          </cell>
          <cell r="JP22" t="str">
            <v/>
          </cell>
          <cell r="JQ22" t="str">
            <v/>
          </cell>
          <cell r="JR22" t="str">
            <v/>
          </cell>
          <cell r="JS22" t="str">
            <v/>
          </cell>
          <cell r="JT22" t="str">
            <v/>
          </cell>
          <cell r="JU22" t="str">
            <v/>
          </cell>
          <cell r="JV22" t="str">
            <v/>
          </cell>
          <cell r="JW22" t="str">
            <v/>
          </cell>
          <cell r="JX22" t="str">
            <v/>
          </cell>
          <cell r="JY22" t="str">
            <v/>
          </cell>
          <cell r="JZ22" t="str">
            <v/>
          </cell>
          <cell r="KA22" t="str">
            <v/>
          </cell>
          <cell r="KB22" t="str">
            <v/>
          </cell>
          <cell r="KC22" t="str">
            <v/>
          </cell>
          <cell r="KD22">
            <v>2</v>
          </cell>
          <cell r="KE22">
            <v>2</v>
          </cell>
          <cell r="KF22">
            <v>2</v>
          </cell>
          <cell r="KG22">
            <v>2</v>
          </cell>
          <cell r="KH22">
            <v>2</v>
          </cell>
          <cell r="KI22">
            <v>2</v>
          </cell>
          <cell r="KJ22">
            <v>10</v>
          </cell>
          <cell r="KK22">
            <v>10</v>
          </cell>
          <cell r="KL22">
            <v>10</v>
          </cell>
          <cell r="KM22">
            <v>0</v>
          </cell>
          <cell r="KP22">
            <v>0</v>
          </cell>
          <cell r="KS22">
            <v>0</v>
          </cell>
          <cell r="KV22">
            <v>0</v>
          </cell>
          <cell r="KY22">
            <v>0</v>
          </cell>
          <cell r="LB22">
            <v>0</v>
          </cell>
          <cell r="LE22">
            <v>0</v>
          </cell>
          <cell r="LH22">
            <v>0</v>
          </cell>
          <cell r="LK22">
            <v>0</v>
          </cell>
          <cell r="LO22">
            <v>45699</v>
          </cell>
          <cell r="LP22" t="str">
            <v>COMPLETADO</v>
          </cell>
        </row>
        <row r="23">
          <cell r="A23">
            <v>1622</v>
          </cell>
          <cell r="B23" t="str">
            <v>LUCIANO</v>
          </cell>
          <cell r="C23" t="str">
            <v>BARRACAS CHICA</v>
          </cell>
          <cell r="D23" t="str">
            <v>MARROQUINERIA CHICA</v>
          </cell>
          <cell r="E23">
            <v>24</v>
          </cell>
          <cell r="F23">
            <v>24</v>
          </cell>
          <cell r="G23">
            <v>24</v>
          </cell>
          <cell r="H23">
            <v>45731.817557870374</v>
          </cell>
          <cell r="I23" t="str">
            <v>BILLETERA COPAHUE</v>
          </cell>
          <cell r="J23">
            <v>45727</v>
          </cell>
          <cell r="K23">
            <v>45727</v>
          </cell>
          <cell r="L23">
            <v>45727</v>
          </cell>
          <cell r="M23">
            <v>50</v>
          </cell>
          <cell r="N23" t="str">
            <v>M014</v>
          </cell>
          <cell r="O23" t="str">
            <v>VAR0000002</v>
          </cell>
          <cell r="P23">
            <v>0.01</v>
          </cell>
          <cell r="Q23" t="str">
            <v>BAC1300050727</v>
          </cell>
          <cell r="R23">
            <v>0.01</v>
          </cell>
          <cell r="S23" t="str">
            <v>AV0101070301</v>
          </cell>
          <cell r="T23">
            <v>1</v>
          </cell>
          <cell r="U23" t="str">
            <v>AV0600560101</v>
          </cell>
          <cell r="V23">
            <v>1</v>
          </cell>
          <cell r="W23" t="str">
            <v>AV0401380101</v>
          </cell>
          <cell r="X23">
            <v>1</v>
          </cell>
          <cell r="Y23" t="str">
            <v>AV170134014</v>
          </cell>
          <cell r="Z23">
            <v>0</v>
          </cell>
          <cell r="AA23" t="str">
            <v>BAC0200071027</v>
          </cell>
          <cell r="AB23">
            <v>0.01</v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 xml:space="preserve">GRABADO EL LUCERO EN SOLAPA FRONTAL CENTRADO A 1 CM DEL BORDE  </v>
          </cell>
          <cell r="AX23" t="str">
            <v>NEGRO</v>
          </cell>
          <cell r="AY23" t="str">
            <v>ARENA-CUERO NAPADO</v>
          </cell>
          <cell r="AZ23" t="str">
            <v>CUE0000026</v>
          </cell>
          <cell r="BA23">
            <v>0.09</v>
          </cell>
          <cell r="BB23" t="str">
            <v>AV0100020303</v>
          </cell>
          <cell r="BC23">
            <v>0.12</v>
          </cell>
          <cell r="BD23" t="str">
            <v>FOR0000018</v>
          </cell>
          <cell r="BE23">
            <v>0.1</v>
          </cell>
          <cell r="BF23" t="str">
            <v>AV1401254060</v>
          </cell>
          <cell r="BG23">
            <v>0</v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>SUELA</v>
          </cell>
          <cell r="BS23" t="str">
            <v>ARENA-CUERO NAPADO</v>
          </cell>
          <cell r="BT23" t="str">
            <v>CUE0000028</v>
          </cell>
          <cell r="BU23">
            <v>0.09</v>
          </cell>
          <cell r="BV23" t="str">
            <v>AV0100020305</v>
          </cell>
          <cell r="BW23">
            <v>0.12</v>
          </cell>
          <cell r="BX23" t="str">
            <v>FOR0000015</v>
          </cell>
          <cell r="BY23">
            <v>0.1</v>
          </cell>
          <cell r="BZ23" t="str">
            <v>AV1401250545</v>
          </cell>
          <cell r="CA23">
            <v>0</v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>VERDE</v>
          </cell>
          <cell r="CM23" t="str">
            <v>ARENA-CUERO NAPADO</v>
          </cell>
          <cell r="CN23" t="str">
            <v>CUE0000030</v>
          </cell>
          <cell r="CO23">
            <v>0.09</v>
          </cell>
          <cell r="CP23" t="str">
            <v>AV0100020317</v>
          </cell>
          <cell r="CQ23">
            <v>0.12</v>
          </cell>
          <cell r="CR23" t="str">
            <v>FOR0000013</v>
          </cell>
          <cell r="CS23">
            <v>0.1</v>
          </cell>
          <cell r="CT23" t="str">
            <v>AV1401254260</v>
          </cell>
          <cell r="CU23">
            <v>0</v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>AZUL</v>
          </cell>
          <cell r="DG23" t="str">
            <v>ARENA-CUERO NAPADO</v>
          </cell>
          <cell r="DH23" t="str">
            <v>CUE0000021</v>
          </cell>
          <cell r="DI23">
            <v>0.09</v>
          </cell>
          <cell r="DJ23" t="str">
            <v>AV0100020336</v>
          </cell>
          <cell r="DK23">
            <v>0.12</v>
          </cell>
          <cell r="DL23" t="str">
            <v>FOR0000014</v>
          </cell>
          <cell r="DM23">
            <v>0.1</v>
          </cell>
          <cell r="DN23" t="str">
            <v>AV1401254360</v>
          </cell>
          <cell r="DO23">
            <v>0</v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  <cell r="DW23" t="str">
            <v/>
          </cell>
          <cell r="DX23" t="str">
            <v/>
          </cell>
          <cell r="DY23" t="str">
            <v/>
          </cell>
          <cell r="DZ23" t="str">
            <v>ROJO</v>
          </cell>
          <cell r="EA23" t="str">
            <v>ARENA-CUERO NAPADO</v>
          </cell>
          <cell r="EB23" t="str">
            <v>CUE0000027</v>
          </cell>
          <cell r="EC23">
            <v>0.09</v>
          </cell>
          <cell r="ED23" t="str">
            <v>AV0100020313</v>
          </cell>
          <cell r="EE23">
            <v>0.12</v>
          </cell>
          <cell r="EF23" t="str">
            <v>FOR0000016</v>
          </cell>
          <cell r="EG23">
            <v>0.1</v>
          </cell>
          <cell r="EH23" t="str">
            <v>AV1401254460</v>
          </cell>
          <cell r="EI23">
            <v>0</v>
          </cell>
          <cell r="EJ23" t="str">
            <v/>
          </cell>
          <cell r="EK23" t="str">
            <v/>
          </cell>
          <cell r="EL23" t="str">
            <v/>
          </cell>
          <cell r="EM23" t="str">
            <v/>
          </cell>
          <cell r="EN23" t="str">
            <v/>
          </cell>
          <cell r="EO23" t="str">
            <v/>
          </cell>
          <cell r="EP23" t="str">
            <v/>
          </cell>
          <cell r="EQ23" t="str">
            <v/>
          </cell>
          <cell r="ER23" t="str">
            <v/>
          </cell>
          <cell r="ES23" t="str">
            <v/>
          </cell>
          <cell r="ET23" t="str">
            <v/>
          </cell>
          <cell r="EU23" t="str">
            <v/>
          </cell>
          <cell r="EV23" t="str">
            <v/>
          </cell>
          <cell r="EW23" t="str">
            <v/>
          </cell>
          <cell r="EX23" t="str">
            <v/>
          </cell>
          <cell r="EY23" t="str">
            <v/>
          </cell>
          <cell r="EZ23" t="str">
            <v/>
          </cell>
          <cell r="FA23" t="str">
            <v/>
          </cell>
          <cell r="FB23" t="str">
            <v/>
          </cell>
          <cell r="FC23" t="str">
            <v/>
          </cell>
          <cell r="FD23" t="str">
            <v/>
          </cell>
          <cell r="FE23" t="str">
            <v/>
          </cell>
          <cell r="FF23" t="str">
            <v/>
          </cell>
          <cell r="FG23" t="str">
            <v/>
          </cell>
          <cell r="FH23" t="str">
            <v/>
          </cell>
          <cell r="FI23" t="str">
            <v/>
          </cell>
          <cell r="FJ23" t="str">
            <v/>
          </cell>
          <cell r="FK23" t="str">
            <v/>
          </cell>
          <cell r="FL23" t="str">
            <v/>
          </cell>
          <cell r="FM23" t="str">
            <v/>
          </cell>
          <cell r="FN23" t="str">
            <v/>
          </cell>
          <cell r="FO23" t="str">
            <v/>
          </cell>
          <cell r="FP23" t="str">
            <v/>
          </cell>
          <cell r="FQ23" t="str">
            <v/>
          </cell>
          <cell r="FR23" t="str">
            <v/>
          </cell>
          <cell r="FS23" t="str">
            <v/>
          </cell>
          <cell r="FT23" t="str">
            <v/>
          </cell>
          <cell r="FU23" t="str">
            <v/>
          </cell>
          <cell r="FV23" t="str">
            <v/>
          </cell>
          <cell r="FW23" t="str">
            <v/>
          </cell>
          <cell r="FX23" t="str">
            <v/>
          </cell>
          <cell r="FY23" t="str">
            <v/>
          </cell>
          <cell r="FZ23" t="str">
            <v/>
          </cell>
          <cell r="GA23" t="str">
            <v/>
          </cell>
          <cell r="GB23" t="str">
            <v/>
          </cell>
          <cell r="GC23" t="str">
            <v/>
          </cell>
          <cell r="GD23" t="str">
            <v/>
          </cell>
          <cell r="GE23" t="str">
            <v/>
          </cell>
          <cell r="GF23" t="str">
            <v/>
          </cell>
          <cell r="GG23" t="str">
            <v/>
          </cell>
          <cell r="GH23" t="str">
            <v/>
          </cell>
          <cell r="GI23" t="str">
            <v/>
          </cell>
          <cell r="GJ23" t="str">
            <v/>
          </cell>
          <cell r="GK23" t="str">
            <v/>
          </cell>
          <cell r="GL23" t="str">
            <v/>
          </cell>
          <cell r="GM23" t="str">
            <v/>
          </cell>
          <cell r="GN23" t="str">
            <v/>
          </cell>
          <cell r="GO23" t="str">
            <v/>
          </cell>
          <cell r="GP23" t="str">
            <v/>
          </cell>
          <cell r="GQ23" t="str">
            <v/>
          </cell>
          <cell r="GR23" t="str">
            <v/>
          </cell>
          <cell r="GS23" t="str">
            <v/>
          </cell>
          <cell r="GT23" t="str">
            <v/>
          </cell>
          <cell r="GU23" t="str">
            <v/>
          </cell>
          <cell r="GV23" t="str">
            <v/>
          </cell>
          <cell r="GW23" t="str">
            <v/>
          </cell>
          <cell r="GX23" t="str">
            <v/>
          </cell>
          <cell r="GY23" t="str">
            <v/>
          </cell>
          <cell r="GZ23" t="str">
            <v/>
          </cell>
          <cell r="HA23" t="str">
            <v/>
          </cell>
          <cell r="HB23" t="str">
            <v/>
          </cell>
          <cell r="HC23" t="str">
            <v/>
          </cell>
          <cell r="HD23" t="str">
            <v/>
          </cell>
          <cell r="HE23" t="str">
            <v/>
          </cell>
          <cell r="HF23" t="str">
            <v/>
          </cell>
          <cell r="HG23" t="str">
            <v/>
          </cell>
          <cell r="HH23" t="str">
            <v/>
          </cell>
          <cell r="HI23" t="str">
            <v/>
          </cell>
          <cell r="HJ23" t="str">
            <v/>
          </cell>
          <cell r="HK23" t="str">
            <v/>
          </cell>
          <cell r="HL23" t="str">
            <v/>
          </cell>
          <cell r="HM23" t="str">
            <v/>
          </cell>
          <cell r="HN23" t="str">
            <v/>
          </cell>
          <cell r="HO23" t="str">
            <v/>
          </cell>
          <cell r="HP23" t="str">
            <v/>
          </cell>
          <cell r="HQ23" t="str">
            <v/>
          </cell>
          <cell r="HR23" t="str">
            <v/>
          </cell>
          <cell r="HS23" t="str">
            <v/>
          </cell>
          <cell r="HT23" t="str">
            <v/>
          </cell>
          <cell r="HU23" t="str">
            <v/>
          </cell>
          <cell r="HV23" t="str">
            <v/>
          </cell>
          <cell r="HW23" t="str">
            <v/>
          </cell>
          <cell r="HX23" t="str">
            <v/>
          </cell>
          <cell r="HY23" t="str">
            <v/>
          </cell>
          <cell r="HZ23" t="str">
            <v/>
          </cell>
          <cell r="IA23" t="str">
            <v/>
          </cell>
          <cell r="IB23" t="str">
            <v/>
          </cell>
          <cell r="IC23" t="str">
            <v/>
          </cell>
          <cell r="ID23" t="str">
            <v/>
          </cell>
          <cell r="IE23" t="str">
            <v/>
          </cell>
          <cell r="IF23" t="str">
            <v/>
          </cell>
          <cell r="IG23" t="str">
            <v/>
          </cell>
          <cell r="IH23" t="str">
            <v/>
          </cell>
          <cell r="II23" t="str">
            <v/>
          </cell>
          <cell r="IJ23" t="str">
            <v/>
          </cell>
          <cell r="IK23" t="str">
            <v/>
          </cell>
          <cell r="IL23" t="str">
            <v/>
          </cell>
          <cell r="IM23" t="str">
            <v/>
          </cell>
          <cell r="IN23" t="str">
            <v/>
          </cell>
          <cell r="IO23" t="str">
            <v/>
          </cell>
          <cell r="IP23" t="str">
            <v/>
          </cell>
          <cell r="IQ23" t="str">
            <v/>
          </cell>
          <cell r="IR23" t="str">
            <v/>
          </cell>
          <cell r="IS23" t="str">
            <v/>
          </cell>
          <cell r="IT23" t="str">
            <v/>
          </cell>
          <cell r="IU23" t="str">
            <v/>
          </cell>
          <cell r="IV23" t="str">
            <v/>
          </cell>
          <cell r="IW23" t="str">
            <v/>
          </cell>
          <cell r="IX23" t="str">
            <v/>
          </cell>
          <cell r="IY23" t="str">
            <v/>
          </cell>
          <cell r="IZ23" t="str">
            <v/>
          </cell>
          <cell r="JA23" t="str">
            <v/>
          </cell>
          <cell r="JB23" t="str">
            <v/>
          </cell>
          <cell r="JC23" t="str">
            <v/>
          </cell>
          <cell r="JD23" t="str">
            <v/>
          </cell>
          <cell r="JE23" t="str">
            <v/>
          </cell>
          <cell r="JF23" t="str">
            <v/>
          </cell>
          <cell r="JG23" t="str">
            <v/>
          </cell>
          <cell r="JH23" t="str">
            <v/>
          </cell>
          <cell r="JI23" t="str">
            <v/>
          </cell>
          <cell r="JJ23" t="str">
            <v/>
          </cell>
          <cell r="JK23" t="str">
            <v/>
          </cell>
          <cell r="JL23" t="str">
            <v/>
          </cell>
          <cell r="JM23" t="str">
            <v/>
          </cell>
          <cell r="JN23" t="str">
            <v/>
          </cell>
          <cell r="JO23" t="str">
            <v/>
          </cell>
          <cell r="JP23" t="str">
            <v/>
          </cell>
          <cell r="JQ23" t="str">
            <v/>
          </cell>
          <cell r="JR23" t="str">
            <v/>
          </cell>
          <cell r="JS23" t="str">
            <v/>
          </cell>
          <cell r="JT23" t="str">
            <v/>
          </cell>
          <cell r="JU23" t="str">
            <v/>
          </cell>
          <cell r="JV23" t="str">
            <v/>
          </cell>
          <cell r="JW23" t="str">
            <v/>
          </cell>
          <cell r="JX23" t="str">
            <v/>
          </cell>
          <cell r="JY23" t="str">
            <v/>
          </cell>
          <cell r="JZ23" t="str">
            <v/>
          </cell>
          <cell r="KA23" t="str">
            <v/>
          </cell>
          <cell r="KB23" t="str">
            <v/>
          </cell>
          <cell r="KC23" t="str">
            <v/>
          </cell>
          <cell r="KD23">
            <v>2</v>
          </cell>
          <cell r="KE23">
            <v>2</v>
          </cell>
          <cell r="KF23">
            <v>2</v>
          </cell>
          <cell r="KG23">
            <v>4</v>
          </cell>
          <cell r="KH23">
            <v>4</v>
          </cell>
          <cell r="KI23">
            <v>4</v>
          </cell>
          <cell r="KJ23">
            <v>10</v>
          </cell>
          <cell r="KK23">
            <v>10</v>
          </cell>
          <cell r="KL23">
            <v>10</v>
          </cell>
          <cell r="KM23">
            <v>6</v>
          </cell>
          <cell r="KN23">
            <v>6</v>
          </cell>
          <cell r="KO23">
            <v>6</v>
          </cell>
          <cell r="KP23">
            <v>2</v>
          </cell>
          <cell r="KQ23">
            <v>2</v>
          </cell>
          <cell r="KR23">
            <v>2</v>
          </cell>
          <cell r="KS23">
            <v>0</v>
          </cell>
          <cell r="KV23">
            <v>0</v>
          </cell>
          <cell r="KY23">
            <v>0</v>
          </cell>
          <cell r="LB23">
            <v>0</v>
          </cell>
          <cell r="LE23">
            <v>0</v>
          </cell>
          <cell r="LH23">
            <v>0</v>
          </cell>
          <cell r="LK23">
            <v>0</v>
          </cell>
          <cell r="LN23">
            <v>45727</v>
          </cell>
          <cell r="LO23">
            <v>45916</v>
          </cell>
          <cell r="LP23" t="str">
            <v>COMPLETADO</v>
          </cell>
        </row>
        <row r="24">
          <cell r="A24">
            <v>1623</v>
          </cell>
          <cell r="B24" t="str">
            <v>LUCIANO</v>
          </cell>
          <cell r="C24" t="str">
            <v>BARRACAS CHICA</v>
          </cell>
          <cell r="D24" t="str">
            <v>MARROQUINERIA CHICA</v>
          </cell>
          <cell r="E24">
            <v>22</v>
          </cell>
          <cell r="F24">
            <v>2</v>
          </cell>
          <cell r="G24">
            <v>2</v>
          </cell>
          <cell r="H24">
            <v>45731.820486111108</v>
          </cell>
          <cell r="I24" t="str">
            <v>BILLETERA FICHERO</v>
          </cell>
          <cell r="J24">
            <v>45705</v>
          </cell>
          <cell r="K24">
            <v>45705</v>
          </cell>
          <cell r="M24">
            <v>55</v>
          </cell>
          <cell r="N24" t="str">
            <v>M015</v>
          </cell>
          <cell r="O24" t="str">
            <v>BAC1300050727</v>
          </cell>
          <cell r="P24">
            <v>0.06</v>
          </cell>
          <cell r="Q24" t="str">
            <v>BAC0200071027</v>
          </cell>
          <cell r="R24">
            <v>0.04</v>
          </cell>
          <cell r="S24" t="str">
            <v>BAC0900100161</v>
          </cell>
          <cell r="T24">
            <v>0.01</v>
          </cell>
          <cell r="U24" t="str">
            <v>FOR0000032</v>
          </cell>
          <cell r="V24">
            <v>0.01</v>
          </cell>
          <cell r="W24" t="str">
            <v>AV0101070301</v>
          </cell>
          <cell r="X24">
            <v>1</v>
          </cell>
          <cell r="Y24" t="str">
            <v>AV0600560101</v>
          </cell>
          <cell r="Z24">
            <v>1</v>
          </cell>
          <cell r="AA24" t="str">
            <v>AV0600550101</v>
          </cell>
          <cell r="AB24">
            <v>1</v>
          </cell>
          <cell r="AC24" t="str">
            <v>AV0300400101</v>
          </cell>
          <cell r="AD24">
            <v>2</v>
          </cell>
          <cell r="AE24" t="str">
            <v>AV1000380101</v>
          </cell>
          <cell r="AF24">
            <v>2</v>
          </cell>
          <cell r="AG24" t="str">
            <v>AV0101040201</v>
          </cell>
          <cell r="AH24">
            <v>1</v>
          </cell>
          <cell r="AI24" t="str">
            <v>AV0300390101</v>
          </cell>
          <cell r="AJ24">
            <v>1</v>
          </cell>
          <cell r="AK24" t="str">
            <v>AV170134014</v>
          </cell>
          <cell r="AL24">
            <v>0</v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>TIRACIERRE N2 : vuelta de tira con remache + grabado estrella lucero</v>
          </cell>
          <cell r="AT24" t="str">
            <v xml:space="preserve">CAMBIAR LADO DE LA PULSERA A LA IZQUIERDA    </v>
          </cell>
          <cell r="AU24" t="str">
            <v/>
          </cell>
          <cell r="AV24" t="str">
            <v/>
          </cell>
          <cell r="AW24" t="str">
            <v xml:space="preserve">GRABADO "EL LUCERO" CHICO EN FRENTE, CENTRADO A 2 CM DESDE BOCA  </v>
          </cell>
          <cell r="AX24" t="str">
            <v>ROJO</v>
          </cell>
          <cell r="AY24" t="str">
            <v>ARENA-CUERO NAPADO</v>
          </cell>
          <cell r="AZ24" t="str">
            <v>CUE0000027</v>
          </cell>
          <cell r="BA24">
            <v>0.21</v>
          </cell>
          <cell r="BB24" t="str">
            <v>AV0100010113</v>
          </cell>
          <cell r="BC24">
            <v>0.45</v>
          </cell>
          <cell r="BD24" t="str">
            <v>AV0100020313</v>
          </cell>
          <cell r="BE24">
            <v>0.16</v>
          </cell>
          <cell r="BF24" t="str">
            <v>FOR0000016</v>
          </cell>
          <cell r="BG24">
            <v>0.16</v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>AZUL_REVES_AZUL</v>
          </cell>
          <cell r="BS24" t="str">
            <v>BIANCO-CUERO MODENA ESPESOR 1,8</v>
          </cell>
          <cell r="BT24" t="str">
            <v>CUE0000156</v>
          </cell>
          <cell r="BU24">
            <v>0.21</v>
          </cell>
          <cell r="BV24" t="str">
            <v>AV0100010115</v>
          </cell>
          <cell r="BW24">
            <v>0.45</v>
          </cell>
          <cell r="BX24" t="str">
            <v>AV0100020336</v>
          </cell>
          <cell r="BY24">
            <v>0.16</v>
          </cell>
          <cell r="BZ24" t="str">
            <v>FOR0000014</v>
          </cell>
          <cell r="CA24">
            <v>0.16</v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>VERDE_REVES_VERDE</v>
          </cell>
          <cell r="CM24" t="str">
            <v>BIANCO-CUERO MODENA ESPESOR 1,8</v>
          </cell>
          <cell r="CN24" t="str">
            <v>CUE0000157</v>
          </cell>
          <cell r="CO24">
            <v>0.21</v>
          </cell>
          <cell r="CP24" t="str">
            <v>AV0100010117</v>
          </cell>
          <cell r="CQ24">
            <v>0.45</v>
          </cell>
          <cell r="CR24" t="str">
            <v>AV0100020317</v>
          </cell>
          <cell r="CS24">
            <v>0.16</v>
          </cell>
          <cell r="CT24" t="str">
            <v>FOR0000013</v>
          </cell>
          <cell r="CU24">
            <v>0.16</v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  <cell r="DW24" t="str">
            <v/>
          </cell>
          <cell r="DX24" t="str">
            <v/>
          </cell>
          <cell r="DY24" t="str">
            <v/>
          </cell>
          <cell r="DZ24" t="str">
            <v/>
          </cell>
          <cell r="EA24" t="str">
            <v/>
          </cell>
          <cell r="EB24" t="str">
            <v/>
          </cell>
          <cell r="EC24" t="str">
            <v/>
          </cell>
          <cell r="ED24" t="str">
            <v/>
          </cell>
          <cell r="EE24" t="str">
            <v/>
          </cell>
          <cell r="EF24" t="str">
            <v/>
          </cell>
          <cell r="EG24" t="str">
            <v/>
          </cell>
          <cell r="EH24" t="str">
            <v/>
          </cell>
          <cell r="EI24" t="str">
            <v/>
          </cell>
          <cell r="EJ24" t="str">
            <v/>
          </cell>
          <cell r="EK24" t="str">
            <v/>
          </cell>
          <cell r="EL24" t="str">
            <v/>
          </cell>
          <cell r="EM24" t="str">
            <v/>
          </cell>
          <cell r="EN24" t="str">
            <v/>
          </cell>
          <cell r="EO24" t="str">
            <v/>
          </cell>
          <cell r="EP24" t="str">
            <v/>
          </cell>
          <cell r="EQ24" t="str">
            <v/>
          </cell>
          <cell r="ER24" t="str">
            <v/>
          </cell>
          <cell r="ES24" t="str">
            <v/>
          </cell>
          <cell r="ET24" t="str">
            <v/>
          </cell>
          <cell r="EU24" t="str">
            <v/>
          </cell>
          <cell r="EV24" t="str">
            <v/>
          </cell>
          <cell r="EW24" t="str">
            <v/>
          </cell>
          <cell r="EX24" t="str">
            <v/>
          </cell>
          <cell r="EY24" t="str">
            <v/>
          </cell>
          <cell r="EZ24" t="str">
            <v/>
          </cell>
          <cell r="FA24" t="str">
            <v/>
          </cell>
          <cell r="FB24" t="str">
            <v/>
          </cell>
          <cell r="FC24" t="str">
            <v/>
          </cell>
          <cell r="FD24" t="str">
            <v/>
          </cell>
          <cell r="FE24" t="str">
            <v/>
          </cell>
          <cell r="FF24" t="str">
            <v/>
          </cell>
          <cell r="FG24" t="str">
            <v/>
          </cell>
          <cell r="FH24" t="str">
            <v/>
          </cell>
          <cell r="FI24" t="str">
            <v/>
          </cell>
          <cell r="FJ24" t="str">
            <v/>
          </cell>
          <cell r="FK24" t="str">
            <v/>
          </cell>
          <cell r="FL24" t="str">
            <v/>
          </cell>
          <cell r="FM24" t="str">
            <v/>
          </cell>
          <cell r="FN24" t="str">
            <v/>
          </cell>
          <cell r="FO24" t="str">
            <v/>
          </cell>
          <cell r="FP24" t="str">
            <v/>
          </cell>
          <cell r="FQ24" t="str">
            <v/>
          </cell>
          <cell r="FR24" t="str">
            <v/>
          </cell>
          <cell r="FS24" t="str">
            <v/>
          </cell>
          <cell r="FT24" t="str">
            <v/>
          </cell>
          <cell r="FU24" t="str">
            <v/>
          </cell>
          <cell r="FV24" t="str">
            <v/>
          </cell>
          <cell r="FW24" t="str">
            <v/>
          </cell>
          <cell r="FX24" t="str">
            <v/>
          </cell>
          <cell r="FY24" t="str">
            <v/>
          </cell>
          <cell r="FZ24" t="str">
            <v/>
          </cell>
          <cell r="GA24" t="str">
            <v/>
          </cell>
          <cell r="GB24" t="str">
            <v/>
          </cell>
          <cell r="GC24" t="str">
            <v/>
          </cell>
          <cell r="GD24" t="str">
            <v/>
          </cell>
          <cell r="GE24" t="str">
            <v/>
          </cell>
          <cell r="GF24" t="str">
            <v/>
          </cell>
          <cell r="GG24" t="str">
            <v/>
          </cell>
          <cell r="GH24" t="str">
            <v/>
          </cell>
          <cell r="GI24" t="str">
            <v/>
          </cell>
          <cell r="GJ24" t="str">
            <v/>
          </cell>
          <cell r="GK24" t="str">
            <v/>
          </cell>
          <cell r="GL24" t="str">
            <v/>
          </cell>
          <cell r="GM24" t="str">
            <v/>
          </cell>
          <cell r="GN24" t="str">
            <v/>
          </cell>
          <cell r="GO24" t="str">
            <v/>
          </cell>
          <cell r="GP24" t="str">
            <v/>
          </cell>
          <cell r="GQ24" t="str">
            <v/>
          </cell>
          <cell r="GR24" t="str">
            <v/>
          </cell>
          <cell r="GS24" t="str">
            <v/>
          </cell>
          <cell r="GT24" t="str">
            <v/>
          </cell>
          <cell r="GU24" t="str">
            <v/>
          </cell>
          <cell r="GV24" t="str">
            <v/>
          </cell>
          <cell r="GW24" t="str">
            <v/>
          </cell>
          <cell r="GX24" t="str">
            <v/>
          </cell>
          <cell r="GY24" t="str">
            <v/>
          </cell>
          <cell r="GZ24" t="str">
            <v/>
          </cell>
          <cell r="HA24" t="str">
            <v/>
          </cell>
          <cell r="HB24" t="str">
            <v/>
          </cell>
          <cell r="HC24" t="str">
            <v/>
          </cell>
          <cell r="HD24" t="str">
            <v/>
          </cell>
          <cell r="HE24" t="str">
            <v/>
          </cell>
          <cell r="HF24" t="str">
            <v/>
          </cell>
          <cell r="HG24" t="str">
            <v/>
          </cell>
          <cell r="HH24" t="str">
            <v/>
          </cell>
          <cell r="HI24" t="str">
            <v/>
          </cell>
          <cell r="HJ24" t="str">
            <v/>
          </cell>
          <cell r="HK24" t="str">
            <v/>
          </cell>
          <cell r="HL24" t="str">
            <v/>
          </cell>
          <cell r="HM24" t="str">
            <v/>
          </cell>
          <cell r="HN24" t="str">
            <v/>
          </cell>
          <cell r="HO24" t="str">
            <v/>
          </cell>
          <cell r="HP24" t="str">
            <v/>
          </cell>
          <cell r="HQ24" t="str">
            <v/>
          </cell>
          <cell r="HR24" t="str">
            <v/>
          </cell>
          <cell r="HS24" t="str">
            <v/>
          </cell>
          <cell r="HT24" t="str">
            <v/>
          </cell>
          <cell r="HU24" t="str">
            <v/>
          </cell>
          <cell r="HV24" t="str">
            <v/>
          </cell>
          <cell r="HW24" t="str">
            <v/>
          </cell>
          <cell r="HX24" t="str">
            <v/>
          </cell>
          <cell r="HY24" t="str">
            <v/>
          </cell>
          <cell r="HZ24" t="str">
            <v/>
          </cell>
          <cell r="IA24" t="str">
            <v/>
          </cell>
          <cell r="IB24" t="str">
            <v/>
          </cell>
          <cell r="IC24" t="str">
            <v/>
          </cell>
          <cell r="ID24" t="str">
            <v/>
          </cell>
          <cell r="IE24" t="str">
            <v/>
          </cell>
          <cell r="IF24" t="str">
            <v/>
          </cell>
          <cell r="IG24" t="str">
            <v/>
          </cell>
          <cell r="IH24" t="str">
            <v/>
          </cell>
          <cell r="II24" t="str">
            <v/>
          </cell>
          <cell r="IJ24" t="str">
            <v/>
          </cell>
          <cell r="IK24" t="str">
            <v/>
          </cell>
          <cell r="IL24" t="str">
            <v/>
          </cell>
          <cell r="IM24" t="str">
            <v/>
          </cell>
          <cell r="IN24" t="str">
            <v/>
          </cell>
          <cell r="IO24" t="str">
            <v/>
          </cell>
          <cell r="IP24" t="str">
            <v/>
          </cell>
          <cell r="IQ24" t="str">
            <v/>
          </cell>
          <cell r="IR24" t="str">
            <v/>
          </cell>
          <cell r="IS24" t="str">
            <v/>
          </cell>
          <cell r="IT24" t="str">
            <v/>
          </cell>
          <cell r="IU24" t="str">
            <v/>
          </cell>
          <cell r="IV24" t="str">
            <v/>
          </cell>
          <cell r="IW24" t="str">
            <v/>
          </cell>
          <cell r="IX24" t="str">
            <v/>
          </cell>
          <cell r="IY24" t="str">
            <v/>
          </cell>
          <cell r="IZ24" t="str">
            <v/>
          </cell>
          <cell r="JA24" t="str">
            <v/>
          </cell>
          <cell r="JB24" t="str">
            <v/>
          </cell>
          <cell r="JC24" t="str">
            <v/>
          </cell>
          <cell r="JD24" t="str">
            <v/>
          </cell>
          <cell r="JE24" t="str">
            <v/>
          </cell>
          <cell r="JF24" t="str">
            <v/>
          </cell>
          <cell r="JG24" t="str">
            <v/>
          </cell>
          <cell r="JH24" t="str">
            <v/>
          </cell>
          <cell r="JI24" t="str">
            <v/>
          </cell>
          <cell r="JJ24" t="str">
            <v/>
          </cell>
          <cell r="JK24" t="str">
            <v/>
          </cell>
          <cell r="JL24" t="str">
            <v/>
          </cell>
          <cell r="JM24" t="str">
            <v/>
          </cell>
          <cell r="JN24" t="str">
            <v/>
          </cell>
          <cell r="JO24" t="str">
            <v/>
          </cell>
          <cell r="JP24" t="str">
            <v/>
          </cell>
          <cell r="JQ24" t="str">
            <v/>
          </cell>
          <cell r="JR24" t="str">
            <v/>
          </cell>
          <cell r="JS24" t="str">
            <v/>
          </cell>
          <cell r="JT24" t="str">
            <v/>
          </cell>
          <cell r="JU24" t="str">
            <v/>
          </cell>
          <cell r="JV24" t="str">
            <v/>
          </cell>
          <cell r="JW24" t="str">
            <v/>
          </cell>
          <cell r="JX24" t="str">
            <v/>
          </cell>
          <cell r="JY24" t="str">
            <v/>
          </cell>
          <cell r="JZ24" t="str">
            <v/>
          </cell>
          <cell r="KA24" t="str">
            <v/>
          </cell>
          <cell r="KB24" t="str">
            <v/>
          </cell>
          <cell r="KC24" t="str">
            <v/>
          </cell>
          <cell r="KD24">
            <v>2</v>
          </cell>
          <cell r="KE24">
            <v>2</v>
          </cell>
          <cell r="KF24">
            <v>2</v>
          </cell>
          <cell r="KG24">
            <v>10</v>
          </cell>
          <cell r="KH24">
            <v>0</v>
          </cell>
          <cell r="KI24">
            <v>0</v>
          </cell>
          <cell r="KJ24">
            <v>10</v>
          </cell>
          <cell r="KK24">
            <v>0</v>
          </cell>
          <cell r="KL24">
            <v>0</v>
          </cell>
          <cell r="KM24">
            <v>0</v>
          </cell>
          <cell r="KP24">
            <v>0</v>
          </cell>
          <cell r="KS24">
            <v>0</v>
          </cell>
          <cell r="KV24">
            <v>0</v>
          </cell>
          <cell r="KY24">
            <v>0</v>
          </cell>
          <cell r="LB24">
            <v>0</v>
          </cell>
          <cell r="LE24">
            <v>0</v>
          </cell>
          <cell r="LH24">
            <v>0</v>
          </cell>
          <cell r="LK24">
            <v>0</v>
          </cell>
          <cell r="LO24">
            <v>45747</v>
          </cell>
          <cell r="LP24" t="str">
            <v>COMPLETADO</v>
          </cell>
        </row>
        <row r="25">
          <cell r="A25">
            <v>1624</v>
          </cell>
          <cell r="B25" t="str">
            <v>LUCIANO</v>
          </cell>
          <cell r="C25" t="str">
            <v>BARRACAS CHICA</v>
          </cell>
          <cell r="D25" t="str">
            <v>MARROQUINERIA CHICA</v>
          </cell>
          <cell r="E25">
            <v>11</v>
          </cell>
          <cell r="F25">
            <v>11</v>
          </cell>
          <cell r="G25">
            <v>11</v>
          </cell>
          <cell r="H25">
            <v>45731.831041666665</v>
          </cell>
          <cell r="I25" t="str">
            <v>BILLETERA LIAM</v>
          </cell>
          <cell r="J25">
            <v>45705</v>
          </cell>
          <cell r="K25">
            <v>45705</v>
          </cell>
          <cell r="M25">
            <v>65</v>
          </cell>
          <cell r="N25" t="str">
            <v>M020</v>
          </cell>
          <cell r="O25" t="str">
            <v>BAC1300050727</v>
          </cell>
          <cell r="P25">
            <v>0.02</v>
          </cell>
          <cell r="Q25" t="str">
            <v>VAR0000002</v>
          </cell>
          <cell r="R25">
            <v>0.01</v>
          </cell>
          <cell r="S25" t="str">
            <v>AV0401380101</v>
          </cell>
          <cell r="T25">
            <v>1</v>
          </cell>
          <cell r="U25" t="str">
            <v>AV170134014</v>
          </cell>
          <cell r="V25">
            <v>0</v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 xml:space="preserve">GRABADO "EL LUCERO ARGENTINA" CHICO -CENTRADO A 1 CM DESDE EL BORDE INFERIOR  </v>
          </cell>
          <cell r="AX25" t="str">
            <v>AZUL</v>
          </cell>
          <cell r="AY25" t="str">
            <v>ARENA-CUERO NAPADO</v>
          </cell>
          <cell r="AZ25" t="str">
            <v>CUE0000021</v>
          </cell>
          <cell r="BA25">
            <v>0.16</v>
          </cell>
          <cell r="BB25" t="str">
            <v>FOR0000014</v>
          </cell>
          <cell r="BC25">
            <v>0.24</v>
          </cell>
          <cell r="BD25" t="str">
            <v>AV1401254360</v>
          </cell>
          <cell r="BE25">
            <v>0</v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>CHOCOLATE</v>
          </cell>
          <cell r="BS25" t="str">
            <v>ARENA-CUERO NAPADO</v>
          </cell>
          <cell r="BT25" t="str">
            <v>CUE0000110</v>
          </cell>
          <cell r="BU25">
            <v>0.16</v>
          </cell>
          <cell r="BV25" t="str">
            <v>FOR0000015</v>
          </cell>
          <cell r="BW25">
            <v>0.24</v>
          </cell>
          <cell r="BX25" t="str">
            <v>AV1401250545</v>
          </cell>
          <cell r="BY25">
            <v>0</v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>NEGRO</v>
          </cell>
          <cell r="CM25" t="str">
            <v>VANESKA-CUERO NAPADO DUNA</v>
          </cell>
          <cell r="CN25" t="str">
            <v>CUE0000059</v>
          </cell>
          <cell r="CO25">
            <v>0.16</v>
          </cell>
          <cell r="CP25" t="str">
            <v>FOR0000018</v>
          </cell>
          <cell r="CQ25">
            <v>0.24</v>
          </cell>
          <cell r="CR25" t="str">
            <v>AV1401254060</v>
          </cell>
          <cell r="CS25">
            <v>0</v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  <cell r="DW25" t="str">
            <v/>
          </cell>
          <cell r="DX25" t="str">
            <v/>
          </cell>
          <cell r="DY25" t="str">
            <v/>
          </cell>
          <cell r="DZ25" t="str">
            <v/>
          </cell>
          <cell r="EA25" t="str">
            <v/>
          </cell>
          <cell r="EB25" t="str">
            <v/>
          </cell>
          <cell r="EC25" t="str">
            <v/>
          </cell>
          <cell r="ED25" t="str">
            <v/>
          </cell>
          <cell r="EE25" t="str">
            <v/>
          </cell>
          <cell r="EF25" t="str">
            <v/>
          </cell>
          <cell r="EG25" t="str">
            <v/>
          </cell>
          <cell r="EH25" t="str">
            <v/>
          </cell>
          <cell r="EI25" t="str">
            <v/>
          </cell>
          <cell r="EJ25" t="str">
            <v/>
          </cell>
          <cell r="EK25" t="str">
            <v/>
          </cell>
          <cell r="EL25" t="str">
            <v/>
          </cell>
          <cell r="EM25" t="str">
            <v/>
          </cell>
          <cell r="EN25" t="str">
            <v/>
          </cell>
          <cell r="EO25" t="str">
            <v/>
          </cell>
          <cell r="EP25" t="str">
            <v/>
          </cell>
          <cell r="EQ25" t="str">
            <v/>
          </cell>
          <cell r="ER25" t="str">
            <v/>
          </cell>
          <cell r="ES25" t="str">
            <v/>
          </cell>
          <cell r="ET25" t="str">
            <v/>
          </cell>
          <cell r="EU25" t="str">
            <v/>
          </cell>
          <cell r="EV25" t="str">
            <v/>
          </cell>
          <cell r="EW25" t="str">
            <v/>
          </cell>
          <cell r="EX25" t="str">
            <v/>
          </cell>
          <cell r="EY25" t="str">
            <v/>
          </cell>
          <cell r="EZ25" t="str">
            <v/>
          </cell>
          <cell r="FA25" t="str">
            <v/>
          </cell>
          <cell r="FB25" t="str">
            <v/>
          </cell>
          <cell r="FC25" t="str">
            <v/>
          </cell>
          <cell r="FD25" t="str">
            <v/>
          </cell>
          <cell r="FE25" t="str">
            <v/>
          </cell>
          <cell r="FF25" t="str">
            <v/>
          </cell>
          <cell r="FG25" t="str">
            <v/>
          </cell>
          <cell r="FH25" t="str">
            <v/>
          </cell>
          <cell r="FI25" t="str">
            <v/>
          </cell>
          <cell r="FJ25" t="str">
            <v/>
          </cell>
          <cell r="FK25" t="str">
            <v/>
          </cell>
          <cell r="FL25" t="str">
            <v/>
          </cell>
          <cell r="FM25" t="str">
            <v/>
          </cell>
          <cell r="FN25" t="str">
            <v/>
          </cell>
          <cell r="FO25" t="str">
            <v/>
          </cell>
          <cell r="FP25" t="str">
            <v/>
          </cell>
          <cell r="FQ25" t="str">
            <v/>
          </cell>
          <cell r="FR25" t="str">
            <v/>
          </cell>
          <cell r="FS25" t="str">
            <v/>
          </cell>
          <cell r="FT25" t="str">
            <v/>
          </cell>
          <cell r="FU25" t="str">
            <v/>
          </cell>
          <cell r="FV25" t="str">
            <v/>
          </cell>
          <cell r="FW25" t="str">
            <v/>
          </cell>
          <cell r="FX25" t="str">
            <v/>
          </cell>
          <cell r="FY25" t="str">
            <v/>
          </cell>
          <cell r="FZ25" t="str">
            <v/>
          </cell>
          <cell r="GA25" t="str">
            <v/>
          </cell>
          <cell r="GB25" t="str">
            <v/>
          </cell>
          <cell r="GC25" t="str">
            <v/>
          </cell>
          <cell r="GD25" t="str">
            <v/>
          </cell>
          <cell r="GE25" t="str">
            <v/>
          </cell>
          <cell r="GF25" t="str">
            <v/>
          </cell>
          <cell r="GG25" t="str">
            <v/>
          </cell>
          <cell r="GH25" t="str">
            <v/>
          </cell>
          <cell r="GI25" t="str">
            <v/>
          </cell>
          <cell r="GJ25" t="str">
            <v/>
          </cell>
          <cell r="GK25" t="str">
            <v/>
          </cell>
          <cell r="GL25" t="str">
            <v/>
          </cell>
          <cell r="GM25" t="str">
            <v/>
          </cell>
          <cell r="GN25" t="str">
            <v/>
          </cell>
          <cell r="GO25" t="str">
            <v/>
          </cell>
          <cell r="GP25" t="str">
            <v/>
          </cell>
          <cell r="GQ25" t="str">
            <v/>
          </cell>
          <cell r="GR25" t="str">
            <v/>
          </cell>
          <cell r="GS25" t="str">
            <v/>
          </cell>
          <cell r="GT25" t="str">
            <v/>
          </cell>
          <cell r="GU25" t="str">
            <v/>
          </cell>
          <cell r="GV25" t="str">
            <v/>
          </cell>
          <cell r="GW25" t="str">
            <v/>
          </cell>
          <cell r="GX25" t="str">
            <v/>
          </cell>
          <cell r="GY25" t="str">
            <v/>
          </cell>
          <cell r="GZ25" t="str">
            <v/>
          </cell>
          <cell r="HA25" t="str">
            <v/>
          </cell>
          <cell r="HB25" t="str">
            <v/>
          </cell>
          <cell r="HC25" t="str">
            <v/>
          </cell>
          <cell r="HD25" t="str">
            <v/>
          </cell>
          <cell r="HE25" t="str">
            <v/>
          </cell>
          <cell r="HF25" t="str">
            <v/>
          </cell>
          <cell r="HG25" t="str">
            <v/>
          </cell>
          <cell r="HH25" t="str">
            <v/>
          </cell>
          <cell r="HI25" t="str">
            <v/>
          </cell>
          <cell r="HJ25" t="str">
            <v/>
          </cell>
          <cell r="HK25" t="str">
            <v/>
          </cell>
          <cell r="HL25" t="str">
            <v/>
          </cell>
          <cell r="HM25" t="str">
            <v/>
          </cell>
          <cell r="HN25" t="str">
            <v/>
          </cell>
          <cell r="HO25" t="str">
            <v/>
          </cell>
          <cell r="HP25" t="str">
            <v/>
          </cell>
          <cell r="HQ25" t="str">
            <v/>
          </cell>
          <cell r="HR25" t="str">
            <v/>
          </cell>
          <cell r="HS25" t="str">
            <v/>
          </cell>
          <cell r="HT25" t="str">
            <v/>
          </cell>
          <cell r="HU25" t="str">
            <v/>
          </cell>
          <cell r="HV25" t="str">
            <v/>
          </cell>
          <cell r="HW25" t="str">
            <v/>
          </cell>
          <cell r="HX25" t="str">
            <v/>
          </cell>
          <cell r="HY25" t="str">
            <v/>
          </cell>
          <cell r="HZ25" t="str">
            <v/>
          </cell>
          <cell r="IA25" t="str">
            <v/>
          </cell>
          <cell r="IB25" t="str">
            <v/>
          </cell>
          <cell r="IC25" t="str">
            <v/>
          </cell>
          <cell r="ID25" t="str">
            <v/>
          </cell>
          <cell r="IE25" t="str">
            <v/>
          </cell>
          <cell r="IF25" t="str">
            <v/>
          </cell>
          <cell r="IG25" t="str">
            <v/>
          </cell>
          <cell r="IH25" t="str">
            <v/>
          </cell>
          <cell r="II25" t="str">
            <v/>
          </cell>
          <cell r="IJ25" t="str">
            <v/>
          </cell>
          <cell r="IK25" t="str">
            <v/>
          </cell>
          <cell r="IL25" t="str">
            <v/>
          </cell>
          <cell r="IM25" t="str">
            <v/>
          </cell>
          <cell r="IN25" t="str">
            <v/>
          </cell>
          <cell r="IO25" t="str">
            <v/>
          </cell>
          <cell r="IP25" t="str">
            <v/>
          </cell>
          <cell r="IQ25" t="str">
            <v/>
          </cell>
          <cell r="IR25" t="str">
            <v/>
          </cell>
          <cell r="IS25" t="str">
            <v/>
          </cell>
          <cell r="IT25" t="str">
            <v/>
          </cell>
          <cell r="IU25" t="str">
            <v/>
          </cell>
          <cell r="IV25" t="str">
            <v/>
          </cell>
          <cell r="IW25" t="str">
            <v/>
          </cell>
          <cell r="IX25" t="str">
            <v/>
          </cell>
          <cell r="IY25" t="str">
            <v/>
          </cell>
          <cell r="IZ25" t="str">
            <v/>
          </cell>
          <cell r="JA25" t="str">
            <v/>
          </cell>
          <cell r="JB25" t="str">
            <v/>
          </cell>
          <cell r="JC25" t="str">
            <v/>
          </cell>
          <cell r="JD25" t="str">
            <v/>
          </cell>
          <cell r="JE25" t="str">
            <v/>
          </cell>
          <cell r="JF25" t="str">
            <v/>
          </cell>
          <cell r="JG25" t="str">
            <v/>
          </cell>
          <cell r="JH25" t="str">
            <v/>
          </cell>
          <cell r="JI25" t="str">
            <v/>
          </cell>
          <cell r="JJ25" t="str">
            <v/>
          </cell>
          <cell r="JK25" t="str">
            <v/>
          </cell>
          <cell r="JL25" t="str">
            <v/>
          </cell>
          <cell r="JM25" t="str">
            <v/>
          </cell>
          <cell r="JN25" t="str">
            <v/>
          </cell>
          <cell r="JO25" t="str">
            <v/>
          </cell>
          <cell r="JP25" t="str">
            <v/>
          </cell>
          <cell r="JQ25" t="str">
            <v/>
          </cell>
          <cell r="JR25" t="str">
            <v/>
          </cell>
          <cell r="JS25" t="str">
            <v/>
          </cell>
          <cell r="JT25" t="str">
            <v/>
          </cell>
          <cell r="JU25" t="str">
            <v/>
          </cell>
          <cell r="JV25" t="str">
            <v/>
          </cell>
          <cell r="JW25" t="str">
            <v/>
          </cell>
          <cell r="JX25" t="str">
            <v/>
          </cell>
          <cell r="JY25" t="str">
            <v/>
          </cell>
          <cell r="JZ25" t="str">
            <v/>
          </cell>
          <cell r="KA25" t="str">
            <v/>
          </cell>
          <cell r="KB25" t="str">
            <v/>
          </cell>
          <cell r="KC25" t="str">
            <v/>
          </cell>
          <cell r="KD25">
            <v>1</v>
          </cell>
          <cell r="KE25">
            <v>1</v>
          </cell>
          <cell r="KF25">
            <v>1</v>
          </cell>
          <cell r="KG25">
            <v>6</v>
          </cell>
          <cell r="KH25">
            <v>6</v>
          </cell>
          <cell r="KI25">
            <v>6</v>
          </cell>
          <cell r="KJ25">
            <v>4</v>
          </cell>
          <cell r="KK25">
            <v>4</v>
          </cell>
          <cell r="KL25">
            <v>4</v>
          </cell>
          <cell r="KM25">
            <v>0</v>
          </cell>
          <cell r="KP25">
            <v>0</v>
          </cell>
          <cell r="KS25">
            <v>0</v>
          </cell>
          <cell r="KV25">
            <v>0</v>
          </cell>
          <cell r="KY25">
            <v>0</v>
          </cell>
          <cell r="LB25">
            <v>0</v>
          </cell>
          <cell r="LE25">
            <v>0</v>
          </cell>
          <cell r="LH25">
            <v>0</v>
          </cell>
          <cell r="LK25">
            <v>0</v>
          </cell>
          <cell r="LO25">
            <v>45790</v>
          </cell>
          <cell r="LP25" t="str">
            <v>COMPLETADO</v>
          </cell>
        </row>
        <row r="26">
          <cell r="A26">
            <v>1625</v>
          </cell>
          <cell r="B26" t="str">
            <v>LUCIANO</v>
          </cell>
          <cell r="C26" t="str">
            <v>BARRACAS CHICA</v>
          </cell>
          <cell r="D26" t="str">
            <v>MARROQUINERIA CHICA</v>
          </cell>
          <cell r="E26">
            <v>14</v>
          </cell>
          <cell r="F26">
            <v>4</v>
          </cell>
          <cell r="G26">
            <v>4</v>
          </cell>
          <cell r="H26">
            <v>45731.83792824074</v>
          </cell>
          <cell r="I26" t="str">
            <v>BILLETERA OSADIA</v>
          </cell>
          <cell r="J26">
            <v>45705</v>
          </cell>
          <cell r="K26">
            <v>45705</v>
          </cell>
          <cell r="M26">
            <v>50</v>
          </cell>
          <cell r="N26" t="str">
            <v>M024</v>
          </cell>
          <cell r="O26" t="str">
            <v>AV0101030201</v>
          </cell>
          <cell r="P26">
            <v>1</v>
          </cell>
          <cell r="Q26" t="str">
            <v>AV0600540101</v>
          </cell>
          <cell r="R26">
            <v>1</v>
          </cell>
          <cell r="S26" t="str">
            <v>AV0101070301</v>
          </cell>
          <cell r="T26">
            <v>1</v>
          </cell>
          <cell r="U26" t="str">
            <v>AV0600560101</v>
          </cell>
          <cell r="V26">
            <v>1</v>
          </cell>
          <cell r="W26" t="str">
            <v>AV1000380101</v>
          </cell>
          <cell r="X26">
            <v>1</v>
          </cell>
          <cell r="Y26" t="str">
            <v>AV0600550101</v>
          </cell>
          <cell r="Z26">
            <v>1</v>
          </cell>
          <cell r="AA26" t="str">
            <v>AV0300400101</v>
          </cell>
          <cell r="AB26">
            <v>1</v>
          </cell>
          <cell r="AC26" t="str">
            <v>BAC1300050727</v>
          </cell>
          <cell r="AD26">
            <v>0.05</v>
          </cell>
          <cell r="AE26" t="str">
            <v>BAC0200071027</v>
          </cell>
          <cell r="AF26">
            <v>0.05</v>
          </cell>
          <cell r="AG26" t="str">
            <v>AV170134014</v>
          </cell>
          <cell r="AH26">
            <v>0</v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>GRABADO "EL LUCERO" CHICO CENTRADO EN EL FRENTE, A 2 CM DEL CIERRE</v>
          </cell>
          <cell r="AX26" t="str">
            <v>VERDE_REVES_VERDE</v>
          </cell>
          <cell r="AY26" t="str">
            <v>BIANCO-CUERO MODENA ESPESOR 1,8</v>
          </cell>
          <cell r="AZ26" t="str">
            <v>CUE0000157</v>
          </cell>
          <cell r="BA26">
            <v>0.14000000000000001</v>
          </cell>
          <cell r="BB26" t="str">
            <v>FOR0000013</v>
          </cell>
          <cell r="BC26">
            <v>0.12</v>
          </cell>
          <cell r="BD26" t="str">
            <v>AV0100010117</v>
          </cell>
          <cell r="BE26">
            <v>0.4</v>
          </cell>
          <cell r="BF26" t="str">
            <v>AV0100020317</v>
          </cell>
          <cell r="BG26">
            <v>0.14000000000000001</v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>AZUL_REVES_AZUL</v>
          </cell>
          <cell r="BS26" t="str">
            <v>BIANCO-CUERO MODENA ESPESOR 1,8</v>
          </cell>
          <cell r="BT26" t="str">
            <v>CUE0000156</v>
          </cell>
          <cell r="BU26">
            <v>0.14000000000000001</v>
          </cell>
          <cell r="BV26" t="str">
            <v>FOR0000014</v>
          </cell>
          <cell r="BW26">
            <v>0.12</v>
          </cell>
          <cell r="BX26" t="str">
            <v>AV0100010115</v>
          </cell>
          <cell r="BY26">
            <v>0.4</v>
          </cell>
          <cell r="BZ26" t="str">
            <v>AV0100020336</v>
          </cell>
          <cell r="CA26">
            <v>0.14000000000000001</v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>MALBEC</v>
          </cell>
          <cell r="CM26" t="str">
            <v>ARENA-CUERO BRIDGE</v>
          </cell>
          <cell r="CN26" t="str">
            <v>CUE0000008</v>
          </cell>
          <cell r="CO26">
            <v>0.14000000000000001</v>
          </cell>
          <cell r="CP26" t="str">
            <v>FOR0000016</v>
          </cell>
          <cell r="CQ26">
            <v>0.12</v>
          </cell>
          <cell r="CR26" t="str">
            <v>AV0100010161</v>
          </cell>
          <cell r="CS26">
            <v>0.4</v>
          </cell>
          <cell r="CT26" t="str">
            <v>AV0100020313</v>
          </cell>
          <cell r="CU26">
            <v>0.14000000000000001</v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  <cell r="DW26" t="str">
            <v/>
          </cell>
          <cell r="DX26" t="str">
            <v/>
          </cell>
          <cell r="DY26" t="str">
            <v/>
          </cell>
          <cell r="DZ26" t="str">
            <v/>
          </cell>
          <cell r="EA26" t="str">
            <v/>
          </cell>
          <cell r="EB26" t="str">
            <v/>
          </cell>
          <cell r="EC26" t="str">
            <v/>
          </cell>
          <cell r="ED26" t="str">
            <v/>
          </cell>
          <cell r="EE26" t="str">
            <v/>
          </cell>
          <cell r="EF26" t="str">
            <v/>
          </cell>
          <cell r="EG26" t="str">
            <v/>
          </cell>
          <cell r="EH26" t="str">
            <v/>
          </cell>
          <cell r="EI26" t="str">
            <v/>
          </cell>
          <cell r="EJ26" t="str">
            <v/>
          </cell>
          <cell r="EK26" t="str">
            <v/>
          </cell>
          <cell r="EL26" t="str">
            <v/>
          </cell>
          <cell r="EM26" t="str">
            <v/>
          </cell>
          <cell r="EN26" t="str">
            <v/>
          </cell>
          <cell r="EO26" t="str">
            <v/>
          </cell>
          <cell r="EP26" t="str">
            <v/>
          </cell>
          <cell r="EQ26" t="str">
            <v/>
          </cell>
          <cell r="ER26" t="str">
            <v/>
          </cell>
          <cell r="ES26" t="str">
            <v/>
          </cell>
          <cell r="ET26" t="str">
            <v/>
          </cell>
          <cell r="EU26" t="str">
            <v/>
          </cell>
          <cell r="EV26" t="str">
            <v/>
          </cell>
          <cell r="EW26" t="str">
            <v/>
          </cell>
          <cell r="EX26" t="str">
            <v/>
          </cell>
          <cell r="EY26" t="str">
            <v/>
          </cell>
          <cell r="EZ26" t="str">
            <v/>
          </cell>
          <cell r="FA26" t="str">
            <v/>
          </cell>
          <cell r="FB26" t="str">
            <v/>
          </cell>
          <cell r="FC26" t="str">
            <v/>
          </cell>
          <cell r="FD26" t="str">
            <v/>
          </cell>
          <cell r="FE26" t="str">
            <v/>
          </cell>
          <cell r="FF26" t="str">
            <v/>
          </cell>
          <cell r="FG26" t="str">
            <v/>
          </cell>
          <cell r="FH26" t="str">
            <v/>
          </cell>
          <cell r="FI26" t="str">
            <v/>
          </cell>
          <cell r="FJ26" t="str">
            <v/>
          </cell>
          <cell r="FK26" t="str">
            <v/>
          </cell>
          <cell r="FL26" t="str">
            <v/>
          </cell>
          <cell r="FM26" t="str">
            <v/>
          </cell>
          <cell r="FN26" t="str">
            <v/>
          </cell>
          <cell r="FO26" t="str">
            <v/>
          </cell>
          <cell r="FP26" t="str">
            <v/>
          </cell>
          <cell r="FQ26" t="str">
            <v/>
          </cell>
          <cell r="FR26" t="str">
            <v/>
          </cell>
          <cell r="FS26" t="str">
            <v/>
          </cell>
          <cell r="FT26" t="str">
            <v/>
          </cell>
          <cell r="FU26" t="str">
            <v/>
          </cell>
          <cell r="FV26" t="str">
            <v/>
          </cell>
          <cell r="FW26" t="str">
            <v/>
          </cell>
          <cell r="FX26" t="str">
            <v/>
          </cell>
          <cell r="FY26" t="str">
            <v/>
          </cell>
          <cell r="FZ26" t="str">
            <v/>
          </cell>
          <cell r="GA26" t="str">
            <v/>
          </cell>
          <cell r="GB26" t="str">
            <v/>
          </cell>
          <cell r="GC26" t="str">
            <v/>
          </cell>
          <cell r="GD26" t="str">
            <v/>
          </cell>
          <cell r="GE26" t="str">
            <v/>
          </cell>
          <cell r="GF26" t="str">
            <v/>
          </cell>
          <cell r="GG26" t="str">
            <v/>
          </cell>
          <cell r="GH26" t="str">
            <v/>
          </cell>
          <cell r="GI26" t="str">
            <v/>
          </cell>
          <cell r="GJ26" t="str">
            <v/>
          </cell>
          <cell r="GK26" t="str">
            <v/>
          </cell>
          <cell r="GL26" t="str">
            <v/>
          </cell>
          <cell r="GM26" t="str">
            <v/>
          </cell>
          <cell r="GN26" t="str">
            <v/>
          </cell>
          <cell r="GO26" t="str">
            <v/>
          </cell>
          <cell r="GP26" t="str">
            <v/>
          </cell>
          <cell r="GQ26" t="str">
            <v/>
          </cell>
          <cell r="GR26" t="str">
            <v/>
          </cell>
          <cell r="GS26" t="str">
            <v/>
          </cell>
          <cell r="GT26" t="str">
            <v/>
          </cell>
          <cell r="GU26" t="str">
            <v/>
          </cell>
          <cell r="GV26" t="str">
            <v/>
          </cell>
          <cell r="GW26" t="str">
            <v/>
          </cell>
          <cell r="GX26" t="str">
            <v/>
          </cell>
          <cell r="GY26" t="str">
            <v/>
          </cell>
          <cell r="GZ26" t="str">
            <v/>
          </cell>
          <cell r="HA26" t="str">
            <v/>
          </cell>
          <cell r="HB26" t="str">
            <v/>
          </cell>
          <cell r="HC26" t="str">
            <v/>
          </cell>
          <cell r="HD26" t="str">
            <v/>
          </cell>
          <cell r="HE26" t="str">
            <v/>
          </cell>
          <cell r="HF26" t="str">
            <v/>
          </cell>
          <cell r="HG26" t="str">
            <v/>
          </cell>
          <cell r="HH26" t="str">
            <v/>
          </cell>
          <cell r="HI26" t="str">
            <v/>
          </cell>
          <cell r="HJ26" t="str">
            <v/>
          </cell>
          <cell r="HK26" t="str">
            <v/>
          </cell>
          <cell r="HL26" t="str">
            <v/>
          </cell>
          <cell r="HM26" t="str">
            <v/>
          </cell>
          <cell r="HN26" t="str">
            <v/>
          </cell>
          <cell r="HO26" t="str">
            <v/>
          </cell>
          <cell r="HP26" t="str">
            <v/>
          </cell>
          <cell r="HQ26" t="str">
            <v/>
          </cell>
          <cell r="HR26" t="str">
            <v/>
          </cell>
          <cell r="HS26" t="str">
            <v/>
          </cell>
          <cell r="HT26" t="str">
            <v/>
          </cell>
          <cell r="HU26" t="str">
            <v/>
          </cell>
          <cell r="HV26" t="str">
            <v/>
          </cell>
          <cell r="HW26" t="str">
            <v/>
          </cell>
          <cell r="HX26" t="str">
            <v/>
          </cell>
          <cell r="HY26" t="str">
            <v/>
          </cell>
          <cell r="HZ26" t="str">
            <v/>
          </cell>
          <cell r="IA26" t="str">
            <v/>
          </cell>
          <cell r="IB26" t="str">
            <v/>
          </cell>
          <cell r="IC26" t="str">
            <v/>
          </cell>
          <cell r="ID26" t="str">
            <v/>
          </cell>
          <cell r="IE26" t="str">
            <v/>
          </cell>
          <cell r="IF26" t="str">
            <v/>
          </cell>
          <cell r="IG26" t="str">
            <v/>
          </cell>
          <cell r="IH26" t="str">
            <v/>
          </cell>
          <cell r="II26" t="str">
            <v/>
          </cell>
          <cell r="IJ26" t="str">
            <v/>
          </cell>
          <cell r="IK26" t="str">
            <v/>
          </cell>
          <cell r="IL26" t="str">
            <v/>
          </cell>
          <cell r="IM26" t="str">
            <v/>
          </cell>
          <cell r="IN26" t="str">
            <v/>
          </cell>
          <cell r="IO26" t="str">
            <v/>
          </cell>
          <cell r="IP26" t="str">
            <v/>
          </cell>
          <cell r="IQ26" t="str">
            <v/>
          </cell>
          <cell r="IR26" t="str">
            <v/>
          </cell>
          <cell r="IS26" t="str">
            <v/>
          </cell>
          <cell r="IT26" t="str">
            <v/>
          </cell>
          <cell r="IU26" t="str">
            <v/>
          </cell>
          <cell r="IV26" t="str">
            <v/>
          </cell>
          <cell r="IW26" t="str">
            <v/>
          </cell>
          <cell r="IX26" t="str">
            <v/>
          </cell>
          <cell r="IY26" t="str">
            <v/>
          </cell>
          <cell r="IZ26" t="str">
            <v/>
          </cell>
          <cell r="JA26" t="str">
            <v/>
          </cell>
          <cell r="JB26" t="str">
            <v/>
          </cell>
          <cell r="JC26" t="str">
            <v/>
          </cell>
          <cell r="JD26" t="str">
            <v/>
          </cell>
          <cell r="JE26" t="str">
            <v/>
          </cell>
          <cell r="JF26" t="str">
            <v/>
          </cell>
          <cell r="JG26" t="str">
            <v/>
          </cell>
          <cell r="JH26" t="str">
            <v/>
          </cell>
          <cell r="JI26" t="str">
            <v/>
          </cell>
          <cell r="JJ26" t="str">
            <v/>
          </cell>
          <cell r="JK26" t="str">
            <v/>
          </cell>
          <cell r="JL26" t="str">
            <v/>
          </cell>
          <cell r="JM26" t="str">
            <v/>
          </cell>
          <cell r="JN26" t="str">
            <v/>
          </cell>
          <cell r="JO26" t="str">
            <v/>
          </cell>
          <cell r="JP26" t="str">
            <v/>
          </cell>
          <cell r="JQ26" t="str">
            <v/>
          </cell>
          <cell r="JR26" t="str">
            <v/>
          </cell>
          <cell r="JS26" t="str">
            <v/>
          </cell>
          <cell r="JT26" t="str">
            <v/>
          </cell>
          <cell r="JU26" t="str">
            <v/>
          </cell>
          <cell r="JV26" t="str">
            <v/>
          </cell>
          <cell r="JW26" t="str">
            <v/>
          </cell>
          <cell r="JX26" t="str">
            <v/>
          </cell>
          <cell r="JY26" t="str">
            <v/>
          </cell>
          <cell r="JZ26" t="str">
            <v/>
          </cell>
          <cell r="KA26" t="str">
            <v/>
          </cell>
          <cell r="KB26" t="str">
            <v/>
          </cell>
          <cell r="KC26" t="str">
            <v/>
          </cell>
          <cell r="KD26">
            <v>8</v>
          </cell>
          <cell r="KE26">
            <v>0</v>
          </cell>
          <cell r="KF26">
            <v>0</v>
          </cell>
          <cell r="KG26">
            <v>2</v>
          </cell>
          <cell r="KH26">
            <v>0</v>
          </cell>
          <cell r="KI26">
            <v>0</v>
          </cell>
          <cell r="KJ26">
            <v>4</v>
          </cell>
          <cell r="KK26">
            <v>4</v>
          </cell>
          <cell r="KL26">
            <v>4</v>
          </cell>
          <cell r="KM26">
            <v>0</v>
          </cell>
          <cell r="KP26">
            <v>0</v>
          </cell>
          <cell r="KS26">
            <v>0</v>
          </cell>
          <cell r="KV26">
            <v>0</v>
          </cell>
          <cell r="KY26">
            <v>0</v>
          </cell>
          <cell r="LB26">
            <v>0</v>
          </cell>
          <cell r="LE26">
            <v>0</v>
          </cell>
          <cell r="LH26">
            <v>0</v>
          </cell>
          <cell r="LK26">
            <v>0</v>
          </cell>
          <cell r="LO26">
            <v>45747</v>
          </cell>
          <cell r="LP26" t="str">
            <v>COMPLETADO</v>
          </cell>
        </row>
        <row r="27">
          <cell r="A27">
            <v>1626</v>
          </cell>
          <cell r="B27" t="str">
            <v>LUCIANO</v>
          </cell>
          <cell r="C27" t="str">
            <v>BARRACAS CHICA</v>
          </cell>
          <cell r="D27" t="str">
            <v>MARROQUINERIA CHICA</v>
          </cell>
          <cell r="E27">
            <v>20</v>
          </cell>
          <cell r="F27">
            <v>14</v>
          </cell>
          <cell r="G27">
            <v>14</v>
          </cell>
          <cell r="H27">
            <v>45731.862638888888</v>
          </cell>
          <cell r="I27" t="str">
            <v>BILLETERA PENNY</v>
          </cell>
          <cell r="J27">
            <v>45705</v>
          </cell>
          <cell r="K27">
            <v>45705</v>
          </cell>
          <cell r="M27">
            <v>60</v>
          </cell>
          <cell r="N27" t="str">
            <v>M025</v>
          </cell>
          <cell r="O27" t="str">
            <v>BAC1300050727</v>
          </cell>
          <cell r="P27">
            <v>0.03</v>
          </cell>
          <cell r="Q27" t="str">
            <v>BAC0900100161</v>
          </cell>
          <cell r="R27">
            <v>0.01</v>
          </cell>
          <cell r="S27" t="str">
            <v>AV0300440101</v>
          </cell>
          <cell r="T27">
            <v>1</v>
          </cell>
          <cell r="U27" t="str">
            <v>AV0101070301</v>
          </cell>
          <cell r="V27">
            <v>1</v>
          </cell>
          <cell r="W27" t="str">
            <v>AV0700650101</v>
          </cell>
          <cell r="X27">
            <v>1</v>
          </cell>
          <cell r="Y27" t="str">
            <v>AV0600560101</v>
          </cell>
          <cell r="Z27">
            <v>1</v>
          </cell>
          <cell r="AA27" t="str">
            <v>AV170134014</v>
          </cell>
          <cell r="AB27">
            <v>0</v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>CHAPA LETRAS LUCERO, CENTRADA EN FRENTE SOBRE SOLAPA A 2 CM DEL BORDE INFERIOR</v>
          </cell>
          <cell r="AX27" t="str">
            <v>SUELA</v>
          </cell>
          <cell r="AY27" t="str">
            <v>ARENA-CUERO NAPADO</v>
          </cell>
          <cell r="AZ27" t="str">
            <v>CUE0000028</v>
          </cell>
          <cell r="BA27">
            <v>0.16</v>
          </cell>
          <cell r="BB27" t="str">
            <v>FOR0000015</v>
          </cell>
          <cell r="BC27">
            <v>0.19</v>
          </cell>
          <cell r="BD27" t="str">
            <v>AV0100020337</v>
          </cell>
          <cell r="BE27">
            <v>0.17</v>
          </cell>
          <cell r="BF27" t="str">
            <v>AV1401250545</v>
          </cell>
          <cell r="BG27">
            <v>0</v>
          </cell>
          <cell r="BH27" t="str">
            <v>AV1601300955</v>
          </cell>
          <cell r="BI27">
            <v>0</v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>ROJO</v>
          </cell>
          <cell r="BS27" t="str">
            <v>ARENA-CUERO NAPADO</v>
          </cell>
          <cell r="BT27" t="str">
            <v>CUE0000027</v>
          </cell>
          <cell r="BU27">
            <v>0.16</v>
          </cell>
          <cell r="BV27" t="str">
            <v>FOR0000016</v>
          </cell>
          <cell r="BW27">
            <v>0.19</v>
          </cell>
          <cell r="BX27" t="str">
            <v>AV0100020313</v>
          </cell>
          <cell r="BY27">
            <v>0.17</v>
          </cell>
          <cell r="BZ27" t="str">
            <v>AV1401254460</v>
          </cell>
          <cell r="CA27">
            <v>0</v>
          </cell>
          <cell r="CB27" t="str">
            <v>AV1601300929</v>
          </cell>
          <cell r="CC27">
            <v>0</v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>VERDE_REVES_VERDE</v>
          </cell>
          <cell r="CM27" t="str">
            <v>BIANCO-CUERO MODENA ESPESOR 1,8</v>
          </cell>
          <cell r="CN27" t="str">
            <v>CUE0000157</v>
          </cell>
          <cell r="CO27">
            <v>0.16</v>
          </cell>
          <cell r="CP27" t="str">
            <v>FOR0000014</v>
          </cell>
          <cell r="CQ27">
            <v>0.19</v>
          </cell>
          <cell r="CR27" t="str">
            <v>AV0100020336</v>
          </cell>
          <cell r="CS27">
            <v>0.17</v>
          </cell>
          <cell r="CT27" t="str">
            <v>AV1401254360</v>
          </cell>
          <cell r="CU27">
            <v>0</v>
          </cell>
          <cell r="CV27" t="str">
            <v>AV1601300956</v>
          </cell>
          <cell r="CW27">
            <v>0</v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  <cell r="DW27" t="str">
            <v/>
          </cell>
          <cell r="DX27" t="str">
            <v/>
          </cell>
          <cell r="DY27" t="str">
            <v/>
          </cell>
          <cell r="DZ27" t="str">
            <v/>
          </cell>
          <cell r="EA27" t="str">
            <v/>
          </cell>
          <cell r="EB27" t="str">
            <v/>
          </cell>
          <cell r="EC27" t="str">
            <v/>
          </cell>
          <cell r="ED27" t="str">
            <v/>
          </cell>
          <cell r="EE27" t="str">
            <v/>
          </cell>
          <cell r="EF27" t="str">
            <v/>
          </cell>
          <cell r="EG27" t="str">
            <v/>
          </cell>
          <cell r="EH27" t="str">
            <v/>
          </cell>
          <cell r="EI27" t="str">
            <v/>
          </cell>
          <cell r="EJ27" t="str">
            <v/>
          </cell>
          <cell r="EK27" t="str">
            <v/>
          </cell>
          <cell r="EL27" t="str">
            <v/>
          </cell>
          <cell r="EM27" t="str">
            <v/>
          </cell>
          <cell r="EN27" t="str">
            <v/>
          </cell>
          <cell r="EO27" t="str">
            <v/>
          </cell>
          <cell r="EP27" t="str">
            <v/>
          </cell>
          <cell r="EQ27" t="str">
            <v/>
          </cell>
          <cell r="ER27" t="str">
            <v/>
          </cell>
          <cell r="ES27" t="str">
            <v/>
          </cell>
          <cell r="ET27" t="str">
            <v/>
          </cell>
          <cell r="EU27" t="str">
            <v/>
          </cell>
          <cell r="EV27" t="str">
            <v/>
          </cell>
          <cell r="EW27" t="str">
            <v/>
          </cell>
          <cell r="EX27" t="str">
            <v/>
          </cell>
          <cell r="EY27" t="str">
            <v/>
          </cell>
          <cell r="EZ27" t="str">
            <v/>
          </cell>
          <cell r="FA27" t="str">
            <v/>
          </cell>
          <cell r="FB27" t="str">
            <v/>
          </cell>
          <cell r="FC27" t="str">
            <v/>
          </cell>
          <cell r="FD27" t="str">
            <v/>
          </cell>
          <cell r="FE27" t="str">
            <v/>
          </cell>
          <cell r="FF27" t="str">
            <v/>
          </cell>
          <cell r="FG27" t="str">
            <v/>
          </cell>
          <cell r="FH27" t="str">
            <v/>
          </cell>
          <cell r="FI27" t="str">
            <v/>
          </cell>
          <cell r="FJ27" t="str">
            <v/>
          </cell>
          <cell r="FK27" t="str">
            <v/>
          </cell>
          <cell r="FL27" t="str">
            <v/>
          </cell>
          <cell r="FM27" t="str">
            <v/>
          </cell>
          <cell r="FN27" t="str">
            <v/>
          </cell>
          <cell r="FO27" t="str">
            <v/>
          </cell>
          <cell r="FP27" t="str">
            <v/>
          </cell>
          <cell r="FQ27" t="str">
            <v/>
          </cell>
          <cell r="FR27" t="str">
            <v/>
          </cell>
          <cell r="FS27" t="str">
            <v/>
          </cell>
          <cell r="FT27" t="str">
            <v/>
          </cell>
          <cell r="FU27" t="str">
            <v/>
          </cell>
          <cell r="FV27" t="str">
            <v/>
          </cell>
          <cell r="FW27" t="str">
            <v/>
          </cell>
          <cell r="FX27" t="str">
            <v/>
          </cell>
          <cell r="FY27" t="str">
            <v/>
          </cell>
          <cell r="FZ27" t="str">
            <v/>
          </cell>
          <cell r="GA27" t="str">
            <v/>
          </cell>
          <cell r="GB27" t="str">
            <v/>
          </cell>
          <cell r="GC27" t="str">
            <v/>
          </cell>
          <cell r="GD27" t="str">
            <v/>
          </cell>
          <cell r="GE27" t="str">
            <v/>
          </cell>
          <cell r="GF27" t="str">
            <v/>
          </cell>
          <cell r="GG27" t="str">
            <v/>
          </cell>
          <cell r="GH27" t="str">
            <v/>
          </cell>
          <cell r="GI27" t="str">
            <v/>
          </cell>
          <cell r="GJ27" t="str">
            <v/>
          </cell>
          <cell r="GK27" t="str">
            <v/>
          </cell>
          <cell r="GL27" t="str">
            <v/>
          </cell>
          <cell r="GM27" t="str">
            <v/>
          </cell>
          <cell r="GN27" t="str">
            <v/>
          </cell>
          <cell r="GO27" t="str">
            <v/>
          </cell>
          <cell r="GP27" t="str">
            <v/>
          </cell>
          <cell r="GQ27" t="str">
            <v/>
          </cell>
          <cell r="GR27" t="str">
            <v/>
          </cell>
          <cell r="GS27" t="str">
            <v/>
          </cell>
          <cell r="GT27" t="str">
            <v/>
          </cell>
          <cell r="GU27" t="str">
            <v/>
          </cell>
          <cell r="GV27" t="str">
            <v/>
          </cell>
          <cell r="GW27" t="str">
            <v/>
          </cell>
          <cell r="GX27" t="str">
            <v/>
          </cell>
          <cell r="GY27" t="str">
            <v/>
          </cell>
          <cell r="GZ27" t="str">
            <v/>
          </cell>
          <cell r="HA27" t="str">
            <v/>
          </cell>
          <cell r="HB27" t="str">
            <v/>
          </cell>
          <cell r="HC27" t="str">
            <v/>
          </cell>
          <cell r="HD27" t="str">
            <v/>
          </cell>
          <cell r="HE27" t="str">
            <v/>
          </cell>
          <cell r="HF27" t="str">
            <v/>
          </cell>
          <cell r="HG27" t="str">
            <v/>
          </cell>
          <cell r="HH27" t="str">
            <v/>
          </cell>
          <cell r="HI27" t="str">
            <v/>
          </cell>
          <cell r="HJ27" t="str">
            <v/>
          </cell>
          <cell r="HK27" t="str">
            <v/>
          </cell>
          <cell r="HL27" t="str">
            <v/>
          </cell>
          <cell r="HM27" t="str">
            <v/>
          </cell>
          <cell r="HN27" t="str">
            <v/>
          </cell>
          <cell r="HO27" t="str">
            <v/>
          </cell>
          <cell r="HP27" t="str">
            <v/>
          </cell>
          <cell r="HQ27" t="str">
            <v/>
          </cell>
          <cell r="HR27" t="str">
            <v/>
          </cell>
          <cell r="HS27" t="str">
            <v/>
          </cell>
          <cell r="HT27" t="str">
            <v/>
          </cell>
          <cell r="HU27" t="str">
            <v/>
          </cell>
          <cell r="HV27" t="str">
            <v/>
          </cell>
          <cell r="HW27" t="str">
            <v/>
          </cell>
          <cell r="HX27" t="str">
            <v/>
          </cell>
          <cell r="HY27" t="str">
            <v/>
          </cell>
          <cell r="HZ27" t="str">
            <v/>
          </cell>
          <cell r="IA27" t="str">
            <v/>
          </cell>
          <cell r="IB27" t="str">
            <v/>
          </cell>
          <cell r="IC27" t="str">
            <v/>
          </cell>
          <cell r="ID27" t="str">
            <v/>
          </cell>
          <cell r="IE27" t="str">
            <v/>
          </cell>
          <cell r="IF27" t="str">
            <v/>
          </cell>
          <cell r="IG27" t="str">
            <v/>
          </cell>
          <cell r="IH27" t="str">
            <v/>
          </cell>
          <cell r="II27" t="str">
            <v/>
          </cell>
          <cell r="IJ27" t="str">
            <v/>
          </cell>
          <cell r="IK27" t="str">
            <v/>
          </cell>
          <cell r="IL27" t="str">
            <v/>
          </cell>
          <cell r="IM27" t="str">
            <v/>
          </cell>
          <cell r="IN27" t="str">
            <v/>
          </cell>
          <cell r="IO27" t="str">
            <v/>
          </cell>
          <cell r="IP27" t="str">
            <v/>
          </cell>
          <cell r="IQ27" t="str">
            <v/>
          </cell>
          <cell r="IR27" t="str">
            <v/>
          </cell>
          <cell r="IS27" t="str">
            <v/>
          </cell>
          <cell r="IT27" t="str">
            <v/>
          </cell>
          <cell r="IU27" t="str">
            <v/>
          </cell>
          <cell r="IV27" t="str">
            <v/>
          </cell>
          <cell r="IW27" t="str">
            <v/>
          </cell>
          <cell r="IX27" t="str">
            <v/>
          </cell>
          <cell r="IY27" t="str">
            <v/>
          </cell>
          <cell r="IZ27" t="str">
            <v/>
          </cell>
          <cell r="JA27" t="str">
            <v/>
          </cell>
          <cell r="JB27" t="str">
            <v/>
          </cell>
          <cell r="JC27" t="str">
            <v/>
          </cell>
          <cell r="JD27" t="str">
            <v/>
          </cell>
          <cell r="JE27" t="str">
            <v/>
          </cell>
          <cell r="JF27" t="str">
            <v/>
          </cell>
          <cell r="JG27" t="str">
            <v/>
          </cell>
          <cell r="JH27" t="str">
            <v/>
          </cell>
          <cell r="JI27" t="str">
            <v/>
          </cell>
          <cell r="JJ27" t="str">
            <v/>
          </cell>
          <cell r="JK27" t="str">
            <v/>
          </cell>
          <cell r="JL27" t="str">
            <v/>
          </cell>
          <cell r="JM27" t="str">
            <v/>
          </cell>
          <cell r="JN27" t="str">
            <v/>
          </cell>
          <cell r="JO27" t="str">
            <v/>
          </cell>
          <cell r="JP27" t="str">
            <v/>
          </cell>
          <cell r="JQ27" t="str">
            <v/>
          </cell>
          <cell r="JR27" t="str">
            <v/>
          </cell>
          <cell r="JS27" t="str">
            <v/>
          </cell>
          <cell r="JT27" t="str">
            <v/>
          </cell>
          <cell r="JU27" t="str">
            <v/>
          </cell>
          <cell r="JV27" t="str">
            <v/>
          </cell>
          <cell r="JW27" t="str">
            <v/>
          </cell>
          <cell r="JX27" t="str">
            <v/>
          </cell>
          <cell r="JY27" t="str">
            <v/>
          </cell>
          <cell r="JZ27" t="str">
            <v/>
          </cell>
          <cell r="KA27" t="str">
            <v/>
          </cell>
          <cell r="KB27" t="str">
            <v/>
          </cell>
          <cell r="KC27" t="str">
            <v/>
          </cell>
          <cell r="KD27">
            <v>8</v>
          </cell>
          <cell r="KE27">
            <v>8</v>
          </cell>
          <cell r="KF27">
            <v>8</v>
          </cell>
          <cell r="KG27">
            <v>6</v>
          </cell>
          <cell r="KH27">
            <v>6</v>
          </cell>
          <cell r="KI27">
            <v>6</v>
          </cell>
          <cell r="KJ27">
            <v>6</v>
          </cell>
          <cell r="KK27">
            <v>0</v>
          </cell>
          <cell r="KL27">
            <v>0</v>
          </cell>
          <cell r="KM27">
            <v>0</v>
          </cell>
          <cell r="KP27">
            <v>0</v>
          </cell>
          <cell r="KS27">
            <v>0</v>
          </cell>
          <cell r="KV27">
            <v>0</v>
          </cell>
          <cell r="KY27">
            <v>0</v>
          </cell>
          <cell r="LB27">
            <v>0</v>
          </cell>
          <cell r="LE27">
            <v>0</v>
          </cell>
          <cell r="LH27">
            <v>0</v>
          </cell>
          <cell r="LK27">
            <v>0</v>
          </cell>
          <cell r="LO27">
            <v>45733</v>
          </cell>
          <cell r="LP27" t="str">
            <v>COMPLETADO</v>
          </cell>
        </row>
        <row r="28">
          <cell r="A28">
            <v>1627</v>
          </cell>
          <cell r="B28" t="str">
            <v>LUCIANO</v>
          </cell>
          <cell r="C28" t="str">
            <v>BARRACAS CHICA</v>
          </cell>
          <cell r="D28" t="str">
            <v>MARROQUINERIA CHICA</v>
          </cell>
          <cell r="E28">
            <v>26</v>
          </cell>
          <cell r="F28">
            <v>21</v>
          </cell>
          <cell r="G28">
            <v>21</v>
          </cell>
          <cell r="H28">
            <v>45731.892013888886</v>
          </cell>
          <cell r="I28" t="str">
            <v>CARTUCHERA MONT</v>
          </cell>
          <cell r="J28">
            <v>45733</v>
          </cell>
          <cell r="K28">
            <v>45733</v>
          </cell>
          <cell r="M28">
            <v>25</v>
          </cell>
          <cell r="N28" t="str">
            <v>M046</v>
          </cell>
          <cell r="O28" t="str">
            <v>AV0101040201</v>
          </cell>
          <cell r="P28">
            <v>1</v>
          </cell>
          <cell r="Q28" t="str">
            <v>AV0300390101</v>
          </cell>
          <cell r="R28">
            <v>1</v>
          </cell>
          <cell r="S28" t="str">
            <v>AV170134014</v>
          </cell>
          <cell r="T28">
            <v>0</v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>TIRACIERRE N 2 - VUELTA DE TIRA DE CUERO CON REMACHE + GRABADO "L"</v>
          </cell>
          <cell r="AT28" t="str">
            <v/>
          </cell>
          <cell r="AU28" t="str">
            <v/>
          </cell>
          <cell r="AV28" t="str">
            <v/>
          </cell>
          <cell r="AW28" t="str">
            <v xml:space="preserve">GRABADO EL LUCERO ARGENTINA CHICO - LATERAL DERECHO   </v>
          </cell>
          <cell r="AX28" t="str">
            <v>VERDE_REVES_VERDE</v>
          </cell>
          <cell r="AY28" t="str">
            <v>BIANCO-CUERO MODENA ESPESOR 1,8</v>
          </cell>
          <cell r="AZ28" t="str">
            <v>CUE0000157</v>
          </cell>
          <cell r="BA28">
            <v>0.06</v>
          </cell>
          <cell r="BB28" t="str">
            <v>FOR0000020</v>
          </cell>
          <cell r="BC28">
            <v>0.06</v>
          </cell>
          <cell r="BD28" t="str">
            <v>AV0100010117</v>
          </cell>
          <cell r="BE28">
            <v>0.26</v>
          </cell>
          <cell r="BF28" t="str">
            <v>AV1401254260</v>
          </cell>
          <cell r="BG28">
            <v>0</v>
          </cell>
          <cell r="BH28" t="str">
            <v>AV1601300957</v>
          </cell>
          <cell r="BI28">
            <v>0</v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>AZUL_REVES_AZUL</v>
          </cell>
          <cell r="BS28" t="str">
            <v>BIANCO-CUERO MODENA ESPESOR 1,8</v>
          </cell>
          <cell r="BT28" t="str">
            <v>CUE0000156</v>
          </cell>
          <cell r="BU28">
            <v>0.06</v>
          </cell>
          <cell r="BV28" t="str">
            <v>FOR0000020</v>
          </cell>
          <cell r="BW28">
            <v>0.06</v>
          </cell>
          <cell r="BX28" t="str">
            <v>AV0100010115</v>
          </cell>
          <cell r="BY28">
            <v>0.26</v>
          </cell>
          <cell r="BZ28" t="str">
            <v>AV1401254360</v>
          </cell>
          <cell r="CA28">
            <v>0</v>
          </cell>
          <cell r="CB28" t="str">
            <v>AV1601300956</v>
          </cell>
          <cell r="CC28">
            <v>0</v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>CUERO_VINTAGE_MEDIO</v>
          </cell>
          <cell r="CM28" t="str">
            <v>LEDER-CUERO</v>
          </cell>
          <cell r="CN28" t="str">
            <v>CUE0000100</v>
          </cell>
          <cell r="CO28">
            <v>0.06</v>
          </cell>
          <cell r="CP28" t="str">
            <v>FOR0000021</v>
          </cell>
          <cell r="CQ28">
            <v>0.06</v>
          </cell>
          <cell r="CR28" t="str">
            <v>AV0100010105</v>
          </cell>
          <cell r="CS28">
            <v>0.26</v>
          </cell>
          <cell r="CT28" t="str">
            <v>AV1401250545</v>
          </cell>
          <cell r="CU28">
            <v>0</v>
          </cell>
          <cell r="CV28" t="str">
            <v>AV1601300955</v>
          </cell>
          <cell r="CW28">
            <v>0</v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>CUERO_VINTAGE_DARK</v>
          </cell>
          <cell r="DG28" t="str">
            <v>LEDER-CUERO</v>
          </cell>
          <cell r="DH28" t="str">
            <v>CUE0000101</v>
          </cell>
          <cell r="DI28">
            <v>0.06</v>
          </cell>
          <cell r="DJ28" t="str">
            <v>FOR0000021</v>
          </cell>
          <cell r="DK28">
            <v>0.06</v>
          </cell>
          <cell r="DL28" t="str">
            <v>AV0100010105</v>
          </cell>
          <cell r="DM28">
            <v>0.26</v>
          </cell>
          <cell r="DN28" t="str">
            <v>AV1401250545</v>
          </cell>
          <cell r="DO28">
            <v>0</v>
          </cell>
          <cell r="DP28" t="str">
            <v>AV1601300955</v>
          </cell>
          <cell r="DQ28">
            <v>0</v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  <cell r="DY28" t="str">
            <v/>
          </cell>
          <cell r="DZ28" t="str">
            <v/>
          </cell>
          <cell r="EA28" t="str">
            <v/>
          </cell>
          <cell r="EB28" t="str">
            <v/>
          </cell>
          <cell r="EC28" t="str">
            <v/>
          </cell>
          <cell r="ED28" t="str">
            <v/>
          </cell>
          <cell r="EE28" t="str">
            <v/>
          </cell>
          <cell r="EF28" t="str">
            <v/>
          </cell>
          <cell r="EG28" t="str">
            <v/>
          </cell>
          <cell r="EH28" t="str">
            <v/>
          </cell>
          <cell r="EI28" t="str">
            <v/>
          </cell>
          <cell r="EJ28" t="str">
            <v/>
          </cell>
          <cell r="EK28" t="str">
            <v/>
          </cell>
          <cell r="EL28" t="str">
            <v/>
          </cell>
          <cell r="EM28" t="str">
            <v/>
          </cell>
          <cell r="EN28" t="str">
            <v/>
          </cell>
          <cell r="EO28" t="str">
            <v/>
          </cell>
          <cell r="EP28" t="str">
            <v/>
          </cell>
          <cell r="EQ28" t="str">
            <v/>
          </cell>
          <cell r="ER28" t="str">
            <v/>
          </cell>
          <cell r="ES28" t="str">
            <v/>
          </cell>
          <cell r="ET28" t="str">
            <v/>
          </cell>
          <cell r="EU28" t="str">
            <v/>
          </cell>
          <cell r="EV28" t="str">
            <v/>
          </cell>
          <cell r="EW28" t="str">
            <v/>
          </cell>
          <cell r="EX28" t="str">
            <v/>
          </cell>
          <cell r="EY28" t="str">
            <v/>
          </cell>
          <cell r="EZ28" t="str">
            <v/>
          </cell>
          <cell r="FA28" t="str">
            <v/>
          </cell>
          <cell r="FB28" t="str">
            <v/>
          </cell>
          <cell r="FC28" t="str">
            <v/>
          </cell>
          <cell r="FD28" t="str">
            <v/>
          </cell>
          <cell r="FE28" t="str">
            <v/>
          </cell>
          <cell r="FF28" t="str">
            <v/>
          </cell>
          <cell r="FG28" t="str">
            <v/>
          </cell>
          <cell r="FH28" t="str">
            <v/>
          </cell>
          <cell r="FI28" t="str">
            <v/>
          </cell>
          <cell r="FJ28" t="str">
            <v/>
          </cell>
          <cell r="FK28" t="str">
            <v/>
          </cell>
          <cell r="FL28" t="str">
            <v/>
          </cell>
          <cell r="FM28" t="str">
            <v/>
          </cell>
          <cell r="FN28" t="str">
            <v/>
          </cell>
          <cell r="FO28" t="str">
            <v/>
          </cell>
          <cell r="FP28" t="str">
            <v/>
          </cell>
          <cell r="FQ28" t="str">
            <v/>
          </cell>
          <cell r="FR28" t="str">
            <v/>
          </cell>
          <cell r="FS28" t="str">
            <v/>
          </cell>
          <cell r="FT28" t="str">
            <v/>
          </cell>
          <cell r="FU28" t="str">
            <v/>
          </cell>
          <cell r="FV28" t="str">
            <v/>
          </cell>
          <cell r="FW28" t="str">
            <v/>
          </cell>
          <cell r="FX28" t="str">
            <v/>
          </cell>
          <cell r="FY28" t="str">
            <v/>
          </cell>
          <cell r="FZ28" t="str">
            <v/>
          </cell>
          <cell r="GA28" t="str">
            <v/>
          </cell>
          <cell r="GB28" t="str">
            <v/>
          </cell>
          <cell r="GC28" t="str">
            <v/>
          </cell>
          <cell r="GD28" t="str">
            <v/>
          </cell>
          <cell r="GE28" t="str">
            <v/>
          </cell>
          <cell r="GF28" t="str">
            <v/>
          </cell>
          <cell r="GG28" t="str">
            <v/>
          </cell>
          <cell r="GH28" t="str">
            <v/>
          </cell>
          <cell r="GI28" t="str">
            <v/>
          </cell>
          <cell r="GJ28" t="str">
            <v/>
          </cell>
          <cell r="GK28" t="str">
            <v/>
          </cell>
          <cell r="GL28" t="str">
            <v/>
          </cell>
          <cell r="GM28" t="str">
            <v/>
          </cell>
          <cell r="GN28" t="str">
            <v/>
          </cell>
          <cell r="GO28" t="str">
            <v/>
          </cell>
          <cell r="GP28" t="str">
            <v/>
          </cell>
          <cell r="GQ28" t="str">
            <v/>
          </cell>
          <cell r="GR28" t="str">
            <v/>
          </cell>
          <cell r="GS28" t="str">
            <v/>
          </cell>
          <cell r="GT28" t="str">
            <v/>
          </cell>
          <cell r="GU28" t="str">
            <v/>
          </cell>
          <cell r="GV28" t="str">
            <v/>
          </cell>
          <cell r="GW28" t="str">
            <v/>
          </cell>
          <cell r="GX28" t="str">
            <v/>
          </cell>
          <cell r="GY28" t="str">
            <v/>
          </cell>
          <cell r="GZ28" t="str">
            <v/>
          </cell>
          <cell r="HA28" t="str">
            <v/>
          </cell>
          <cell r="HB28" t="str">
            <v/>
          </cell>
          <cell r="HC28" t="str">
            <v/>
          </cell>
          <cell r="HD28" t="str">
            <v/>
          </cell>
          <cell r="HE28" t="str">
            <v/>
          </cell>
          <cell r="HF28" t="str">
            <v/>
          </cell>
          <cell r="HG28" t="str">
            <v/>
          </cell>
          <cell r="HH28" t="str">
            <v/>
          </cell>
          <cell r="HI28" t="str">
            <v/>
          </cell>
          <cell r="HJ28" t="str">
            <v/>
          </cell>
          <cell r="HK28" t="str">
            <v/>
          </cell>
          <cell r="HL28" t="str">
            <v/>
          </cell>
          <cell r="HM28" t="str">
            <v/>
          </cell>
          <cell r="HN28" t="str">
            <v/>
          </cell>
          <cell r="HO28" t="str">
            <v/>
          </cell>
          <cell r="HP28" t="str">
            <v/>
          </cell>
          <cell r="HQ28" t="str">
            <v/>
          </cell>
          <cell r="HR28" t="str">
            <v/>
          </cell>
          <cell r="HS28" t="str">
            <v/>
          </cell>
          <cell r="HT28" t="str">
            <v/>
          </cell>
          <cell r="HU28" t="str">
            <v/>
          </cell>
          <cell r="HV28" t="str">
            <v/>
          </cell>
          <cell r="HW28" t="str">
            <v/>
          </cell>
          <cell r="HX28" t="str">
            <v/>
          </cell>
          <cell r="HY28" t="str">
            <v/>
          </cell>
          <cell r="HZ28" t="str">
            <v/>
          </cell>
          <cell r="IA28" t="str">
            <v/>
          </cell>
          <cell r="IB28" t="str">
            <v/>
          </cell>
          <cell r="IC28" t="str">
            <v/>
          </cell>
          <cell r="ID28" t="str">
            <v/>
          </cell>
          <cell r="IE28" t="str">
            <v/>
          </cell>
          <cell r="IF28" t="str">
            <v/>
          </cell>
          <cell r="IG28" t="str">
            <v/>
          </cell>
          <cell r="IH28" t="str">
            <v/>
          </cell>
          <cell r="II28" t="str">
            <v/>
          </cell>
          <cell r="IJ28" t="str">
            <v/>
          </cell>
          <cell r="IK28" t="str">
            <v/>
          </cell>
          <cell r="IL28" t="str">
            <v/>
          </cell>
          <cell r="IM28" t="str">
            <v/>
          </cell>
          <cell r="IN28" t="str">
            <v/>
          </cell>
          <cell r="IO28" t="str">
            <v/>
          </cell>
          <cell r="IP28" t="str">
            <v/>
          </cell>
          <cell r="IQ28" t="str">
            <v/>
          </cell>
          <cell r="IR28" t="str">
            <v/>
          </cell>
          <cell r="IS28" t="str">
            <v/>
          </cell>
          <cell r="IT28" t="str">
            <v/>
          </cell>
          <cell r="IU28" t="str">
            <v/>
          </cell>
          <cell r="IV28" t="str">
            <v/>
          </cell>
          <cell r="IW28" t="str">
            <v/>
          </cell>
          <cell r="IX28" t="str">
            <v/>
          </cell>
          <cell r="IY28" t="str">
            <v/>
          </cell>
          <cell r="IZ28" t="str">
            <v/>
          </cell>
          <cell r="JA28" t="str">
            <v/>
          </cell>
          <cell r="JB28" t="str">
            <v/>
          </cell>
          <cell r="JC28" t="str">
            <v/>
          </cell>
          <cell r="JD28" t="str">
            <v/>
          </cell>
          <cell r="JE28" t="str">
            <v/>
          </cell>
          <cell r="JF28" t="str">
            <v/>
          </cell>
          <cell r="JG28" t="str">
            <v/>
          </cell>
          <cell r="JH28" t="str">
            <v/>
          </cell>
          <cell r="JI28" t="str">
            <v/>
          </cell>
          <cell r="JJ28" t="str">
            <v/>
          </cell>
          <cell r="JK28" t="str">
            <v/>
          </cell>
          <cell r="JL28" t="str">
            <v/>
          </cell>
          <cell r="JM28" t="str">
            <v/>
          </cell>
          <cell r="JN28" t="str">
            <v/>
          </cell>
          <cell r="JO28" t="str">
            <v/>
          </cell>
          <cell r="JP28" t="str">
            <v/>
          </cell>
          <cell r="JQ28" t="str">
            <v/>
          </cell>
          <cell r="JR28" t="str">
            <v/>
          </cell>
          <cell r="JS28" t="str">
            <v/>
          </cell>
          <cell r="JT28" t="str">
            <v/>
          </cell>
          <cell r="JU28" t="str">
            <v/>
          </cell>
          <cell r="JV28" t="str">
            <v/>
          </cell>
          <cell r="JW28" t="str">
            <v/>
          </cell>
          <cell r="JX28" t="str">
            <v/>
          </cell>
          <cell r="JY28" t="str">
            <v/>
          </cell>
          <cell r="JZ28" t="str">
            <v/>
          </cell>
          <cell r="KA28" t="str">
            <v/>
          </cell>
          <cell r="KB28" t="str">
            <v/>
          </cell>
          <cell r="KC28" t="str">
            <v/>
          </cell>
          <cell r="KD28">
            <v>8</v>
          </cell>
          <cell r="KE28">
            <v>8</v>
          </cell>
          <cell r="KF28">
            <v>8</v>
          </cell>
          <cell r="KG28">
            <v>10</v>
          </cell>
          <cell r="KH28">
            <v>5</v>
          </cell>
          <cell r="KI28">
            <v>5</v>
          </cell>
          <cell r="KJ28">
            <v>4</v>
          </cell>
          <cell r="KK28">
            <v>4</v>
          </cell>
          <cell r="KL28">
            <v>4</v>
          </cell>
          <cell r="KM28">
            <v>4</v>
          </cell>
          <cell r="KN28">
            <v>4</v>
          </cell>
          <cell r="KO28">
            <v>4</v>
          </cell>
          <cell r="KP28">
            <v>0</v>
          </cell>
          <cell r="KS28">
            <v>0</v>
          </cell>
          <cell r="KV28">
            <v>0</v>
          </cell>
          <cell r="KY28">
            <v>0</v>
          </cell>
          <cell r="LB28">
            <v>0</v>
          </cell>
          <cell r="LE28">
            <v>0</v>
          </cell>
          <cell r="LH28">
            <v>0</v>
          </cell>
          <cell r="LK28">
            <v>0</v>
          </cell>
          <cell r="LO28">
            <v>45737</v>
          </cell>
          <cell r="LP28" t="str">
            <v>COMPLETADO</v>
          </cell>
        </row>
        <row r="29">
          <cell r="A29">
            <v>1628</v>
          </cell>
          <cell r="B29" t="str">
            <v>LUCIANO</v>
          </cell>
          <cell r="C29" t="str">
            <v>BARRACAS CHICA</v>
          </cell>
          <cell r="D29" t="str">
            <v>MARROQUINERIA CHICA</v>
          </cell>
          <cell r="E29">
            <v>8</v>
          </cell>
          <cell r="F29">
            <v>8</v>
          </cell>
          <cell r="G29">
            <v>8</v>
          </cell>
          <cell r="H29">
            <v>45732.207754629628</v>
          </cell>
          <cell r="I29" t="str">
            <v>MONEDERO LUISA</v>
          </cell>
          <cell r="J29">
            <v>45705</v>
          </cell>
          <cell r="K29">
            <v>45705</v>
          </cell>
          <cell r="M29">
            <v>50</v>
          </cell>
          <cell r="N29" t="str">
            <v>M064</v>
          </cell>
          <cell r="O29" t="str">
            <v>VAR0000002</v>
          </cell>
          <cell r="P29">
            <v>0.01</v>
          </cell>
          <cell r="Q29" t="str">
            <v>BAC0200071027</v>
          </cell>
          <cell r="R29">
            <v>0.01</v>
          </cell>
          <cell r="S29" t="str">
            <v>BAC1300050727</v>
          </cell>
          <cell r="T29">
            <v>0.02</v>
          </cell>
          <cell r="U29" t="str">
            <v>AV0700420101</v>
          </cell>
          <cell r="V29">
            <v>1</v>
          </cell>
          <cell r="W29" t="str">
            <v>AV0101070301</v>
          </cell>
          <cell r="X29">
            <v>1</v>
          </cell>
          <cell r="Y29" t="str">
            <v>AV0600560101</v>
          </cell>
          <cell r="Z29">
            <v>1</v>
          </cell>
          <cell r="AA29" t="str">
            <v>AV170134014</v>
          </cell>
          <cell r="AB29">
            <v>0</v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>GRABADO EL LUCERO ARGENTINA PIEZA INTERNA IZQUIERDA ABAJO</v>
          </cell>
          <cell r="AX29" t="str">
            <v>MALBEC</v>
          </cell>
          <cell r="AY29" t="str">
            <v>ARENA-CUERO BRIDGE</v>
          </cell>
          <cell r="AZ29" t="str">
            <v>CUE0000008</v>
          </cell>
          <cell r="BA29">
            <v>0.08</v>
          </cell>
          <cell r="BB29" t="str">
            <v>AV1401250545</v>
          </cell>
          <cell r="BC29">
            <v>0</v>
          </cell>
          <cell r="BD29" t="str">
            <v>FOR0000016</v>
          </cell>
          <cell r="BE29">
            <v>0.08</v>
          </cell>
          <cell r="BF29" t="str">
            <v>CIE0000003</v>
          </cell>
          <cell r="BG29">
            <v>0.1</v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 t="str">
            <v/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  <cell r="DY29" t="str">
            <v/>
          </cell>
          <cell r="DZ29" t="str">
            <v/>
          </cell>
          <cell r="EA29" t="str">
            <v/>
          </cell>
          <cell r="EB29" t="str">
            <v/>
          </cell>
          <cell r="EC29" t="str">
            <v/>
          </cell>
          <cell r="ED29" t="str">
            <v/>
          </cell>
          <cell r="EE29" t="str">
            <v/>
          </cell>
          <cell r="EF29" t="str">
            <v/>
          </cell>
          <cell r="EG29" t="str">
            <v/>
          </cell>
          <cell r="EH29" t="str">
            <v/>
          </cell>
          <cell r="EI29" t="str">
            <v/>
          </cell>
          <cell r="EJ29" t="str">
            <v/>
          </cell>
          <cell r="EK29" t="str">
            <v/>
          </cell>
          <cell r="EL29" t="str">
            <v/>
          </cell>
          <cell r="EM29" t="str">
            <v/>
          </cell>
          <cell r="EN29" t="str">
            <v/>
          </cell>
          <cell r="EO29" t="str">
            <v/>
          </cell>
          <cell r="EP29" t="str">
            <v/>
          </cell>
          <cell r="EQ29" t="str">
            <v/>
          </cell>
          <cell r="ER29" t="str">
            <v/>
          </cell>
          <cell r="ES29" t="str">
            <v/>
          </cell>
          <cell r="ET29" t="str">
            <v/>
          </cell>
          <cell r="EU29" t="str">
            <v/>
          </cell>
          <cell r="EV29" t="str">
            <v/>
          </cell>
          <cell r="EW29" t="str">
            <v/>
          </cell>
          <cell r="EX29" t="str">
            <v/>
          </cell>
          <cell r="EY29" t="str">
            <v/>
          </cell>
          <cell r="EZ29" t="str">
            <v/>
          </cell>
          <cell r="FA29" t="str">
            <v/>
          </cell>
          <cell r="FB29" t="str">
            <v/>
          </cell>
          <cell r="FC29" t="str">
            <v/>
          </cell>
          <cell r="FD29" t="str">
            <v/>
          </cell>
          <cell r="FE29" t="str">
            <v/>
          </cell>
          <cell r="FF29" t="str">
            <v/>
          </cell>
          <cell r="FG29" t="str">
            <v/>
          </cell>
          <cell r="FH29" t="str">
            <v/>
          </cell>
          <cell r="FI29" t="str">
            <v/>
          </cell>
          <cell r="FJ29" t="str">
            <v/>
          </cell>
          <cell r="FK29" t="str">
            <v/>
          </cell>
          <cell r="FL29" t="str">
            <v/>
          </cell>
          <cell r="FM29" t="str">
            <v/>
          </cell>
          <cell r="FN29" t="str">
            <v/>
          </cell>
          <cell r="FO29" t="str">
            <v/>
          </cell>
          <cell r="FP29" t="str">
            <v/>
          </cell>
          <cell r="FQ29" t="str">
            <v/>
          </cell>
          <cell r="FR29" t="str">
            <v/>
          </cell>
          <cell r="FS29" t="str">
            <v/>
          </cell>
          <cell r="FT29" t="str">
            <v/>
          </cell>
          <cell r="FU29" t="str">
            <v/>
          </cell>
          <cell r="FV29" t="str">
            <v/>
          </cell>
          <cell r="FW29" t="str">
            <v/>
          </cell>
          <cell r="FX29" t="str">
            <v/>
          </cell>
          <cell r="FY29" t="str">
            <v/>
          </cell>
          <cell r="FZ29" t="str">
            <v/>
          </cell>
          <cell r="GA29" t="str">
            <v/>
          </cell>
          <cell r="GB29" t="str">
            <v/>
          </cell>
          <cell r="GC29" t="str">
            <v/>
          </cell>
          <cell r="GD29" t="str">
            <v/>
          </cell>
          <cell r="GE29" t="str">
            <v/>
          </cell>
          <cell r="GF29" t="str">
            <v/>
          </cell>
          <cell r="GG29" t="str">
            <v/>
          </cell>
          <cell r="GH29" t="str">
            <v/>
          </cell>
          <cell r="GI29" t="str">
            <v/>
          </cell>
          <cell r="GJ29" t="str">
            <v/>
          </cell>
          <cell r="GK29" t="str">
            <v/>
          </cell>
          <cell r="GL29" t="str">
            <v/>
          </cell>
          <cell r="GM29" t="str">
            <v/>
          </cell>
          <cell r="GN29" t="str">
            <v/>
          </cell>
          <cell r="GO29" t="str">
            <v/>
          </cell>
          <cell r="GP29" t="str">
            <v/>
          </cell>
          <cell r="GQ29" t="str">
            <v/>
          </cell>
          <cell r="GR29" t="str">
            <v/>
          </cell>
          <cell r="GS29" t="str">
            <v/>
          </cell>
          <cell r="GT29" t="str">
            <v/>
          </cell>
          <cell r="GU29" t="str">
            <v/>
          </cell>
          <cell r="GV29" t="str">
            <v/>
          </cell>
          <cell r="GW29" t="str">
            <v/>
          </cell>
          <cell r="GX29" t="str">
            <v/>
          </cell>
          <cell r="GY29" t="str">
            <v/>
          </cell>
          <cell r="GZ29" t="str">
            <v/>
          </cell>
          <cell r="HA29" t="str">
            <v/>
          </cell>
          <cell r="HB29" t="str">
            <v/>
          </cell>
          <cell r="HC29" t="str">
            <v/>
          </cell>
          <cell r="HD29" t="str">
            <v/>
          </cell>
          <cell r="HE29" t="str">
            <v/>
          </cell>
          <cell r="HF29" t="str">
            <v/>
          </cell>
          <cell r="HG29" t="str">
            <v/>
          </cell>
          <cell r="HH29" t="str">
            <v/>
          </cell>
          <cell r="HI29" t="str">
            <v/>
          </cell>
          <cell r="HJ29" t="str">
            <v/>
          </cell>
          <cell r="HK29" t="str">
            <v/>
          </cell>
          <cell r="HL29" t="str">
            <v/>
          </cell>
          <cell r="HM29" t="str">
            <v/>
          </cell>
          <cell r="HN29" t="str">
            <v/>
          </cell>
          <cell r="HO29" t="str">
            <v/>
          </cell>
          <cell r="HP29" t="str">
            <v/>
          </cell>
          <cell r="HQ29" t="str">
            <v/>
          </cell>
          <cell r="HR29" t="str">
            <v/>
          </cell>
          <cell r="HS29" t="str">
            <v/>
          </cell>
          <cell r="HT29" t="str">
            <v/>
          </cell>
          <cell r="HU29" t="str">
            <v/>
          </cell>
          <cell r="HV29" t="str">
            <v/>
          </cell>
          <cell r="HW29" t="str">
            <v/>
          </cell>
          <cell r="HX29" t="str">
            <v/>
          </cell>
          <cell r="HY29" t="str">
            <v/>
          </cell>
          <cell r="HZ29" t="str">
            <v/>
          </cell>
          <cell r="IA29" t="str">
            <v/>
          </cell>
          <cell r="IB29" t="str">
            <v/>
          </cell>
          <cell r="IC29" t="str">
            <v/>
          </cell>
          <cell r="ID29" t="str">
            <v/>
          </cell>
          <cell r="IE29" t="str">
            <v/>
          </cell>
          <cell r="IF29" t="str">
            <v/>
          </cell>
          <cell r="IG29" t="str">
            <v/>
          </cell>
          <cell r="IH29" t="str">
            <v/>
          </cell>
          <cell r="II29" t="str">
            <v/>
          </cell>
          <cell r="IJ29" t="str">
            <v/>
          </cell>
          <cell r="IK29" t="str">
            <v/>
          </cell>
          <cell r="IL29" t="str">
            <v/>
          </cell>
          <cell r="IM29" t="str">
            <v/>
          </cell>
          <cell r="IN29" t="str">
            <v/>
          </cell>
          <cell r="IO29" t="str">
            <v/>
          </cell>
          <cell r="IP29" t="str">
            <v/>
          </cell>
          <cell r="IQ29" t="str">
            <v/>
          </cell>
          <cell r="IR29" t="str">
            <v/>
          </cell>
          <cell r="IS29" t="str">
            <v/>
          </cell>
          <cell r="IT29" t="str">
            <v/>
          </cell>
          <cell r="IU29" t="str">
            <v/>
          </cell>
          <cell r="IV29" t="str">
            <v/>
          </cell>
          <cell r="IW29" t="str">
            <v/>
          </cell>
          <cell r="IX29" t="str">
            <v/>
          </cell>
          <cell r="IY29" t="str">
            <v/>
          </cell>
          <cell r="IZ29" t="str">
            <v/>
          </cell>
          <cell r="JA29" t="str">
            <v/>
          </cell>
          <cell r="JB29" t="str">
            <v/>
          </cell>
          <cell r="JC29" t="str">
            <v/>
          </cell>
          <cell r="JD29" t="str">
            <v/>
          </cell>
          <cell r="JE29" t="str">
            <v/>
          </cell>
          <cell r="JF29" t="str">
            <v/>
          </cell>
          <cell r="JG29" t="str">
            <v/>
          </cell>
          <cell r="JH29" t="str">
            <v/>
          </cell>
          <cell r="JI29" t="str">
            <v/>
          </cell>
          <cell r="JJ29" t="str">
            <v/>
          </cell>
          <cell r="JK29" t="str">
            <v/>
          </cell>
          <cell r="JL29" t="str">
            <v/>
          </cell>
          <cell r="JM29" t="str">
            <v/>
          </cell>
          <cell r="JN29" t="str">
            <v/>
          </cell>
          <cell r="JO29" t="str">
            <v/>
          </cell>
          <cell r="JP29" t="str">
            <v/>
          </cell>
          <cell r="JQ29" t="str">
            <v/>
          </cell>
          <cell r="JR29" t="str">
            <v/>
          </cell>
          <cell r="JS29" t="str">
            <v/>
          </cell>
          <cell r="JT29" t="str">
            <v/>
          </cell>
          <cell r="JU29" t="str">
            <v/>
          </cell>
          <cell r="JV29" t="str">
            <v/>
          </cell>
          <cell r="JW29" t="str">
            <v/>
          </cell>
          <cell r="JX29" t="str">
            <v/>
          </cell>
          <cell r="JY29" t="str">
            <v/>
          </cell>
          <cell r="JZ29" t="str">
            <v/>
          </cell>
          <cell r="KA29" t="str">
            <v/>
          </cell>
          <cell r="KB29" t="str">
            <v/>
          </cell>
          <cell r="KC29" t="str">
            <v/>
          </cell>
          <cell r="KD29">
            <v>8</v>
          </cell>
          <cell r="KE29">
            <v>8</v>
          </cell>
          <cell r="KF29">
            <v>8</v>
          </cell>
          <cell r="KG29">
            <v>0</v>
          </cell>
          <cell r="KJ29">
            <v>0</v>
          </cell>
          <cell r="KM29">
            <v>0</v>
          </cell>
          <cell r="KP29">
            <v>0</v>
          </cell>
          <cell r="KS29">
            <v>0</v>
          </cell>
          <cell r="KV29">
            <v>0</v>
          </cell>
          <cell r="KY29">
            <v>0</v>
          </cell>
          <cell r="LB29">
            <v>0</v>
          </cell>
          <cell r="LE29">
            <v>0</v>
          </cell>
          <cell r="LH29">
            <v>0</v>
          </cell>
          <cell r="LK29">
            <v>0</v>
          </cell>
          <cell r="LO29">
            <v>45751</v>
          </cell>
          <cell r="LP29" t="str">
            <v>COMPLETADO</v>
          </cell>
        </row>
        <row r="30">
          <cell r="A30">
            <v>1629</v>
          </cell>
          <cell r="B30" t="str">
            <v>LUCIANO</v>
          </cell>
          <cell r="C30" t="str">
            <v>BARRACAS GRANDE</v>
          </cell>
          <cell r="D30" t="str">
            <v>MARROQUINERIA GRANDE</v>
          </cell>
          <cell r="E30">
            <v>11</v>
          </cell>
          <cell r="F30">
            <v>11</v>
          </cell>
          <cell r="G30">
            <v>11</v>
          </cell>
          <cell r="H30">
            <v>45732.211331018516</v>
          </cell>
          <cell r="I30" t="str">
            <v>NECESSAIRE</v>
          </cell>
          <cell r="J30">
            <v>45705</v>
          </cell>
          <cell r="K30">
            <v>45705</v>
          </cell>
          <cell r="M30">
            <v>40</v>
          </cell>
          <cell r="N30" t="str">
            <v>M146</v>
          </cell>
          <cell r="O30" t="str">
            <v>AV0300430101</v>
          </cell>
          <cell r="P30">
            <v>2</v>
          </cell>
          <cell r="Q30" t="str">
            <v>AV0101030201</v>
          </cell>
          <cell r="R30">
            <v>2</v>
          </cell>
          <cell r="S30" t="str">
            <v>AV0600540101</v>
          </cell>
          <cell r="T30">
            <v>1</v>
          </cell>
          <cell r="U30" t="str">
            <v>AV0400390101</v>
          </cell>
          <cell r="V30">
            <v>2</v>
          </cell>
          <cell r="W30" t="str">
            <v>VAR0000009</v>
          </cell>
          <cell r="X30">
            <v>1</v>
          </cell>
          <cell r="Y30" t="str">
            <v>AV1002170326</v>
          </cell>
          <cell r="Z30">
            <v>0.8</v>
          </cell>
          <cell r="AA30" t="str">
            <v>VAR0000030</v>
          </cell>
          <cell r="AB30">
            <v>0.03</v>
          </cell>
          <cell r="AC30" t="str">
            <v>AV170129018</v>
          </cell>
          <cell r="AD30">
            <v>0</v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 xml:space="preserve">TIRACIERRE N°7 - (TIRACIERRE METAL + TIRA DE CUERO CON REMACHE + </v>
          </cell>
          <cell r="AT30" t="str">
            <v xml:space="preserve">TIRACIERRE N 1 - PARA CIERRES METAL&gt;&gt; TIRA CON REMACHE + GRABADO </v>
          </cell>
          <cell r="AU30" t="str">
            <v/>
          </cell>
          <cell r="AV30" t="str">
            <v/>
          </cell>
          <cell r="AW30" t="str">
            <v>TROQUEL EN 
INTERIOR "EL 
LUCERO 
ARGENTINA" 
IDEM MUESTRA</v>
          </cell>
          <cell r="AX30" t="str">
            <v>NEGRO</v>
          </cell>
          <cell r="AY30" t="str">
            <v>ARENA-CUERO BRIDGE</v>
          </cell>
          <cell r="AZ30" t="str">
            <v>CUE0000009</v>
          </cell>
          <cell r="BA30">
            <v>0.3</v>
          </cell>
          <cell r="BB30" t="str">
            <v>FOR0000020</v>
          </cell>
          <cell r="BC30">
            <v>0.2</v>
          </cell>
          <cell r="BD30" t="str">
            <v>AV0100010103</v>
          </cell>
          <cell r="BE30">
            <v>0.6</v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>TABACO</v>
          </cell>
          <cell r="BS30" t="str">
            <v>ARENA-CUERO BRIDGE</v>
          </cell>
          <cell r="BT30" t="str">
            <v>CUE0000012</v>
          </cell>
          <cell r="BU30">
            <v>0.3</v>
          </cell>
          <cell r="BV30" t="str">
            <v>FOR0000021</v>
          </cell>
          <cell r="BW30">
            <v>0.2</v>
          </cell>
          <cell r="BX30" t="str">
            <v>AV0100010114</v>
          </cell>
          <cell r="BY30">
            <v>0.6</v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>CARAMELO</v>
          </cell>
          <cell r="CM30" t="str">
            <v>ARENA-CUERO BRIDGE</v>
          </cell>
          <cell r="CN30" t="str">
            <v>CUE0000004</v>
          </cell>
          <cell r="CO30">
            <v>0.3</v>
          </cell>
          <cell r="CP30" t="str">
            <v>FOR0000021</v>
          </cell>
          <cell r="CQ30">
            <v>0.2</v>
          </cell>
          <cell r="CR30" t="str">
            <v>AV0100010105</v>
          </cell>
          <cell r="CS30">
            <v>0.6</v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  <cell r="DW30" t="str">
            <v/>
          </cell>
          <cell r="DX30" t="str">
            <v/>
          </cell>
          <cell r="DY30" t="str">
            <v/>
          </cell>
          <cell r="DZ30" t="str">
            <v/>
          </cell>
          <cell r="EA30" t="str">
            <v/>
          </cell>
          <cell r="EB30" t="str">
            <v/>
          </cell>
          <cell r="EC30" t="str">
            <v/>
          </cell>
          <cell r="ED30" t="str">
            <v/>
          </cell>
          <cell r="EE30" t="str">
            <v/>
          </cell>
          <cell r="EF30" t="str">
            <v/>
          </cell>
          <cell r="EG30" t="str">
            <v/>
          </cell>
          <cell r="EH30" t="str">
            <v/>
          </cell>
          <cell r="EI30" t="str">
            <v/>
          </cell>
          <cell r="EJ30" t="str">
            <v/>
          </cell>
          <cell r="EK30" t="str">
            <v/>
          </cell>
          <cell r="EL30" t="str">
            <v/>
          </cell>
          <cell r="EM30" t="str">
            <v/>
          </cell>
          <cell r="EN30" t="str">
            <v/>
          </cell>
          <cell r="EO30" t="str">
            <v/>
          </cell>
          <cell r="EP30" t="str">
            <v/>
          </cell>
          <cell r="EQ30" t="str">
            <v/>
          </cell>
          <cell r="ER30" t="str">
            <v/>
          </cell>
          <cell r="ES30" t="str">
            <v/>
          </cell>
          <cell r="ET30" t="str">
            <v/>
          </cell>
          <cell r="EU30" t="str">
            <v/>
          </cell>
          <cell r="EV30" t="str">
            <v/>
          </cell>
          <cell r="EW30" t="str">
            <v/>
          </cell>
          <cell r="EX30" t="str">
            <v/>
          </cell>
          <cell r="EY30" t="str">
            <v/>
          </cell>
          <cell r="EZ30" t="str">
            <v/>
          </cell>
          <cell r="FA30" t="str">
            <v/>
          </cell>
          <cell r="FB30" t="str">
            <v/>
          </cell>
          <cell r="FC30" t="str">
            <v/>
          </cell>
          <cell r="FD30" t="str">
            <v/>
          </cell>
          <cell r="FE30" t="str">
            <v/>
          </cell>
          <cell r="FF30" t="str">
            <v/>
          </cell>
          <cell r="FG30" t="str">
            <v/>
          </cell>
          <cell r="FH30" t="str">
            <v/>
          </cell>
          <cell r="FI30" t="str">
            <v/>
          </cell>
          <cell r="FJ30" t="str">
            <v/>
          </cell>
          <cell r="FK30" t="str">
            <v/>
          </cell>
          <cell r="FL30" t="str">
            <v/>
          </cell>
          <cell r="FM30" t="str">
            <v/>
          </cell>
          <cell r="FN30" t="str">
            <v/>
          </cell>
          <cell r="FO30" t="str">
            <v/>
          </cell>
          <cell r="FP30" t="str">
            <v/>
          </cell>
          <cell r="FQ30" t="str">
            <v/>
          </cell>
          <cell r="FR30" t="str">
            <v/>
          </cell>
          <cell r="FS30" t="str">
            <v/>
          </cell>
          <cell r="FT30" t="str">
            <v/>
          </cell>
          <cell r="FU30" t="str">
            <v/>
          </cell>
          <cell r="FV30" t="str">
            <v/>
          </cell>
          <cell r="FW30" t="str">
            <v/>
          </cell>
          <cell r="FX30" t="str">
            <v/>
          </cell>
          <cell r="FY30" t="str">
            <v/>
          </cell>
          <cell r="FZ30" t="str">
            <v/>
          </cell>
          <cell r="GA30" t="str">
            <v/>
          </cell>
          <cell r="GB30" t="str">
            <v/>
          </cell>
          <cell r="GC30" t="str">
            <v/>
          </cell>
          <cell r="GD30" t="str">
            <v/>
          </cell>
          <cell r="GE30" t="str">
            <v/>
          </cell>
          <cell r="GF30" t="str">
            <v/>
          </cell>
          <cell r="GG30" t="str">
            <v/>
          </cell>
          <cell r="GH30" t="str">
            <v/>
          </cell>
          <cell r="GI30" t="str">
            <v/>
          </cell>
          <cell r="GJ30" t="str">
            <v/>
          </cell>
          <cell r="GK30" t="str">
            <v/>
          </cell>
          <cell r="GL30" t="str">
            <v/>
          </cell>
          <cell r="GM30" t="str">
            <v/>
          </cell>
          <cell r="GN30" t="str">
            <v/>
          </cell>
          <cell r="GO30" t="str">
            <v/>
          </cell>
          <cell r="GP30" t="str">
            <v/>
          </cell>
          <cell r="GQ30" t="str">
            <v/>
          </cell>
          <cell r="GR30" t="str">
            <v/>
          </cell>
          <cell r="GS30" t="str">
            <v/>
          </cell>
          <cell r="GT30" t="str">
            <v/>
          </cell>
          <cell r="GU30" t="str">
            <v/>
          </cell>
          <cell r="GV30" t="str">
            <v/>
          </cell>
          <cell r="GW30" t="str">
            <v/>
          </cell>
          <cell r="GX30" t="str">
            <v/>
          </cell>
          <cell r="GY30" t="str">
            <v/>
          </cell>
          <cell r="GZ30" t="str">
            <v/>
          </cell>
          <cell r="HA30" t="str">
            <v/>
          </cell>
          <cell r="HB30" t="str">
            <v/>
          </cell>
          <cell r="HC30" t="str">
            <v/>
          </cell>
          <cell r="HD30" t="str">
            <v/>
          </cell>
          <cell r="HE30" t="str">
            <v/>
          </cell>
          <cell r="HF30" t="str">
            <v/>
          </cell>
          <cell r="HG30" t="str">
            <v/>
          </cell>
          <cell r="HH30" t="str">
            <v/>
          </cell>
          <cell r="HI30" t="str">
            <v/>
          </cell>
          <cell r="HJ30" t="str">
            <v/>
          </cell>
          <cell r="HK30" t="str">
            <v/>
          </cell>
          <cell r="HL30" t="str">
            <v/>
          </cell>
          <cell r="HM30" t="str">
            <v/>
          </cell>
          <cell r="HN30" t="str">
            <v/>
          </cell>
          <cell r="HO30" t="str">
            <v/>
          </cell>
          <cell r="HP30" t="str">
            <v/>
          </cell>
          <cell r="HQ30" t="str">
            <v/>
          </cell>
          <cell r="HR30" t="str">
            <v/>
          </cell>
          <cell r="HS30" t="str">
            <v/>
          </cell>
          <cell r="HT30" t="str">
            <v/>
          </cell>
          <cell r="HU30" t="str">
            <v/>
          </cell>
          <cell r="HV30" t="str">
            <v/>
          </cell>
          <cell r="HW30" t="str">
            <v/>
          </cell>
          <cell r="HX30" t="str">
            <v/>
          </cell>
          <cell r="HY30" t="str">
            <v/>
          </cell>
          <cell r="HZ30" t="str">
            <v/>
          </cell>
          <cell r="IA30" t="str">
            <v/>
          </cell>
          <cell r="IB30" t="str">
            <v/>
          </cell>
          <cell r="IC30" t="str">
            <v/>
          </cell>
          <cell r="ID30" t="str">
            <v/>
          </cell>
          <cell r="IE30" t="str">
            <v/>
          </cell>
          <cell r="IF30" t="str">
            <v/>
          </cell>
          <cell r="IG30" t="str">
            <v/>
          </cell>
          <cell r="IH30" t="str">
            <v/>
          </cell>
          <cell r="II30" t="str">
            <v/>
          </cell>
          <cell r="IJ30" t="str">
            <v/>
          </cell>
          <cell r="IK30" t="str">
            <v/>
          </cell>
          <cell r="IL30" t="str">
            <v/>
          </cell>
          <cell r="IM30" t="str">
            <v/>
          </cell>
          <cell r="IN30" t="str">
            <v/>
          </cell>
          <cell r="IO30" t="str">
            <v/>
          </cell>
          <cell r="IP30" t="str">
            <v/>
          </cell>
          <cell r="IQ30" t="str">
            <v/>
          </cell>
          <cell r="IR30" t="str">
            <v/>
          </cell>
          <cell r="IS30" t="str">
            <v/>
          </cell>
          <cell r="IT30" t="str">
            <v/>
          </cell>
          <cell r="IU30" t="str">
            <v/>
          </cell>
          <cell r="IV30" t="str">
            <v/>
          </cell>
          <cell r="IW30" t="str">
            <v/>
          </cell>
          <cell r="IX30" t="str">
            <v/>
          </cell>
          <cell r="IY30" t="str">
            <v/>
          </cell>
          <cell r="IZ30" t="str">
            <v/>
          </cell>
          <cell r="JA30" t="str">
            <v/>
          </cell>
          <cell r="JB30" t="str">
            <v/>
          </cell>
          <cell r="JC30" t="str">
            <v/>
          </cell>
          <cell r="JD30" t="str">
            <v/>
          </cell>
          <cell r="JE30" t="str">
            <v/>
          </cell>
          <cell r="JF30" t="str">
            <v/>
          </cell>
          <cell r="JG30" t="str">
            <v/>
          </cell>
          <cell r="JH30" t="str">
            <v/>
          </cell>
          <cell r="JI30" t="str">
            <v/>
          </cell>
          <cell r="JJ30" t="str">
            <v/>
          </cell>
          <cell r="JK30" t="str">
            <v/>
          </cell>
          <cell r="JL30" t="str">
            <v/>
          </cell>
          <cell r="JM30" t="str">
            <v/>
          </cell>
          <cell r="JN30" t="str">
            <v/>
          </cell>
          <cell r="JO30" t="str">
            <v/>
          </cell>
          <cell r="JP30" t="str">
            <v/>
          </cell>
          <cell r="JQ30" t="str">
            <v/>
          </cell>
          <cell r="JR30" t="str">
            <v/>
          </cell>
          <cell r="JS30" t="str">
            <v/>
          </cell>
          <cell r="JT30" t="str">
            <v/>
          </cell>
          <cell r="JU30" t="str">
            <v/>
          </cell>
          <cell r="JV30" t="str">
            <v/>
          </cell>
          <cell r="JW30" t="str">
            <v/>
          </cell>
          <cell r="JX30" t="str">
            <v/>
          </cell>
          <cell r="JY30" t="str">
            <v/>
          </cell>
          <cell r="JZ30" t="str">
            <v/>
          </cell>
          <cell r="KA30" t="str">
            <v/>
          </cell>
          <cell r="KB30" t="str">
            <v/>
          </cell>
          <cell r="KC30" t="str">
            <v/>
          </cell>
          <cell r="KD30">
            <v>4</v>
          </cell>
          <cell r="KE30">
            <v>4</v>
          </cell>
          <cell r="KF30">
            <v>4</v>
          </cell>
          <cell r="KG30">
            <v>4</v>
          </cell>
          <cell r="KH30">
            <v>4</v>
          </cell>
          <cell r="KI30">
            <v>4</v>
          </cell>
          <cell r="KJ30">
            <v>3</v>
          </cell>
          <cell r="KK30">
            <v>3</v>
          </cell>
          <cell r="KL30">
            <v>3</v>
          </cell>
          <cell r="KM30">
            <v>0</v>
          </cell>
          <cell r="KP30">
            <v>0</v>
          </cell>
          <cell r="KS30">
            <v>0</v>
          </cell>
          <cell r="KV30">
            <v>0</v>
          </cell>
          <cell r="KY30">
            <v>0</v>
          </cell>
          <cell r="LB30">
            <v>0</v>
          </cell>
          <cell r="LE30">
            <v>0</v>
          </cell>
          <cell r="LH30">
            <v>0</v>
          </cell>
          <cell r="LK30">
            <v>0</v>
          </cell>
          <cell r="LO30">
            <v>45721</v>
          </cell>
          <cell r="LP30" t="str">
            <v>COMPLETADO</v>
          </cell>
        </row>
        <row r="31">
          <cell r="A31">
            <v>1630</v>
          </cell>
          <cell r="B31" t="str">
            <v>LUCIANO</v>
          </cell>
          <cell r="C31" t="str">
            <v>BARRACAS CHICA</v>
          </cell>
          <cell r="D31" t="str">
            <v>MARROQUINERIA CHICA</v>
          </cell>
          <cell r="E31">
            <v>8</v>
          </cell>
          <cell r="F31">
            <v>8</v>
          </cell>
          <cell r="G31">
            <v>8</v>
          </cell>
          <cell r="H31">
            <v>45732.220937500002</v>
          </cell>
          <cell r="I31" t="str">
            <v>NECESSAIRE FELI</v>
          </cell>
          <cell r="J31">
            <v>45705</v>
          </cell>
          <cell r="K31">
            <v>45705</v>
          </cell>
          <cell r="M31">
            <v>55</v>
          </cell>
          <cell r="N31" t="str">
            <v>M069</v>
          </cell>
          <cell r="O31" t="str">
            <v>AV0101040201</v>
          </cell>
          <cell r="P31">
            <v>1</v>
          </cell>
          <cell r="Q31" t="str">
            <v>BAC1300030827</v>
          </cell>
          <cell r="R31">
            <v>0.03</v>
          </cell>
          <cell r="S31" t="str">
            <v>BAC1300050727</v>
          </cell>
          <cell r="T31">
            <v>0.02</v>
          </cell>
          <cell r="U31" t="str">
            <v>BAC0200081126</v>
          </cell>
          <cell r="V31">
            <v>0.03</v>
          </cell>
          <cell r="W31" t="str">
            <v>AV0300390101</v>
          </cell>
          <cell r="X31">
            <v>1</v>
          </cell>
          <cell r="Y31" t="str">
            <v>AV1802220526</v>
          </cell>
          <cell r="Z31">
            <v>0.13</v>
          </cell>
          <cell r="AA31" t="str">
            <v>CIN0000002</v>
          </cell>
          <cell r="AB31">
            <v>1.05</v>
          </cell>
          <cell r="AC31" t="str">
            <v>AV170134014</v>
          </cell>
          <cell r="AD31">
            <v>0</v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>TIRACIERRE N° 1 , CON TIRA GRABADA CON ESTRELLA Y REMACHE</v>
          </cell>
          <cell r="AT31" t="str">
            <v/>
          </cell>
          <cell r="AU31" t="str">
            <v/>
          </cell>
          <cell r="AV31" t="str">
            <v/>
          </cell>
          <cell r="AW31" t="str">
            <v>NO SE GRABA</v>
          </cell>
          <cell r="AX31" t="str">
            <v>ROJO</v>
          </cell>
          <cell r="AY31" t="str">
            <v>ARENA-CUERO BRIDGE IGUANA</v>
          </cell>
          <cell r="AZ31" t="str">
            <v>CUE0000018</v>
          </cell>
          <cell r="BA31">
            <v>0.23</v>
          </cell>
          <cell r="BB31" t="str">
            <v>AV1401254460</v>
          </cell>
          <cell r="BC31">
            <v>0</v>
          </cell>
          <cell r="BD31" t="str">
            <v>AV0100010213</v>
          </cell>
          <cell r="BE31">
            <v>0.32</v>
          </cell>
          <cell r="BF31" t="str">
            <v>FOR0000005</v>
          </cell>
          <cell r="BG31">
            <v>0.08</v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>CARAMELO</v>
          </cell>
          <cell r="BS31" t="str">
            <v>ARENA-CUERO BRIDGE IGUANA</v>
          </cell>
          <cell r="BT31" t="str">
            <v>CUE0000015</v>
          </cell>
          <cell r="BU31">
            <v>0.23</v>
          </cell>
          <cell r="BV31" t="str">
            <v>AV1401250545</v>
          </cell>
          <cell r="BW31">
            <v>0</v>
          </cell>
          <cell r="BX31" t="str">
            <v>AV0100010205</v>
          </cell>
          <cell r="BY31">
            <v>0.32</v>
          </cell>
          <cell r="BZ31" t="str">
            <v>FOR0000005</v>
          </cell>
          <cell r="CA31">
            <v>0.08</v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>CARAMELO</v>
          </cell>
          <cell r="CM31" t="str">
            <v>ARENA-CUERO BRIDGE</v>
          </cell>
          <cell r="CN31" t="str">
            <v>CUE0000004</v>
          </cell>
          <cell r="CO31">
            <v>0.23</v>
          </cell>
          <cell r="CP31" t="str">
            <v>AV1401250545</v>
          </cell>
          <cell r="CQ31">
            <v>0</v>
          </cell>
          <cell r="CR31" t="str">
            <v>AV0100010205</v>
          </cell>
          <cell r="CS31">
            <v>0.32</v>
          </cell>
          <cell r="CT31" t="str">
            <v>FOR0000005</v>
          </cell>
          <cell r="CU31">
            <v>0.08</v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  <cell r="DW31" t="str">
            <v/>
          </cell>
          <cell r="DX31" t="str">
            <v/>
          </cell>
          <cell r="DY31" t="str">
            <v/>
          </cell>
          <cell r="DZ31" t="str">
            <v/>
          </cell>
          <cell r="EA31" t="str">
            <v/>
          </cell>
          <cell r="EB31" t="str">
            <v/>
          </cell>
          <cell r="EC31" t="str">
            <v/>
          </cell>
          <cell r="ED31" t="str">
            <v/>
          </cell>
          <cell r="EE31" t="str">
            <v/>
          </cell>
          <cell r="EF31" t="str">
            <v/>
          </cell>
          <cell r="EG31" t="str">
            <v/>
          </cell>
          <cell r="EH31" t="str">
            <v/>
          </cell>
          <cell r="EI31" t="str">
            <v/>
          </cell>
          <cell r="EJ31" t="str">
            <v/>
          </cell>
          <cell r="EK31" t="str">
            <v/>
          </cell>
          <cell r="EL31" t="str">
            <v/>
          </cell>
          <cell r="EM31" t="str">
            <v/>
          </cell>
          <cell r="EN31" t="str">
            <v/>
          </cell>
          <cell r="EO31" t="str">
            <v/>
          </cell>
          <cell r="EP31" t="str">
            <v/>
          </cell>
          <cell r="EQ31" t="str">
            <v/>
          </cell>
          <cell r="ER31" t="str">
            <v/>
          </cell>
          <cell r="ES31" t="str">
            <v/>
          </cell>
          <cell r="ET31" t="str">
            <v/>
          </cell>
          <cell r="EU31" t="str">
            <v/>
          </cell>
          <cell r="EV31" t="str">
            <v/>
          </cell>
          <cell r="EW31" t="str">
            <v/>
          </cell>
          <cell r="EX31" t="str">
            <v/>
          </cell>
          <cell r="EY31" t="str">
            <v/>
          </cell>
          <cell r="EZ31" t="str">
            <v/>
          </cell>
          <cell r="FA31" t="str">
            <v/>
          </cell>
          <cell r="FB31" t="str">
            <v/>
          </cell>
          <cell r="FC31" t="str">
            <v/>
          </cell>
          <cell r="FD31" t="str">
            <v/>
          </cell>
          <cell r="FE31" t="str">
            <v/>
          </cell>
          <cell r="FF31" t="str">
            <v/>
          </cell>
          <cell r="FG31" t="str">
            <v/>
          </cell>
          <cell r="FH31" t="str">
            <v/>
          </cell>
          <cell r="FI31" t="str">
            <v/>
          </cell>
          <cell r="FJ31" t="str">
            <v/>
          </cell>
          <cell r="FK31" t="str">
            <v/>
          </cell>
          <cell r="FL31" t="str">
            <v/>
          </cell>
          <cell r="FM31" t="str">
            <v/>
          </cell>
          <cell r="FN31" t="str">
            <v/>
          </cell>
          <cell r="FO31" t="str">
            <v/>
          </cell>
          <cell r="FP31" t="str">
            <v/>
          </cell>
          <cell r="FQ31" t="str">
            <v/>
          </cell>
          <cell r="FR31" t="str">
            <v/>
          </cell>
          <cell r="FS31" t="str">
            <v/>
          </cell>
          <cell r="FT31" t="str">
            <v/>
          </cell>
          <cell r="FU31" t="str">
            <v/>
          </cell>
          <cell r="FV31" t="str">
            <v/>
          </cell>
          <cell r="FW31" t="str">
            <v/>
          </cell>
          <cell r="FX31" t="str">
            <v/>
          </cell>
          <cell r="FY31" t="str">
            <v/>
          </cell>
          <cell r="FZ31" t="str">
            <v/>
          </cell>
          <cell r="GA31" t="str">
            <v/>
          </cell>
          <cell r="GB31" t="str">
            <v/>
          </cell>
          <cell r="GC31" t="str">
            <v/>
          </cell>
          <cell r="GD31" t="str">
            <v/>
          </cell>
          <cell r="GE31" t="str">
            <v/>
          </cell>
          <cell r="GF31" t="str">
            <v/>
          </cell>
          <cell r="GG31" t="str">
            <v/>
          </cell>
          <cell r="GH31" t="str">
            <v/>
          </cell>
          <cell r="GI31" t="str">
            <v/>
          </cell>
          <cell r="GJ31" t="str">
            <v/>
          </cell>
          <cell r="GK31" t="str">
            <v/>
          </cell>
          <cell r="GL31" t="str">
            <v/>
          </cell>
          <cell r="GM31" t="str">
            <v/>
          </cell>
          <cell r="GN31" t="str">
            <v/>
          </cell>
          <cell r="GO31" t="str">
            <v/>
          </cell>
          <cell r="GP31" t="str">
            <v/>
          </cell>
          <cell r="GQ31" t="str">
            <v/>
          </cell>
          <cell r="GR31" t="str">
            <v/>
          </cell>
          <cell r="GS31" t="str">
            <v/>
          </cell>
          <cell r="GT31" t="str">
            <v/>
          </cell>
          <cell r="GU31" t="str">
            <v/>
          </cell>
          <cell r="GV31" t="str">
            <v/>
          </cell>
          <cell r="GW31" t="str">
            <v/>
          </cell>
          <cell r="GX31" t="str">
            <v/>
          </cell>
          <cell r="GY31" t="str">
            <v/>
          </cell>
          <cell r="GZ31" t="str">
            <v/>
          </cell>
          <cell r="HA31" t="str">
            <v/>
          </cell>
          <cell r="HB31" t="str">
            <v/>
          </cell>
          <cell r="HC31" t="str">
            <v/>
          </cell>
          <cell r="HD31" t="str">
            <v/>
          </cell>
          <cell r="HE31" t="str">
            <v/>
          </cell>
          <cell r="HF31" t="str">
            <v/>
          </cell>
          <cell r="HG31" t="str">
            <v/>
          </cell>
          <cell r="HH31" t="str">
            <v/>
          </cell>
          <cell r="HI31" t="str">
            <v/>
          </cell>
          <cell r="HJ31" t="str">
            <v/>
          </cell>
          <cell r="HK31" t="str">
            <v/>
          </cell>
          <cell r="HL31" t="str">
            <v/>
          </cell>
          <cell r="HM31" t="str">
            <v/>
          </cell>
          <cell r="HN31" t="str">
            <v/>
          </cell>
          <cell r="HO31" t="str">
            <v/>
          </cell>
          <cell r="HP31" t="str">
            <v/>
          </cell>
          <cell r="HQ31" t="str">
            <v/>
          </cell>
          <cell r="HR31" t="str">
            <v/>
          </cell>
          <cell r="HS31" t="str">
            <v/>
          </cell>
          <cell r="HT31" t="str">
            <v/>
          </cell>
          <cell r="HU31" t="str">
            <v/>
          </cell>
          <cell r="HV31" t="str">
            <v/>
          </cell>
          <cell r="HW31" t="str">
            <v/>
          </cell>
          <cell r="HX31" t="str">
            <v/>
          </cell>
          <cell r="HY31" t="str">
            <v/>
          </cell>
          <cell r="HZ31" t="str">
            <v/>
          </cell>
          <cell r="IA31" t="str">
            <v/>
          </cell>
          <cell r="IB31" t="str">
            <v/>
          </cell>
          <cell r="IC31" t="str">
            <v/>
          </cell>
          <cell r="ID31" t="str">
            <v/>
          </cell>
          <cell r="IE31" t="str">
            <v/>
          </cell>
          <cell r="IF31" t="str">
            <v/>
          </cell>
          <cell r="IG31" t="str">
            <v/>
          </cell>
          <cell r="IH31" t="str">
            <v/>
          </cell>
          <cell r="II31" t="str">
            <v/>
          </cell>
          <cell r="IJ31" t="str">
            <v/>
          </cell>
          <cell r="IK31" t="str">
            <v/>
          </cell>
          <cell r="IL31" t="str">
            <v/>
          </cell>
          <cell r="IM31" t="str">
            <v/>
          </cell>
          <cell r="IN31" t="str">
            <v/>
          </cell>
          <cell r="IO31" t="str">
            <v/>
          </cell>
          <cell r="IP31" t="str">
            <v/>
          </cell>
          <cell r="IQ31" t="str">
            <v/>
          </cell>
          <cell r="IR31" t="str">
            <v/>
          </cell>
          <cell r="IS31" t="str">
            <v/>
          </cell>
          <cell r="IT31" t="str">
            <v/>
          </cell>
          <cell r="IU31" t="str">
            <v/>
          </cell>
          <cell r="IV31" t="str">
            <v/>
          </cell>
          <cell r="IW31" t="str">
            <v/>
          </cell>
          <cell r="IX31" t="str">
            <v/>
          </cell>
          <cell r="IY31" t="str">
            <v/>
          </cell>
          <cell r="IZ31" t="str">
            <v/>
          </cell>
          <cell r="JA31" t="str">
            <v/>
          </cell>
          <cell r="JB31" t="str">
            <v/>
          </cell>
          <cell r="JC31" t="str">
            <v/>
          </cell>
          <cell r="JD31" t="str">
            <v/>
          </cell>
          <cell r="JE31" t="str">
            <v/>
          </cell>
          <cell r="JF31" t="str">
            <v/>
          </cell>
          <cell r="JG31" t="str">
            <v/>
          </cell>
          <cell r="JH31" t="str">
            <v/>
          </cell>
          <cell r="JI31" t="str">
            <v/>
          </cell>
          <cell r="JJ31" t="str">
            <v/>
          </cell>
          <cell r="JK31" t="str">
            <v/>
          </cell>
          <cell r="JL31" t="str">
            <v/>
          </cell>
          <cell r="JM31" t="str">
            <v/>
          </cell>
          <cell r="JN31" t="str">
            <v/>
          </cell>
          <cell r="JO31" t="str">
            <v/>
          </cell>
          <cell r="JP31" t="str">
            <v/>
          </cell>
          <cell r="JQ31" t="str">
            <v/>
          </cell>
          <cell r="JR31" t="str">
            <v/>
          </cell>
          <cell r="JS31" t="str">
            <v/>
          </cell>
          <cell r="JT31" t="str">
            <v/>
          </cell>
          <cell r="JU31" t="str">
            <v/>
          </cell>
          <cell r="JV31" t="str">
            <v/>
          </cell>
          <cell r="JW31" t="str">
            <v/>
          </cell>
          <cell r="JX31" t="str">
            <v/>
          </cell>
          <cell r="JY31" t="str">
            <v/>
          </cell>
          <cell r="JZ31" t="str">
            <v/>
          </cell>
          <cell r="KA31" t="str">
            <v/>
          </cell>
          <cell r="KB31" t="str">
            <v/>
          </cell>
          <cell r="KC31" t="str">
            <v/>
          </cell>
          <cell r="KD31">
            <v>2</v>
          </cell>
          <cell r="KE31">
            <v>2</v>
          </cell>
          <cell r="KF31">
            <v>2</v>
          </cell>
          <cell r="KG31">
            <v>4</v>
          </cell>
          <cell r="KH31">
            <v>4</v>
          </cell>
          <cell r="KI31">
            <v>4</v>
          </cell>
          <cell r="KJ31">
            <v>2</v>
          </cell>
          <cell r="KK31">
            <v>2</v>
          </cell>
          <cell r="KL31">
            <v>2</v>
          </cell>
          <cell r="KM31">
            <v>0</v>
          </cell>
          <cell r="KP31">
            <v>0</v>
          </cell>
          <cell r="KS31">
            <v>0</v>
          </cell>
          <cell r="KV31">
            <v>0</v>
          </cell>
          <cell r="KY31">
            <v>0</v>
          </cell>
          <cell r="LB31">
            <v>0</v>
          </cell>
          <cell r="LE31">
            <v>0</v>
          </cell>
          <cell r="LH31">
            <v>0</v>
          </cell>
          <cell r="LK31">
            <v>0</v>
          </cell>
          <cell r="LO31">
            <v>45747</v>
          </cell>
          <cell r="LP31" t="str">
            <v>COMPLETADO</v>
          </cell>
        </row>
        <row r="32">
          <cell r="A32">
            <v>1631</v>
          </cell>
          <cell r="B32" t="str">
            <v>RUBEN</v>
          </cell>
          <cell r="C32" t="str">
            <v>BARRACAS GRANDE</v>
          </cell>
          <cell r="D32" t="str">
            <v>MARROQUINERIA CHICA</v>
          </cell>
          <cell r="E32">
            <v>16</v>
          </cell>
          <cell r="F32">
            <v>16</v>
          </cell>
          <cell r="G32">
            <v>16</v>
          </cell>
          <cell r="H32">
            <v>45732.224895833337</v>
          </cell>
          <cell r="I32" t="str">
            <v>NECESSAIRE LANIN</v>
          </cell>
          <cell r="J32">
            <v>45705</v>
          </cell>
          <cell r="K32">
            <v>45705</v>
          </cell>
          <cell r="M32">
            <v>40</v>
          </cell>
          <cell r="N32" t="str">
            <v>M070</v>
          </cell>
          <cell r="O32" t="str">
            <v>AV0101040201</v>
          </cell>
          <cell r="P32">
            <v>2</v>
          </cell>
          <cell r="Q32" t="str">
            <v>AV1000380101</v>
          </cell>
          <cell r="R32">
            <v>2</v>
          </cell>
          <cell r="S32" t="str">
            <v>AV0300390101</v>
          </cell>
          <cell r="T32">
            <v>2</v>
          </cell>
          <cell r="U32" t="str">
            <v>AV1802220526</v>
          </cell>
          <cell r="V32">
            <v>0.25</v>
          </cell>
          <cell r="W32" t="str">
            <v>AV170134014</v>
          </cell>
          <cell r="X32">
            <v>0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>TIRACIERRE N 20 - PARA CIERRES VISLON&gt;&gt; CUERO RECTO CON COSTURA</v>
          </cell>
          <cell r="AT32" t="str">
            <v>TIRACIERRE N 1 - PARA CIERRES METAL&gt;&gt; TIRA CON REMACHE + GRABADO</v>
          </cell>
          <cell r="AU32" t="str">
            <v/>
          </cell>
          <cell r="AV32" t="str">
            <v/>
          </cell>
          <cell r="AW32" t="str">
            <v xml:space="preserve">GRABADO "EL LUCERO GRANDE"EN EL LATERAL SIN MANIJA, A 1,5 CM DEL BORDE SUPERIOR.  </v>
          </cell>
          <cell r="AX32" t="str">
            <v>NEGRO</v>
          </cell>
          <cell r="AY32" t="str">
            <v>ARENA-CUERO BRIDGE</v>
          </cell>
          <cell r="AZ32" t="str">
            <v>CUE0000009</v>
          </cell>
          <cell r="BA32">
            <v>0.22</v>
          </cell>
          <cell r="BB32" t="str">
            <v>AV1401254060</v>
          </cell>
          <cell r="BC32">
            <v>0</v>
          </cell>
          <cell r="BD32" t="str">
            <v>FOR0000004</v>
          </cell>
          <cell r="BE32">
            <v>0.28000000000000003</v>
          </cell>
          <cell r="BF32" t="str">
            <v>AV0100010103</v>
          </cell>
          <cell r="BG32">
            <v>0.74</v>
          </cell>
          <cell r="BH32" t="str">
            <v>AV1801610526</v>
          </cell>
          <cell r="BI32">
            <v>0.74</v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>TABACO</v>
          </cell>
          <cell r="BS32" t="str">
            <v>ARENA-CUERO BRIDGE</v>
          </cell>
          <cell r="BT32" t="str">
            <v>CUE0000012</v>
          </cell>
          <cell r="BU32">
            <v>0.22</v>
          </cell>
          <cell r="BV32" t="str">
            <v>AV1401250545</v>
          </cell>
          <cell r="BW32">
            <v>0</v>
          </cell>
          <cell r="BX32" t="str">
            <v>FOR0000004</v>
          </cell>
          <cell r="BY32">
            <v>0.28000000000000003</v>
          </cell>
          <cell r="BZ32" t="str">
            <v>AV0100010114</v>
          </cell>
          <cell r="CA32">
            <v>0.74</v>
          </cell>
          <cell r="CB32" t="str">
            <v>AV1801610538</v>
          </cell>
          <cell r="CC32">
            <v>0.74</v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>CEDRO</v>
          </cell>
          <cell r="CM32" t="str">
            <v>BIANCO-CUERO FIORENTINO</v>
          </cell>
          <cell r="CN32" t="str">
            <v>CUE0000055</v>
          </cell>
          <cell r="CO32">
            <v>0.22</v>
          </cell>
          <cell r="CP32" t="str">
            <v>AV1401250545</v>
          </cell>
          <cell r="CQ32">
            <v>0</v>
          </cell>
          <cell r="CR32" t="str">
            <v>FOR0000004</v>
          </cell>
          <cell r="CS32">
            <v>0.28000000000000003</v>
          </cell>
          <cell r="CT32" t="str">
            <v>AV0100010111</v>
          </cell>
          <cell r="CU32">
            <v>0.74</v>
          </cell>
          <cell r="CV32" t="str">
            <v>AV1801610538</v>
          </cell>
          <cell r="CW32">
            <v>0.74</v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  <cell r="DY32" t="str">
            <v/>
          </cell>
          <cell r="DZ32" t="str">
            <v/>
          </cell>
          <cell r="EA32" t="str">
            <v/>
          </cell>
          <cell r="EB32" t="str">
            <v/>
          </cell>
          <cell r="EC32" t="str">
            <v/>
          </cell>
          <cell r="ED32" t="str">
            <v/>
          </cell>
          <cell r="EE32" t="str">
            <v/>
          </cell>
          <cell r="EF32" t="str">
            <v/>
          </cell>
          <cell r="EG32" t="str">
            <v/>
          </cell>
          <cell r="EH32" t="str">
            <v/>
          </cell>
          <cell r="EI32" t="str">
            <v/>
          </cell>
          <cell r="EJ32" t="str">
            <v/>
          </cell>
          <cell r="EK32" t="str">
            <v/>
          </cell>
          <cell r="EL32" t="str">
            <v/>
          </cell>
          <cell r="EM32" t="str">
            <v/>
          </cell>
          <cell r="EN32" t="str">
            <v/>
          </cell>
          <cell r="EO32" t="str">
            <v/>
          </cell>
          <cell r="EP32" t="str">
            <v/>
          </cell>
          <cell r="EQ32" t="str">
            <v/>
          </cell>
          <cell r="ER32" t="str">
            <v/>
          </cell>
          <cell r="ES32" t="str">
            <v/>
          </cell>
          <cell r="ET32" t="str">
            <v/>
          </cell>
          <cell r="EU32" t="str">
            <v/>
          </cell>
          <cell r="EV32" t="str">
            <v/>
          </cell>
          <cell r="EW32" t="str">
            <v/>
          </cell>
          <cell r="EX32" t="str">
            <v/>
          </cell>
          <cell r="EY32" t="str">
            <v/>
          </cell>
          <cell r="EZ32" t="str">
            <v/>
          </cell>
          <cell r="FA32" t="str">
            <v/>
          </cell>
          <cell r="FB32" t="str">
            <v/>
          </cell>
          <cell r="FC32" t="str">
            <v/>
          </cell>
          <cell r="FD32" t="str">
            <v/>
          </cell>
          <cell r="FE32" t="str">
            <v/>
          </cell>
          <cell r="FF32" t="str">
            <v/>
          </cell>
          <cell r="FG32" t="str">
            <v/>
          </cell>
          <cell r="FH32" t="str">
            <v/>
          </cell>
          <cell r="FI32" t="str">
            <v/>
          </cell>
          <cell r="FJ32" t="str">
            <v/>
          </cell>
          <cell r="FK32" t="str">
            <v/>
          </cell>
          <cell r="FL32" t="str">
            <v/>
          </cell>
          <cell r="FM32" t="str">
            <v/>
          </cell>
          <cell r="FN32" t="str">
            <v/>
          </cell>
          <cell r="FO32" t="str">
            <v/>
          </cell>
          <cell r="FP32" t="str">
            <v/>
          </cell>
          <cell r="FQ32" t="str">
            <v/>
          </cell>
          <cell r="FR32" t="str">
            <v/>
          </cell>
          <cell r="FS32" t="str">
            <v/>
          </cell>
          <cell r="FT32" t="str">
            <v/>
          </cell>
          <cell r="FU32" t="str">
            <v/>
          </cell>
          <cell r="FV32" t="str">
            <v/>
          </cell>
          <cell r="FW32" t="str">
            <v/>
          </cell>
          <cell r="FX32" t="str">
            <v/>
          </cell>
          <cell r="FY32" t="str">
            <v/>
          </cell>
          <cell r="FZ32" t="str">
            <v/>
          </cell>
          <cell r="GA32" t="str">
            <v/>
          </cell>
          <cell r="GB32" t="str">
            <v/>
          </cell>
          <cell r="GC32" t="str">
            <v/>
          </cell>
          <cell r="GD32" t="str">
            <v/>
          </cell>
          <cell r="GE32" t="str">
            <v/>
          </cell>
          <cell r="GF32" t="str">
            <v/>
          </cell>
          <cell r="GG32" t="str">
            <v/>
          </cell>
          <cell r="GH32" t="str">
            <v/>
          </cell>
          <cell r="GI32" t="str">
            <v/>
          </cell>
          <cell r="GJ32" t="str">
            <v/>
          </cell>
          <cell r="GK32" t="str">
            <v/>
          </cell>
          <cell r="GL32" t="str">
            <v/>
          </cell>
          <cell r="GM32" t="str">
            <v/>
          </cell>
          <cell r="GN32" t="str">
            <v/>
          </cell>
          <cell r="GO32" t="str">
            <v/>
          </cell>
          <cell r="GP32" t="str">
            <v/>
          </cell>
          <cell r="GQ32" t="str">
            <v/>
          </cell>
          <cell r="GR32" t="str">
            <v/>
          </cell>
          <cell r="GS32" t="str">
            <v/>
          </cell>
          <cell r="GT32" t="str">
            <v/>
          </cell>
          <cell r="GU32" t="str">
            <v/>
          </cell>
          <cell r="GV32" t="str">
            <v/>
          </cell>
          <cell r="GW32" t="str">
            <v/>
          </cell>
          <cell r="GX32" t="str">
            <v/>
          </cell>
          <cell r="GY32" t="str">
            <v/>
          </cell>
          <cell r="GZ32" t="str">
            <v/>
          </cell>
          <cell r="HA32" t="str">
            <v/>
          </cell>
          <cell r="HB32" t="str">
            <v/>
          </cell>
          <cell r="HC32" t="str">
            <v/>
          </cell>
          <cell r="HD32" t="str">
            <v/>
          </cell>
          <cell r="HE32" t="str">
            <v/>
          </cell>
          <cell r="HF32" t="str">
            <v/>
          </cell>
          <cell r="HG32" t="str">
            <v/>
          </cell>
          <cell r="HH32" t="str">
            <v/>
          </cell>
          <cell r="HI32" t="str">
            <v/>
          </cell>
          <cell r="HJ32" t="str">
            <v/>
          </cell>
          <cell r="HK32" t="str">
            <v/>
          </cell>
          <cell r="HL32" t="str">
            <v/>
          </cell>
          <cell r="HM32" t="str">
            <v/>
          </cell>
          <cell r="HN32" t="str">
            <v/>
          </cell>
          <cell r="HO32" t="str">
            <v/>
          </cell>
          <cell r="HP32" t="str">
            <v/>
          </cell>
          <cell r="HQ32" t="str">
            <v/>
          </cell>
          <cell r="HR32" t="str">
            <v/>
          </cell>
          <cell r="HS32" t="str">
            <v/>
          </cell>
          <cell r="HT32" t="str">
            <v/>
          </cell>
          <cell r="HU32" t="str">
            <v/>
          </cell>
          <cell r="HV32" t="str">
            <v/>
          </cell>
          <cell r="HW32" t="str">
            <v/>
          </cell>
          <cell r="HX32" t="str">
            <v/>
          </cell>
          <cell r="HY32" t="str">
            <v/>
          </cell>
          <cell r="HZ32" t="str">
            <v/>
          </cell>
          <cell r="IA32" t="str">
            <v/>
          </cell>
          <cell r="IB32" t="str">
            <v/>
          </cell>
          <cell r="IC32" t="str">
            <v/>
          </cell>
          <cell r="ID32" t="str">
            <v/>
          </cell>
          <cell r="IE32" t="str">
            <v/>
          </cell>
          <cell r="IF32" t="str">
            <v/>
          </cell>
          <cell r="IG32" t="str">
            <v/>
          </cell>
          <cell r="IH32" t="str">
            <v/>
          </cell>
          <cell r="II32" t="str">
            <v/>
          </cell>
          <cell r="IJ32" t="str">
            <v/>
          </cell>
          <cell r="IK32" t="str">
            <v/>
          </cell>
          <cell r="IL32" t="str">
            <v/>
          </cell>
          <cell r="IM32" t="str">
            <v/>
          </cell>
          <cell r="IN32" t="str">
            <v/>
          </cell>
          <cell r="IO32" t="str">
            <v/>
          </cell>
          <cell r="IP32" t="str">
            <v/>
          </cell>
          <cell r="IQ32" t="str">
            <v/>
          </cell>
          <cell r="IR32" t="str">
            <v/>
          </cell>
          <cell r="IS32" t="str">
            <v/>
          </cell>
          <cell r="IT32" t="str">
            <v/>
          </cell>
          <cell r="IU32" t="str">
            <v/>
          </cell>
          <cell r="IV32" t="str">
            <v/>
          </cell>
          <cell r="IW32" t="str">
            <v/>
          </cell>
          <cell r="IX32" t="str">
            <v/>
          </cell>
          <cell r="IY32" t="str">
            <v/>
          </cell>
          <cell r="IZ32" t="str">
            <v/>
          </cell>
          <cell r="JA32" t="str">
            <v/>
          </cell>
          <cell r="JB32" t="str">
            <v/>
          </cell>
          <cell r="JC32" t="str">
            <v/>
          </cell>
          <cell r="JD32" t="str">
            <v/>
          </cell>
          <cell r="JE32" t="str">
            <v/>
          </cell>
          <cell r="JF32" t="str">
            <v/>
          </cell>
          <cell r="JG32" t="str">
            <v/>
          </cell>
          <cell r="JH32" t="str">
            <v/>
          </cell>
          <cell r="JI32" t="str">
            <v/>
          </cell>
          <cell r="JJ32" t="str">
            <v/>
          </cell>
          <cell r="JK32" t="str">
            <v/>
          </cell>
          <cell r="JL32" t="str">
            <v/>
          </cell>
          <cell r="JM32" t="str">
            <v/>
          </cell>
          <cell r="JN32" t="str">
            <v/>
          </cell>
          <cell r="JO32" t="str">
            <v/>
          </cell>
          <cell r="JP32" t="str">
            <v/>
          </cell>
          <cell r="JQ32" t="str">
            <v/>
          </cell>
          <cell r="JR32" t="str">
            <v/>
          </cell>
          <cell r="JS32" t="str">
            <v/>
          </cell>
          <cell r="JT32" t="str">
            <v/>
          </cell>
          <cell r="JU32" t="str">
            <v/>
          </cell>
          <cell r="JV32" t="str">
            <v/>
          </cell>
          <cell r="JW32" t="str">
            <v/>
          </cell>
          <cell r="JX32" t="str">
            <v/>
          </cell>
          <cell r="JY32" t="str">
            <v/>
          </cell>
          <cell r="JZ32" t="str">
            <v/>
          </cell>
          <cell r="KA32" t="str">
            <v/>
          </cell>
          <cell r="KB32" t="str">
            <v/>
          </cell>
          <cell r="KC32" t="str">
            <v/>
          </cell>
          <cell r="KD32">
            <v>6</v>
          </cell>
          <cell r="KE32">
            <v>6</v>
          </cell>
          <cell r="KF32">
            <v>6</v>
          </cell>
          <cell r="KG32">
            <v>6</v>
          </cell>
          <cell r="KH32">
            <v>6</v>
          </cell>
          <cell r="KI32">
            <v>6</v>
          </cell>
          <cell r="KJ32">
            <v>4</v>
          </cell>
          <cell r="KK32">
            <v>4</v>
          </cell>
          <cell r="KL32">
            <v>4</v>
          </cell>
          <cell r="KM32">
            <v>0</v>
          </cell>
          <cell r="KP32">
            <v>0</v>
          </cell>
          <cell r="KS32">
            <v>0</v>
          </cell>
          <cell r="KV32">
            <v>0</v>
          </cell>
          <cell r="KY32">
            <v>0</v>
          </cell>
          <cell r="LB32">
            <v>0</v>
          </cell>
          <cell r="LE32">
            <v>0</v>
          </cell>
          <cell r="LH32">
            <v>0</v>
          </cell>
          <cell r="LK32">
            <v>0</v>
          </cell>
          <cell r="LO32">
            <v>45721</v>
          </cell>
          <cell r="LP32" t="str">
            <v>COMPLETADO</v>
          </cell>
        </row>
        <row r="33">
          <cell r="A33">
            <v>1632</v>
          </cell>
          <cell r="B33" t="str">
            <v>RUBEN</v>
          </cell>
          <cell r="C33" t="str">
            <v>BARRACAS GRANDE</v>
          </cell>
          <cell r="D33" t="str">
            <v>MARROQUINERIA GRANDE</v>
          </cell>
          <cell r="E33">
            <v>6</v>
          </cell>
          <cell r="F33">
            <v>6</v>
          </cell>
          <cell r="G33">
            <v>6</v>
          </cell>
          <cell r="H33">
            <v>45732.233530092592</v>
          </cell>
          <cell r="I33" t="str">
            <v>NECESSAIRE LANIN FULL BLACK</v>
          </cell>
          <cell r="J33">
            <v>45705</v>
          </cell>
          <cell r="K33">
            <v>45705</v>
          </cell>
          <cell r="M33">
            <v>40</v>
          </cell>
          <cell r="N33" t="str">
            <v>M071</v>
          </cell>
          <cell r="O33" t="str">
            <v>AV0101040201</v>
          </cell>
          <cell r="P33">
            <v>2</v>
          </cell>
          <cell r="Q33" t="str">
            <v>AV1000380101</v>
          </cell>
          <cell r="R33">
            <v>2</v>
          </cell>
          <cell r="S33" t="str">
            <v>AV0300390101</v>
          </cell>
          <cell r="T33">
            <v>2</v>
          </cell>
          <cell r="U33" t="str">
            <v>AV1802220526</v>
          </cell>
          <cell r="V33">
            <v>0.25</v>
          </cell>
          <cell r="W33" t="str">
            <v>AV170134014</v>
          </cell>
          <cell r="X33">
            <v>0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>TIRACIERRE N 20 - PARA CIERRES VISLON&gt;&gt; CUERO RECTO CON COSTURA</v>
          </cell>
          <cell r="AT33" t="str">
            <v/>
          </cell>
          <cell r="AU33" t="str">
            <v/>
          </cell>
          <cell r="AV33" t="str">
            <v/>
          </cell>
          <cell r="AW33" t="str">
            <v xml:space="preserve">GRABADO "EL LUCERO GRANDE"EN EL LATERAL SIN MANIJA, A 1,5 CM DEL BORDE SUPERIOR.  </v>
          </cell>
          <cell r="AX33" t="str">
            <v>NEGRO</v>
          </cell>
          <cell r="AY33" t="str">
            <v>ARENA-CUERO BRIDGE</v>
          </cell>
          <cell r="AZ33" t="str">
            <v>CUE0000009</v>
          </cell>
          <cell r="BA33">
            <v>0.22</v>
          </cell>
          <cell r="BB33" t="str">
            <v>AV1401254060</v>
          </cell>
          <cell r="BC33">
            <v>0</v>
          </cell>
          <cell r="BD33" t="str">
            <v>FOR0000004</v>
          </cell>
          <cell r="BE33">
            <v>0.28000000000000003</v>
          </cell>
          <cell r="BF33" t="str">
            <v>AV0102190303</v>
          </cell>
          <cell r="BG33">
            <v>0.74</v>
          </cell>
          <cell r="BH33" t="str">
            <v>AV1801370726</v>
          </cell>
          <cell r="BI33">
            <v>0.74</v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  <cell r="DW33" t="str">
            <v/>
          </cell>
          <cell r="DX33" t="str">
            <v/>
          </cell>
          <cell r="DY33" t="str">
            <v/>
          </cell>
          <cell r="DZ33" t="str">
            <v/>
          </cell>
          <cell r="EA33" t="str">
            <v/>
          </cell>
          <cell r="EB33" t="str">
            <v/>
          </cell>
          <cell r="EC33" t="str">
            <v/>
          </cell>
          <cell r="ED33" t="str">
            <v/>
          </cell>
          <cell r="EE33" t="str">
            <v/>
          </cell>
          <cell r="EF33" t="str">
            <v/>
          </cell>
          <cell r="EG33" t="str">
            <v/>
          </cell>
          <cell r="EH33" t="str">
            <v/>
          </cell>
          <cell r="EI33" t="str">
            <v/>
          </cell>
          <cell r="EJ33" t="str">
            <v/>
          </cell>
          <cell r="EK33" t="str">
            <v/>
          </cell>
          <cell r="EL33" t="str">
            <v/>
          </cell>
          <cell r="EM33" t="str">
            <v/>
          </cell>
          <cell r="EN33" t="str">
            <v/>
          </cell>
          <cell r="EO33" t="str">
            <v/>
          </cell>
          <cell r="EP33" t="str">
            <v/>
          </cell>
          <cell r="EQ33" t="str">
            <v/>
          </cell>
          <cell r="ER33" t="str">
            <v/>
          </cell>
          <cell r="ES33" t="str">
            <v/>
          </cell>
          <cell r="ET33" t="str">
            <v/>
          </cell>
          <cell r="EU33" t="str">
            <v/>
          </cell>
          <cell r="EV33" t="str">
            <v/>
          </cell>
          <cell r="EW33" t="str">
            <v/>
          </cell>
          <cell r="EX33" t="str">
            <v/>
          </cell>
          <cell r="EY33" t="str">
            <v/>
          </cell>
          <cell r="EZ33" t="str">
            <v/>
          </cell>
          <cell r="FA33" t="str">
            <v/>
          </cell>
          <cell r="FB33" t="str">
            <v/>
          </cell>
          <cell r="FC33" t="str">
            <v/>
          </cell>
          <cell r="FD33" t="str">
            <v/>
          </cell>
          <cell r="FE33" t="str">
            <v/>
          </cell>
          <cell r="FF33" t="str">
            <v/>
          </cell>
          <cell r="FG33" t="str">
            <v/>
          </cell>
          <cell r="FH33" t="str">
            <v/>
          </cell>
          <cell r="FI33" t="str">
            <v/>
          </cell>
          <cell r="FJ33" t="str">
            <v/>
          </cell>
          <cell r="FK33" t="str">
            <v/>
          </cell>
          <cell r="FL33" t="str">
            <v/>
          </cell>
          <cell r="FM33" t="str">
            <v/>
          </cell>
          <cell r="FN33" t="str">
            <v/>
          </cell>
          <cell r="FO33" t="str">
            <v/>
          </cell>
          <cell r="FP33" t="str">
            <v/>
          </cell>
          <cell r="FQ33" t="str">
            <v/>
          </cell>
          <cell r="FR33" t="str">
            <v/>
          </cell>
          <cell r="FS33" t="str">
            <v/>
          </cell>
          <cell r="FT33" t="str">
            <v/>
          </cell>
          <cell r="FU33" t="str">
            <v/>
          </cell>
          <cell r="FV33" t="str">
            <v/>
          </cell>
          <cell r="FW33" t="str">
            <v/>
          </cell>
          <cell r="FX33" t="str">
            <v/>
          </cell>
          <cell r="FY33" t="str">
            <v/>
          </cell>
          <cell r="FZ33" t="str">
            <v/>
          </cell>
          <cell r="GA33" t="str">
            <v/>
          </cell>
          <cell r="GB33" t="str">
            <v/>
          </cell>
          <cell r="GC33" t="str">
            <v/>
          </cell>
          <cell r="GD33" t="str">
            <v/>
          </cell>
          <cell r="GE33" t="str">
            <v/>
          </cell>
          <cell r="GF33" t="str">
            <v/>
          </cell>
          <cell r="GG33" t="str">
            <v/>
          </cell>
          <cell r="GH33" t="str">
            <v/>
          </cell>
          <cell r="GI33" t="str">
            <v/>
          </cell>
          <cell r="GJ33" t="str">
            <v/>
          </cell>
          <cell r="GK33" t="str">
            <v/>
          </cell>
          <cell r="GL33" t="str">
            <v/>
          </cell>
          <cell r="GM33" t="str">
            <v/>
          </cell>
          <cell r="GN33" t="str">
            <v/>
          </cell>
          <cell r="GO33" t="str">
            <v/>
          </cell>
          <cell r="GP33" t="str">
            <v/>
          </cell>
          <cell r="GQ33" t="str">
            <v/>
          </cell>
          <cell r="GR33" t="str">
            <v/>
          </cell>
          <cell r="GS33" t="str">
            <v/>
          </cell>
          <cell r="GT33" t="str">
            <v/>
          </cell>
          <cell r="GU33" t="str">
            <v/>
          </cell>
          <cell r="GV33" t="str">
            <v/>
          </cell>
          <cell r="GW33" t="str">
            <v/>
          </cell>
          <cell r="GX33" t="str">
            <v/>
          </cell>
          <cell r="GY33" t="str">
            <v/>
          </cell>
          <cell r="GZ33" t="str">
            <v/>
          </cell>
          <cell r="HA33" t="str">
            <v/>
          </cell>
          <cell r="HB33" t="str">
            <v/>
          </cell>
          <cell r="HC33" t="str">
            <v/>
          </cell>
          <cell r="HD33" t="str">
            <v/>
          </cell>
          <cell r="HE33" t="str">
            <v/>
          </cell>
          <cell r="HF33" t="str">
            <v/>
          </cell>
          <cell r="HG33" t="str">
            <v/>
          </cell>
          <cell r="HH33" t="str">
            <v/>
          </cell>
          <cell r="HI33" t="str">
            <v/>
          </cell>
          <cell r="HJ33" t="str">
            <v/>
          </cell>
          <cell r="HK33" t="str">
            <v/>
          </cell>
          <cell r="HL33" t="str">
            <v/>
          </cell>
          <cell r="HM33" t="str">
            <v/>
          </cell>
          <cell r="HN33" t="str">
            <v/>
          </cell>
          <cell r="HO33" t="str">
            <v/>
          </cell>
          <cell r="HP33" t="str">
            <v/>
          </cell>
          <cell r="HQ33" t="str">
            <v/>
          </cell>
          <cell r="HR33" t="str">
            <v/>
          </cell>
          <cell r="HS33" t="str">
            <v/>
          </cell>
          <cell r="HT33" t="str">
            <v/>
          </cell>
          <cell r="HU33" t="str">
            <v/>
          </cell>
          <cell r="HV33" t="str">
            <v/>
          </cell>
          <cell r="HW33" t="str">
            <v/>
          </cell>
          <cell r="HX33" t="str">
            <v/>
          </cell>
          <cell r="HY33" t="str">
            <v/>
          </cell>
          <cell r="HZ33" t="str">
            <v/>
          </cell>
          <cell r="IA33" t="str">
            <v/>
          </cell>
          <cell r="IB33" t="str">
            <v/>
          </cell>
          <cell r="IC33" t="str">
            <v/>
          </cell>
          <cell r="ID33" t="str">
            <v/>
          </cell>
          <cell r="IE33" t="str">
            <v/>
          </cell>
          <cell r="IF33" t="str">
            <v/>
          </cell>
          <cell r="IG33" t="str">
            <v/>
          </cell>
          <cell r="IH33" t="str">
            <v/>
          </cell>
          <cell r="II33" t="str">
            <v/>
          </cell>
          <cell r="IJ33" t="str">
            <v/>
          </cell>
          <cell r="IK33" t="str">
            <v/>
          </cell>
          <cell r="IL33" t="str">
            <v/>
          </cell>
          <cell r="IM33" t="str">
            <v/>
          </cell>
          <cell r="IN33" t="str">
            <v/>
          </cell>
          <cell r="IO33" t="str">
            <v/>
          </cell>
          <cell r="IP33" t="str">
            <v/>
          </cell>
          <cell r="IQ33" t="str">
            <v/>
          </cell>
          <cell r="IR33" t="str">
            <v/>
          </cell>
          <cell r="IS33" t="str">
            <v/>
          </cell>
          <cell r="IT33" t="str">
            <v/>
          </cell>
          <cell r="IU33" t="str">
            <v/>
          </cell>
          <cell r="IV33" t="str">
            <v/>
          </cell>
          <cell r="IW33" t="str">
            <v/>
          </cell>
          <cell r="IX33" t="str">
            <v/>
          </cell>
          <cell r="IY33" t="str">
            <v/>
          </cell>
          <cell r="IZ33" t="str">
            <v/>
          </cell>
          <cell r="JA33" t="str">
            <v/>
          </cell>
          <cell r="JB33" t="str">
            <v/>
          </cell>
          <cell r="JC33" t="str">
            <v/>
          </cell>
          <cell r="JD33" t="str">
            <v/>
          </cell>
          <cell r="JE33" t="str">
            <v/>
          </cell>
          <cell r="JF33" t="str">
            <v/>
          </cell>
          <cell r="JG33" t="str">
            <v/>
          </cell>
          <cell r="JH33" t="str">
            <v/>
          </cell>
          <cell r="JI33" t="str">
            <v/>
          </cell>
          <cell r="JJ33" t="str">
            <v/>
          </cell>
          <cell r="JK33" t="str">
            <v/>
          </cell>
          <cell r="JL33" t="str">
            <v/>
          </cell>
          <cell r="JM33" t="str">
            <v/>
          </cell>
          <cell r="JN33" t="str">
            <v/>
          </cell>
          <cell r="JO33" t="str">
            <v/>
          </cell>
          <cell r="JP33" t="str">
            <v/>
          </cell>
          <cell r="JQ33" t="str">
            <v/>
          </cell>
          <cell r="JR33" t="str">
            <v/>
          </cell>
          <cell r="JS33" t="str">
            <v/>
          </cell>
          <cell r="JT33" t="str">
            <v/>
          </cell>
          <cell r="JU33" t="str">
            <v/>
          </cell>
          <cell r="JV33" t="str">
            <v/>
          </cell>
          <cell r="JW33" t="str">
            <v/>
          </cell>
          <cell r="JX33" t="str">
            <v/>
          </cell>
          <cell r="JY33" t="str">
            <v/>
          </cell>
          <cell r="JZ33" t="str">
            <v/>
          </cell>
          <cell r="KA33" t="str">
            <v/>
          </cell>
          <cell r="KB33" t="str">
            <v/>
          </cell>
          <cell r="KC33" t="str">
            <v/>
          </cell>
          <cell r="KD33">
            <v>6</v>
          </cell>
          <cell r="KE33">
            <v>6</v>
          </cell>
          <cell r="KF33">
            <v>6</v>
          </cell>
          <cell r="KG33">
            <v>0</v>
          </cell>
          <cell r="KJ33">
            <v>0</v>
          </cell>
          <cell r="KM33">
            <v>0</v>
          </cell>
          <cell r="KP33">
            <v>0</v>
          </cell>
          <cell r="KS33">
            <v>0</v>
          </cell>
          <cell r="KV33">
            <v>0</v>
          </cell>
          <cell r="KY33">
            <v>0</v>
          </cell>
          <cell r="LB33">
            <v>0</v>
          </cell>
          <cell r="LE33">
            <v>0</v>
          </cell>
          <cell r="LH33">
            <v>0</v>
          </cell>
          <cell r="LK33">
            <v>0</v>
          </cell>
          <cell r="LO33">
            <v>45721</v>
          </cell>
          <cell r="LP33" t="str">
            <v>COMPLETADO</v>
          </cell>
        </row>
        <row r="34">
          <cell r="A34">
            <v>1633</v>
          </cell>
          <cell r="B34" t="str">
            <v>LUCIANO</v>
          </cell>
          <cell r="C34" t="str">
            <v>BARRACAS CHICA</v>
          </cell>
          <cell r="D34" t="str">
            <v>MARROQUINERIA CHICA</v>
          </cell>
          <cell r="E34">
            <v>10</v>
          </cell>
          <cell r="F34">
            <v>10</v>
          </cell>
          <cell r="G34">
            <v>10</v>
          </cell>
          <cell r="H34">
            <v>45732.238032407404</v>
          </cell>
          <cell r="I34" t="str">
            <v>NECESSAIRE TOM</v>
          </cell>
          <cell r="J34">
            <v>45706</v>
          </cell>
          <cell r="K34">
            <v>45706</v>
          </cell>
          <cell r="M34">
            <v>26</v>
          </cell>
          <cell r="N34" t="str">
            <v>M138</v>
          </cell>
          <cell r="O34" t="str">
            <v>AV170134014</v>
          </cell>
          <cell r="P34">
            <v>0</v>
          </cell>
          <cell r="Q34" t="str">
            <v>AV0101040201</v>
          </cell>
          <cell r="R34">
            <v>1</v>
          </cell>
          <cell r="S34" t="str">
            <v>AV0300400101</v>
          </cell>
          <cell r="T34">
            <v>1</v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>TIRACIERRE N 2 - VUELTA DE TIRA DE CUERO CON REMACHE + GRABADO "L"</v>
          </cell>
          <cell r="AT34" t="str">
            <v/>
          </cell>
          <cell r="AU34" t="str">
            <v/>
          </cell>
          <cell r="AV34" t="str">
            <v/>
          </cell>
          <cell r="AW34" t="str">
            <v xml:space="preserve">GRABADO EL LUCERO ARGENTINA GRANDE: EN LATERAL DERECHO, CENTRADO IDEM MUESTRA  </v>
          </cell>
          <cell r="AX34" t="str">
            <v>CARAMELO</v>
          </cell>
          <cell r="AY34" t="str">
            <v>ARENA-CUERO BRIDGE</v>
          </cell>
          <cell r="AZ34" t="str">
            <v>CUE0000004</v>
          </cell>
          <cell r="BA34">
            <v>0.1</v>
          </cell>
          <cell r="BB34" t="str">
            <v>FOR0000021</v>
          </cell>
          <cell r="BC34">
            <v>7.0000000000000007E-2</v>
          </cell>
          <cell r="BD34" t="str">
            <v>AV0100010105</v>
          </cell>
          <cell r="BE34">
            <v>0.32</v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>TABACO</v>
          </cell>
          <cell r="BS34" t="str">
            <v>ARENA-CUERO BRIDGE</v>
          </cell>
          <cell r="BT34" t="str">
            <v>CUE0000012</v>
          </cell>
          <cell r="BU34">
            <v>0.1</v>
          </cell>
          <cell r="BV34" t="str">
            <v>FOR0000021</v>
          </cell>
          <cell r="BW34">
            <v>7.0000000000000007E-2</v>
          </cell>
          <cell r="BX34" t="str">
            <v>AV0100010114</v>
          </cell>
          <cell r="BY34">
            <v>0.32</v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  <cell r="DW34" t="str">
            <v/>
          </cell>
          <cell r="DX34" t="str">
            <v/>
          </cell>
          <cell r="DY34" t="str">
            <v/>
          </cell>
          <cell r="DZ34" t="str">
            <v/>
          </cell>
          <cell r="EA34" t="str">
            <v/>
          </cell>
          <cell r="EB34" t="str">
            <v/>
          </cell>
          <cell r="EC34" t="str">
            <v/>
          </cell>
          <cell r="ED34" t="str">
            <v/>
          </cell>
          <cell r="EE34" t="str">
            <v/>
          </cell>
          <cell r="EF34" t="str">
            <v/>
          </cell>
          <cell r="EG34" t="str">
            <v/>
          </cell>
          <cell r="EH34" t="str">
            <v/>
          </cell>
          <cell r="EI34" t="str">
            <v/>
          </cell>
          <cell r="EJ34" t="str">
            <v/>
          </cell>
          <cell r="EK34" t="str">
            <v/>
          </cell>
          <cell r="EL34" t="str">
            <v/>
          </cell>
          <cell r="EM34" t="str">
            <v/>
          </cell>
          <cell r="EN34" t="str">
            <v/>
          </cell>
          <cell r="EO34" t="str">
            <v/>
          </cell>
          <cell r="EP34" t="str">
            <v/>
          </cell>
          <cell r="EQ34" t="str">
            <v/>
          </cell>
          <cell r="ER34" t="str">
            <v/>
          </cell>
          <cell r="ES34" t="str">
            <v/>
          </cell>
          <cell r="ET34" t="str">
            <v/>
          </cell>
          <cell r="EU34" t="str">
            <v/>
          </cell>
          <cell r="EV34" t="str">
            <v/>
          </cell>
          <cell r="EW34" t="str">
            <v/>
          </cell>
          <cell r="EX34" t="str">
            <v/>
          </cell>
          <cell r="EY34" t="str">
            <v/>
          </cell>
          <cell r="EZ34" t="str">
            <v/>
          </cell>
          <cell r="FA34" t="str">
            <v/>
          </cell>
          <cell r="FB34" t="str">
            <v/>
          </cell>
          <cell r="FC34" t="str">
            <v/>
          </cell>
          <cell r="FD34" t="str">
            <v/>
          </cell>
          <cell r="FE34" t="str">
            <v/>
          </cell>
          <cell r="FF34" t="str">
            <v/>
          </cell>
          <cell r="FG34" t="str">
            <v/>
          </cell>
          <cell r="FH34" t="str">
            <v/>
          </cell>
          <cell r="FI34" t="str">
            <v/>
          </cell>
          <cell r="FJ34" t="str">
            <v/>
          </cell>
          <cell r="FK34" t="str">
            <v/>
          </cell>
          <cell r="FL34" t="str">
            <v/>
          </cell>
          <cell r="FM34" t="str">
            <v/>
          </cell>
          <cell r="FN34" t="str">
            <v/>
          </cell>
          <cell r="FO34" t="str">
            <v/>
          </cell>
          <cell r="FP34" t="str">
            <v/>
          </cell>
          <cell r="FQ34" t="str">
            <v/>
          </cell>
          <cell r="FR34" t="str">
            <v/>
          </cell>
          <cell r="FS34" t="str">
            <v/>
          </cell>
          <cell r="FT34" t="str">
            <v/>
          </cell>
          <cell r="FU34" t="str">
            <v/>
          </cell>
          <cell r="FV34" t="str">
            <v/>
          </cell>
          <cell r="FW34" t="str">
            <v/>
          </cell>
          <cell r="FX34" t="str">
            <v/>
          </cell>
          <cell r="FY34" t="str">
            <v/>
          </cell>
          <cell r="FZ34" t="str">
            <v/>
          </cell>
          <cell r="GA34" t="str">
            <v/>
          </cell>
          <cell r="GB34" t="str">
            <v/>
          </cell>
          <cell r="GC34" t="str">
            <v/>
          </cell>
          <cell r="GD34" t="str">
            <v/>
          </cell>
          <cell r="GE34" t="str">
            <v/>
          </cell>
          <cell r="GF34" t="str">
            <v/>
          </cell>
          <cell r="GG34" t="str">
            <v/>
          </cell>
          <cell r="GH34" t="str">
            <v/>
          </cell>
          <cell r="GI34" t="str">
            <v/>
          </cell>
          <cell r="GJ34" t="str">
            <v/>
          </cell>
          <cell r="GK34" t="str">
            <v/>
          </cell>
          <cell r="GL34" t="str">
            <v/>
          </cell>
          <cell r="GM34" t="str">
            <v/>
          </cell>
          <cell r="GN34" t="str">
            <v/>
          </cell>
          <cell r="GO34" t="str">
            <v/>
          </cell>
          <cell r="GP34" t="str">
            <v/>
          </cell>
          <cell r="GQ34" t="str">
            <v/>
          </cell>
          <cell r="GR34" t="str">
            <v/>
          </cell>
          <cell r="GS34" t="str">
            <v/>
          </cell>
          <cell r="GT34" t="str">
            <v/>
          </cell>
          <cell r="GU34" t="str">
            <v/>
          </cell>
          <cell r="GV34" t="str">
            <v/>
          </cell>
          <cell r="GW34" t="str">
            <v/>
          </cell>
          <cell r="GX34" t="str">
            <v/>
          </cell>
          <cell r="GY34" t="str">
            <v/>
          </cell>
          <cell r="GZ34" t="str">
            <v/>
          </cell>
          <cell r="HA34" t="str">
            <v/>
          </cell>
          <cell r="HB34" t="str">
            <v/>
          </cell>
          <cell r="HC34" t="str">
            <v/>
          </cell>
          <cell r="HD34" t="str">
            <v/>
          </cell>
          <cell r="HE34" t="str">
            <v/>
          </cell>
          <cell r="HF34" t="str">
            <v/>
          </cell>
          <cell r="HG34" t="str">
            <v/>
          </cell>
          <cell r="HH34" t="str">
            <v/>
          </cell>
          <cell r="HI34" t="str">
            <v/>
          </cell>
          <cell r="HJ34" t="str">
            <v/>
          </cell>
          <cell r="HK34" t="str">
            <v/>
          </cell>
          <cell r="HL34" t="str">
            <v/>
          </cell>
          <cell r="HM34" t="str">
            <v/>
          </cell>
          <cell r="HN34" t="str">
            <v/>
          </cell>
          <cell r="HO34" t="str">
            <v/>
          </cell>
          <cell r="HP34" t="str">
            <v/>
          </cell>
          <cell r="HQ34" t="str">
            <v/>
          </cell>
          <cell r="HR34" t="str">
            <v/>
          </cell>
          <cell r="HS34" t="str">
            <v/>
          </cell>
          <cell r="HT34" t="str">
            <v/>
          </cell>
          <cell r="HU34" t="str">
            <v/>
          </cell>
          <cell r="HV34" t="str">
            <v/>
          </cell>
          <cell r="HW34" t="str">
            <v/>
          </cell>
          <cell r="HX34" t="str">
            <v/>
          </cell>
          <cell r="HY34" t="str">
            <v/>
          </cell>
          <cell r="HZ34" t="str">
            <v/>
          </cell>
          <cell r="IA34" t="str">
            <v/>
          </cell>
          <cell r="IB34" t="str">
            <v/>
          </cell>
          <cell r="IC34" t="str">
            <v/>
          </cell>
          <cell r="ID34" t="str">
            <v/>
          </cell>
          <cell r="IE34" t="str">
            <v/>
          </cell>
          <cell r="IF34" t="str">
            <v/>
          </cell>
          <cell r="IG34" t="str">
            <v/>
          </cell>
          <cell r="IH34" t="str">
            <v/>
          </cell>
          <cell r="II34" t="str">
            <v/>
          </cell>
          <cell r="IJ34" t="str">
            <v/>
          </cell>
          <cell r="IK34" t="str">
            <v/>
          </cell>
          <cell r="IL34" t="str">
            <v/>
          </cell>
          <cell r="IM34" t="str">
            <v/>
          </cell>
          <cell r="IN34" t="str">
            <v/>
          </cell>
          <cell r="IO34" t="str">
            <v/>
          </cell>
          <cell r="IP34" t="str">
            <v/>
          </cell>
          <cell r="IQ34" t="str">
            <v/>
          </cell>
          <cell r="IR34" t="str">
            <v/>
          </cell>
          <cell r="IS34" t="str">
            <v/>
          </cell>
          <cell r="IT34" t="str">
            <v/>
          </cell>
          <cell r="IU34" t="str">
            <v/>
          </cell>
          <cell r="IV34" t="str">
            <v/>
          </cell>
          <cell r="IW34" t="str">
            <v/>
          </cell>
          <cell r="IX34" t="str">
            <v/>
          </cell>
          <cell r="IY34" t="str">
            <v/>
          </cell>
          <cell r="IZ34" t="str">
            <v/>
          </cell>
          <cell r="JA34" t="str">
            <v/>
          </cell>
          <cell r="JB34" t="str">
            <v/>
          </cell>
          <cell r="JC34" t="str">
            <v/>
          </cell>
          <cell r="JD34" t="str">
            <v/>
          </cell>
          <cell r="JE34" t="str">
            <v/>
          </cell>
          <cell r="JF34" t="str">
            <v/>
          </cell>
          <cell r="JG34" t="str">
            <v/>
          </cell>
          <cell r="JH34" t="str">
            <v/>
          </cell>
          <cell r="JI34" t="str">
            <v/>
          </cell>
          <cell r="JJ34" t="str">
            <v/>
          </cell>
          <cell r="JK34" t="str">
            <v/>
          </cell>
          <cell r="JL34" t="str">
            <v/>
          </cell>
          <cell r="JM34" t="str">
            <v/>
          </cell>
          <cell r="JN34" t="str">
            <v/>
          </cell>
          <cell r="JO34" t="str">
            <v/>
          </cell>
          <cell r="JP34" t="str">
            <v/>
          </cell>
          <cell r="JQ34" t="str">
            <v/>
          </cell>
          <cell r="JR34" t="str">
            <v/>
          </cell>
          <cell r="JS34" t="str">
            <v/>
          </cell>
          <cell r="JT34" t="str">
            <v/>
          </cell>
          <cell r="JU34" t="str">
            <v/>
          </cell>
          <cell r="JV34" t="str">
            <v/>
          </cell>
          <cell r="JW34" t="str">
            <v/>
          </cell>
          <cell r="JX34" t="str">
            <v/>
          </cell>
          <cell r="JY34" t="str">
            <v/>
          </cell>
          <cell r="JZ34" t="str">
            <v/>
          </cell>
          <cell r="KA34" t="str">
            <v/>
          </cell>
          <cell r="KB34" t="str">
            <v/>
          </cell>
          <cell r="KC34" t="str">
            <v/>
          </cell>
          <cell r="KD34">
            <v>4</v>
          </cell>
          <cell r="KE34">
            <v>4</v>
          </cell>
          <cell r="KF34">
            <v>4</v>
          </cell>
          <cell r="KG34">
            <v>6</v>
          </cell>
          <cell r="KH34">
            <v>6</v>
          </cell>
          <cell r="KI34">
            <v>6</v>
          </cell>
          <cell r="KJ34">
            <v>0</v>
          </cell>
          <cell r="KM34">
            <v>0</v>
          </cell>
          <cell r="KP34">
            <v>0</v>
          </cell>
          <cell r="KS34">
            <v>0</v>
          </cell>
          <cell r="KV34">
            <v>0</v>
          </cell>
          <cell r="KY34">
            <v>0</v>
          </cell>
          <cell r="LB34">
            <v>0</v>
          </cell>
          <cell r="LE34">
            <v>0</v>
          </cell>
          <cell r="LH34">
            <v>0</v>
          </cell>
          <cell r="LK34">
            <v>0</v>
          </cell>
          <cell r="LO34">
            <v>45712</v>
          </cell>
          <cell r="LP34" t="str">
            <v>COMPLETADO</v>
          </cell>
        </row>
        <row r="35">
          <cell r="A35">
            <v>1634</v>
          </cell>
          <cell r="B35" t="str">
            <v>LUCIANO</v>
          </cell>
          <cell r="C35" t="str">
            <v>BARRACAS CHICA</v>
          </cell>
          <cell r="D35" t="str">
            <v>MARROQUINERIA CHICA</v>
          </cell>
          <cell r="E35">
            <v>6</v>
          </cell>
          <cell r="F35">
            <v>6</v>
          </cell>
          <cell r="G35">
            <v>6</v>
          </cell>
          <cell r="H35">
            <v>45732.24386574074</v>
          </cell>
          <cell r="I35" t="str">
            <v>PORTAHIGIENE</v>
          </cell>
          <cell r="J35">
            <v>45705</v>
          </cell>
          <cell r="K35">
            <v>45705</v>
          </cell>
          <cell r="M35">
            <v>42</v>
          </cell>
          <cell r="N35" t="str">
            <v>M090</v>
          </cell>
          <cell r="O35" t="str">
            <v>AV0101040201</v>
          </cell>
          <cell r="P35">
            <v>1</v>
          </cell>
          <cell r="Q35" t="str">
            <v>BAC1300020827</v>
          </cell>
          <cell r="R35">
            <v>0.03</v>
          </cell>
          <cell r="S35" t="str">
            <v>AV0300390101</v>
          </cell>
          <cell r="T35">
            <v>1</v>
          </cell>
          <cell r="U35" t="str">
            <v>AV1000380101</v>
          </cell>
          <cell r="V35">
            <v>1</v>
          </cell>
          <cell r="W35" t="str">
            <v>BAC1300050727</v>
          </cell>
          <cell r="X35">
            <v>0.03</v>
          </cell>
          <cell r="Y35" t="str">
            <v>BAC0200081126</v>
          </cell>
          <cell r="Z35">
            <v>0.02</v>
          </cell>
          <cell r="AA35" t="str">
            <v>AV170134014</v>
          </cell>
          <cell r="AB35">
            <v>0</v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>TIRACIERRE N° 1 , CON TIRA GRABADA CON ESTRELLA Y REMACHE</v>
          </cell>
          <cell r="AT35" t="str">
            <v/>
          </cell>
          <cell r="AU35" t="str">
            <v/>
          </cell>
          <cell r="AV35" t="str">
            <v/>
          </cell>
          <cell r="AW35" t="str">
            <v>GRABADO "EL LUCERO GRANDE" EN PIEZA TRASERA CENTRADO A 2,5 CM DESDE ABAJO</v>
          </cell>
          <cell r="AX35" t="str">
            <v>VERDE_REVES_VERDE</v>
          </cell>
          <cell r="AY35" t="str">
            <v>BIANCO-CUERO MODENA ESPESOR 1,8</v>
          </cell>
          <cell r="AZ35" t="str">
            <v>CUE0000157</v>
          </cell>
          <cell r="BA35">
            <v>7.0000000000000007E-2</v>
          </cell>
          <cell r="BB35" t="str">
            <v>AV1401254260</v>
          </cell>
          <cell r="BC35">
            <v>0</v>
          </cell>
          <cell r="BD35" t="str">
            <v>FOR0000020</v>
          </cell>
          <cell r="BE35">
            <v>0.06</v>
          </cell>
          <cell r="BF35" t="str">
            <v>AV0100010217</v>
          </cell>
          <cell r="BG35">
            <v>0.41</v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>AZUL_REVES_AZUL</v>
          </cell>
          <cell r="BS35" t="str">
            <v>BIANCO-CUERO MODENA ESPESOR 1,8</v>
          </cell>
          <cell r="BT35" t="str">
            <v>CUE0000156</v>
          </cell>
          <cell r="BU35">
            <v>7.0000000000000007E-2</v>
          </cell>
          <cell r="BV35" t="str">
            <v>AV1401254360</v>
          </cell>
          <cell r="BW35">
            <v>0</v>
          </cell>
          <cell r="BX35" t="str">
            <v>FOR0000020</v>
          </cell>
          <cell r="BY35">
            <v>0.06</v>
          </cell>
          <cell r="BZ35" t="str">
            <v>AV0100010215</v>
          </cell>
          <cell r="CA35">
            <v>0.41</v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  <cell r="DW35" t="str">
            <v/>
          </cell>
          <cell r="DX35" t="str">
            <v/>
          </cell>
          <cell r="DY35" t="str">
            <v/>
          </cell>
          <cell r="DZ35" t="str">
            <v/>
          </cell>
          <cell r="EA35" t="str">
            <v/>
          </cell>
          <cell r="EB35" t="str">
            <v/>
          </cell>
          <cell r="EC35" t="str">
            <v/>
          </cell>
          <cell r="ED35" t="str">
            <v/>
          </cell>
          <cell r="EE35" t="str">
            <v/>
          </cell>
          <cell r="EF35" t="str">
            <v/>
          </cell>
          <cell r="EG35" t="str">
            <v/>
          </cell>
          <cell r="EH35" t="str">
            <v/>
          </cell>
          <cell r="EI35" t="str">
            <v/>
          </cell>
          <cell r="EJ35" t="str">
            <v/>
          </cell>
          <cell r="EK35" t="str">
            <v/>
          </cell>
          <cell r="EL35" t="str">
            <v/>
          </cell>
          <cell r="EM35" t="str">
            <v/>
          </cell>
          <cell r="EN35" t="str">
            <v/>
          </cell>
          <cell r="EO35" t="str">
            <v/>
          </cell>
          <cell r="EP35" t="str">
            <v/>
          </cell>
          <cell r="EQ35" t="str">
            <v/>
          </cell>
          <cell r="ER35" t="str">
            <v/>
          </cell>
          <cell r="ES35" t="str">
            <v/>
          </cell>
          <cell r="ET35" t="str">
            <v/>
          </cell>
          <cell r="EU35" t="str">
            <v/>
          </cell>
          <cell r="EV35" t="str">
            <v/>
          </cell>
          <cell r="EW35" t="str">
            <v/>
          </cell>
          <cell r="EX35" t="str">
            <v/>
          </cell>
          <cell r="EY35" t="str">
            <v/>
          </cell>
          <cell r="EZ35" t="str">
            <v/>
          </cell>
          <cell r="FA35" t="str">
            <v/>
          </cell>
          <cell r="FB35" t="str">
            <v/>
          </cell>
          <cell r="FC35" t="str">
            <v/>
          </cell>
          <cell r="FD35" t="str">
            <v/>
          </cell>
          <cell r="FE35" t="str">
            <v/>
          </cell>
          <cell r="FF35" t="str">
            <v/>
          </cell>
          <cell r="FG35" t="str">
            <v/>
          </cell>
          <cell r="FH35" t="str">
            <v/>
          </cell>
          <cell r="FI35" t="str">
            <v/>
          </cell>
          <cell r="FJ35" t="str">
            <v/>
          </cell>
          <cell r="FK35" t="str">
            <v/>
          </cell>
          <cell r="FL35" t="str">
            <v/>
          </cell>
          <cell r="FM35" t="str">
            <v/>
          </cell>
          <cell r="FN35" t="str">
            <v/>
          </cell>
          <cell r="FO35" t="str">
            <v/>
          </cell>
          <cell r="FP35" t="str">
            <v/>
          </cell>
          <cell r="FQ35" t="str">
            <v/>
          </cell>
          <cell r="FR35" t="str">
            <v/>
          </cell>
          <cell r="FS35" t="str">
            <v/>
          </cell>
          <cell r="FT35" t="str">
            <v/>
          </cell>
          <cell r="FU35" t="str">
            <v/>
          </cell>
          <cell r="FV35" t="str">
            <v/>
          </cell>
          <cell r="FW35" t="str">
            <v/>
          </cell>
          <cell r="FX35" t="str">
            <v/>
          </cell>
          <cell r="FY35" t="str">
            <v/>
          </cell>
          <cell r="FZ35" t="str">
            <v/>
          </cell>
          <cell r="GA35" t="str">
            <v/>
          </cell>
          <cell r="GB35" t="str">
            <v/>
          </cell>
          <cell r="GC35" t="str">
            <v/>
          </cell>
          <cell r="GD35" t="str">
            <v/>
          </cell>
          <cell r="GE35" t="str">
            <v/>
          </cell>
          <cell r="GF35" t="str">
            <v/>
          </cell>
          <cell r="GG35" t="str">
            <v/>
          </cell>
          <cell r="GH35" t="str">
            <v/>
          </cell>
          <cell r="GI35" t="str">
            <v/>
          </cell>
          <cell r="GJ35" t="str">
            <v/>
          </cell>
          <cell r="GK35" t="str">
            <v/>
          </cell>
          <cell r="GL35" t="str">
            <v/>
          </cell>
          <cell r="GM35" t="str">
            <v/>
          </cell>
          <cell r="GN35" t="str">
            <v/>
          </cell>
          <cell r="GO35" t="str">
            <v/>
          </cell>
          <cell r="GP35" t="str">
            <v/>
          </cell>
          <cell r="GQ35" t="str">
            <v/>
          </cell>
          <cell r="GR35" t="str">
            <v/>
          </cell>
          <cell r="GS35" t="str">
            <v/>
          </cell>
          <cell r="GT35" t="str">
            <v/>
          </cell>
          <cell r="GU35" t="str">
            <v/>
          </cell>
          <cell r="GV35" t="str">
            <v/>
          </cell>
          <cell r="GW35" t="str">
            <v/>
          </cell>
          <cell r="GX35" t="str">
            <v/>
          </cell>
          <cell r="GY35" t="str">
            <v/>
          </cell>
          <cell r="GZ35" t="str">
            <v/>
          </cell>
          <cell r="HA35" t="str">
            <v/>
          </cell>
          <cell r="HB35" t="str">
            <v/>
          </cell>
          <cell r="HC35" t="str">
            <v/>
          </cell>
          <cell r="HD35" t="str">
            <v/>
          </cell>
          <cell r="HE35" t="str">
            <v/>
          </cell>
          <cell r="HF35" t="str">
            <v/>
          </cell>
          <cell r="HG35" t="str">
            <v/>
          </cell>
          <cell r="HH35" t="str">
            <v/>
          </cell>
          <cell r="HI35" t="str">
            <v/>
          </cell>
          <cell r="HJ35" t="str">
            <v/>
          </cell>
          <cell r="HK35" t="str">
            <v/>
          </cell>
          <cell r="HL35" t="str">
            <v/>
          </cell>
          <cell r="HM35" t="str">
            <v/>
          </cell>
          <cell r="HN35" t="str">
            <v/>
          </cell>
          <cell r="HO35" t="str">
            <v/>
          </cell>
          <cell r="HP35" t="str">
            <v/>
          </cell>
          <cell r="HQ35" t="str">
            <v/>
          </cell>
          <cell r="HR35" t="str">
            <v/>
          </cell>
          <cell r="HS35" t="str">
            <v/>
          </cell>
          <cell r="HT35" t="str">
            <v/>
          </cell>
          <cell r="HU35" t="str">
            <v/>
          </cell>
          <cell r="HV35" t="str">
            <v/>
          </cell>
          <cell r="HW35" t="str">
            <v/>
          </cell>
          <cell r="HX35" t="str">
            <v/>
          </cell>
          <cell r="HY35" t="str">
            <v/>
          </cell>
          <cell r="HZ35" t="str">
            <v/>
          </cell>
          <cell r="IA35" t="str">
            <v/>
          </cell>
          <cell r="IB35" t="str">
            <v/>
          </cell>
          <cell r="IC35" t="str">
            <v/>
          </cell>
          <cell r="ID35" t="str">
            <v/>
          </cell>
          <cell r="IE35" t="str">
            <v/>
          </cell>
          <cell r="IF35" t="str">
            <v/>
          </cell>
          <cell r="IG35" t="str">
            <v/>
          </cell>
          <cell r="IH35" t="str">
            <v/>
          </cell>
          <cell r="II35" t="str">
            <v/>
          </cell>
          <cell r="IJ35" t="str">
            <v/>
          </cell>
          <cell r="IK35" t="str">
            <v/>
          </cell>
          <cell r="IL35" t="str">
            <v/>
          </cell>
          <cell r="IM35" t="str">
            <v/>
          </cell>
          <cell r="IN35" t="str">
            <v/>
          </cell>
          <cell r="IO35" t="str">
            <v/>
          </cell>
          <cell r="IP35" t="str">
            <v/>
          </cell>
          <cell r="IQ35" t="str">
            <v/>
          </cell>
          <cell r="IR35" t="str">
            <v/>
          </cell>
          <cell r="IS35" t="str">
            <v/>
          </cell>
          <cell r="IT35" t="str">
            <v/>
          </cell>
          <cell r="IU35" t="str">
            <v/>
          </cell>
          <cell r="IV35" t="str">
            <v/>
          </cell>
          <cell r="IW35" t="str">
            <v/>
          </cell>
          <cell r="IX35" t="str">
            <v/>
          </cell>
          <cell r="IY35" t="str">
            <v/>
          </cell>
          <cell r="IZ35" t="str">
            <v/>
          </cell>
          <cell r="JA35" t="str">
            <v/>
          </cell>
          <cell r="JB35" t="str">
            <v/>
          </cell>
          <cell r="JC35" t="str">
            <v/>
          </cell>
          <cell r="JD35" t="str">
            <v/>
          </cell>
          <cell r="JE35" t="str">
            <v/>
          </cell>
          <cell r="JF35" t="str">
            <v/>
          </cell>
          <cell r="JG35" t="str">
            <v/>
          </cell>
          <cell r="JH35" t="str">
            <v/>
          </cell>
          <cell r="JI35" t="str">
            <v/>
          </cell>
          <cell r="JJ35" t="str">
            <v/>
          </cell>
          <cell r="JK35" t="str">
            <v/>
          </cell>
          <cell r="JL35" t="str">
            <v/>
          </cell>
          <cell r="JM35" t="str">
            <v/>
          </cell>
          <cell r="JN35" t="str">
            <v/>
          </cell>
          <cell r="JO35" t="str">
            <v/>
          </cell>
          <cell r="JP35" t="str">
            <v/>
          </cell>
          <cell r="JQ35" t="str">
            <v/>
          </cell>
          <cell r="JR35" t="str">
            <v/>
          </cell>
          <cell r="JS35" t="str">
            <v/>
          </cell>
          <cell r="JT35" t="str">
            <v/>
          </cell>
          <cell r="JU35" t="str">
            <v/>
          </cell>
          <cell r="JV35" t="str">
            <v/>
          </cell>
          <cell r="JW35" t="str">
            <v/>
          </cell>
          <cell r="JX35" t="str">
            <v/>
          </cell>
          <cell r="JY35" t="str">
            <v/>
          </cell>
          <cell r="JZ35" t="str">
            <v/>
          </cell>
          <cell r="KA35" t="str">
            <v/>
          </cell>
          <cell r="KB35" t="str">
            <v/>
          </cell>
          <cell r="KC35" t="str">
            <v/>
          </cell>
          <cell r="KD35">
            <v>3</v>
          </cell>
          <cell r="KE35">
            <v>3</v>
          </cell>
          <cell r="KF35">
            <v>3</v>
          </cell>
          <cell r="KG35">
            <v>3</v>
          </cell>
          <cell r="KH35">
            <v>3</v>
          </cell>
          <cell r="KI35">
            <v>3</v>
          </cell>
          <cell r="KJ35">
            <v>0</v>
          </cell>
          <cell r="KM35">
            <v>0</v>
          </cell>
          <cell r="KP35">
            <v>0</v>
          </cell>
          <cell r="KS35">
            <v>0</v>
          </cell>
          <cell r="KV35">
            <v>0</v>
          </cell>
          <cell r="KY35">
            <v>0</v>
          </cell>
          <cell r="LB35">
            <v>0</v>
          </cell>
          <cell r="LE35">
            <v>0</v>
          </cell>
          <cell r="LH35">
            <v>0</v>
          </cell>
          <cell r="LK35">
            <v>0</v>
          </cell>
          <cell r="LO35">
            <v>45762</v>
          </cell>
          <cell r="LP35" t="str">
            <v>COMPLETADO</v>
          </cell>
        </row>
        <row r="36">
          <cell r="A36">
            <v>1635</v>
          </cell>
          <cell r="B36" t="str">
            <v xml:space="preserve"> -----</v>
          </cell>
          <cell r="C36" t="str">
            <v>VANESA</v>
          </cell>
          <cell r="D36" t="str">
            <v>MARROQUINERIA CHICA</v>
          </cell>
          <cell r="E36">
            <v>6</v>
          </cell>
          <cell r="F36">
            <v>6</v>
          </cell>
          <cell r="G36">
            <v>6</v>
          </cell>
          <cell r="H36">
            <v>45732.24628472222</v>
          </cell>
          <cell r="I36" t="str">
            <v>PORTALENTES COLBY</v>
          </cell>
          <cell r="J36">
            <v>45695</v>
          </cell>
          <cell r="K36">
            <v>45695</v>
          </cell>
          <cell r="M36">
            <v>18</v>
          </cell>
          <cell r="N36" t="str">
            <v>M096</v>
          </cell>
          <cell r="O36" t="str">
            <v>AV0700420101</v>
          </cell>
          <cell r="P36">
            <v>1</v>
          </cell>
          <cell r="Q36" t="str">
            <v>AV0600550101</v>
          </cell>
          <cell r="R36">
            <v>1</v>
          </cell>
          <cell r="S36" t="str">
            <v>AV0400770101</v>
          </cell>
          <cell r="T36">
            <v>1</v>
          </cell>
          <cell r="U36" t="str">
            <v>AV0300400101</v>
          </cell>
          <cell r="V36">
            <v>1</v>
          </cell>
          <cell r="W36" t="str">
            <v>AV170134014</v>
          </cell>
          <cell r="X36">
            <v>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>MALBEC</v>
          </cell>
          <cell r="AY36" t="str">
            <v>ARENA-CUERO BRIDGE</v>
          </cell>
          <cell r="AZ36" t="str">
            <v>CUE0000008</v>
          </cell>
          <cell r="BA36">
            <v>0.03</v>
          </cell>
          <cell r="BB36" t="str">
            <v>AV1401250545</v>
          </cell>
          <cell r="BC36">
            <v>0</v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  <cell r="DW36" t="str">
            <v/>
          </cell>
          <cell r="DX36" t="str">
            <v/>
          </cell>
          <cell r="DY36" t="str">
            <v/>
          </cell>
          <cell r="DZ36" t="str">
            <v/>
          </cell>
          <cell r="EA36" t="str">
            <v/>
          </cell>
          <cell r="EB36" t="str">
            <v/>
          </cell>
          <cell r="EC36" t="str">
            <v/>
          </cell>
          <cell r="ED36" t="str">
            <v/>
          </cell>
          <cell r="EE36" t="str">
            <v/>
          </cell>
          <cell r="EF36" t="str">
            <v/>
          </cell>
          <cell r="EG36" t="str">
            <v/>
          </cell>
          <cell r="EH36" t="str">
            <v/>
          </cell>
          <cell r="EI36" t="str">
            <v/>
          </cell>
          <cell r="EJ36" t="str">
            <v/>
          </cell>
          <cell r="EK36" t="str">
            <v/>
          </cell>
          <cell r="EL36" t="str">
            <v/>
          </cell>
          <cell r="EM36" t="str">
            <v/>
          </cell>
          <cell r="EN36" t="str">
            <v/>
          </cell>
          <cell r="EO36" t="str">
            <v/>
          </cell>
          <cell r="EP36" t="str">
            <v/>
          </cell>
          <cell r="EQ36" t="str">
            <v/>
          </cell>
          <cell r="ER36" t="str">
            <v/>
          </cell>
          <cell r="ES36" t="str">
            <v/>
          </cell>
          <cell r="ET36" t="str">
            <v/>
          </cell>
          <cell r="EU36" t="str">
            <v/>
          </cell>
          <cell r="EV36" t="str">
            <v/>
          </cell>
          <cell r="EW36" t="str">
            <v/>
          </cell>
          <cell r="EX36" t="str">
            <v/>
          </cell>
          <cell r="EY36" t="str">
            <v/>
          </cell>
          <cell r="EZ36" t="str">
            <v/>
          </cell>
          <cell r="FA36" t="str">
            <v/>
          </cell>
          <cell r="FB36" t="str">
            <v/>
          </cell>
          <cell r="FC36" t="str">
            <v/>
          </cell>
          <cell r="FD36" t="str">
            <v/>
          </cell>
          <cell r="FE36" t="str">
            <v/>
          </cell>
          <cell r="FF36" t="str">
            <v/>
          </cell>
          <cell r="FG36" t="str">
            <v/>
          </cell>
          <cell r="FH36" t="str">
            <v/>
          </cell>
          <cell r="FI36" t="str">
            <v/>
          </cell>
          <cell r="FJ36" t="str">
            <v/>
          </cell>
          <cell r="FK36" t="str">
            <v/>
          </cell>
          <cell r="FL36" t="str">
            <v/>
          </cell>
          <cell r="FM36" t="str">
            <v/>
          </cell>
          <cell r="FN36" t="str">
            <v/>
          </cell>
          <cell r="FO36" t="str">
            <v/>
          </cell>
          <cell r="FP36" t="str">
            <v/>
          </cell>
          <cell r="FQ36" t="str">
            <v/>
          </cell>
          <cell r="FR36" t="str">
            <v/>
          </cell>
          <cell r="FS36" t="str">
            <v/>
          </cell>
          <cell r="FT36" t="str">
            <v/>
          </cell>
          <cell r="FU36" t="str">
            <v/>
          </cell>
          <cell r="FV36" t="str">
            <v/>
          </cell>
          <cell r="FW36" t="str">
            <v/>
          </cell>
          <cell r="FX36" t="str">
            <v/>
          </cell>
          <cell r="FY36" t="str">
            <v/>
          </cell>
          <cell r="FZ36" t="str">
            <v/>
          </cell>
          <cell r="GA36" t="str">
            <v/>
          </cell>
          <cell r="GB36" t="str">
            <v/>
          </cell>
          <cell r="GC36" t="str">
            <v/>
          </cell>
          <cell r="GD36" t="str">
            <v/>
          </cell>
          <cell r="GE36" t="str">
            <v/>
          </cell>
          <cell r="GF36" t="str">
            <v/>
          </cell>
          <cell r="GG36" t="str">
            <v/>
          </cell>
          <cell r="GH36" t="str">
            <v/>
          </cell>
          <cell r="GI36" t="str">
            <v/>
          </cell>
          <cell r="GJ36" t="str">
            <v/>
          </cell>
          <cell r="GK36" t="str">
            <v/>
          </cell>
          <cell r="GL36" t="str">
            <v/>
          </cell>
          <cell r="GM36" t="str">
            <v/>
          </cell>
          <cell r="GN36" t="str">
            <v/>
          </cell>
          <cell r="GO36" t="str">
            <v/>
          </cell>
          <cell r="GP36" t="str">
            <v/>
          </cell>
          <cell r="GQ36" t="str">
            <v/>
          </cell>
          <cell r="GR36" t="str">
            <v/>
          </cell>
          <cell r="GS36" t="str">
            <v/>
          </cell>
          <cell r="GT36" t="str">
            <v/>
          </cell>
          <cell r="GU36" t="str">
            <v/>
          </cell>
          <cell r="GV36" t="str">
            <v/>
          </cell>
          <cell r="GW36" t="str">
            <v/>
          </cell>
          <cell r="GX36" t="str">
            <v/>
          </cell>
          <cell r="GY36" t="str">
            <v/>
          </cell>
          <cell r="GZ36" t="str">
            <v/>
          </cell>
          <cell r="HA36" t="str">
            <v/>
          </cell>
          <cell r="HB36" t="str">
            <v/>
          </cell>
          <cell r="HC36" t="str">
            <v/>
          </cell>
          <cell r="HD36" t="str">
            <v/>
          </cell>
          <cell r="HE36" t="str">
            <v/>
          </cell>
          <cell r="HF36" t="str">
            <v/>
          </cell>
          <cell r="HG36" t="str">
            <v/>
          </cell>
          <cell r="HH36" t="str">
            <v/>
          </cell>
          <cell r="HI36" t="str">
            <v/>
          </cell>
          <cell r="HJ36" t="str">
            <v/>
          </cell>
          <cell r="HK36" t="str">
            <v/>
          </cell>
          <cell r="HL36" t="str">
            <v/>
          </cell>
          <cell r="HM36" t="str">
            <v/>
          </cell>
          <cell r="HN36" t="str">
            <v/>
          </cell>
          <cell r="HO36" t="str">
            <v/>
          </cell>
          <cell r="HP36" t="str">
            <v/>
          </cell>
          <cell r="HQ36" t="str">
            <v/>
          </cell>
          <cell r="HR36" t="str">
            <v/>
          </cell>
          <cell r="HS36" t="str">
            <v/>
          </cell>
          <cell r="HT36" t="str">
            <v/>
          </cell>
          <cell r="HU36" t="str">
            <v/>
          </cell>
          <cell r="HV36" t="str">
            <v/>
          </cell>
          <cell r="HW36" t="str">
            <v/>
          </cell>
          <cell r="HX36" t="str">
            <v/>
          </cell>
          <cell r="HY36" t="str">
            <v/>
          </cell>
          <cell r="HZ36" t="str">
            <v/>
          </cell>
          <cell r="IA36" t="str">
            <v/>
          </cell>
          <cell r="IB36" t="str">
            <v/>
          </cell>
          <cell r="IC36" t="str">
            <v/>
          </cell>
          <cell r="ID36" t="str">
            <v/>
          </cell>
          <cell r="IE36" t="str">
            <v/>
          </cell>
          <cell r="IF36" t="str">
            <v/>
          </cell>
          <cell r="IG36" t="str">
            <v/>
          </cell>
          <cell r="IH36" t="str">
            <v/>
          </cell>
          <cell r="II36" t="str">
            <v/>
          </cell>
          <cell r="IJ36" t="str">
            <v/>
          </cell>
          <cell r="IK36" t="str">
            <v/>
          </cell>
          <cell r="IL36" t="str">
            <v/>
          </cell>
          <cell r="IM36" t="str">
            <v/>
          </cell>
          <cell r="IN36" t="str">
            <v/>
          </cell>
          <cell r="IO36" t="str">
            <v/>
          </cell>
          <cell r="IP36" t="str">
            <v/>
          </cell>
          <cell r="IQ36" t="str">
            <v/>
          </cell>
          <cell r="IR36" t="str">
            <v/>
          </cell>
          <cell r="IS36" t="str">
            <v/>
          </cell>
          <cell r="IT36" t="str">
            <v/>
          </cell>
          <cell r="IU36" t="str">
            <v/>
          </cell>
          <cell r="IV36" t="str">
            <v/>
          </cell>
          <cell r="IW36" t="str">
            <v/>
          </cell>
          <cell r="IX36" t="str">
            <v/>
          </cell>
          <cell r="IY36" t="str">
            <v/>
          </cell>
          <cell r="IZ36" t="str">
            <v/>
          </cell>
          <cell r="JA36" t="str">
            <v/>
          </cell>
          <cell r="JB36" t="str">
            <v/>
          </cell>
          <cell r="JC36" t="str">
            <v/>
          </cell>
          <cell r="JD36" t="str">
            <v/>
          </cell>
          <cell r="JE36" t="str">
            <v/>
          </cell>
          <cell r="JF36" t="str">
            <v/>
          </cell>
          <cell r="JG36" t="str">
            <v/>
          </cell>
          <cell r="JH36" t="str">
            <v/>
          </cell>
          <cell r="JI36" t="str">
            <v/>
          </cell>
          <cell r="JJ36" t="str">
            <v/>
          </cell>
          <cell r="JK36" t="str">
            <v/>
          </cell>
          <cell r="JL36" t="str">
            <v/>
          </cell>
          <cell r="JM36" t="str">
            <v/>
          </cell>
          <cell r="JN36" t="str">
            <v/>
          </cell>
          <cell r="JO36" t="str">
            <v/>
          </cell>
          <cell r="JP36" t="str">
            <v/>
          </cell>
          <cell r="JQ36" t="str">
            <v/>
          </cell>
          <cell r="JR36" t="str">
            <v/>
          </cell>
          <cell r="JS36" t="str">
            <v/>
          </cell>
          <cell r="JT36" t="str">
            <v/>
          </cell>
          <cell r="JU36" t="str">
            <v/>
          </cell>
          <cell r="JV36" t="str">
            <v/>
          </cell>
          <cell r="JW36" t="str">
            <v/>
          </cell>
          <cell r="JX36" t="str">
            <v/>
          </cell>
          <cell r="JY36" t="str">
            <v/>
          </cell>
          <cell r="JZ36" t="str">
            <v/>
          </cell>
          <cell r="KA36" t="str">
            <v/>
          </cell>
          <cell r="KB36" t="str">
            <v/>
          </cell>
          <cell r="KC36" t="str">
            <v/>
          </cell>
          <cell r="KD36">
            <v>6</v>
          </cell>
          <cell r="KE36">
            <v>6</v>
          </cell>
          <cell r="KF36">
            <v>6</v>
          </cell>
          <cell r="KG36">
            <v>0</v>
          </cell>
          <cell r="KJ36">
            <v>0</v>
          </cell>
          <cell r="KM36">
            <v>0</v>
          </cell>
          <cell r="KP36">
            <v>0</v>
          </cell>
          <cell r="KS36">
            <v>0</v>
          </cell>
          <cell r="KV36">
            <v>0</v>
          </cell>
          <cell r="KY36">
            <v>0</v>
          </cell>
          <cell r="LB36">
            <v>0</v>
          </cell>
          <cell r="LE36">
            <v>0</v>
          </cell>
          <cell r="LH36">
            <v>0</v>
          </cell>
          <cell r="LK36">
            <v>0</v>
          </cell>
          <cell r="LO36">
            <v>45716</v>
          </cell>
          <cell r="LP36" t="str">
            <v>COMPLETADO</v>
          </cell>
        </row>
        <row r="37">
          <cell r="A37">
            <v>1636</v>
          </cell>
          <cell r="B37" t="str">
            <v>LUCIANO</v>
          </cell>
          <cell r="C37" t="str">
            <v>BARRACAS CHICA</v>
          </cell>
          <cell r="D37" t="str">
            <v>MARROQUINERIA CHICA</v>
          </cell>
          <cell r="E37">
            <v>6</v>
          </cell>
          <cell r="F37">
            <v>6</v>
          </cell>
          <cell r="G37">
            <v>6</v>
          </cell>
          <cell r="H37">
            <v>45732.248622685183</v>
          </cell>
          <cell r="I37" t="str">
            <v>PORTALENTES JANO</v>
          </cell>
          <cell r="J37">
            <v>45695</v>
          </cell>
          <cell r="K37">
            <v>45695</v>
          </cell>
          <cell r="M37">
            <v>12</v>
          </cell>
          <cell r="N37" t="str">
            <v>M097</v>
          </cell>
          <cell r="O37" t="str">
            <v>AV0700510101</v>
          </cell>
          <cell r="P37">
            <v>1</v>
          </cell>
          <cell r="Q37" t="str">
            <v>AV0400550101</v>
          </cell>
          <cell r="R37">
            <v>1</v>
          </cell>
          <cell r="S37" t="str">
            <v>AV170134014</v>
          </cell>
          <cell r="T37">
            <v>0</v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>NEGRO</v>
          </cell>
          <cell r="AY37" t="str">
            <v>ARENA-CUERO BRIDGE</v>
          </cell>
          <cell r="AZ37" t="str">
            <v>CUE0000009</v>
          </cell>
          <cell r="BA37">
            <v>0.05</v>
          </cell>
          <cell r="BB37" t="str">
            <v>AV1401254060</v>
          </cell>
          <cell r="BC37">
            <v>0</v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  <cell r="DY37" t="str">
            <v/>
          </cell>
          <cell r="DZ37" t="str">
            <v/>
          </cell>
          <cell r="EA37" t="str">
            <v/>
          </cell>
          <cell r="EB37" t="str">
            <v/>
          </cell>
          <cell r="EC37" t="str">
            <v/>
          </cell>
          <cell r="ED37" t="str">
            <v/>
          </cell>
          <cell r="EE37" t="str">
            <v/>
          </cell>
          <cell r="EF37" t="str">
            <v/>
          </cell>
          <cell r="EG37" t="str">
            <v/>
          </cell>
          <cell r="EH37" t="str">
            <v/>
          </cell>
          <cell r="EI37" t="str">
            <v/>
          </cell>
          <cell r="EJ37" t="str">
            <v/>
          </cell>
          <cell r="EK37" t="str">
            <v/>
          </cell>
          <cell r="EL37" t="str">
            <v/>
          </cell>
          <cell r="EM37" t="str">
            <v/>
          </cell>
          <cell r="EN37" t="str">
            <v/>
          </cell>
          <cell r="EO37" t="str">
            <v/>
          </cell>
          <cell r="EP37" t="str">
            <v/>
          </cell>
          <cell r="EQ37" t="str">
            <v/>
          </cell>
          <cell r="ER37" t="str">
            <v/>
          </cell>
          <cell r="ES37" t="str">
            <v/>
          </cell>
          <cell r="ET37" t="str">
            <v/>
          </cell>
          <cell r="EU37" t="str">
            <v/>
          </cell>
          <cell r="EV37" t="str">
            <v/>
          </cell>
          <cell r="EW37" t="str">
            <v/>
          </cell>
          <cell r="EX37" t="str">
            <v/>
          </cell>
          <cell r="EY37" t="str">
            <v/>
          </cell>
          <cell r="EZ37" t="str">
            <v/>
          </cell>
          <cell r="FA37" t="str">
            <v/>
          </cell>
          <cell r="FB37" t="str">
            <v/>
          </cell>
          <cell r="FC37" t="str">
            <v/>
          </cell>
          <cell r="FD37" t="str">
            <v/>
          </cell>
          <cell r="FE37" t="str">
            <v/>
          </cell>
          <cell r="FF37" t="str">
            <v/>
          </cell>
          <cell r="FG37" t="str">
            <v/>
          </cell>
          <cell r="FH37" t="str">
            <v/>
          </cell>
          <cell r="FI37" t="str">
            <v/>
          </cell>
          <cell r="FJ37" t="str">
            <v/>
          </cell>
          <cell r="FK37" t="str">
            <v/>
          </cell>
          <cell r="FL37" t="str">
            <v/>
          </cell>
          <cell r="FM37" t="str">
            <v/>
          </cell>
          <cell r="FN37" t="str">
            <v/>
          </cell>
          <cell r="FO37" t="str">
            <v/>
          </cell>
          <cell r="FP37" t="str">
            <v/>
          </cell>
          <cell r="FQ37" t="str">
            <v/>
          </cell>
          <cell r="FR37" t="str">
            <v/>
          </cell>
          <cell r="FS37" t="str">
            <v/>
          </cell>
          <cell r="FT37" t="str">
            <v/>
          </cell>
          <cell r="FU37" t="str">
            <v/>
          </cell>
          <cell r="FV37" t="str">
            <v/>
          </cell>
          <cell r="FW37" t="str">
            <v/>
          </cell>
          <cell r="FX37" t="str">
            <v/>
          </cell>
          <cell r="FY37" t="str">
            <v/>
          </cell>
          <cell r="FZ37" t="str">
            <v/>
          </cell>
          <cell r="GA37" t="str">
            <v/>
          </cell>
          <cell r="GB37" t="str">
            <v/>
          </cell>
          <cell r="GC37" t="str">
            <v/>
          </cell>
          <cell r="GD37" t="str">
            <v/>
          </cell>
          <cell r="GE37" t="str">
            <v/>
          </cell>
          <cell r="GF37" t="str">
            <v/>
          </cell>
          <cell r="GG37" t="str">
            <v/>
          </cell>
          <cell r="GH37" t="str">
            <v/>
          </cell>
          <cell r="GI37" t="str">
            <v/>
          </cell>
          <cell r="GJ37" t="str">
            <v/>
          </cell>
          <cell r="GK37" t="str">
            <v/>
          </cell>
          <cell r="GL37" t="str">
            <v/>
          </cell>
          <cell r="GM37" t="str">
            <v/>
          </cell>
          <cell r="GN37" t="str">
            <v/>
          </cell>
          <cell r="GO37" t="str">
            <v/>
          </cell>
          <cell r="GP37" t="str">
            <v/>
          </cell>
          <cell r="GQ37" t="str">
            <v/>
          </cell>
          <cell r="GR37" t="str">
            <v/>
          </cell>
          <cell r="GS37" t="str">
            <v/>
          </cell>
          <cell r="GT37" t="str">
            <v/>
          </cell>
          <cell r="GU37" t="str">
            <v/>
          </cell>
          <cell r="GV37" t="str">
            <v/>
          </cell>
          <cell r="GW37" t="str">
            <v/>
          </cell>
          <cell r="GX37" t="str">
            <v/>
          </cell>
          <cell r="GY37" t="str">
            <v/>
          </cell>
          <cell r="GZ37" t="str">
            <v/>
          </cell>
          <cell r="HA37" t="str">
            <v/>
          </cell>
          <cell r="HB37" t="str">
            <v/>
          </cell>
          <cell r="HC37" t="str">
            <v/>
          </cell>
          <cell r="HD37" t="str">
            <v/>
          </cell>
          <cell r="HE37" t="str">
            <v/>
          </cell>
          <cell r="HF37" t="str">
            <v/>
          </cell>
          <cell r="HG37" t="str">
            <v/>
          </cell>
          <cell r="HH37" t="str">
            <v/>
          </cell>
          <cell r="HI37" t="str">
            <v/>
          </cell>
          <cell r="HJ37" t="str">
            <v/>
          </cell>
          <cell r="HK37" t="str">
            <v/>
          </cell>
          <cell r="HL37" t="str">
            <v/>
          </cell>
          <cell r="HM37" t="str">
            <v/>
          </cell>
          <cell r="HN37" t="str">
            <v/>
          </cell>
          <cell r="HO37" t="str">
            <v/>
          </cell>
          <cell r="HP37" t="str">
            <v/>
          </cell>
          <cell r="HQ37" t="str">
            <v/>
          </cell>
          <cell r="HR37" t="str">
            <v/>
          </cell>
          <cell r="HS37" t="str">
            <v/>
          </cell>
          <cell r="HT37" t="str">
            <v/>
          </cell>
          <cell r="HU37" t="str">
            <v/>
          </cell>
          <cell r="HV37" t="str">
            <v/>
          </cell>
          <cell r="HW37" t="str">
            <v/>
          </cell>
          <cell r="HX37" t="str">
            <v/>
          </cell>
          <cell r="HY37" t="str">
            <v/>
          </cell>
          <cell r="HZ37" t="str">
            <v/>
          </cell>
          <cell r="IA37" t="str">
            <v/>
          </cell>
          <cell r="IB37" t="str">
            <v/>
          </cell>
          <cell r="IC37" t="str">
            <v/>
          </cell>
          <cell r="ID37" t="str">
            <v/>
          </cell>
          <cell r="IE37" t="str">
            <v/>
          </cell>
          <cell r="IF37" t="str">
            <v/>
          </cell>
          <cell r="IG37" t="str">
            <v/>
          </cell>
          <cell r="IH37" t="str">
            <v/>
          </cell>
          <cell r="II37" t="str">
            <v/>
          </cell>
          <cell r="IJ37" t="str">
            <v/>
          </cell>
          <cell r="IK37" t="str">
            <v/>
          </cell>
          <cell r="IL37" t="str">
            <v/>
          </cell>
          <cell r="IM37" t="str">
            <v/>
          </cell>
          <cell r="IN37" t="str">
            <v/>
          </cell>
          <cell r="IO37" t="str">
            <v/>
          </cell>
          <cell r="IP37" t="str">
            <v/>
          </cell>
          <cell r="IQ37" t="str">
            <v/>
          </cell>
          <cell r="IR37" t="str">
            <v/>
          </cell>
          <cell r="IS37" t="str">
            <v/>
          </cell>
          <cell r="IT37" t="str">
            <v/>
          </cell>
          <cell r="IU37" t="str">
            <v/>
          </cell>
          <cell r="IV37" t="str">
            <v/>
          </cell>
          <cell r="IW37" t="str">
            <v/>
          </cell>
          <cell r="IX37" t="str">
            <v/>
          </cell>
          <cell r="IY37" t="str">
            <v/>
          </cell>
          <cell r="IZ37" t="str">
            <v/>
          </cell>
          <cell r="JA37" t="str">
            <v/>
          </cell>
          <cell r="JB37" t="str">
            <v/>
          </cell>
          <cell r="JC37" t="str">
            <v/>
          </cell>
          <cell r="JD37" t="str">
            <v/>
          </cell>
          <cell r="JE37" t="str">
            <v/>
          </cell>
          <cell r="JF37" t="str">
            <v/>
          </cell>
          <cell r="JG37" t="str">
            <v/>
          </cell>
          <cell r="JH37" t="str">
            <v/>
          </cell>
          <cell r="JI37" t="str">
            <v/>
          </cell>
          <cell r="JJ37" t="str">
            <v/>
          </cell>
          <cell r="JK37" t="str">
            <v/>
          </cell>
          <cell r="JL37" t="str">
            <v/>
          </cell>
          <cell r="JM37" t="str">
            <v/>
          </cell>
          <cell r="JN37" t="str">
            <v/>
          </cell>
          <cell r="JO37" t="str">
            <v/>
          </cell>
          <cell r="JP37" t="str">
            <v/>
          </cell>
          <cell r="JQ37" t="str">
            <v/>
          </cell>
          <cell r="JR37" t="str">
            <v/>
          </cell>
          <cell r="JS37" t="str">
            <v/>
          </cell>
          <cell r="JT37" t="str">
            <v/>
          </cell>
          <cell r="JU37" t="str">
            <v/>
          </cell>
          <cell r="JV37" t="str">
            <v/>
          </cell>
          <cell r="JW37" t="str">
            <v/>
          </cell>
          <cell r="JX37" t="str">
            <v/>
          </cell>
          <cell r="JY37" t="str">
            <v/>
          </cell>
          <cell r="JZ37" t="str">
            <v/>
          </cell>
          <cell r="KA37" t="str">
            <v/>
          </cell>
          <cell r="KB37" t="str">
            <v/>
          </cell>
          <cell r="KC37" t="str">
            <v/>
          </cell>
          <cell r="KD37">
            <v>6</v>
          </cell>
          <cell r="KE37">
            <v>6</v>
          </cell>
          <cell r="KF37">
            <v>6</v>
          </cell>
          <cell r="KG37">
            <v>0</v>
          </cell>
          <cell r="KJ37">
            <v>0</v>
          </cell>
          <cell r="KM37">
            <v>0</v>
          </cell>
          <cell r="KP37">
            <v>0</v>
          </cell>
          <cell r="KS37">
            <v>0</v>
          </cell>
          <cell r="KV37">
            <v>0</v>
          </cell>
          <cell r="KY37">
            <v>0</v>
          </cell>
          <cell r="LB37">
            <v>0</v>
          </cell>
          <cell r="LE37">
            <v>0</v>
          </cell>
          <cell r="LH37">
            <v>0</v>
          </cell>
          <cell r="LK37">
            <v>0</v>
          </cell>
          <cell r="LO37">
            <v>45716</v>
          </cell>
          <cell r="LP37" t="str">
            <v>COMPLETADO</v>
          </cell>
        </row>
        <row r="38">
          <cell r="A38">
            <v>1637</v>
          </cell>
          <cell r="B38" t="str">
            <v xml:space="preserve"> -----</v>
          </cell>
          <cell r="C38" t="str">
            <v>GABRIEL</v>
          </cell>
          <cell r="D38" t="str">
            <v>MARROQUINERIA CHICA</v>
          </cell>
          <cell r="E38">
            <v>80</v>
          </cell>
          <cell r="F38">
            <v>58</v>
          </cell>
          <cell r="G38">
            <v>58</v>
          </cell>
          <cell r="H38">
            <v>45732.27306712963</v>
          </cell>
          <cell r="I38" t="str">
            <v>PORTALENTES LUZ</v>
          </cell>
          <cell r="J38">
            <v>45713</v>
          </cell>
          <cell r="K38">
            <v>45713</v>
          </cell>
          <cell r="M38">
            <v>10</v>
          </cell>
          <cell r="N38" t="str">
            <v>M098</v>
          </cell>
          <cell r="O38" t="str">
            <v>AV170134014</v>
          </cell>
          <cell r="P38">
            <v>0</v>
          </cell>
          <cell r="Q38" t="str">
            <v/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>
            <v>0</v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 xml:space="preserve">GRABADO EL LUCERO ARGENTINA CHICO, EN ELFRENTE, A 1.5CM DEL BORDE INFERIOR Y A 1.5 CM DEL BORDE DERECHO. </v>
          </cell>
          <cell r="AX38" t="str">
            <v>AZUL_REVES_AZUL</v>
          </cell>
          <cell r="AY38" t="str">
            <v>BIANCO-CUERO MODENA ESPESOR 1,8</v>
          </cell>
          <cell r="AZ38" t="str">
            <v>CUE0000156</v>
          </cell>
          <cell r="BA38">
            <v>0.03</v>
          </cell>
          <cell r="BB38" t="str">
            <v>FOR0000029</v>
          </cell>
          <cell r="BC38">
            <v>0.03</v>
          </cell>
          <cell r="BD38" t="str">
            <v>AV1401254360</v>
          </cell>
          <cell r="BE38">
            <v>0</v>
          </cell>
          <cell r="BF38" t="str">
            <v>AV1601300956</v>
          </cell>
          <cell r="BG38">
            <v>0</v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>
            <v>0</v>
          </cell>
          <cell r="BP38" t="str">
            <v/>
          </cell>
          <cell r="BQ38">
            <v>0</v>
          </cell>
          <cell r="BR38" t="str">
            <v>TABACO</v>
          </cell>
          <cell r="BS38" t="str">
            <v>ARENA-CUERO BRIDGE</v>
          </cell>
          <cell r="BT38" t="str">
            <v>CUE0000012</v>
          </cell>
          <cell r="BU38">
            <v>0.03</v>
          </cell>
          <cell r="BV38" t="str">
            <v>FOR0000031</v>
          </cell>
          <cell r="BW38">
            <v>0.03</v>
          </cell>
          <cell r="BX38" t="str">
            <v>AV1401250545</v>
          </cell>
          <cell r="BY38">
            <v>0</v>
          </cell>
          <cell r="BZ38" t="str">
            <v>AV1601300954</v>
          </cell>
          <cell r="CA38">
            <v>0</v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>MALBEC</v>
          </cell>
          <cell r="CM38" t="str">
            <v>ARENA-CUERO BRIDGE</v>
          </cell>
          <cell r="CN38" t="str">
            <v>CUE0000008</v>
          </cell>
          <cell r="CO38">
            <v>0.03</v>
          </cell>
          <cell r="CP38" t="str">
            <v>FOR0000030</v>
          </cell>
          <cell r="CQ38">
            <v>0.03</v>
          </cell>
          <cell r="CR38" t="str">
            <v>AV1401250545</v>
          </cell>
          <cell r="CS38">
            <v>0</v>
          </cell>
          <cell r="CT38" t="str">
            <v>PIN00000001</v>
          </cell>
          <cell r="CU38">
            <v>0</v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>VERDE_REVES_VERDE</v>
          </cell>
          <cell r="DG38" t="str">
            <v>BIANCO-CUERO MODENA ESPESOR 1,8</v>
          </cell>
          <cell r="DH38" t="str">
            <v>CUE0000157</v>
          </cell>
          <cell r="DI38">
            <v>0.03</v>
          </cell>
          <cell r="DJ38" t="str">
            <v>FOR0000029</v>
          </cell>
          <cell r="DK38">
            <v>0.03</v>
          </cell>
          <cell r="DL38" t="str">
            <v>AV1401254260</v>
          </cell>
          <cell r="DM38">
            <v>0</v>
          </cell>
          <cell r="DN38" t="str">
            <v>AV1601300957</v>
          </cell>
          <cell r="DO38">
            <v>0</v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  <cell r="DW38" t="str">
            <v/>
          </cell>
          <cell r="DX38" t="str">
            <v/>
          </cell>
          <cell r="DY38" t="str">
            <v/>
          </cell>
          <cell r="DZ38" t="str">
            <v>NEGRO</v>
          </cell>
          <cell r="EA38" t="str">
            <v>ARENA-CUERO NAPADO</v>
          </cell>
          <cell r="EB38" t="str">
            <v>CUE0000026</v>
          </cell>
          <cell r="EC38">
            <v>0.03</v>
          </cell>
          <cell r="ED38" t="str">
            <v>FOR0000029</v>
          </cell>
          <cell r="EE38">
            <v>0.03</v>
          </cell>
          <cell r="EF38" t="str">
            <v>AV1401254060</v>
          </cell>
          <cell r="EG38">
            <v>0</v>
          </cell>
          <cell r="EH38" t="str">
            <v>AV1601300926</v>
          </cell>
          <cell r="EI38">
            <v>0</v>
          </cell>
          <cell r="EJ38" t="str">
            <v/>
          </cell>
          <cell r="EK38" t="str">
            <v/>
          </cell>
          <cell r="EL38" t="str">
            <v/>
          </cell>
          <cell r="EM38" t="str">
            <v/>
          </cell>
          <cell r="EN38" t="str">
            <v/>
          </cell>
          <cell r="EO38" t="str">
            <v/>
          </cell>
          <cell r="EP38" t="str">
            <v/>
          </cell>
          <cell r="EQ38" t="str">
            <v/>
          </cell>
          <cell r="ER38" t="str">
            <v/>
          </cell>
          <cell r="ES38" t="str">
            <v/>
          </cell>
          <cell r="ET38" t="str">
            <v>ROJO</v>
          </cell>
          <cell r="EU38" t="str">
            <v>ARENA-CUERO NAPADO</v>
          </cell>
          <cell r="EV38" t="str">
            <v>CUE0000027</v>
          </cell>
          <cell r="EW38">
            <v>0.03</v>
          </cell>
          <cell r="EX38" t="str">
            <v>FOR0000030</v>
          </cell>
          <cell r="EY38">
            <v>0.03</v>
          </cell>
          <cell r="EZ38" t="str">
            <v>AV1401254460</v>
          </cell>
          <cell r="FA38">
            <v>0</v>
          </cell>
          <cell r="FB38" t="str">
            <v>AV1601300929</v>
          </cell>
          <cell r="FC38">
            <v>0</v>
          </cell>
          <cell r="FD38" t="str">
            <v/>
          </cell>
          <cell r="FE38" t="str">
            <v/>
          </cell>
          <cell r="FF38" t="str">
            <v/>
          </cell>
          <cell r="FG38" t="str">
            <v/>
          </cell>
          <cell r="FH38" t="str">
            <v/>
          </cell>
          <cell r="FI38" t="str">
            <v/>
          </cell>
          <cell r="FJ38" t="str">
            <v/>
          </cell>
          <cell r="FK38" t="str">
            <v/>
          </cell>
          <cell r="FL38" t="str">
            <v/>
          </cell>
          <cell r="FM38" t="str">
            <v/>
          </cell>
          <cell r="FN38" t="str">
            <v>ROJO</v>
          </cell>
          <cell r="FO38" t="str">
            <v>ARENA-CUERO BRIDGE IGUANA</v>
          </cell>
          <cell r="FP38" t="str">
            <v>CUE0000018</v>
          </cell>
          <cell r="FQ38">
            <v>0.03</v>
          </cell>
          <cell r="FR38" t="str">
            <v>FOR0000030</v>
          </cell>
          <cell r="FS38">
            <v>0.03</v>
          </cell>
          <cell r="FT38" t="str">
            <v>AV1401254460</v>
          </cell>
          <cell r="FU38">
            <v>0</v>
          </cell>
          <cell r="FV38" t="str">
            <v>AV1601300929</v>
          </cell>
          <cell r="FW38">
            <v>0</v>
          </cell>
          <cell r="FX38" t="str">
            <v/>
          </cell>
          <cell r="FY38" t="str">
            <v/>
          </cell>
          <cell r="FZ38" t="str">
            <v/>
          </cell>
          <cell r="GA38" t="str">
            <v/>
          </cell>
          <cell r="GB38" t="str">
            <v/>
          </cell>
          <cell r="GC38" t="str">
            <v/>
          </cell>
          <cell r="GD38" t="str">
            <v/>
          </cell>
          <cell r="GE38" t="str">
            <v/>
          </cell>
          <cell r="GF38" t="str">
            <v/>
          </cell>
          <cell r="GG38" t="str">
            <v/>
          </cell>
          <cell r="GH38" t="str">
            <v>CEDRO</v>
          </cell>
          <cell r="GI38" t="str">
            <v>BIANCO-CUERO FIORENTINO</v>
          </cell>
          <cell r="GJ38" t="str">
            <v>CUE0000055</v>
          </cell>
          <cell r="GK38">
            <v>0.03</v>
          </cell>
          <cell r="GL38" t="str">
            <v>FOR0000031</v>
          </cell>
          <cell r="GM38">
            <v>0.03</v>
          </cell>
          <cell r="GN38" t="str">
            <v>AV1401250545</v>
          </cell>
          <cell r="GO38">
            <v>0</v>
          </cell>
          <cell r="GP38" t="str">
            <v>AV1601300955</v>
          </cell>
          <cell r="GQ38">
            <v>0</v>
          </cell>
          <cell r="GR38" t="str">
            <v/>
          </cell>
          <cell r="GS38" t="str">
            <v/>
          </cell>
          <cell r="GT38" t="str">
            <v/>
          </cell>
          <cell r="GU38" t="str">
            <v/>
          </cell>
          <cell r="GV38" t="str">
            <v/>
          </cell>
          <cell r="GW38" t="str">
            <v/>
          </cell>
          <cell r="GX38" t="str">
            <v/>
          </cell>
          <cell r="GY38" t="str">
            <v/>
          </cell>
          <cell r="GZ38" t="str">
            <v/>
          </cell>
          <cell r="HA38" t="str">
            <v/>
          </cell>
          <cell r="HB38" t="str">
            <v/>
          </cell>
          <cell r="HC38" t="str">
            <v/>
          </cell>
          <cell r="HD38" t="str">
            <v/>
          </cell>
          <cell r="HE38" t="str">
            <v/>
          </cell>
          <cell r="HF38" t="str">
            <v/>
          </cell>
          <cell r="HG38" t="str">
            <v/>
          </cell>
          <cell r="HH38" t="str">
            <v/>
          </cell>
          <cell r="HI38" t="str">
            <v/>
          </cell>
          <cell r="HJ38" t="str">
            <v/>
          </cell>
          <cell r="HK38" t="str">
            <v/>
          </cell>
          <cell r="HL38" t="str">
            <v/>
          </cell>
          <cell r="HM38" t="str">
            <v/>
          </cell>
          <cell r="HN38" t="str">
            <v/>
          </cell>
          <cell r="HO38" t="str">
            <v/>
          </cell>
          <cell r="HP38" t="str">
            <v/>
          </cell>
          <cell r="HQ38" t="str">
            <v/>
          </cell>
          <cell r="HR38" t="str">
            <v/>
          </cell>
          <cell r="HS38" t="str">
            <v/>
          </cell>
          <cell r="HT38" t="str">
            <v/>
          </cell>
          <cell r="HU38" t="str">
            <v/>
          </cell>
          <cell r="HV38" t="str">
            <v/>
          </cell>
          <cell r="HW38" t="str">
            <v/>
          </cell>
          <cell r="HX38" t="str">
            <v/>
          </cell>
          <cell r="HY38" t="str">
            <v/>
          </cell>
          <cell r="HZ38" t="str">
            <v/>
          </cell>
          <cell r="IA38" t="str">
            <v/>
          </cell>
          <cell r="IB38" t="str">
            <v/>
          </cell>
          <cell r="IC38" t="str">
            <v/>
          </cell>
          <cell r="ID38" t="str">
            <v/>
          </cell>
          <cell r="IE38" t="str">
            <v/>
          </cell>
          <cell r="IF38" t="str">
            <v/>
          </cell>
          <cell r="IG38" t="str">
            <v/>
          </cell>
          <cell r="IH38" t="str">
            <v/>
          </cell>
          <cell r="II38" t="str">
            <v/>
          </cell>
          <cell r="IJ38" t="str">
            <v/>
          </cell>
          <cell r="IK38" t="str">
            <v/>
          </cell>
          <cell r="IL38" t="str">
            <v/>
          </cell>
          <cell r="IM38" t="str">
            <v/>
          </cell>
          <cell r="IN38" t="str">
            <v/>
          </cell>
          <cell r="IO38" t="str">
            <v/>
          </cell>
          <cell r="IP38" t="str">
            <v/>
          </cell>
          <cell r="IQ38" t="str">
            <v/>
          </cell>
          <cell r="IR38" t="str">
            <v/>
          </cell>
          <cell r="IS38" t="str">
            <v/>
          </cell>
          <cell r="IT38" t="str">
            <v/>
          </cell>
          <cell r="IU38" t="str">
            <v/>
          </cell>
          <cell r="IV38" t="str">
            <v/>
          </cell>
          <cell r="IW38" t="str">
            <v/>
          </cell>
          <cell r="IX38" t="str">
            <v/>
          </cell>
          <cell r="IY38" t="str">
            <v/>
          </cell>
          <cell r="IZ38" t="str">
            <v/>
          </cell>
          <cell r="JA38" t="str">
            <v/>
          </cell>
          <cell r="JB38" t="str">
            <v/>
          </cell>
          <cell r="JC38" t="str">
            <v/>
          </cell>
          <cell r="JD38" t="str">
            <v/>
          </cell>
          <cell r="JE38" t="str">
            <v/>
          </cell>
          <cell r="JF38" t="str">
            <v/>
          </cell>
          <cell r="JG38" t="str">
            <v/>
          </cell>
          <cell r="JH38" t="str">
            <v/>
          </cell>
          <cell r="JI38" t="str">
            <v/>
          </cell>
          <cell r="JJ38" t="str">
            <v/>
          </cell>
          <cell r="JK38" t="str">
            <v/>
          </cell>
          <cell r="JL38" t="str">
            <v/>
          </cell>
          <cell r="JM38" t="str">
            <v/>
          </cell>
          <cell r="JN38" t="str">
            <v/>
          </cell>
          <cell r="JO38" t="str">
            <v/>
          </cell>
          <cell r="JP38" t="str">
            <v/>
          </cell>
          <cell r="JQ38" t="str">
            <v/>
          </cell>
          <cell r="JR38" t="str">
            <v/>
          </cell>
          <cell r="JS38" t="str">
            <v/>
          </cell>
          <cell r="JT38" t="str">
            <v/>
          </cell>
          <cell r="JU38" t="str">
            <v/>
          </cell>
          <cell r="JV38" t="str">
            <v/>
          </cell>
          <cell r="JW38" t="str">
            <v/>
          </cell>
          <cell r="JX38" t="str">
            <v/>
          </cell>
          <cell r="JY38" t="str">
            <v/>
          </cell>
          <cell r="JZ38" t="str">
            <v/>
          </cell>
          <cell r="KA38" t="str">
            <v/>
          </cell>
          <cell r="KB38" t="str">
            <v/>
          </cell>
          <cell r="KC38" t="str">
            <v/>
          </cell>
          <cell r="KD38">
            <v>12</v>
          </cell>
          <cell r="KE38">
            <v>0</v>
          </cell>
          <cell r="KF38">
            <v>0</v>
          </cell>
          <cell r="KG38">
            <v>10</v>
          </cell>
          <cell r="KH38">
            <v>10</v>
          </cell>
          <cell r="KI38">
            <v>10</v>
          </cell>
          <cell r="KJ38">
            <v>10</v>
          </cell>
          <cell r="KK38">
            <v>10</v>
          </cell>
          <cell r="KL38">
            <v>10</v>
          </cell>
          <cell r="KM38">
            <v>14</v>
          </cell>
          <cell r="KN38">
            <v>4</v>
          </cell>
          <cell r="KO38">
            <v>4</v>
          </cell>
          <cell r="KP38">
            <v>10</v>
          </cell>
          <cell r="KQ38">
            <v>10</v>
          </cell>
          <cell r="KR38">
            <v>10</v>
          </cell>
          <cell r="KS38">
            <v>12</v>
          </cell>
          <cell r="KT38">
            <v>12</v>
          </cell>
          <cell r="KU38">
            <v>12</v>
          </cell>
          <cell r="KV38">
            <v>6</v>
          </cell>
          <cell r="KW38">
            <v>6</v>
          </cell>
          <cell r="KX38">
            <v>6</v>
          </cell>
          <cell r="KY38">
            <v>6</v>
          </cell>
          <cell r="KZ38">
            <v>6</v>
          </cell>
          <cell r="LA38">
            <v>6</v>
          </cell>
          <cell r="LB38">
            <v>0</v>
          </cell>
          <cell r="LE38">
            <v>0</v>
          </cell>
          <cell r="LH38">
            <v>0</v>
          </cell>
          <cell r="LK38">
            <v>0</v>
          </cell>
          <cell r="LO38">
            <v>45721</v>
          </cell>
          <cell r="LP38" t="str">
            <v>COMPLETADO</v>
          </cell>
        </row>
        <row r="39">
          <cell r="A39">
            <v>1638</v>
          </cell>
          <cell r="B39" t="str">
            <v xml:space="preserve"> -----</v>
          </cell>
          <cell r="C39" t="str">
            <v>GABRIEL</v>
          </cell>
          <cell r="D39" t="str">
            <v>MARROQUINERIA CHICA</v>
          </cell>
          <cell r="E39">
            <v>56</v>
          </cell>
          <cell r="F39">
            <v>56</v>
          </cell>
          <cell r="G39">
            <v>56</v>
          </cell>
          <cell r="H39">
            <v>45732.267164351855</v>
          </cell>
          <cell r="I39" t="str">
            <v>PORTAPASAPORTE CHESTER</v>
          </cell>
          <cell r="J39">
            <v>45714</v>
          </cell>
          <cell r="K39">
            <v>45714</v>
          </cell>
          <cell r="L39">
            <v>45961</v>
          </cell>
          <cell r="M39">
            <v>10</v>
          </cell>
          <cell r="N39" t="str">
            <v>M104</v>
          </cell>
          <cell r="O39" t="str">
            <v>AV170134014</v>
          </cell>
          <cell r="P39">
            <v>0</v>
          </cell>
          <cell r="Q39" t="str">
            <v/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 xml:space="preserve">GRABADO LUCERO ARGENTINA CHICO,CENTRADO EN ESPALDA A 1.5CM DEL BORDE INFERIOR  </v>
          </cell>
          <cell r="AX39" t="str">
            <v>ROJO</v>
          </cell>
          <cell r="AY39" t="str">
            <v>ARENA-CUERO BRIDGE</v>
          </cell>
          <cell r="AZ39" t="str">
            <v>CUE0000010</v>
          </cell>
          <cell r="BA39">
            <v>0.05</v>
          </cell>
          <cell r="BB39" t="str">
            <v>AV1401254460</v>
          </cell>
          <cell r="BC39">
            <v>0</v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>MALBEC</v>
          </cell>
          <cell r="BS39" t="str">
            <v>ARENA-CUERO BRIDGE</v>
          </cell>
          <cell r="BT39" t="str">
            <v>CUE0000008</v>
          </cell>
          <cell r="BU39">
            <v>0.05</v>
          </cell>
          <cell r="BV39" t="str">
            <v>AV1401254460</v>
          </cell>
          <cell r="BW39">
            <v>0</v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>VERDE_REVES_VERDE</v>
          </cell>
          <cell r="CM39" t="str">
            <v>BIANCO-CUERO MODENA ESPESOR 1,8</v>
          </cell>
          <cell r="CN39" t="str">
            <v>CUE0000157</v>
          </cell>
          <cell r="CO39">
            <v>0.05</v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  <cell r="DW39" t="str">
            <v/>
          </cell>
          <cell r="DX39" t="str">
            <v/>
          </cell>
          <cell r="DY39" t="str">
            <v/>
          </cell>
          <cell r="DZ39" t="str">
            <v/>
          </cell>
          <cell r="EA39" t="str">
            <v/>
          </cell>
          <cell r="EB39" t="str">
            <v/>
          </cell>
          <cell r="EC39" t="str">
            <v/>
          </cell>
          <cell r="ED39" t="str">
            <v/>
          </cell>
          <cell r="EE39" t="str">
            <v/>
          </cell>
          <cell r="EF39" t="str">
            <v/>
          </cell>
          <cell r="EG39" t="str">
            <v/>
          </cell>
          <cell r="EH39" t="str">
            <v/>
          </cell>
          <cell r="EI39" t="str">
            <v/>
          </cell>
          <cell r="EJ39" t="str">
            <v/>
          </cell>
          <cell r="EK39" t="str">
            <v/>
          </cell>
          <cell r="EL39" t="str">
            <v/>
          </cell>
          <cell r="EM39" t="str">
            <v/>
          </cell>
          <cell r="EN39" t="str">
            <v/>
          </cell>
          <cell r="EO39" t="str">
            <v/>
          </cell>
          <cell r="EP39" t="str">
            <v/>
          </cell>
          <cell r="EQ39" t="str">
            <v/>
          </cell>
          <cell r="ER39" t="str">
            <v/>
          </cell>
          <cell r="ES39" t="str">
            <v/>
          </cell>
          <cell r="ET39" t="str">
            <v/>
          </cell>
          <cell r="EU39" t="str">
            <v/>
          </cell>
          <cell r="EV39" t="str">
            <v/>
          </cell>
          <cell r="EW39" t="str">
            <v/>
          </cell>
          <cell r="EX39" t="str">
            <v/>
          </cell>
          <cell r="EY39" t="str">
            <v/>
          </cell>
          <cell r="EZ39" t="str">
            <v/>
          </cell>
          <cell r="FA39" t="str">
            <v/>
          </cell>
          <cell r="FB39" t="str">
            <v/>
          </cell>
          <cell r="FC39" t="str">
            <v/>
          </cell>
          <cell r="FD39" t="str">
            <v/>
          </cell>
          <cell r="FE39" t="str">
            <v/>
          </cell>
          <cell r="FF39" t="str">
            <v/>
          </cell>
          <cell r="FG39" t="str">
            <v/>
          </cell>
          <cell r="FH39" t="str">
            <v/>
          </cell>
          <cell r="FI39" t="str">
            <v/>
          </cell>
          <cell r="FJ39" t="str">
            <v/>
          </cell>
          <cell r="FK39" t="str">
            <v/>
          </cell>
          <cell r="FL39" t="str">
            <v/>
          </cell>
          <cell r="FM39" t="str">
            <v/>
          </cell>
          <cell r="FN39" t="str">
            <v/>
          </cell>
          <cell r="FO39" t="str">
            <v/>
          </cell>
          <cell r="FP39" t="str">
            <v/>
          </cell>
          <cell r="FQ39" t="str">
            <v/>
          </cell>
          <cell r="FR39" t="str">
            <v/>
          </cell>
          <cell r="FS39" t="str">
            <v/>
          </cell>
          <cell r="FT39" t="str">
            <v/>
          </cell>
          <cell r="FU39" t="str">
            <v/>
          </cell>
          <cell r="FV39" t="str">
            <v/>
          </cell>
          <cell r="FW39" t="str">
            <v/>
          </cell>
          <cell r="FX39" t="str">
            <v/>
          </cell>
          <cell r="FY39" t="str">
            <v/>
          </cell>
          <cell r="FZ39" t="str">
            <v/>
          </cell>
          <cell r="GA39" t="str">
            <v/>
          </cell>
          <cell r="GB39" t="str">
            <v/>
          </cell>
          <cell r="GC39" t="str">
            <v/>
          </cell>
          <cell r="GD39" t="str">
            <v/>
          </cell>
          <cell r="GE39" t="str">
            <v/>
          </cell>
          <cell r="GF39" t="str">
            <v/>
          </cell>
          <cell r="GG39" t="str">
            <v/>
          </cell>
          <cell r="GH39" t="str">
            <v/>
          </cell>
          <cell r="GI39" t="str">
            <v/>
          </cell>
          <cell r="GJ39" t="str">
            <v/>
          </cell>
          <cell r="GK39" t="str">
            <v/>
          </cell>
          <cell r="GL39" t="str">
            <v/>
          </cell>
          <cell r="GM39" t="str">
            <v/>
          </cell>
          <cell r="GN39" t="str">
            <v/>
          </cell>
          <cell r="GO39" t="str">
            <v/>
          </cell>
          <cell r="GP39" t="str">
            <v/>
          </cell>
          <cell r="GQ39" t="str">
            <v/>
          </cell>
          <cell r="GR39" t="str">
            <v/>
          </cell>
          <cell r="GS39" t="str">
            <v/>
          </cell>
          <cell r="GT39" t="str">
            <v/>
          </cell>
          <cell r="GU39" t="str">
            <v/>
          </cell>
          <cell r="GV39" t="str">
            <v/>
          </cell>
          <cell r="GW39" t="str">
            <v/>
          </cell>
          <cell r="GX39" t="str">
            <v/>
          </cell>
          <cell r="GY39" t="str">
            <v/>
          </cell>
          <cell r="GZ39" t="str">
            <v/>
          </cell>
          <cell r="HA39" t="str">
            <v/>
          </cell>
          <cell r="HB39" t="str">
            <v/>
          </cell>
          <cell r="HC39" t="str">
            <v/>
          </cell>
          <cell r="HD39" t="str">
            <v/>
          </cell>
          <cell r="HE39" t="str">
            <v/>
          </cell>
          <cell r="HF39" t="str">
            <v/>
          </cell>
          <cell r="HG39" t="str">
            <v/>
          </cell>
          <cell r="HH39" t="str">
            <v/>
          </cell>
          <cell r="HI39" t="str">
            <v/>
          </cell>
          <cell r="HJ39" t="str">
            <v/>
          </cell>
          <cell r="HK39" t="str">
            <v/>
          </cell>
          <cell r="HL39" t="str">
            <v/>
          </cell>
          <cell r="HM39" t="str">
            <v/>
          </cell>
          <cell r="HN39" t="str">
            <v/>
          </cell>
          <cell r="HO39" t="str">
            <v/>
          </cell>
          <cell r="HP39" t="str">
            <v/>
          </cell>
          <cell r="HQ39" t="str">
            <v/>
          </cell>
          <cell r="HR39" t="str">
            <v/>
          </cell>
          <cell r="HS39" t="str">
            <v/>
          </cell>
          <cell r="HT39" t="str">
            <v/>
          </cell>
          <cell r="HU39" t="str">
            <v/>
          </cell>
          <cell r="HV39" t="str">
            <v/>
          </cell>
          <cell r="HW39" t="str">
            <v/>
          </cell>
          <cell r="HX39" t="str">
            <v/>
          </cell>
          <cell r="HY39" t="str">
            <v/>
          </cell>
          <cell r="HZ39" t="str">
            <v/>
          </cell>
          <cell r="IA39" t="str">
            <v/>
          </cell>
          <cell r="IB39" t="str">
            <v/>
          </cell>
          <cell r="IC39" t="str">
            <v/>
          </cell>
          <cell r="ID39" t="str">
            <v/>
          </cell>
          <cell r="IE39" t="str">
            <v/>
          </cell>
          <cell r="IF39" t="str">
            <v/>
          </cell>
          <cell r="IG39" t="str">
            <v/>
          </cell>
          <cell r="IH39" t="str">
            <v/>
          </cell>
          <cell r="II39" t="str">
            <v/>
          </cell>
          <cell r="IJ39" t="str">
            <v/>
          </cell>
          <cell r="IK39" t="str">
            <v/>
          </cell>
          <cell r="IL39" t="str">
            <v/>
          </cell>
          <cell r="IM39" t="str">
            <v/>
          </cell>
          <cell r="IN39" t="str">
            <v/>
          </cell>
          <cell r="IO39" t="str">
            <v/>
          </cell>
          <cell r="IP39" t="str">
            <v/>
          </cell>
          <cell r="IQ39" t="str">
            <v/>
          </cell>
          <cell r="IR39" t="str">
            <v/>
          </cell>
          <cell r="IS39" t="str">
            <v/>
          </cell>
          <cell r="IT39" t="str">
            <v/>
          </cell>
          <cell r="IU39" t="str">
            <v/>
          </cell>
          <cell r="IV39" t="str">
            <v/>
          </cell>
          <cell r="IW39" t="str">
            <v/>
          </cell>
          <cell r="IX39" t="str">
            <v/>
          </cell>
          <cell r="IY39" t="str">
            <v/>
          </cell>
          <cell r="IZ39" t="str">
            <v/>
          </cell>
          <cell r="JA39" t="str">
            <v/>
          </cell>
          <cell r="JB39" t="str">
            <v/>
          </cell>
          <cell r="JC39" t="str">
            <v/>
          </cell>
          <cell r="JD39" t="str">
            <v/>
          </cell>
          <cell r="JE39" t="str">
            <v/>
          </cell>
          <cell r="JF39" t="str">
            <v/>
          </cell>
          <cell r="JG39" t="str">
            <v/>
          </cell>
          <cell r="JH39" t="str">
            <v/>
          </cell>
          <cell r="JI39" t="str">
            <v/>
          </cell>
          <cell r="JJ39" t="str">
            <v/>
          </cell>
          <cell r="JK39" t="str">
            <v/>
          </cell>
          <cell r="JL39" t="str">
            <v/>
          </cell>
          <cell r="JM39" t="str">
            <v/>
          </cell>
          <cell r="JN39" t="str">
            <v/>
          </cell>
          <cell r="JO39" t="str">
            <v/>
          </cell>
          <cell r="JP39" t="str">
            <v/>
          </cell>
          <cell r="JQ39" t="str">
            <v/>
          </cell>
          <cell r="JR39" t="str">
            <v/>
          </cell>
          <cell r="JS39" t="str">
            <v/>
          </cell>
          <cell r="JT39" t="str">
            <v/>
          </cell>
          <cell r="JU39" t="str">
            <v/>
          </cell>
          <cell r="JV39" t="str">
            <v/>
          </cell>
          <cell r="JW39" t="str">
            <v/>
          </cell>
          <cell r="JX39" t="str">
            <v/>
          </cell>
          <cell r="JY39" t="str">
            <v/>
          </cell>
          <cell r="JZ39" t="str">
            <v/>
          </cell>
          <cell r="KA39" t="str">
            <v/>
          </cell>
          <cell r="KB39" t="str">
            <v/>
          </cell>
          <cell r="KC39" t="str">
            <v/>
          </cell>
          <cell r="KD39">
            <v>12</v>
          </cell>
          <cell r="KE39">
            <v>12</v>
          </cell>
          <cell r="KF39">
            <v>12</v>
          </cell>
          <cell r="KG39">
            <v>20</v>
          </cell>
          <cell r="KH39">
            <v>20</v>
          </cell>
          <cell r="KI39">
            <v>20</v>
          </cell>
          <cell r="KJ39">
            <v>24</v>
          </cell>
          <cell r="KK39">
            <v>24</v>
          </cell>
          <cell r="KL39">
            <v>24</v>
          </cell>
          <cell r="KM39">
            <v>0</v>
          </cell>
          <cell r="KP39">
            <v>0</v>
          </cell>
          <cell r="KS39">
            <v>0</v>
          </cell>
          <cell r="KV39">
            <v>0</v>
          </cell>
          <cell r="KY39">
            <v>0</v>
          </cell>
          <cell r="LB39">
            <v>0</v>
          </cell>
          <cell r="LE39">
            <v>0</v>
          </cell>
          <cell r="LH39">
            <v>0</v>
          </cell>
          <cell r="LK39">
            <v>0</v>
          </cell>
          <cell r="LN39">
            <v>45721</v>
          </cell>
          <cell r="LO39">
            <v>45965</v>
          </cell>
          <cell r="LP39" t="str">
            <v>COMPLETADO</v>
          </cell>
        </row>
        <row r="40">
          <cell r="A40">
            <v>1639</v>
          </cell>
          <cell r="B40" t="str">
            <v xml:space="preserve"> -----</v>
          </cell>
          <cell r="C40" t="str">
            <v>GABRIEL</v>
          </cell>
          <cell r="D40" t="str">
            <v>MARROQUINERIA CHICA</v>
          </cell>
          <cell r="E40">
            <v>24</v>
          </cell>
          <cell r="F40">
            <v>24</v>
          </cell>
          <cell r="G40">
            <v>24</v>
          </cell>
          <cell r="H40">
            <v>45732.352986111109</v>
          </cell>
          <cell r="I40" t="str">
            <v>PORTAPASAPORTE RON</v>
          </cell>
          <cell r="J40">
            <v>45706</v>
          </cell>
          <cell r="K40">
            <v>45706</v>
          </cell>
          <cell r="M40">
            <v>10</v>
          </cell>
          <cell r="N40" t="str">
            <v>M106</v>
          </cell>
          <cell r="O40" t="str">
            <v>AV170134014</v>
          </cell>
          <cell r="P40">
            <v>0</v>
          </cell>
          <cell r="Q40" t="str">
            <v/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 xml:space="preserve">GRABADO "EL LUCERO ARGENTINA " CHICO ,EN ESPALDA CENTRADO, BORDE INFERIOR   </v>
          </cell>
          <cell r="AX40" t="str">
            <v>VERDE_REVES_VERDE</v>
          </cell>
          <cell r="AY40" t="str">
            <v>BIANCO-CUERO MODENA ESPESOR 1,8</v>
          </cell>
          <cell r="AZ40" t="str">
            <v>CUE0000157</v>
          </cell>
          <cell r="BA40">
            <v>0.04</v>
          </cell>
          <cell r="BB40" t="str">
            <v>AV1401254260</v>
          </cell>
          <cell r="BC40">
            <v>0</v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  <cell r="DW40" t="str">
            <v/>
          </cell>
          <cell r="DX40" t="str">
            <v/>
          </cell>
          <cell r="DY40" t="str">
            <v/>
          </cell>
          <cell r="DZ40" t="str">
            <v/>
          </cell>
          <cell r="EA40" t="str">
            <v/>
          </cell>
          <cell r="EB40" t="str">
            <v/>
          </cell>
          <cell r="EC40" t="str">
            <v/>
          </cell>
          <cell r="ED40" t="str">
            <v/>
          </cell>
          <cell r="EE40" t="str">
            <v/>
          </cell>
          <cell r="EF40" t="str">
            <v/>
          </cell>
          <cell r="EG40" t="str">
            <v/>
          </cell>
          <cell r="EH40" t="str">
            <v/>
          </cell>
          <cell r="EI40" t="str">
            <v/>
          </cell>
          <cell r="EJ40" t="str">
            <v/>
          </cell>
          <cell r="EK40" t="str">
            <v/>
          </cell>
          <cell r="EL40" t="str">
            <v/>
          </cell>
          <cell r="EM40" t="str">
            <v/>
          </cell>
          <cell r="EN40" t="str">
            <v/>
          </cell>
          <cell r="EO40" t="str">
            <v/>
          </cell>
          <cell r="EP40" t="str">
            <v/>
          </cell>
          <cell r="EQ40" t="str">
            <v/>
          </cell>
          <cell r="ER40" t="str">
            <v/>
          </cell>
          <cell r="ES40" t="str">
            <v/>
          </cell>
          <cell r="ET40" t="str">
            <v/>
          </cell>
          <cell r="EU40" t="str">
            <v/>
          </cell>
          <cell r="EV40" t="str">
            <v/>
          </cell>
          <cell r="EW40" t="str">
            <v/>
          </cell>
          <cell r="EX40" t="str">
            <v/>
          </cell>
          <cell r="EY40" t="str">
            <v/>
          </cell>
          <cell r="EZ40" t="str">
            <v/>
          </cell>
          <cell r="FA40" t="str">
            <v/>
          </cell>
          <cell r="FB40" t="str">
            <v/>
          </cell>
          <cell r="FC40" t="str">
            <v/>
          </cell>
          <cell r="FD40" t="str">
            <v/>
          </cell>
          <cell r="FE40" t="str">
            <v/>
          </cell>
          <cell r="FF40" t="str">
            <v/>
          </cell>
          <cell r="FG40" t="str">
            <v/>
          </cell>
          <cell r="FH40" t="str">
            <v/>
          </cell>
          <cell r="FI40" t="str">
            <v/>
          </cell>
          <cell r="FJ40" t="str">
            <v/>
          </cell>
          <cell r="FK40" t="str">
            <v/>
          </cell>
          <cell r="FL40" t="str">
            <v/>
          </cell>
          <cell r="FM40" t="str">
            <v/>
          </cell>
          <cell r="FN40" t="str">
            <v/>
          </cell>
          <cell r="FO40" t="str">
            <v/>
          </cell>
          <cell r="FP40" t="str">
            <v/>
          </cell>
          <cell r="FQ40" t="str">
            <v/>
          </cell>
          <cell r="FR40" t="str">
            <v/>
          </cell>
          <cell r="FS40" t="str">
            <v/>
          </cell>
          <cell r="FT40" t="str">
            <v/>
          </cell>
          <cell r="FU40" t="str">
            <v/>
          </cell>
          <cell r="FV40" t="str">
            <v/>
          </cell>
          <cell r="FW40" t="str">
            <v/>
          </cell>
          <cell r="FX40" t="str">
            <v/>
          </cell>
          <cell r="FY40" t="str">
            <v/>
          </cell>
          <cell r="FZ40" t="str">
            <v/>
          </cell>
          <cell r="GA40" t="str">
            <v/>
          </cell>
          <cell r="GB40" t="str">
            <v/>
          </cell>
          <cell r="GC40" t="str">
            <v/>
          </cell>
          <cell r="GD40" t="str">
            <v/>
          </cell>
          <cell r="GE40" t="str">
            <v/>
          </cell>
          <cell r="GF40" t="str">
            <v/>
          </cell>
          <cell r="GG40" t="str">
            <v/>
          </cell>
          <cell r="GH40" t="str">
            <v/>
          </cell>
          <cell r="GI40" t="str">
            <v/>
          </cell>
          <cell r="GJ40" t="str">
            <v/>
          </cell>
          <cell r="GK40" t="str">
            <v/>
          </cell>
          <cell r="GL40" t="str">
            <v/>
          </cell>
          <cell r="GM40" t="str">
            <v/>
          </cell>
          <cell r="GN40" t="str">
            <v/>
          </cell>
          <cell r="GO40" t="str">
            <v/>
          </cell>
          <cell r="GP40" t="str">
            <v/>
          </cell>
          <cell r="GQ40" t="str">
            <v/>
          </cell>
          <cell r="GR40" t="str">
            <v/>
          </cell>
          <cell r="GS40" t="str">
            <v/>
          </cell>
          <cell r="GT40" t="str">
            <v/>
          </cell>
          <cell r="GU40" t="str">
            <v/>
          </cell>
          <cell r="GV40" t="str">
            <v/>
          </cell>
          <cell r="GW40" t="str">
            <v/>
          </cell>
          <cell r="GX40" t="str">
            <v/>
          </cell>
          <cell r="GY40" t="str">
            <v/>
          </cell>
          <cell r="GZ40" t="str">
            <v/>
          </cell>
          <cell r="HA40" t="str">
            <v/>
          </cell>
          <cell r="HB40" t="str">
            <v/>
          </cell>
          <cell r="HC40" t="str">
            <v/>
          </cell>
          <cell r="HD40" t="str">
            <v/>
          </cell>
          <cell r="HE40" t="str">
            <v/>
          </cell>
          <cell r="HF40" t="str">
            <v/>
          </cell>
          <cell r="HG40" t="str">
            <v/>
          </cell>
          <cell r="HH40" t="str">
            <v/>
          </cell>
          <cell r="HI40" t="str">
            <v/>
          </cell>
          <cell r="HJ40" t="str">
            <v/>
          </cell>
          <cell r="HK40" t="str">
            <v/>
          </cell>
          <cell r="HL40" t="str">
            <v/>
          </cell>
          <cell r="HM40" t="str">
            <v/>
          </cell>
          <cell r="HN40" t="str">
            <v/>
          </cell>
          <cell r="HO40" t="str">
            <v/>
          </cell>
          <cell r="HP40" t="str">
            <v/>
          </cell>
          <cell r="HQ40" t="str">
            <v/>
          </cell>
          <cell r="HR40" t="str">
            <v/>
          </cell>
          <cell r="HS40" t="str">
            <v/>
          </cell>
          <cell r="HT40" t="str">
            <v/>
          </cell>
          <cell r="HU40" t="str">
            <v/>
          </cell>
          <cell r="HV40" t="str">
            <v/>
          </cell>
          <cell r="HW40" t="str">
            <v/>
          </cell>
          <cell r="HX40" t="str">
            <v/>
          </cell>
          <cell r="HY40" t="str">
            <v/>
          </cell>
          <cell r="HZ40" t="str">
            <v/>
          </cell>
          <cell r="IA40" t="str">
            <v/>
          </cell>
          <cell r="IB40" t="str">
            <v/>
          </cell>
          <cell r="IC40" t="str">
            <v/>
          </cell>
          <cell r="ID40" t="str">
            <v/>
          </cell>
          <cell r="IE40" t="str">
            <v/>
          </cell>
          <cell r="IF40" t="str">
            <v/>
          </cell>
          <cell r="IG40" t="str">
            <v/>
          </cell>
          <cell r="IH40" t="str">
            <v/>
          </cell>
          <cell r="II40" t="str">
            <v/>
          </cell>
          <cell r="IJ40" t="str">
            <v/>
          </cell>
          <cell r="IK40" t="str">
            <v/>
          </cell>
          <cell r="IL40" t="str">
            <v/>
          </cell>
          <cell r="IM40" t="str">
            <v/>
          </cell>
          <cell r="IN40" t="str">
            <v/>
          </cell>
          <cell r="IO40" t="str">
            <v/>
          </cell>
          <cell r="IP40" t="str">
            <v/>
          </cell>
          <cell r="IQ40" t="str">
            <v/>
          </cell>
          <cell r="IR40" t="str">
            <v/>
          </cell>
          <cell r="IS40" t="str">
            <v/>
          </cell>
          <cell r="IT40" t="str">
            <v/>
          </cell>
          <cell r="IU40" t="str">
            <v/>
          </cell>
          <cell r="IV40" t="str">
            <v/>
          </cell>
          <cell r="IW40" t="str">
            <v/>
          </cell>
          <cell r="IX40" t="str">
            <v/>
          </cell>
          <cell r="IY40" t="str">
            <v/>
          </cell>
          <cell r="IZ40" t="str">
            <v/>
          </cell>
          <cell r="JA40" t="str">
            <v/>
          </cell>
          <cell r="JB40" t="str">
            <v/>
          </cell>
          <cell r="JC40" t="str">
            <v/>
          </cell>
          <cell r="JD40" t="str">
            <v/>
          </cell>
          <cell r="JE40" t="str">
            <v/>
          </cell>
          <cell r="JF40" t="str">
            <v/>
          </cell>
          <cell r="JG40" t="str">
            <v/>
          </cell>
          <cell r="JH40" t="str">
            <v/>
          </cell>
          <cell r="JI40" t="str">
            <v/>
          </cell>
          <cell r="JJ40" t="str">
            <v/>
          </cell>
          <cell r="JK40" t="str">
            <v/>
          </cell>
          <cell r="JL40" t="str">
            <v/>
          </cell>
          <cell r="JM40" t="str">
            <v/>
          </cell>
          <cell r="JN40" t="str">
            <v/>
          </cell>
          <cell r="JO40" t="str">
            <v/>
          </cell>
          <cell r="JP40" t="str">
            <v/>
          </cell>
          <cell r="JQ40" t="str">
            <v/>
          </cell>
          <cell r="JR40" t="str">
            <v/>
          </cell>
          <cell r="JS40" t="str">
            <v/>
          </cell>
          <cell r="JT40" t="str">
            <v/>
          </cell>
          <cell r="JU40" t="str">
            <v/>
          </cell>
          <cell r="JV40" t="str">
            <v/>
          </cell>
          <cell r="JW40" t="str">
            <v/>
          </cell>
          <cell r="JX40" t="str">
            <v/>
          </cell>
          <cell r="JY40" t="str">
            <v/>
          </cell>
          <cell r="JZ40" t="str">
            <v/>
          </cell>
          <cell r="KA40" t="str">
            <v/>
          </cell>
          <cell r="KB40" t="str">
            <v/>
          </cell>
          <cell r="KC40" t="str">
            <v/>
          </cell>
          <cell r="KD40">
            <v>24</v>
          </cell>
          <cell r="KE40">
            <v>24</v>
          </cell>
          <cell r="KF40">
            <v>24</v>
          </cell>
          <cell r="KG40">
            <v>0</v>
          </cell>
          <cell r="KJ40">
            <v>0</v>
          </cell>
          <cell r="KM40">
            <v>0</v>
          </cell>
          <cell r="KP40">
            <v>0</v>
          </cell>
          <cell r="KS40">
            <v>0</v>
          </cell>
          <cell r="KV40">
            <v>0</v>
          </cell>
          <cell r="KY40">
            <v>0</v>
          </cell>
          <cell r="LB40">
            <v>0</v>
          </cell>
          <cell r="LE40">
            <v>0</v>
          </cell>
          <cell r="LH40">
            <v>0</v>
          </cell>
          <cell r="LK40">
            <v>0</v>
          </cell>
          <cell r="LO40">
            <v>45712</v>
          </cell>
          <cell r="LP40" t="str">
            <v>COMPLETADO</v>
          </cell>
        </row>
        <row r="41">
          <cell r="A41">
            <v>1640</v>
          </cell>
          <cell r="B41" t="str">
            <v>LUCIANO</v>
          </cell>
          <cell r="C41" t="str">
            <v>BARRACAS CHICA</v>
          </cell>
          <cell r="D41" t="str">
            <v>MARROQUINERIA CHICA</v>
          </cell>
          <cell r="E41">
            <v>24</v>
          </cell>
          <cell r="F41">
            <v>24</v>
          </cell>
          <cell r="G41">
            <v>24</v>
          </cell>
          <cell r="H41">
            <v>45732.358564814815</v>
          </cell>
          <cell r="I41" t="str">
            <v>SET PORTAVASOS CIRCULAR (X 4)</v>
          </cell>
          <cell r="J41">
            <v>45714</v>
          </cell>
          <cell r="K41">
            <v>45714</v>
          </cell>
          <cell r="M41">
            <v>8</v>
          </cell>
          <cell r="N41" t="str">
            <v>M161</v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 xml:space="preserve">SE ENTREGARAN A VENTAS EN SET X4   </v>
          </cell>
          <cell r="AT41" t="str">
            <v>PORTA TIRA DE CUERO CON GEMELO</v>
          </cell>
          <cell r="AU41" t="str">
            <v/>
          </cell>
          <cell r="AV41" t="str">
            <v/>
          </cell>
          <cell r="AW41" t="str">
            <v>GRABADO "EL LUCERO CHICO" ESQUINA INFERIOR DERECHA</v>
          </cell>
          <cell r="AX41" t="str">
            <v>NEGRO</v>
          </cell>
          <cell r="AY41" t="str">
            <v>ARENA-CUERO BRIDGE</v>
          </cell>
          <cell r="AZ41" t="str">
            <v>CUE0000009</v>
          </cell>
          <cell r="BA41">
            <v>0.02</v>
          </cell>
          <cell r="BB41" t="str">
            <v>FOR0000029</v>
          </cell>
          <cell r="BC41">
            <v>0.02</v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>TABACO</v>
          </cell>
          <cell r="BS41" t="str">
            <v>ARENA-CUERO BRIDGE</v>
          </cell>
          <cell r="BT41" t="str">
            <v>CUE0000012</v>
          </cell>
          <cell r="BU41">
            <v>0.02</v>
          </cell>
          <cell r="BV41" t="str">
            <v>FOR0000031</v>
          </cell>
          <cell r="BW41">
            <v>0.02</v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>ROJO</v>
          </cell>
          <cell r="CM41" t="str">
            <v>ARENA-CUERO BRIDGE</v>
          </cell>
          <cell r="CN41" t="str">
            <v>CUE0000010</v>
          </cell>
          <cell r="CO41">
            <v>0.02</v>
          </cell>
          <cell r="CP41" t="str">
            <v>FOR0000030</v>
          </cell>
          <cell r="CQ41">
            <v>0.02</v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>CHOCOLATE</v>
          </cell>
          <cell r="DG41" t="str">
            <v>ARENA-CUERO BRIDGE</v>
          </cell>
          <cell r="DH41" t="str">
            <v>CUE0000005</v>
          </cell>
          <cell r="DI41">
            <v>0.02</v>
          </cell>
          <cell r="DJ41" t="str">
            <v>FOR0000031</v>
          </cell>
          <cell r="DK41">
            <v>0.02</v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  <cell r="DW41" t="str">
            <v/>
          </cell>
          <cell r="DX41" t="str">
            <v/>
          </cell>
          <cell r="DY41" t="str">
            <v/>
          </cell>
          <cell r="DZ41" t="str">
            <v>CARAMELO</v>
          </cell>
          <cell r="EA41" t="str">
            <v>ARENA-CUERO NAPADO</v>
          </cell>
          <cell r="EB41" t="str">
            <v>CUE0000022</v>
          </cell>
          <cell r="EC41">
            <v>0.02</v>
          </cell>
          <cell r="ED41" t="str">
            <v>FOR0000028</v>
          </cell>
          <cell r="EE41">
            <v>0.02</v>
          </cell>
          <cell r="EF41" t="str">
            <v/>
          </cell>
          <cell r="EG41" t="str">
            <v/>
          </cell>
          <cell r="EH41" t="str">
            <v/>
          </cell>
          <cell r="EI41" t="str">
            <v/>
          </cell>
          <cell r="EJ41" t="str">
            <v/>
          </cell>
          <cell r="EK41" t="str">
            <v/>
          </cell>
          <cell r="EL41" t="str">
            <v/>
          </cell>
          <cell r="EM41" t="str">
            <v/>
          </cell>
          <cell r="EN41" t="str">
            <v/>
          </cell>
          <cell r="EO41" t="str">
            <v/>
          </cell>
          <cell r="EP41" t="str">
            <v/>
          </cell>
          <cell r="EQ41" t="str">
            <v/>
          </cell>
          <cell r="ER41" t="str">
            <v/>
          </cell>
          <cell r="ES41" t="str">
            <v/>
          </cell>
          <cell r="ET41" t="str">
            <v>MALBEC</v>
          </cell>
          <cell r="EU41" t="str">
            <v>ARENA-CUERO BRIDGE</v>
          </cell>
          <cell r="EV41" t="str">
            <v>CUE0000008</v>
          </cell>
          <cell r="EW41">
            <v>0.02</v>
          </cell>
          <cell r="EX41" t="str">
            <v>FOR0000030</v>
          </cell>
          <cell r="EY41">
            <v>0.02</v>
          </cell>
          <cell r="EZ41" t="str">
            <v/>
          </cell>
          <cell r="FA41" t="str">
            <v/>
          </cell>
          <cell r="FB41" t="str">
            <v/>
          </cell>
          <cell r="FC41" t="str">
            <v/>
          </cell>
          <cell r="FD41" t="str">
            <v/>
          </cell>
          <cell r="FE41" t="str">
            <v/>
          </cell>
          <cell r="FF41" t="str">
            <v/>
          </cell>
          <cell r="FG41" t="str">
            <v/>
          </cell>
          <cell r="FH41" t="str">
            <v/>
          </cell>
          <cell r="FI41" t="str">
            <v/>
          </cell>
          <cell r="FJ41" t="str">
            <v/>
          </cell>
          <cell r="FK41" t="str">
            <v/>
          </cell>
          <cell r="FL41" t="str">
            <v/>
          </cell>
          <cell r="FM41" t="str">
            <v/>
          </cell>
          <cell r="FN41" t="str">
            <v/>
          </cell>
          <cell r="FO41" t="str">
            <v/>
          </cell>
          <cell r="FP41" t="str">
            <v/>
          </cell>
          <cell r="FQ41" t="str">
            <v/>
          </cell>
          <cell r="FR41" t="str">
            <v/>
          </cell>
          <cell r="FS41" t="str">
            <v/>
          </cell>
          <cell r="FT41" t="str">
            <v/>
          </cell>
          <cell r="FU41" t="str">
            <v/>
          </cell>
          <cell r="FV41" t="str">
            <v/>
          </cell>
          <cell r="FW41" t="str">
            <v/>
          </cell>
          <cell r="FX41" t="str">
            <v/>
          </cell>
          <cell r="FY41" t="str">
            <v/>
          </cell>
          <cell r="FZ41" t="str">
            <v/>
          </cell>
          <cell r="GA41" t="str">
            <v/>
          </cell>
          <cell r="GB41" t="str">
            <v/>
          </cell>
          <cell r="GC41" t="str">
            <v/>
          </cell>
          <cell r="GD41" t="str">
            <v/>
          </cell>
          <cell r="GE41" t="str">
            <v/>
          </cell>
          <cell r="GF41" t="str">
            <v/>
          </cell>
          <cell r="GG41" t="str">
            <v/>
          </cell>
          <cell r="GH41" t="str">
            <v/>
          </cell>
          <cell r="GI41" t="str">
            <v/>
          </cell>
          <cell r="GJ41" t="str">
            <v/>
          </cell>
          <cell r="GK41" t="str">
            <v/>
          </cell>
          <cell r="GL41" t="str">
            <v/>
          </cell>
          <cell r="GM41" t="str">
            <v/>
          </cell>
          <cell r="GN41" t="str">
            <v/>
          </cell>
          <cell r="GO41" t="str">
            <v/>
          </cell>
          <cell r="GP41" t="str">
            <v/>
          </cell>
          <cell r="GQ41" t="str">
            <v/>
          </cell>
          <cell r="GR41" t="str">
            <v/>
          </cell>
          <cell r="GS41" t="str">
            <v/>
          </cell>
          <cell r="GT41" t="str">
            <v/>
          </cell>
          <cell r="GU41" t="str">
            <v/>
          </cell>
          <cell r="GV41" t="str">
            <v/>
          </cell>
          <cell r="GW41" t="str">
            <v/>
          </cell>
          <cell r="GX41" t="str">
            <v/>
          </cell>
          <cell r="GY41" t="str">
            <v/>
          </cell>
          <cell r="GZ41" t="str">
            <v/>
          </cell>
          <cell r="HA41" t="str">
            <v/>
          </cell>
          <cell r="HB41" t="str">
            <v/>
          </cell>
          <cell r="HC41" t="str">
            <v/>
          </cell>
          <cell r="HD41" t="str">
            <v/>
          </cell>
          <cell r="HE41" t="str">
            <v/>
          </cell>
          <cell r="HF41" t="str">
            <v/>
          </cell>
          <cell r="HG41" t="str">
            <v/>
          </cell>
          <cell r="HH41" t="str">
            <v/>
          </cell>
          <cell r="HI41" t="str">
            <v/>
          </cell>
          <cell r="HJ41" t="str">
            <v/>
          </cell>
          <cell r="HK41" t="str">
            <v/>
          </cell>
          <cell r="HL41" t="str">
            <v/>
          </cell>
          <cell r="HM41" t="str">
            <v/>
          </cell>
          <cell r="HN41" t="str">
            <v/>
          </cell>
          <cell r="HO41" t="str">
            <v/>
          </cell>
          <cell r="HP41" t="str">
            <v/>
          </cell>
          <cell r="HQ41" t="str">
            <v/>
          </cell>
          <cell r="HR41" t="str">
            <v/>
          </cell>
          <cell r="HS41" t="str">
            <v/>
          </cell>
          <cell r="HT41" t="str">
            <v/>
          </cell>
          <cell r="HU41" t="str">
            <v/>
          </cell>
          <cell r="HV41" t="str">
            <v/>
          </cell>
          <cell r="HW41" t="str">
            <v/>
          </cell>
          <cell r="HX41" t="str">
            <v/>
          </cell>
          <cell r="HY41" t="str">
            <v/>
          </cell>
          <cell r="HZ41" t="str">
            <v/>
          </cell>
          <cell r="IA41" t="str">
            <v/>
          </cell>
          <cell r="IB41" t="str">
            <v/>
          </cell>
          <cell r="IC41" t="str">
            <v/>
          </cell>
          <cell r="ID41" t="str">
            <v/>
          </cell>
          <cell r="IE41" t="str">
            <v/>
          </cell>
          <cell r="IF41" t="str">
            <v/>
          </cell>
          <cell r="IG41" t="str">
            <v/>
          </cell>
          <cell r="IH41" t="str">
            <v/>
          </cell>
          <cell r="II41" t="str">
            <v/>
          </cell>
          <cell r="IJ41" t="str">
            <v/>
          </cell>
          <cell r="IK41" t="str">
            <v/>
          </cell>
          <cell r="IL41" t="str">
            <v/>
          </cell>
          <cell r="IM41" t="str">
            <v/>
          </cell>
          <cell r="IN41" t="str">
            <v/>
          </cell>
          <cell r="IO41" t="str">
            <v/>
          </cell>
          <cell r="IP41" t="str">
            <v/>
          </cell>
          <cell r="IQ41" t="str">
            <v/>
          </cell>
          <cell r="IR41" t="str">
            <v/>
          </cell>
          <cell r="IS41" t="str">
            <v/>
          </cell>
          <cell r="IT41" t="str">
            <v/>
          </cell>
          <cell r="IU41" t="str">
            <v/>
          </cell>
          <cell r="IV41" t="str">
            <v/>
          </cell>
          <cell r="IW41" t="str">
            <v/>
          </cell>
          <cell r="IX41" t="str">
            <v/>
          </cell>
          <cell r="IY41" t="str">
            <v/>
          </cell>
          <cell r="IZ41" t="str">
            <v/>
          </cell>
          <cell r="JA41" t="str">
            <v/>
          </cell>
          <cell r="JB41" t="str">
            <v/>
          </cell>
          <cell r="JC41" t="str">
            <v/>
          </cell>
          <cell r="JD41" t="str">
            <v/>
          </cell>
          <cell r="JE41" t="str">
            <v/>
          </cell>
          <cell r="JF41" t="str">
            <v/>
          </cell>
          <cell r="JG41" t="str">
            <v/>
          </cell>
          <cell r="JH41" t="str">
            <v/>
          </cell>
          <cell r="JI41" t="str">
            <v/>
          </cell>
          <cell r="JJ41" t="str">
            <v/>
          </cell>
          <cell r="JK41" t="str">
            <v/>
          </cell>
          <cell r="JL41" t="str">
            <v/>
          </cell>
          <cell r="JM41" t="str">
            <v/>
          </cell>
          <cell r="JN41" t="str">
            <v/>
          </cell>
          <cell r="JO41" t="str">
            <v/>
          </cell>
          <cell r="JP41" t="str">
            <v/>
          </cell>
          <cell r="JQ41" t="str">
            <v/>
          </cell>
          <cell r="JR41" t="str">
            <v/>
          </cell>
          <cell r="JS41" t="str">
            <v/>
          </cell>
          <cell r="JT41" t="str">
            <v/>
          </cell>
          <cell r="JU41" t="str">
            <v/>
          </cell>
          <cell r="JV41" t="str">
            <v/>
          </cell>
          <cell r="JW41" t="str">
            <v/>
          </cell>
          <cell r="JX41" t="str">
            <v/>
          </cell>
          <cell r="JY41" t="str">
            <v/>
          </cell>
          <cell r="JZ41" t="str">
            <v/>
          </cell>
          <cell r="KA41" t="str">
            <v/>
          </cell>
          <cell r="KB41" t="str">
            <v/>
          </cell>
          <cell r="KC41" t="str">
            <v/>
          </cell>
          <cell r="KD41">
            <v>2</v>
          </cell>
          <cell r="KE41">
            <v>2</v>
          </cell>
          <cell r="KF41">
            <v>2</v>
          </cell>
          <cell r="KG41">
            <v>4</v>
          </cell>
          <cell r="KH41">
            <v>4</v>
          </cell>
          <cell r="KI41">
            <v>4</v>
          </cell>
          <cell r="KJ41">
            <v>2</v>
          </cell>
          <cell r="KK41">
            <v>2</v>
          </cell>
          <cell r="KL41">
            <v>2</v>
          </cell>
          <cell r="KM41">
            <v>10</v>
          </cell>
          <cell r="KN41">
            <v>10</v>
          </cell>
          <cell r="KO41">
            <v>10</v>
          </cell>
          <cell r="KP41">
            <v>2</v>
          </cell>
          <cell r="KQ41">
            <v>2</v>
          </cell>
          <cell r="KR41">
            <v>2</v>
          </cell>
          <cell r="KS41">
            <v>4</v>
          </cell>
          <cell r="KT41">
            <v>4</v>
          </cell>
          <cell r="KU41">
            <v>4</v>
          </cell>
          <cell r="KV41">
            <v>0</v>
          </cell>
          <cell r="KY41">
            <v>0</v>
          </cell>
          <cell r="LB41">
            <v>0</v>
          </cell>
          <cell r="LE41">
            <v>0</v>
          </cell>
          <cell r="LH41">
            <v>0</v>
          </cell>
          <cell r="LK41">
            <v>0</v>
          </cell>
          <cell r="LO41">
            <v>45747</v>
          </cell>
          <cell r="LP41" t="str">
            <v>COMPLETADO</v>
          </cell>
        </row>
        <row r="42">
          <cell r="A42">
            <v>1641</v>
          </cell>
          <cell r="B42" t="str">
            <v>LUCIANO</v>
          </cell>
          <cell r="C42" t="str">
            <v>BARRACAS CHICA</v>
          </cell>
          <cell r="D42" t="str">
            <v>MARROQUINERIA CHICA</v>
          </cell>
          <cell r="E42">
            <v>20</v>
          </cell>
          <cell r="F42">
            <v>20</v>
          </cell>
          <cell r="G42">
            <v>20</v>
          </cell>
          <cell r="H42">
            <v>45732.363020833334</v>
          </cell>
          <cell r="I42" t="str">
            <v>SET POSAVASOS CUADRADO (X 4)</v>
          </cell>
          <cell r="J42">
            <v>45714</v>
          </cell>
          <cell r="K42">
            <v>45714</v>
          </cell>
          <cell r="M42">
            <v>8</v>
          </cell>
          <cell r="N42" t="str">
            <v>M135</v>
          </cell>
          <cell r="O42" t="str">
            <v>AV170134014</v>
          </cell>
          <cell r="P42">
            <v>0</v>
          </cell>
          <cell r="Q42" t="str">
            <v/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>SE ENTREGARAN A VENTAN EN SET X4 ATADOS CON TIRA DE CUERO O CINTA HILERA DE ALGODON 1 CM</v>
          </cell>
          <cell r="AT42" t="str">
            <v/>
          </cell>
          <cell r="AU42" t="str">
            <v/>
          </cell>
          <cell r="AV42" t="str">
            <v/>
          </cell>
          <cell r="AW42" t="str">
            <v xml:space="preserve">GRABADO "EL LUCERO CHICO" ESQUINA INFERIOR DERECHA    </v>
          </cell>
          <cell r="AX42" t="str">
            <v>NEGRO</v>
          </cell>
          <cell r="AY42" t="str">
            <v>ARENA-CUERO BRIDGE</v>
          </cell>
          <cell r="AZ42" t="str">
            <v>CUE0000009</v>
          </cell>
          <cell r="BA42">
            <v>0.02</v>
          </cell>
          <cell r="BB42" t="str">
            <v>FOR0000029</v>
          </cell>
          <cell r="BC42">
            <v>0.02</v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>CHOCOLATE</v>
          </cell>
          <cell r="BS42" t="str">
            <v>ARENA-CUERO BRIDGE</v>
          </cell>
          <cell r="BT42" t="str">
            <v>CUE0000005</v>
          </cell>
          <cell r="BU42">
            <v>0.02</v>
          </cell>
          <cell r="BV42" t="str">
            <v>FOR0000031</v>
          </cell>
          <cell r="BW42">
            <v>0.02</v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>ROJO</v>
          </cell>
          <cell r="CM42" t="str">
            <v>ARENA-CUERO BRIDGE</v>
          </cell>
          <cell r="CN42" t="str">
            <v>CUE0000010</v>
          </cell>
          <cell r="CO42">
            <v>0.02</v>
          </cell>
          <cell r="CP42" t="str">
            <v>FOR0000030</v>
          </cell>
          <cell r="CQ42">
            <v>0.02</v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>MALBEC</v>
          </cell>
          <cell r="DG42" t="str">
            <v>ARENA-CUERO BRIDGE</v>
          </cell>
          <cell r="DH42" t="str">
            <v>CUE0000008</v>
          </cell>
          <cell r="DI42">
            <v>0.02</v>
          </cell>
          <cell r="DJ42" t="str">
            <v>FOR0000030</v>
          </cell>
          <cell r="DK42">
            <v>0.02</v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  <cell r="DW42" t="str">
            <v/>
          </cell>
          <cell r="DX42" t="str">
            <v/>
          </cell>
          <cell r="DY42" t="str">
            <v/>
          </cell>
          <cell r="DZ42" t="str">
            <v/>
          </cell>
          <cell r="EA42" t="str">
            <v/>
          </cell>
          <cell r="EB42" t="str">
            <v/>
          </cell>
          <cell r="EC42" t="str">
            <v/>
          </cell>
          <cell r="ED42" t="str">
            <v/>
          </cell>
          <cell r="EE42" t="str">
            <v/>
          </cell>
          <cell r="EF42" t="str">
            <v/>
          </cell>
          <cell r="EG42" t="str">
            <v/>
          </cell>
          <cell r="EH42" t="str">
            <v/>
          </cell>
          <cell r="EI42" t="str">
            <v/>
          </cell>
          <cell r="EJ42" t="str">
            <v/>
          </cell>
          <cell r="EK42" t="str">
            <v/>
          </cell>
          <cell r="EL42" t="str">
            <v/>
          </cell>
          <cell r="EM42" t="str">
            <v/>
          </cell>
          <cell r="EN42" t="str">
            <v/>
          </cell>
          <cell r="EO42" t="str">
            <v/>
          </cell>
          <cell r="EP42" t="str">
            <v/>
          </cell>
          <cell r="EQ42" t="str">
            <v/>
          </cell>
          <cell r="ER42" t="str">
            <v/>
          </cell>
          <cell r="ES42" t="str">
            <v/>
          </cell>
          <cell r="ET42" t="str">
            <v/>
          </cell>
          <cell r="EU42" t="str">
            <v/>
          </cell>
          <cell r="EV42" t="str">
            <v/>
          </cell>
          <cell r="EW42" t="str">
            <v/>
          </cell>
          <cell r="EX42" t="str">
            <v/>
          </cell>
          <cell r="EY42" t="str">
            <v/>
          </cell>
          <cell r="EZ42" t="str">
            <v/>
          </cell>
          <cell r="FA42" t="str">
            <v/>
          </cell>
          <cell r="FB42" t="str">
            <v/>
          </cell>
          <cell r="FC42" t="str">
            <v/>
          </cell>
          <cell r="FD42" t="str">
            <v/>
          </cell>
          <cell r="FE42" t="str">
            <v/>
          </cell>
          <cell r="FF42" t="str">
            <v/>
          </cell>
          <cell r="FG42" t="str">
            <v/>
          </cell>
          <cell r="FH42" t="str">
            <v/>
          </cell>
          <cell r="FI42" t="str">
            <v/>
          </cell>
          <cell r="FJ42" t="str">
            <v/>
          </cell>
          <cell r="FK42" t="str">
            <v/>
          </cell>
          <cell r="FL42" t="str">
            <v/>
          </cell>
          <cell r="FM42" t="str">
            <v/>
          </cell>
          <cell r="FN42" t="str">
            <v/>
          </cell>
          <cell r="FO42" t="str">
            <v/>
          </cell>
          <cell r="FP42" t="str">
            <v/>
          </cell>
          <cell r="FQ42" t="str">
            <v/>
          </cell>
          <cell r="FR42" t="str">
            <v/>
          </cell>
          <cell r="FS42" t="str">
            <v/>
          </cell>
          <cell r="FT42" t="str">
            <v/>
          </cell>
          <cell r="FU42" t="str">
            <v/>
          </cell>
          <cell r="FV42" t="str">
            <v/>
          </cell>
          <cell r="FW42" t="str">
            <v/>
          </cell>
          <cell r="FX42" t="str">
            <v/>
          </cell>
          <cell r="FY42" t="str">
            <v/>
          </cell>
          <cell r="FZ42" t="str">
            <v/>
          </cell>
          <cell r="GA42" t="str">
            <v/>
          </cell>
          <cell r="GB42" t="str">
            <v/>
          </cell>
          <cell r="GC42" t="str">
            <v/>
          </cell>
          <cell r="GD42" t="str">
            <v/>
          </cell>
          <cell r="GE42" t="str">
            <v/>
          </cell>
          <cell r="GF42" t="str">
            <v/>
          </cell>
          <cell r="GG42" t="str">
            <v/>
          </cell>
          <cell r="GH42" t="str">
            <v/>
          </cell>
          <cell r="GI42" t="str">
            <v/>
          </cell>
          <cell r="GJ42" t="str">
            <v/>
          </cell>
          <cell r="GK42" t="str">
            <v/>
          </cell>
          <cell r="GL42" t="str">
            <v/>
          </cell>
          <cell r="GM42" t="str">
            <v/>
          </cell>
          <cell r="GN42" t="str">
            <v/>
          </cell>
          <cell r="GO42" t="str">
            <v/>
          </cell>
          <cell r="GP42" t="str">
            <v/>
          </cell>
          <cell r="GQ42" t="str">
            <v/>
          </cell>
          <cell r="GR42" t="str">
            <v/>
          </cell>
          <cell r="GS42" t="str">
            <v/>
          </cell>
          <cell r="GT42" t="str">
            <v/>
          </cell>
          <cell r="GU42" t="str">
            <v/>
          </cell>
          <cell r="GV42" t="str">
            <v/>
          </cell>
          <cell r="GW42" t="str">
            <v/>
          </cell>
          <cell r="GX42" t="str">
            <v/>
          </cell>
          <cell r="GY42" t="str">
            <v/>
          </cell>
          <cell r="GZ42" t="str">
            <v/>
          </cell>
          <cell r="HA42" t="str">
            <v/>
          </cell>
          <cell r="HB42" t="str">
            <v/>
          </cell>
          <cell r="HC42" t="str">
            <v/>
          </cell>
          <cell r="HD42" t="str">
            <v/>
          </cell>
          <cell r="HE42" t="str">
            <v/>
          </cell>
          <cell r="HF42" t="str">
            <v/>
          </cell>
          <cell r="HG42" t="str">
            <v/>
          </cell>
          <cell r="HH42" t="str">
            <v/>
          </cell>
          <cell r="HI42" t="str">
            <v/>
          </cell>
          <cell r="HJ42" t="str">
            <v/>
          </cell>
          <cell r="HK42" t="str">
            <v/>
          </cell>
          <cell r="HL42" t="str">
            <v/>
          </cell>
          <cell r="HM42" t="str">
            <v/>
          </cell>
          <cell r="HN42" t="str">
            <v/>
          </cell>
          <cell r="HO42" t="str">
            <v/>
          </cell>
          <cell r="HP42" t="str">
            <v/>
          </cell>
          <cell r="HQ42" t="str">
            <v/>
          </cell>
          <cell r="HR42" t="str">
            <v/>
          </cell>
          <cell r="HS42" t="str">
            <v/>
          </cell>
          <cell r="HT42" t="str">
            <v/>
          </cell>
          <cell r="HU42" t="str">
            <v/>
          </cell>
          <cell r="HV42" t="str">
            <v/>
          </cell>
          <cell r="HW42" t="str">
            <v/>
          </cell>
          <cell r="HX42" t="str">
            <v/>
          </cell>
          <cell r="HY42" t="str">
            <v/>
          </cell>
          <cell r="HZ42" t="str">
            <v/>
          </cell>
          <cell r="IA42" t="str">
            <v/>
          </cell>
          <cell r="IB42" t="str">
            <v/>
          </cell>
          <cell r="IC42" t="str">
            <v/>
          </cell>
          <cell r="ID42" t="str">
            <v/>
          </cell>
          <cell r="IE42" t="str">
            <v/>
          </cell>
          <cell r="IF42" t="str">
            <v/>
          </cell>
          <cell r="IG42" t="str">
            <v/>
          </cell>
          <cell r="IH42" t="str">
            <v/>
          </cell>
          <cell r="II42" t="str">
            <v/>
          </cell>
          <cell r="IJ42" t="str">
            <v/>
          </cell>
          <cell r="IK42" t="str">
            <v/>
          </cell>
          <cell r="IL42" t="str">
            <v/>
          </cell>
          <cell r="IM42" t="str">
            <v/>
          </cell>
          <cell r="IN42" t="str">
            <v/>
          </cell>
          <cell r="IO42" t="str">
            <v/>
          </cell>
          <cell r="IP42" t="str">
            <v/>
          </cell>
          <cell r="IQ42" t="str">
            <v/>
          </cell>
          <cell r="IR42" t="str">
            <v/>
          </cell>
          <cell r="IS42" t="str">
            <v/>
          </cell>
          <cell r="IT42" t="str">
            <v/>
          </cell>
          <cell r="IU42" t="str">
            <v/>
          </cell>
          <cell r="IV42" t="str">
            <v/>
          </cell>
          <cell r="IW42" t="str">
            <v/>
          </cell>
          <cell r="IX42" t="str">
            <v/>
          </cell>
          <cell r="IY42" t="str">
            <v/>
          </cell>
          <cell r="IZ42" t="str">
            <v/>
          </cell>
          <cell r="JA42" t="str">
            <v/>
          </cell>
          <cell r="JB42" t="str">
            <v/>
          </cell>
          <cell r="JC42" t="str">
            <v/>
          </cell>
          <cell r="JD42" t="str">
            <v/>
          </cell>
          <cell r="JE42" t="str">
            <v/>
          </cell>
          <cell r="JF42" t="str">
            <v/>
          </cell>
          <cell r="JG42" t="str">
            <v/>
          </cell>
          <cell r="JH42" t="str">
            <v/>
          </cell>
          <cell r="JI42" t="str">
            <v/>
          </cell>
          <cell r="JJ42" t="str">
            <v/>
          </cell>
          <cell r="JK42" t="str">
            <v/>
          </cell>
          <cell r="JL42" t="str">
            <v/>
          </cell>
          <cell r="JM42" t="str">
            <v/>
          </cell>
          <cell r="JN42" t="str">
            <v/>
          </cell>
          <cell r="JO42" t="str">
            <v/>
          </cell>
          <cell r="JP42" t="str">
            <v/>
          </cell>
          <cell r="JQ42" t="str">
            <v/>
          </cell>
          <cell r="JR42" t="str">
            <v/>
          </cell>
          <cell r="JS42" t="str">
            <v/>
          </cell>
          <cell r="JT42" t="str">
            <v/>
          </cell>
          <cell r="JU42" t="str">
            <v/>
          </cell>
          <cell r="JV42" t="str">
            <v/>
          </cell>
          <cell r="JW42" t="str">
            <v/>
          </cell>
          <cell r="JX42" t="str">
            <v/>
          </cell>
          <cell r="JY42" t="str">
            <v/>
          </cell>
          <cell r="JZ42" t="str">
            <v/>
          </cell>
          <cell r="KA42" t="str">
            <v/>
          </cell>
          <cell r="KB42" t="str">
            <v/>
          </cell>
          <cell r="KC42" t="str">
            <v/>
          </cell>
          <cell r="KD42">
            <v>4</v>
          </cell>
          <cell r="KE42">
            <v>4</v>
          </cell>
          <cell r="KF42">
            <v>4</v>
          </cell>
          <cell r="KG42">
            <v>10</v>
          </cell>
          <cell r="KH42">
            <v>10</v>
          </cell>
          <cell r="KI42">
            <v>10</v>
          </cell>
          <cell r="KJ42">
            <v>2</v>
          </cell>
          <cell r="KK42">
            <v>2</v>
          </cell>
          <cell r="KL42">
            <v>2</v>
          </cell>
          <cell r="KM42">
            <v>4</v>
          </cell>
          <cell r="KN42">
            <v>4</v>
          </cell>
          <cell r="KO42">
            <v>4</v>
          </cell>
          <cell r="KP42">
            <v>0</v>
          </cell>
          <cell r="KS42">
            <v>0</v>
          </cell>
          <cell r="KV42">
            <v>0</v>
          </cell>
          <cell r="KY42">
            <v>0</v>
          </cell>
          <cell r="LB42">
            <v>0</v>
          </cell>
          <cell r="LE42">
            <v>0</v>
          </cell>
          <cell r="LH42">
            <v>0</v>
          </cell>
          <cell r="LK42">
            <v>0</v>
          </cell>
          <cell r="LO42">
            <v>45747</v>
          </cell>
          <cell r="LP42" t="str">
            <v>COMPLETADO</v>
          </cell>
        </row>
        <row r="43">
          <cell r="A43">
            <v>1642</v>
          </cell>
          <cell r="B43" t="str">
            <v xml:space="preserve"> -----</v>
          </cell>
          <cell r="C43" t="str">
            <v>GABRIEL</v>
          </cell>
          <cell r="D43" t="str">
            <v>MARROQUINERIA CHICA</v>
          </cell>
          <cell r="E43">
            <v>28</v>
          </cell>
          <cell r="F43">
            <v>28</v>
          </cell>
          <cell r="G43">
            <v>28</v>
          </cell>
          <cell r="H43">
            <v>45732.369432870371</v>
          </cell>
          <cell r="I43" t="str">
            <v>TARJETERO BILL</v>
          </cell>
          <cell r="J43">
            <v>45714</v>
          </cell>
          <cell r="K43">
            <v>45714</v>
          </cell>
          <cell r="M43">
            <v>13</v>
          </cell>
          <cell r="N43" t="str">
            <v>M124</v>
          </cell>
          <cell r="O43" t="str">
            <v>AV170134014</v>
          </cell>
          <cell r="P43">
            <v>0</v>
          </cell>
          <cell r="Q43" t="str">
            <v/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 xml:space="preserve">GRABADO " EL LUCERO ARG." CHICO EN EL FRENTE CENTRADO, A 1,5CM DEL BORDE INFERIOR  </v>
          </cell>
          <cell r="AX43" t="str">
            <v>ROJO</v>
          </cell>
          <cell r="AY43" t="str">
            <v>ARENA-CUERO NAPADO</v>
          </cell>
          <cell r="AZ43" t="str">
            <v>CUE0000027</v>
          </cell>
          <cell r="BA43">
            <v>0.05</v>
          </cell>
          <cell r="BB43" t="str">
            <v>AV1401254460</v>
          </cell>
          <cell r="BC43">
            <v>0</v>
          </cell>
          <cell r="BD43" t="str">
            <v>AV1601300929</v>
          </cell>
          <cell r="BE43">
            <v>0</v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>VERDE_REVES_VERDE</v>
          </cell>
          <cell r="BS43" t="str">
            <v>BIANCO-CUERO MODENA ESPESOR 1,8</v>
          </cell>
          <cell r="BT43" t="str">
            <v>CUE0000157</v>
          </cell>
          <cell r="BU43">
            <v>0.05</v>
          </cell>
          <cell r="BV43" t="str">
            <v>AV1401254260</v>
          </cell>
          <cell r="BW43">
            <v>0</v>
          </cell>
          <cell r="BX43" t="str">
            <v>AV1601300957</v>
          </cell>
          <cell r="BY43">
            <v>0</v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>SUELA</v>
          </cell>
          <cell r="CM43" t="str">
            <v>ARENA-CUERO NAPADO</v>
          </cell>
          <cell r="CN43" t="str">
            <v>CUE0000028</v>
          </cell>
          <cell r="CO43">
            <v>0.05</v>
          </cell>
          <cell r="CP43" t="str">
            <v>AV1401250545</v>
          </cell>
          <cell r="CQ43">
            <v>0</v>
          </cell>
          <cell r="CR43" t="str">
            <v>AV1601300955</v>
          </cell>
          <cell r="CS43">
            <v>0</v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  <cell r="DW43" t="str">
            <v/>
          </cell>
          <cell r="DX43" t="str">
            <v/>
          </cell>
          <cell r="DY43" t="str">
            <v/>
          </cell>
          <cell r="DZ43" t="str">
            <v/>
          </cell>
          <cell r="EA43" t="str">
            <v/>
          </cell>
          <cell r="EB43" t="str">
            <v/>
          </cell>
          <cell r="EC43" t="str">
            <v/>
          </cell>
          <cell r="ED43" t="str">
            <v/>
          </cell>
          <cell r="EE43" t="str">
            <v/>
          </cell>
          <cell r="EF43" t="str">
            <v/>
          </cell>
          <cell r="EG43" t="str">
            <v/>
          </cell>
          <cell r="EH43" t="str">
            <v/>
          </cell>
          <cell r="EI43" t="str">
            <v/>
          </cell>
          <cell r="EJ43" t="str">
            <v/>
          </cell>
          <cell r="EK43" t="str">
            <v/>
          </cell>
          <cell r="EL43" t="str">
            <v/>
          </cell>
          <cell r="EM43" t="str">
            <v/>
          </cell>
          <cell r="EN43" t="str">
            <v/>
          </cell>
          <cell r="EO43" t="str">
            <v/>
          </cell>
          <cell r="EP43" t="str">
            <v/>
          </cell>
          <cell r="EQ43" t="str">
            <v/>
          </cell>
          <cell r="ER43" t="str">
            <v/>
          </cell>
          <cell r="ES43" t="str">
            <v/>
          </cell>
          <cell r="ET43" t="str">
            <v/>
          </cell>
          <cell r="EU43" t="str">
            <v/>
          </cell>
          <cell r="EV43" t="str">
            <v/>
          </cell>
          <cell r="EW43" t="str">
            <v/>
          </cell>
          <cell r="EX43" t="str">
            <v/>
          </cell>
          <cell r="EY43" t="str">
            <v/>
          </cell>
          <cell r="EZ43" t="str">
            <v/>
          </cell>
          <cell r="FA43" t="str">
            <v/>
          </cell>
          <cell r="FB43" t="str">
            <v/>
          </cell>
          <cell r="FC43" t="str">
            <v/>
          </cell>
          <cell r="FD43" t="str">
            <v/>
          </cell>
          <cell r="FE43" t="str">
            <v/>
          </cell>
          <cell r="FF43" t="str">
            <v/>
          </cell>
          <cell r="FG43" t="str">
            <v/>
          </cell>
          <cell r="FH43" t="str">
            <v/>
          </cell>
          <cell r="FI43" t="str">
            <v/>
          </cell>
          <cell r="FJ43" t="str">
            <v/>
          </cell>
          <cell r="FK43" t="str">
            <v/>
          </cell>
          <cell r="FL43" t="str">
            <v/>
          </cell>
          <cell r="FM43" t="str">
            <v/>
          </cell>
          <cell r="FN43" t="str">
            <v/>
          </cell>
          <cell r="FO43" t="str">
            <v/>
          </cell>
          <cell r="FP43" t="str">
            <v/>
          </cell>
          <cell r="FQ43" t="str">
            <v/>
          </cell>
          <cell r="FR43" t="str">
            <v/>
          </cell>
          <cell r="FS43" t="str">
            <v/>
          </cell>
          <cell r="FT43" t="str">
            <v/>
          </cell>
          <cell r="FU43" t="str">
            <v/>
          </cell>
          <cell r="FV43" t="str">
            <v/>
          </cell>
          <cell r="FW43" t="str">
            <v/>
          </cell>
          <cell r="FX43" t="str">
            <v/>
          </cell>
          <cell r="FY43" t="str">
            <v/>
          </cell>
          <cell r="FZ43" t="str">
            <v/>
          </cell>
          <cell r="GA43" t="str">
            <v/>
          </cell>
          <cell r="GB43" t="str">
            <v/>
          </cell>
          <cell r="GC43" t="str">
            <v/>
          </cell>
          <cell r="GD43" t="str">
            <v/>
          </cell>
          <cell r="GE43" t="str">
            <v/>
          </cell>
          <cell r="GF43" t="str">
            <v/>
          </cell>
          <cell r="GG43" t="str">
            <v/>
          </cell>
          <cell r="GH43" t="str">
            <v/>
          </cell>
          <cell r="GI43" t="str">
            <v/>
          </cell>
          <cell r="GJ43" t="str">
            <v/>
          </cell>
          <cell r="GK43" t="str">
            <v/>
          </cell>
          <cell r="GL43" t="str">
            <v/>
          </cell>
          <cell r="GM43" t="str">
            <v/>
          </cell>
          <cell r="GN43" t="str">
            <v/>
          </cell>
          <cell r="GO43" t="str">
            <v/>
          </cell>
          <cell r="GP43" t="str">
            <v/>
          </cell>
          <cell r="GQ43" t="str">
            <v/>
          </cell>
          <cell r="GR43" t="str">
            <v/>
          </cell>
          <cell r="GS43" t="str">
            <v/>
          </cell>
          <cell r="GT43" t="str">
            <v/>
          </cell>
          <cell r="GU43" t="str">
            <v/>
          </cell>
          <cell r="GV43" t="str">
            <v/>
          </cell>
          <cell r="GW43" t="str">
            <v/>
          </cell>
          <cell r="GX43" t="str">
            <v/>
          </cell>
          <cell r="GY43" t="str">
            <v/>
          </cell>
          <cell r="GZ43" t="str">
            <v/>
          </cell>
          <cell r="HA43" t="str">
            <v/>
          </cell>
          <cell r="HB43" t="str">
            <v/>
          </cell>
          <cell r="HC43" t="str">
            <v/>
          </cell>
          <cell r="HD43" t="str">
            <v/>
          </cell>
          <cell r="HE43" t="str">
            <v/>
          </cell>
          <cell r="HF43" t="str">
            <v/>
          </cell>
          <cell r="HG43" t="str">
            <v/>
          </cell>
          <cell r="HH43" t="str">
            <v/>
          </cell>
          <cell r="HI43" t="str">
            <v/>
          </cell>
          <cell r="HJ43" t="str">
            <v/>
          </cell>
          <cell r="HK43" t="str">
            <v/>
          </cell>
          <cell r="HL43" t="str">
            <v/>
          </cell>
          <cell r="HM43" t="str">
            <v/>
          </cell>
          <cell r="HN43" t="str">
            <v/>
          </cell>
          <cell r="HO43" t="str">
            <v/>
          </cell>
          <cell r="HP43" t="str">
            <v/>
          </cell>
          <cell r="HQ43" t="str">
            <v/>
          </cell>
          <cell r="HR43" t="str">
            <v/>
          </cell>
          <cell r="HS43" t="str">
            <v/>
          </cell>
          <cell r="HT43" t="str">
            <v/>
          </cell>
          <cell r="HU43" t="str">
            <v/>
          </cell>
          <cell r="HV43" t="str">
            <v/>
          </cell>
          <cell r="HW43" t="str">
            <v/>
          </cell>
          <cell r="HX43" t="str">
            <v/>
          </cell>
          <cell r="HY43" t="str">
            <v/>
          </cell>
          <cell r="HZ43" t="str">
            <v/>
          </cell>
          <cell r="IA43" t="str">
            <v/>
          </cell>
          <cell r="IB43" t="str">
            <v/>
          </cell>
          <cell r="IC43" t="str">
            <v/>
          </cell>
          <cell r="ID43" t="str">
            <v/>
          </cell>
          <cell r="IE43" t="str">
            <v/>
          </cell>
          <cell r="IF43" t="str">
            <v/>
          </cell>
          <cell r="IG43" t="str">
            <v/>
          </cell>
          <cell r="IH43" t="str">
            <v/>
          </cell>
          <cell r="II43" t="str">
            <v/>
          </cell>
          <cell r="IJ43" t="str">
            <v/>
          </cell>
          <cell r="IK43" t="str">
            <v/>
          </cell>
          <cell r="IL43" t="str">
            <v/>
          </cell>
          <cell r="IM43" t="str">
            <v/>
          </cell>
          <cell r="IN43" t="str">
            <v/>
          </cell>
          <cell r="IO43" t="str">
            <v/>
          </cell>
          <cell r="IP43" t="str">
            <v/>
          </cell>
          <cell r="IQ43" t="str">
            <v/>
          </cell>
          <cell r="IR43" t="str">
            <v/>
          </cell>
          <cell r="IS43" t="str">
            <v/>
          </cell>
          <cell r="IT43" t="str">
            <v/>
          </cell>
          <cell r="IU43" t="str">
            <v/>
          </cell>
          <cell r="IV43" t="str">
            <v/>
          </cell>
          <cell r="IW43" t="str">
            <v/>
          </cell>
          <cell r="IX43" t="str">
            <v/>
          </cell>
          <cell r="IY43" t="str">
            <v/>
          </cell>
          <cell r="IZ43" t="str">
            <v/>
          </cell>
          <cell r="JA43" t="str">
            <v/>
          </cell>
          <cell r="JB43" t="str">
            <v/>
          </cell>
          <cell r="JC43" t="str">
            <v/>
          </cell>
          <cell r="JD43" t="str">
            <v/>
          </cell>
          <cell r="JE43" t="str">
            <v/>
          </cell>
          <cell r="JF43" t="str">
            <v/>
          </cell>
          <cell r="JG43" t="str">
            <v/>
          </cell>
          <cell r="JH43" t="str">
            <v/>
          </cell>
          <cell r="JI43" t="str">
            <v/>
          </cell>
          <cell r="JJ43" t="str">
            <v/>
          </cell>
          <cell r="JK43" t="str">
            <v/>
          </cell>
          <cell r="JL43" t="str">
            <v/>
          </cell>
          <cell r="JM43" t="str">
            <v/>
          </cell>
          <cell r="JN43" t="str">
            <v/>
          </cell>
          <cell r="JO43" t="str">
            <v/>
          </cell>
          <cell r="JP43" t="str">
            <v/>
          </cell>
          <cell r="JQ43" t="str">
            <v/>
          </cell>
          <cell r="JR43" t="str">
            <v/>
          </cell>
          <cell r="JS43" t="str">
            <v/>
          </cell>
          <cell r="JT43" t="str">
            <v/>
          </cell>
          <cell r="JU43" t="str">
            <v/>
          </cell>
          <cell r="JV43" t="str">
            <v/>
          </cell>
          <cell r="JW43" t="str">
            <v/>
          </cell>
          <cell r="JX43" t="str">
            <v/>
          </cell>
          <cell r="JY43" t="str">
            <v/>
          </cell>
          <cell r="JZ43" t="str">
            <v/>
          </cell>
          <cell r="KA43" t="str">
            <v/>
          </cell>
          <cell r="KB43" t="str">
            <v/>
          </cell>
          <cell r="KC43" t="str">
            <v/>
          </cell>
          <cell r="KD43">
            <v>12</v>
          </cell>
          <cell r="KE43">
            <v>12</v>
          </cell>
          <cell r="KF43">
            <v>12</v>
          </cell>
          <cell r="KG43">
            <v>6</v>
          </cell>
          <cell r="KH43">
            <v>6</v>
          </cell>
          <cell r="KI43">
            <v>6</v>
          </cell>
          <cell r="KJ43">
            <v>10</v>
          </cell>
          <cell r="KK43">
            <v>10</v>
          </cell>
          <cell r="KL43">
            <v>10</v>
          </cell>
          <cell r="KM43">
            <v>0</v>
          </cell>
          <cell r="KP43">
            <v>0</v>
          </cell>
          <cell r="KS43">
            <v>0</v>
          </cell>
          <cell r="KV43">
            <v>0</v>
          </cell>
          <cell r="KY43">
            <v>0</v>
          </cell>
          <cell r="LB43">
            <v>0</v>
          </cell>
          <cell r="LE43">
            <v>0</v>
          </cell>
          <cell r="LH43">
            <v>0</v>
          </cell>
          <cell r="LK43">
            <v>0</v>
          </cell>
          <cell r="LO43">
            <v>45723</v>
          </cell>
          <cell r="LP43" t="str">
            <v>COMPLETADO</v>
          </cell>
        </row>
        <row r="44">
          <cell r="A44">
            <v>1643</v>
          </cell>
          <cell r="B44" t="str">
            <v xml:space="preserve"> -----</v>
          </cell>
          <cell r="C44" t="str">
            <v>GABRIEL</v>
          </cell>
          <cell r="D44" t="str">
            <v>MARROQUINERIA CHICA</v>
          </cell>
          <cell r="E44">
            <v>32</v>
          </cell>
          <cell r="F44">
            <v>32</v>
          </cell>
          <cell r="G44">
            <v>32</v>
          </cell>
          <cell r="H44">
            <v>45732.375717592593</v>
          </cell>
          <cell r="I44" t="str">
            <v>TARJETERO HARRY</v>
          </cell>
          <cell r="J44">
            <v>45713</v>
          </cell>
          <cell r="K44">
            <v>45713</v>
          </cell>
          <cell r="M44">
            <v>20</v>
          </cell>
          <cell r="N44" t="str">
            <v>M125</v>
          </cell>
          <cell r="O44" t="str">
            <v>AV170134014</v>
          </cell>
          <cell r="P44">
            <v>0</v>
          </cell>
          <cell r="Q44" t="str">
            <v/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 xml:space="preserve">GRABADO " EL LUCERO ARGENTINA" CHICO ENINTERIOR CENTRADO SOBRE LA DERECHA (VER MUESTRA)   </v>
          </cell>
          <cell r="AX44" t="str">
            <v>CARAMELO</v>
          </cell>
          <cell r="AY44" t="str">
            <v>ARENA-CUERO NAPADO</v>
          </cell>
          <cell r="AZ44" t="str">
            <v>CUE0000022</v>
          </cell>
          <cell r="BA44">
            <v>0.05</v>
          </cell>
          <cell r="BB44" t="str">
            <v>FOR0000031</v>
          </cell>
          <cell r="BC44">
            <v>0.02</v>
          </cell>
          <cell r="BD44" t="str">
            <v>FOR0000015</v>
          </cell>
          <cell r="BE44">
            <v>0</v>
          </cell>
          <cell r="BF44" t="str">
            <v>AV1401250545</v>
          </cell>
          <cell r="BG44">
            <v>0</v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>NEGRO</v>
          </cell>
          <cell r="BS44" t="str">
            <v>ARENA-CUERO NAPADO</v>
          </cell>
          <cell r="BT44" t="str">
            <v>CUE0000026</v>
          </cell>
          <cell r="BU44">
            <v>0.05</v>
          </cell>
          <cell r="BV44" t="str">
            <v>FOR0000029</v>
          </cell>
          <cell r="BW44">
            <v>0.02</v>
          </cell>
          <cell r="BX44" t="str">
            <v>FOR0000018</v>
          </cell>
          <cell r="BY44">
            <v>0</v>
          </cell>
          <cell r="BZ44" t="str">
            <v>AV1401254060</v>
          </cell>
          <cell r="CA44">
            <v>0</v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>SUELA</v>
          </cell>
          <cell r="CM44" t="str">
            <v>ARENA-CUERO NAPADO</v>
          </cell>
          <cell r="CN44" t="str">
            <v>CUE0000028</v>
          </cell>
          <cell r="CO44">
            <v>0.05</v>
          </cell>
          <cell r="CP44" t="str">
            <v>FOR0000028</v>
          </cell>
          <cell r="CQ44">
            <v>0.02</v>
          </cell>
          <cell r="CR44" t="str">
            <v>FOR0000015</v>
          </cell>
          <cell r="CS44">
            <v>0</v>
          </cell>
          <cell r="CT44" t="str">
            <v>AV1401250545</v>
          </cell>
          <cell r="CU44">
            <v>0</v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>ROJO</v>
          </cell>
          <cell r="DG44" t="str">
            <v>ARENA-CUERO NAPADO</v>
          </cell>
          <cell r="DH44" t="str">
            <v>CUE0000027</v>
          </cell>
          <cell r="DI44">
            <v>0.05</v>
          </cell>
          <cell r="DJ44" t="str">
            <v>FOR0000030</v>
          </cell>
          <cell r="DK44">
            <v>0.02</v>
          </cell>
          <cell r="DL44" t="str">
            <v>FOR0000016</v>
          </cell>
          <cell r="DM44">
            <v>0</v>
          </cell>
          <cell r="DN44" t="str">
            <v>AV1401254460</v>
          </cell>
          <cell r="DO44">
            <v>0</v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  <cell r="DW44" t="str">
            <v/>
          </cell>
          <cell r="DX44" t="str">
            <v/>
          </cell>
          <cell r="DY44" t="str">
            <v/>
          </cell>
          <cell r="DZ44" t="str">
            <v/>
          </cell>
          <cell r="EA44" t="str">
            <v/>
          </cell>
          <cell r="EB44" t="str">
            <v/>
          </cell>
          <cell r="EC44" t="str">
            <v/>
          </cell>
          <cell r="ED44" t="str">
            <v/>
          </cell>
          <cell r="EE44" t="str">
            <v/>
          </cell>
          <cell r="EF44" t="str">
            <v/>
          </cell>
          <cell r="EG44" t="str">
            <v/>
          </cell>
          <cell r="EH44" t="str">
            <v/>
          </cell>
          <cell r="EI44" t="str">
            <v/>
          </cell>
          <cell r="EJ44" t="str">
            <v/>
          </cell>
          <cell r="EK44" t="str">
            <v/>
          </cell>
          <cell r="EL44" t="str">
            <v/>
          </cell>
          <cell r="EM44" t="str">
            <v/>
          </cell>
          <cell r="EN44" t="str">
            <v/>
          </cell>
          <cell r="EO44" t="str">
            <v/>
          </cell>
          <cell r="EP44" t="str">
            <v/>
          </cell>
          <cell r="EQ44" t="str">
            <v/>
          </cell>
          <cell r="ER44" t="str">
            <v/>
          </cell>
          <cell r="ES44" t="str">
            <v/>
          </cell>
          <cell r="ET44" t="str">
            <v/>
          </cell>
          <cell r="EU44" t="str">
            <v/>
          </cell>
          <cell r="EV44" t="str">
            <v/>
          </cell>
          <cell r="EW44" t="str">
            <v/>
          </cell>
          <cell r="EX44" t="str">
            <v/>
          </cell>
          <cell r="EY44" t="str">
            <v/>
          </cell>
          <cell r="EZ44" t="str">
            <v/>
          </cell>
          <cell r="FA44" t="str">
            <v/>
          </cell>
          <cell r="FB44" t="str">
            <v/>
          </cell>
          <cell r="FC44" t="str">
            <v/>
          </cell>
          <cell r="FD44" t="str">
            <v/>
          </cell>
          <cell r="FE44" t="str">
            <v/>
          </cell>
          <cell r="FF44" t="str">
            <v/>
          </cell>
          <cell r="FG44" t="str">
            <v/>
          </cell>
          <cell r="FH44" t="str">
            <v/>
          </cell>
          <cell r="FI44" t="str">
            <v/>
          </cell>
          <cell r="FJ44" t="str">
            <v/>
          </cell>
          <cell r="FK44" t="str">
            <v/>
          </cell>
          <cell r="FL44" t="str">
            <v/>
          </cell>
          <cell r="FM44" t="str">
            <v/>
          </cell>
          <cell r="FN44" t="str">
            <v/>
          </cell>
          <cell r="FO44" t="str">
            <v/>
          </cell>
          <cell r="FP44" t="str">
            <v/>
          </cell>
          <cell r="FQ44" t="str">
            <v/>
          </cell>
          <cell r="FR44" t="str">
            <v/>
          </cell>
          <cell r="FS44" t="str">
            <v/>
          </cell>
          <cell r="FT44" t="str">
            <v/>
          </cell>
          <cell r="FU44" t="str">
            <v/>
          </cell>
          <cell r="FV44" t="str">
            <v/>
          </cell>
          <cell r="FW44" t="str">
            <v/>
          </cell>
          <cell r="FX44" t="str">
            <v/>
          </cell>
          <cell r="FY44" t="str">
            <v/>
          </cell>
          <cell r="FZ44" t="str">
            <v/>
          </cell>
          <cell r="GA44" t="str">
            <v/>
          </cell>
          <cell r="GB44" t="str">
            <v/>
          </cell>
          <cell r="GC44" t="str">
            <v/>
          </cell>
          <cell r="GD44" t="str">
            <v/>
          </cell>
          <cell r="GE44" t="str">
            <v/>
          </cell>
          <cell r="GF44" t="str">
            <v/>
          </cell>
          <cell r="GG44" t="str">
            <v/>
          </cell>
          <cell r="GH44" t="str">
            <v/>
          </cell>
          <cell r="GI44" t="str">
            <v/>
          </cell>
          <cell r="GJ44" t="str">
            <v/>
          </cell>
          <cell r="GK44" t="str">
            <v/>
          </cell>
          <cell r="GL44" t="str">
            <v/>
          </cell>
          <cell r="GM44" t="str">
            <v/>
          </cell>
          <cell r="GN44" t="str">
            <v/>
          </cell>
          <cell r="GO44" t="str">
            <v/>
          </cell>
          <cell r="GP44" t="str">
            <v/>
          </cell>
          <cell r="GQ44" t="str">
            <v/>
          </cell>
          <cell r="GR44" t="str">
            <v/>
          </cell>
          <cell r="GS44" t="str">
            <v/>
          </cell>
          <cell r="GT44" t="str">
            <v/>
          </cell>
          <cell r="GU44" t="str">
            <v/>
          </cell>
          <cell r="GV44" t="str">
            <v/>
          </cell>
          <cell r="GW44" t="str">
            <v/>
          </cell>
          <cell r="GX44" t="str">
            <v/>
          </cell>
          <cell r="GY44" t="str">
            <v/>
          </cell>
          <cell r="GZ44" t="str">
            <v/>
          </cell>
          <cell r="HA44" t="str">
            <v/>
          </cell>
          <cell r="HB44" t="str">
            <v/>
          </cell>
          <cell r="HC44" t="str">
            <v/>
          </cell>
          <cell r="HD44" t="str">
            <v/>
          </cell>
          <cell r="HE44" t="str">
            <v/>
          </cell>
          <cell r="HF44" t="str">
            <v/>
          </cell>
          <cell r="HG44" t="str">
            <v/>
          </cell>
          <cell r="HH44" t="str">
            <v/>
          </cell>
          <cell r="HI44" t="str">
            <v/>
          </cell>
          <cell r="HJ44" t="str">
            <v/>
          </cell>
          <cell r="HK44" t="str">
            <v/>
          </cell>
          <cell r="HL44" t="str">
            <v/>
          </cell>
          <cell r="HM44" t="str">
            <v/>
          </cell>
          <cell r="HN44" t="str">
            <v/>
          </cell>
          <cell r="HO44" t="str">
            <v/>
          </cell>
          <cell r="HP44" t="str">
            <v/>
          </cell>
          <cell r="HQ44" t="str">
            <v/>
          </cell>
          <cell r="HR44" t="str">
            <v/>
          </cell>
          <cell r="HS44" t="str">
            <v/>
          </cell>
          <cell r="HT44" t="str">
            <v/>
          </cell>
          <cell r="HU44" t="str">
            <v/>
          </cell>
          <cell r="HV44" t="str">
            <v/>
          </cell>
          <cell r="HW44" t="str">
            <v/>
          </cell>
          <cell r="HX44" t="str">
            <v/>
          </cell>
          <cell r="HY44" t="str">
            <v/>
          </cell>
          <cell r="HZ44" t="str">
            <v/>
          </cell>
          <cell r="IA44" t="str">
            <v/>
          </cell>
          <cell r="IB44" t="str">
            <v/>
          </cell>
          <cell r="IC44" t="str">
            <v/>
          </cell>
          <cell r="ID44" t="str">
            <v/>
          </cell>
          <cell r="IE44" t="str">
            <v/>
          </cell>
          <cell r="IF44" t="str">
            <v/>
          </cell>
          <cell r="IG44" t="str">
            <v/>
          </cell>
          <cell r="IH44" t="str">
            <v/>
          </cell>
          <cell r="II44" t="str">
            <v/>
          </cell>
          <cell r="IJ44" t="str">
            <v/>
          </cell>
          <cell r="IK44" t="str">
            <v/>
          </cell>
          <cell r="IL44" t="str">
            <v/>
          </cell>
          <cell r="IM44" t="str">
            <v/>
          </cell>
          <cell r="IN44" t="str">
            <v/>
          </cell>
          <cell r="IO44" t="str">
            <v/>
          </cell>
          <cell r="IP44" t="str">
            <v/>
          </cell>
          <cell r="IQ44" t="str">
            <v/>
          </cell>
          <cell r="IR44" t="str">
            <v/>
          </cell>
          <cell r="IS44" t="str">
            <v/>
          </cell>
          <cell r="IT44" t="str">
            <v/>
          </cell>
          <cell r="IU44" t="str">
            <v/>
          </cell>
          <cell r="IV44" t="str">
            <v/>
          </cell>
          <cell r="IW44" t="str">
            <v/>
          </cell>
          <cell r="IX44" t="str">
            <v/>
          </cell>
          <cell r="IY44" t="str">
            <v/>
          </cell>
          <cell r="IZ44" t="str">
            <v/>
          </cell>
          <cell r="JA44" t="str">
            <v/>
          </cell>
          <cell r="JB44" t="str">
            <v/>
          </cell>
          <cell r="JC44" t="str">
            <v/>
          </cell>
          <cell r="JD44" t="str">
            <v/>
          </cell>
          <cell r="JE44" t="str">
            <v/>
          </cell>
          <cell r="JF44" t="str">
            <v/>
          </cell>
          <cell r="JG44" t="str">
            <v/>
          </cell>
          <cell r="JH44" t="str">
            <v/>
          </cell>
          <cell r="JI44" t="str">
            <v/>
          </cell>
          <cell r="JJ44" t="str">
            <v/>
          </cell>
          <cell r="JK44" t="str">
            <v/>
          </cell>
          <cell r="JL44" t="str">
            <v/>
          </cell>
          <cell r="JM44" t="str">
            <v/>
          </cell>
          <cell r="JN44" t="str">
            <v/>
          </cell>
          <cell r="JO44" t="str">
            <v/>
          </cell>
          <cell r="JP44" t="str">
            <v/>
          </cell>
          <cell r="JQ44" t="str">
            <v/>
          </cell>
          <cell r="JR44" t="str">
            <v/>
          </cell>
          <cell r="JS44" t="str">
            <v/>
          </cell>
          <cell r="JT44" t="str">
            <v/>
          </cell>
          <cell r="JU44" t="str">
            <v/>
          </cell>
          <cell r="JV44" t="str">
            <v/>
          </cell>
          <cell r="JW44" t="str">
            <v/>
          </cell>
          <cell r="JX44" t="str">
            <v/>
          </cell>
          <cell r="JY44" t="str">
            <v/>
          </cell>
          <cell r="JZ44" t="str">
            <v/>
          </cell>
          <cell r="KA44" t="str">
            <v/>
          </cell>
          <cell r="KB44" t="str">
            <v/>
          </cell>
          <cell r="KC44" t="str">
            <v/>
          </cell>
          <cell r="KD44">
            <v>8</v>
          </cell>
          <cell r="KE44">
            <v>8</v>
          </cell>
          <cell r="KF44">
            <v>8</v>
          </cell>
          <cell r="KG44">
            <v>8</v>
          </cell>
          <cell r="KH44">
            <v>8</v>
          </cell>
          <cell r="KI44">
            <v>8</v>
          </cell>
          <cell r="KJ44">
            <v>8</v>
          </cell>
          <cell r="KK44">
            <v>8</v>
          </cell>
          <cell r="KL44">
            <v>8</v>
          </cell>
          <cell r="KM44">
            <v>8</v>
          </cell>
          <cell r="KN44">
            <v>8</v>
          </cell>
          <cell r="KO44">
            <v>8</v>
          </cell>
          <cell r="KP44">
            <v>0</v>
          </cell>
          <cell r="KS44">
            <v>0</v>
          </cell>
          <cell r="KV44">
            <v>0</v>
          </cell>
          <cell r="KY44">
            <v>0</v>
          </cell>
          <cell r="LB44">
            <v>0</v>
          </cell>
          <cell r="LE44">
            <v>0</v>
          </cell>
          <cell r="LH44">
            <v>0</v>
          </cell>
          <cell r="LK44">
            <v>0</v>
          </cell>
          <cell r="LO44">
            <v>45721</v>
          </cell>
          <cell r="LP44" t="str">
            <v>COMPLETADO</v>
          </cell>
        </row>
        <row r="45">
          <cell r="A45">
            <v>1644</v>
          </cell>
          <cell r="B45" t="str">
            <v xml:space="preserve"> -----</v>
          </cell>
          <cell r="C45" t="str">
            <v>GABRIEL</v>
          </cell>
          <cell r="D45" t="str">
            <v>MARROQUINERIA CHICA</v>
          </cell>
          <cell r="E45">
            <v>52</v>
          </cell>
          <cell r="F45">
            <v>38</v>
          </cell>
          <cell r="G45">
            <v>38</v>
          </cell>
          <cell r="H45">
            <v>45732.380925925929</v>
          </cell>
          <cell r="I45" t="str">
            <v>TARJETERO JUAN</v>
          </cell>
          <cell r="J45">
            <v>45727</v>
          </cell>
          <cell r="K45">
            <v>45727</v>
          </cell>
          <cell r="M45">
            <v>22</v>
          </cell>
          <cell r="N45" t="str">
            <v>M126</v>
          </cell>
          <cell r="O45" t="str">
            <v>AV170134014</v>
          </cell>
          <cell r="P45">
            <v>0</v>
          </cell>
          <cell r="Q45" t="str">
            <v/>
          </cell>
          <cell r="R45" t="str">
            <v/>
          </cell>
          <cell r="S45" t="str">
            <v/>
          </cell>
          <cell r="T45" t="str">
            <v/>
          </cell>
          <cell r="U45" t="str">
            <v/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 xml:space="preserve">GRABADO "EL LUCERO ARG." EN FRENTE CENTRADO   </v>
          </cell>
          <cell r="AX45" t="str">
            <v>CARAMELO</v>
          </cell>
          <cell r="AY45" t="str">
            <v>ARENA-CUERO BRIDGE</v>
          </cell>
          <cell r="AZ45" t="str">
            <v>CUE0000004</v>
          </cell>
          <cell r="BA45">
            <v>0.06</v>
          </cell>
          <cell r="BB45" t="str">
            <v>AV1401250545</v>
          </cell>
          <cell r="BC45">
            <v>0</v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>SUELA</v>
          </cell>
          <cell r="BS45" t="str">
            <v>ARENA-CUERO NAPADO</v>
          </cell>
          <cell r="BT45" t="str">
            <v>CUE0000028</v>
          </cell>
          <cell r="BU45">
            <v>0.06</v>
          </cell>
          <cell r="BV45" t="str">
            <v>AV1401250545</v>
          </cell>
          <cell r="BW45">
            <v>0</v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>NEGRO</v>
          </cell>
          <cell r="CM45" t="str">
            <v>ARENA-CUERO NAPADO</v>
          </cell>
          <cell r="CN45" t="str">
            <v>CUE0000026</v>
          </cell>
          <cell r="CO45">
            <v>0.06</v>
          </cell>
          <cell r="CP45" t="str">
            <v>AV1401254060</v>
          </cell>
          <cell r="CQ45">
            <v>0</v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>ROJO</v>
          </cell>
          <cell r="DG45" t="str">
            <v>ARENA-CUERO NAPADO</v>
          </cell>
          <cell r="DH45" t="str">
            <v>CUE0000027</v>
          </cell>
          <cell r="DI45">
            <v>0.06</v>
          </cell>
          <cell r="DJ45" t="str">
            <v>AV1401250545</v>
          </cell>
          <cell r="DK45">
            <v>0</v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  <cell r="DW45" t="str">
            <v/>
          </cell>
          <cell r="DX45" t="str">
            <v/>
          </cell>
          <cell r="DY45" t="str">
            <v/>
          </cell>
          <cell r="DZ45" t="str">
            <v>VERDE_REVES_VERDE</v>
          </cell>
          <cell r="EA45" t="str">
            <v>BIANCO-CUERO MODENA ESPESOR 1,8</v>
          </cell>
          <cell r="EB45" t="str">
            <v>CUE0000157</v>
          </cell>
          <cell r="EC45">
            <v>0.06</v>
          </cell>
          <cell r="ED45" t="str">
            <v>AV1401254260</v>
          </cell>
          <cell r="EE45">
            <v>0</v>
          </cell>
          <cell r="EF45" t="str">
            <v/>
          </cell>
          <cell r="EG45" t="str">
            <v/>
          </cell>
          <cell r="EH45" t="str">
            <v/>
          </cell>
          <cell r="EI45" t="str">
            <v/>
          </cell>
          <cell r="EJ45" t="str">
            <v/>
          </cell>
          <cell r="EK45" t="str">
            <v/>
          </cell>
          <cell r="EL45" t="str">
            <v/>
          </cell>
          <cell r="EM45" t="str">
            <v/>
          </cell>
          <cell r="EN45" t="str">
            <v/>
          </cell>
          <cell r="EO45" t="str">
            <v/>
          </cell>
          <cell r="EP45" t="str">
            <v/>
          </cell>
          <cell r="EQ45" t="str">
            <v/>
          </cell>
          <cell r="ER45" t="str">
            <v/>
          </cell>
          <cell r="ES45" t="str">
            <v/>
          </cell>
          <cell r="ET45" t="str">
            <v/>
          </cell>
          <cell r="EU45" t="str">
            <v/>
          </cell>
          <cell r="EV45" t="str">
            <v/>
          </cell>
          <cell r="EW45" t="str">
            <v/>
          </cell>
          <cell r="EX45" t="str">
            <v/>
          </cell>
          <cell r="EY45" t="str">
            <v/>
          </cell>
          <cell r="EZ45" t="str">
            <v/>
          </cell>
          <cell r="FA45" t="str">
            <v/>
          </cell>
          <cell r="FB45" t="str">
            <v/>
          </cell>
          <cell r="FC45" t="str">
            <v/>
          </cell>
          <cell r="FD45" t="str">
            <v/>
          </cell>
          <cell r="FE45" t="str">
            <v/>
          </cell>
          <cell r="FF45" t="str">
            <v/>
          </cell>
          <cell r="FG45" t="str">
            <v/>
          </cell>
          <cell r="FH45" t="str">
            <v/>
          </cell>
          <cell r="FI45" t="str">
            <v/>
          </cell>
          <cell r="FJ45" t="str">
            <v/>
          </cell>
          <cell r="FK45" t="str">
            <v/>
          </cell>
          <cell r="FL45" t="str">
            <v/>
          </cell>
          <cell r="FM45" t="str">
            <v/>
          </cell>
          <cell r="FN45" t="str">
            <v/>
          </cell>
          <cell r="FO45" t="str">
            <v/>
          </cell>
          <cell r="FP45" t="str">
            <v/>
          </cell>
          <cell r="FQ45" t="str">
            <v/>
          </cell>
          <cell r="FR45" t="str">
            <v/>
          </cell>
          <cell r="FS45" t="str">
            <v/>
          </cell>
          <cell r="FT45" t="str">
            <v/>
          </cell>
          <cell r="FU45" t="str">
            <v/>
          </cell>
          <cell r="FV45" t="str">
            <v/>
          </cell>
          <cell r="FW45" t="str">
            <v/>
          </cell>
          <cell r="FX45" t="str">
            <v/>
          </cell>
          <cell r="FY45" t="str">
            <v/>
          </cell>
          <cell r="FZ45" t="str">
            <v/>
          </cell>
          <cell r="GA45" t="str">
            <v/>
          </cell>
          <cell r="GB45" t="str">
            <v/>
          </cell>
          <cell r="GC45" t="str">
            <v/>
          </cell>
          <cell r="GD45" t="str">
            <v/>
          </cell>
          <cell r="GE45" t="str">
            <v/>
          </cell>
          <cell r="GF45" t="str">
            <v/>
          </cell>
          <cell r="GG45" t="str">
            <v/>
          </cell>
          <cell r="GH45" t="str">
            <v/>
          </cell>
          <cell r="GI45" t="str">
            <v/>
          </cell>
          <cell r="GJ45" t="str">
            <v/>
          </cell>
          <cell r="GK45" t="str">
            <v/>
          </cell>
          <cell r="GL45" t="str">
            <v/>
          </cell>
          <cell r="GM45" t="str">
            <v/>
          </cell>
          <cell r="GN45" t="str">
            <v/>
          </cell>
          <cell r="GO45" t="str">
            <v/>
          </cell>
          <cell r="GP45" t="str">
            <v/>
          </cell>
          <cell r="GQ45" t="str">
            <v/>
          </cell>
          <cell r="GR45" t="str">
            <v/>
          </cell>
          <cell r="GS45" t="str">
            <v/>
          </cell>
          <cell r="GT45" t="str">
            <v/>
          </cell>
          <cell r="GU45" t="str">
            <v/>
          </cell>
          <cell r="GV45" t="str">
            <v/>
          </cell>
          <cell r="GW45" t="str">
            <v/>
          </cell>
          <cell r="GX45" t="str">
            <v/>
          </cell>
          <cell r="GY45" t="str">
            <v/>
          </cell>
          <cell r="GZ45" t="str">
            <v/>
          </cell>
          <cell r="HA45" t="str">
            <v/>
          </cell>
          <cell r="HB45" t="str">
            <v/>
          </cell>
          <cell r="HC45" t="str">
            <v/>
          </cell>
          <cell r="HD45" t="str">
            <v/>
          </cell>
          <cell r="HE45" t="str">
            <v/>
          </cell>
          <cell r="HF45" t="str">
            <v/>
          </cell>
          <cell r="HG45" t="str">
            <v/>
          </cell>
          <cell r="HH45" t="str">
            <v/>
          </cell>
          <cell r="HI45" t="str">
            <v/>
          </cell>
          <cell r="HJ45" t="str">
            <v/>
          </cell>
          <cell r="HK45" t="str">
            <v/>
          </cell>
          <cell r="HL45" t="str">
            <v/>
          </cell>
          <cell r="HM45" t="str">
            <v/>
          </cell>
          <cell r="HN45" t="str">
            <v/>
          </cell>
          <cell r="HO45" t="str">
            <v/>
          </cell>
          <cell r="HP45" t="str">
            <v/>
          </cell>
          <cell r="HQ45" t="str">
            <v/>
          </cell>
          <cell r="HR45" t="str">
            <v/>
          </cell>
          <cell r="HS45" t="str">
            <v/>
          </cell>
          <cell r="HT45" t="str">
            <v/>
          </cell>
          <cell r="HU45" t="str">
            <v/>
          </cell>
          <cell r="HV45" t="str">
            <v/>
          </cell>
          <cell r="HW45" t="str">
            <v/>
          </cell>
          <cell r="HX45" t="str">
            <v/>
          </cell>
          <cell r="HY45" t="str">
            <v/>
          </cell>
          <cell r="HZ45" t="str">
            <v/>
          </cell>
          <cell r="IA45" t="str">
            <v/>
          </cell>
          <cell r="IB45" t="str">
            <v/>
          </cell>
          <cell r="IC45" t="str">
            <v/>
          </cell>
          <cell r="ID45" t="str">
            <v/>
          </cell>
          <cell r="IE45" t="str">
            <v/>
          </cell>
          <cell r="IF45" t="str">
            <v/>
          </cell>
          <cell r="IG45" t="str">
            <v/>
          </cell>
          <cell r="IH45" t="str">
            <v/>
          </cell>
          <cell r="II45" t="str">
            <v/>
          </cell>
          <cell r="IJ45" t="str">
            <v/>
          </cell>
          <cell r="IK45" t="str">
            <v/>
          </cell>
          <cell r="IL45" t="str">
            <v/>
          </cell>
          <cell r="IM45" t="str">
            <v/>
          </cell>
          <cell r="IN45" t="str">
            <v/>
          </cell>
          <cell r="IO45" t="str">
            <v/>
          </cell>
          <cell r="IP45" t="str">
            <v/>
          </cell>
          <cell r="IQ45" t="str">
            <v/>
          </cell>
          <cell r="IR45" t="str">
            <v/>
          </cell>
          <cell r="IS45" t="str">
            <v/>
          </cell>
          <cell r="IT45" t="str">
            <v/>
          </cell>
          <cell r="IU45" t="str">
            <v/>
          </cell>
          <cell r="IV45" t="str">
            <v/>
          </cell>
          <cell r="IW45" t="str">
            <v/>
          </cell>
          <cell r="IX45" t="str">
            <v/>
          </cell>
          <cell r="IY45" t="str">
            <v/>
          </cell>
          <cell r="IZ45" t="str">
            <v/>
          </cell>
          <cell r="JA45" t="str">
            <v/>
          </cell>
          <cell r="JB45" t="str">
            <v/>
          </cell>
          <cell r="JC45" t="str">
            <v/>
          </cell>
          <cell r="JD45" t="str">
            <v/>
          </cell>
          <cell r="JE45" t="str">
            <v/>
          </cell>
          <cell r="JF45" t="str">
            <v/>
          </cell>
          <cell r="JG45" t="str">
            <v/>
          </cell>
          <cell r="JH45" t="str">
            <v/>
          </cell>
          <cell r="JI45" t="str">
            <v/>
          </cell>
          <cell r="JJ45" t="str">
            <v/>
          </cell>
          <cell r="JK45" t="str">
            <v/>
          </cell>
          <cell r="JL45" t="str">
            <v/>
          </cell>
          <cell r="JM45" t="str">
            <v/>
          </cell>
          <cell r="JN45" t="str">
            <v/>
          </cell>
          <cell r="JO45" t="str">
            <v/>
          </cell>
          <cell r="JP45" t="str">
            <v/>
          </cell>
          <cell r="JQ45" t="str">
            <v/>
          </cell>
          <cell r="JR45" t="str">
            <v/>
          </cell>
          <cell r="JS45" t="str">
            <v/>
          </cell>
          <cell r="JT45" t="str">
            <v/>
          </cell>
          <cell r="JU45" t="str">
            <v/>
          </cell>
          <cell r="JV45" t="str">
            <v/>
          </cell>
          <cell r="JW45" t="str">
            <v/>
          </cell>
          <cell r="JX45" t="str">
            <v/>
          </cell>
          <cell r="JY45" t="str">
            <v/>
          </cell>
          <cell r="JZ45" t="str">
            <v/>
          </cell>
          <cell r="KA45" t="str">
            <v/>
          </cell>
          <cell r="KB45" t="str">
            <v/>
          </cell>
          <cell r="KC45" t="str">
            <v/>
          </cell>
          <cell r="KD45">
            <v>6</v>
          </cell>
          <cell r="KE45">
            <v>6</v>
          </cell>
          <cell r="KF45">
            <v>6</v>
          </cell>
          <cell r="KG45">
            <v>10</v>
          </cell>
          <cell r="KH45">
            <v>10</v>
          </cell>
          <cell r="KI45">
            <v>10</v>
          </cell>
          <cell r="KJ45">
            <v>12</v>
          </cell>
          <cell r="KK45">
            <v>12</v>
          </cell>
          <cell r="KL45">
            <v>12</v>
          </cell>
          <cell r="KM45">
            <v>10</v>
          </cell>
          <cell r="KN45">
            <v>10</v>
          </cell>
          <cell r="KO45">
            <v>10</v>
          </cell>
          <cell r="KP45">
            <v>14</v>
          </cell>
          <cell r="KQ45">
            <v>0</v>
          </cell>
          <cell r="KR45">
            <v>0</v>
          </cell>
          <cell r="KS45">
            <v>0</v>
          </cell>
          <cell r="KV45">
            <v>0</v>
          </cell>
          <cell r="KY45">
            <v>0</v>
          </cell>
          <cell r="LB45">
            <v>0</v>
          </cell>
          <cell r="LE45">
            <v>0</v>
          </cell>
          <cell r="LH45">
            <v>0</v>
          </cell>
          <cell r="LK45">
            <v>0</v>
          </cell>
          <cell r="LO45">
            <v>45729</v>
          </cell>
          <cell r="LP45" t="str">
            <v>COMPLETADO</v>
          </cell>
        </row>
        <row r="46">
          <cell r="A46">
            <v>1645</v>
          </cell>
          <cell r="B46" t="str">
            <v>LUCIANO</v>
          </cell>
          <cell r="C46" t="str">
            <v>BARRACAS CHICA</v>
          </cell>
          <cell r="D46" t="str">
            <v>MARROQUINERIA CHICA</v>
          </cell>
          <cell r="E46">
            <v>6</v>
          </cell>
          <cell r="F46">
            <v>6</v>
          </cell>
          <cell r="G46">
            <v>6</v>
          </cell>
          <cell r="H46">
            <v>45732.384756944448</v>
          </cell>
          <cell r="I46" t="str">
            <v>TARJETERO MULTI</v>
          </cell>
          <cell r="J46">
            <v>45695</v>
          </cell>
          <cell r="K46">
            <v>45695</v>
          </cell>
          <cell r="M46">
            <v>38</v>
          </cell>
          <cell r="N46" t="str">
            <v>M127</v>
          </cell>
          <cell r="O46" t="str">
            <v>AV0101030201</v>
          </cell>
          <cell r="P46">
            <v>1</v>
          </cell>
          <cell r="Q46" t="str">
            <v>AV0600540101</v>
          </cell>
          <cell r="R46">
            <v>1</v>
          </cell>
          <cell r="S46" t="str">
            <v>BAC1300050727</v>
          </cell>
          <cell r="T46">
            <v>0.02</v>
          </cell>
          <cell r="U46" t="str">
            <v>BAC0200071027</v>
          </cell>
          <cell r="V46">
            <v>0.01</v>
          </cell>
          <cell r="W46" t="str">
            <v>AV170134014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 xml:space="preserve">GRABADO "EL LUCERO"MEDIANO ATRAS CENTRADO ARRIBA  </v>
          </cell>
          <cell r="AX46" t="str">
            <v>MALBEC</v>
          </cell>
          <cell r="AY46" t="str">
            <v>ARENA-CUERO NAPADO</v>
          </cell>
          <cell r="AZ46" t="str">
            <v>CUE0000025</v>
          </cell>
          <cell r="BA46">
            <v>0.1</v>
          </cell>
          <cell r="BB46" t="str">
            <v>AV1401250545</v>
          </cell>
          <cell r="BC46">
            <v>0</v>
          </cell>
          <cell r="BD46" t="str">
            <v>AV0100010161</v>
          </cell>
          <cell r="BE46">
            <v>0.26</v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>NEGRO</v>
          </cell>
          <cell r="BS46" t="str">
            <v>ARENA-CUERO BRIDGE IGUANA</v>
          </cell>
          <cell r="BT46" t="str">
            <v>CUE0000017</v>
          </cell>
          <cell r="BU46">
            <v>0.1</v>
          </cell>
          <cell r="BV46" t="str">
            <v>AV1401254060</v>
          </cell>
          <cell r="BW46">
            <v>0</v>
          </cell>
          <cell r="BX46" t="str">
            <v>AV0100010103</v>
          </cell>
          <cell r="BY46">
            <v>0.26</v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  <cell r="DW46" t="str">
            <v/>
          </cell>
          <cell r="DX46" t="str">
            <v/>
          </cell>
          <cell r="DY46" t="str">
            <v/>
          </cell>
          <cell r="DZ46" t="str">
            <v/>
          </cell>
          <cell r="EA46" t="str">
            <v/>
          </cell>
          <cell r="EB46" t="str">
            <v/>
          </cell>
          <cell r="EC46" t="str">
            <v/>
          </cell>
          <cell r="ED46" t="str">
            <v/>
          </cell>
          <cell r="EE46" t="str">
            <v/>
          </cell>
          <cell r="EF46" t="str">
            <v/>
          </cell>
          <cell r="EG46" t="str">
            <v/>
          </cell>
          <cell r="EH46" t="str">
            <v/>
          </cell>
          <cell r="EI46" t="str">
            <v/>
          </cell>
          <cell r="EJ46" t="str">
            <v/>
          </cell>
          <cell r="EK46" t="str">
            <v/>
          </cell>
          <cell r="EL46" t="str">
            <v/>
          </cell>
          <cell r="EM46" t="str">
            <v/>
          </cell>
          <cell r="EN46" t="str">
            <v/>
          </cell>
          <cell r="EO46" t="str">
            <v/>
          </cell>
          <cell r="EP46" t="str">
            <v/>
          </cell>
          <cell r="EQ46" t="str">
            <v/>
          </cell>
          <cell r="ER46" t="str">
            <v/>
          </cell>
          <cell r="ES46" t="str">
            <v/>
          </cell>
          <cell r="ET46" t="str">
            <v/>
          </cell>
          <cell r="EU46" t="str">
            <v/>
          </cell>
          <cell r="EV46" t="str">
            <v/>
          </cell>
          <cell r="EW46" t="str">
            <v/>
          </cell>
          <cell r="EX46" t="str">
            <v/>
          </cell>
          <cell r="EY46" t="str">
            <v/>
          </cell>
          <cell r="EZ46" t="str">
            <v/>
          </cell>
          <cell r="FA46" t="str">
            <v/>
          </cell>
          <cell r="FB46" t="str">
            <v/>
          </cell>
          <cell r="FC46" t="str">
            <v/>
          </cell>
          <cell r="FD46" t="str">
            <v/>
          </cell>
          <cell r="FE46" t="str">
            <v/>
          </cell>
          <cell r="FF46" t="str">
            <v/>
          </cell>
          <cell r="FG46" t="str">
            <v/>
          </cell>
          <cell r="FH46" t="str">
            <v/>
          </cell>
          <cell r="FI46" t="str">
            <v/>
          </cell>
          <cell r="FJ46" t="str">
            <v/>
          </cell>
          <cell r="FK46" t="str">
            <v/>
          </cell>
          <cell r="FL46" t="str">
            <v/>
          </cell>
          <cell r="FM46" t="str">
            <v/>
          </cell>
          <cell r="FN46" t="str">
            <v/>
          </cell>
          <cell r="FO46" t="str">
            <v/>
          </cell>
          <cell r="FP46" t="str">
            <v/>
          </cell>
          <cell r="FQ46" t="str">
            <v/>
          </cell>
          <cell r="FR46" t="str">
            <v/>
          </cell>
          <cell r="FS46" t="str">
            <v/>
          </cell>
          <cell r="FT46" t="str">
            <v/>
          </cell>
          <cell r="FU46" t="str">
            <v/>
          </cell>
          <cell r="FV46" t="str">
            <v/>
          </cell>
          <cell r="FW46" t="str">
            <v/>
          </cell>
          <cell r="FX46" t="str">
            <v/>
          </cell>
          <cell r="FY46" t="str">
            <v/>
          </cell>
          <cell r="FZ46" t="str">
            <v/>
          </cell>
          <cell r="GA46" t="str">
            <v/>
          </cell>
          <cell r="GB46" t="str">
            <v/>
          </cell>
          <cell r="GC46" t="str">
            <v/>
          </cell>
          <cell r="GD46" t="str">
            <v/>
          </cell>
          <cell r="GE46" t="str">
            <v/>
          </cell>
          <cell r="GF46" t="str">
            <v/>
          </cell>
          <cell r="GG46" t="str">
            <v/>
          </cell>
          <cell r="GH46" t="str">
            <v/>
          </cell>
          <cell r="GI46" t="str">
            <v/>
          </cell>
          <cell r="GJ46" t="str">
            <v/>
          </cell>
          <cell r="GK46" t="str">
            <v/>
          </cell>
          <cell r="GL46" t="str">
            <v/>
          </cell>
          <cell r="GM46" t="str">
            <v/>
          </cell>
          <cell r="GN46" t="str">
            <v/>
          </cell>
          <cell r="GO46" t="str">
            <v/>
          </cell>
          <cell r="GP46" t="str">
            <v/>
          </cell>
          <cell r="GQ46" t="str">
            <v/>
          </cell>
          <cell r="GR46" t="str">
            <v/>
          </cell>
          <cell r="GS46" t="str">
            <v/>
          </cell>
          <cell r="GT46" t="str">
            <v/>
          </cell>
          <cell r="GU46" t="str">
            <v/>
          </cell>
          <cell r="GV46" t="str">
            <v/>
          </cell>
          <cell r="GW46" t="str">
            <v/>
          </cell>
          <cell r="GX46" t="str">
            <v/>
          </cell>
          <cell r="GY46" t="str">
            <v/>
          </cell>
          <cell r="GZ46" t="str">
            <v/>
          </cell>
          <cell r="HA46" t="str">
            <v/>
          </cell>
          <cell r="HB46" t="str">
            <v/>
          </cell>
          <cell r="HC46" t="str">
            <v/>
          </cell>
          <cell r="HD46" t="str">
            <v/>
          </cell>
          <cell r="HE46" t="str">
            <v/>
          </cell>
          <cell r="HF46" t="str">
            <v/>
          </cell>
          <cell r="HG46" t="str">
            <v/>
          </cell>
          <cell r="HH46" t="str">
            <v/>
          </cell>
          <cell r="HI46" t="str">
            <v/>
          </cell>
          <cell r="HJ46" t="str">
            <v/>
          </cell>
          <cell r="HK46" t="str">
            <v/>
          </cell>
          <cell r="HL46" t="str">
            <v/>
          </cell>
          <cell r="HM46" t="str">
            <v/>
          </cell>
          <cell r="HN46" t="str">
            <v/>
          </cell>
          <cell r="HO46" t="str">
            <v/>
          </cell>
          <cell r="HP46" t="str">
            <v/>
          </cell>
          <cell r="HQ46" t="str">
            <v/>
          </cell>
          <cell r="HR46" t="str">
            <v/>
          </cell>
          <cell r="HS46" t="str">
            <v/>
          </cell>
          <cell r="HT46" t="str">
            <v/>
          </cell>
          <cell r="HU46" t="str">
            <v/>
          </cell>
          <cell r="HV46" t="str">
            <v/>
          </cell>
          <cell r="HW46" t="str">
            <v/>
          </cell>
          <cell r="HX46" t="str">
            <v/>
          </cell>
          <cell r="HY46" t="str">
            <v/>
          </cell>
          <cell r="HZ46" t="str">
            <v/>
          </cell>
          <cell r="IA46" t="str">
            <v/>
          </cell>
          <cell r="IB46" t="str">
            <v/>
          </cell>
          <cell r="IC46" t="str">
            <v/>
          </cell>
          <cell r="ID46" t="str">
            <v/>
          </cell>
          <cell r="IE46" t="str">
            <v/>
          </cell>
          <cell r="IF46" t="str">
            <v/>
          </cell>
          <cell r="IG46" t="str">
            <v/>
          </cell>
          <cell r="IH46" t="str">
            <v/>
          </cell>
          <cell r="II46" t="str">
            <v/>
          </cell>
          <cell r="IJ46" t="str">
            <v/>
          </cell>
          <cell r="IK46" t="str">
            <v/>
          </cell>
          <cell r="IL46" t="str">
            <v/>
          </cell>
          <cell r="IM46" t="str">
            <v/>
          </cell>
          <cell r="IN46" t="str">
            <v/>
          </cell>
          <cell r="IO46" t="str">
            <v/>
          </cell>
          <cell r="IP46" t="str">
            <v/>
          </cell>
          <cell r="IQ46" t="str">
            <v/>
          </cell>
          <cell r="IR46" t="str">
            <v/>
          </cell>
          <cell r="IS46" t="str">
            <v/>
          </cell>
          <cell r="IT46" t="str">
            <v/>
          </cell>
          <cell r="IU46" t="str">
            <v/>
          </cell>
          <cell r="IV46" t="str">
            <v/>
          </cell>
          <cell r="IW46" t="str">
            <v/>
          </cell>
          <cell r="IX46" t="str">
            <v/>
          </cell>
          <cell r="IY46" t="str">
            <v/>
          </cell>
          <cell r="IZ46" t="str">
            <v/>
          </cell>
          <cell r="JA46" t="str">
            <v/>
          </cell>
          <cell r="JB46" t="str">
            <v/>
          </cell>
          <cell r="JC46" t="str">
            <v/>
          </cell>
          <cell r="JD46" t="str">
            <v/>
          </cell>
          <cell r="JE46" t="str">
            <v/>
          </cell>
          <cell r="JF46" t="str">
            <v/>
          </cell>
          <cell r="JG46" t="str">
            <v/>
          </cell>
          <cell r="JH46" t="str">
            <v/>
          </cell>
          <cell r="JI46" t="str">
            <v/>
          </cell>
          <cell r="JJ46" t="str">
            <v/>
          </cell>
          <cell r="JK46" t="str">
            <v/>
          </cell>
          <cell r="JL46" t="str">
            <v/>
          </cell>
          <cell r="JM46" t="str">
            <v/>
          </cell>
          <cell r="JN46" t="str">
            <v/>
          </cell>
          <cell r="JO46" t="str">
            <v/>
          </cell>
          <cell r="JP46" t="str">
            <v/>
          </cell>
          <cell r="JQ46" t="str">
            <v/>
          </cell>
          <cell r="JR46" t="str">
            <v/>
          </cell>
          <cell r="JS46" t="str">
            <v/>
          </cell>
          <cell r="JT46" t="str">
            <v/>
          </cell>
          <cell r="JU46" t="str">
            <v/>
          </cell>
          <cell r="JV46" t="str">
            <v/>
          </cell>
          <cell r="JW46" t="str">
            <v/>
          </cell>
          <cell r="JX46" t="str">
            <v/>
          </cell>
          <cell r="JY46" t="str">
            <v/>
          </cell>
          <cell r="JZ46" t="str">
            <v/>
          </cell>
          <cell r="KA46" t="str">
            <v/>
          </cell>
          <cell r="KB46" t="str">
            <v/>
          </cell>
          <cell r="KC46" t="str">
            <v/>
          </cell>
          <cell r="KD46">
            <v>3</v>
          </cell>
          <cell r="KE46">
            <v>3</v>
          </cell>
          <cell r="KF46">
            <v>3</v>
          </cell>
          <cell r="KG46">
            <v>3</v>
          </cell>
          <cell r="KH46">
            <v>3</v>
          </cell>
          <cell r="KI46">
            <v>3</v>
          </cell>
          <cell r="KJ46">
            <v>0</v>
          </cell>
          <cell r="KM46">
            <v>0</v>
          </cell>
          <cell r="KP46">
            <v>0</v>
          </cell>
          <cell r="KS46">
            <v>0</v>
          </cell>
          <cell r="KV46">
            <v>0</v>
          </cell>
          <cell r="KY46">
            <v>0</v>
          </cell>
          <cell r="LB46">
            <v>0</v>
          </cell>
          <cell r="LE46">
            <v>0</v>
          </cell>
          <cell r="LH46">
            <v>0</v>
          </cell>
          <cell r="LK46">
            <v>0</v>
          </cell>
          <cell r="LO46">
            <v>45716</v>
          </cell>
          <cell r="LP46" t="str">
            <v>COMPLETADO</v>
          </cell>
        </row>
        <row r="47">
          <cell r="A47">
            <v>1646</v>
          </cell>
          <cell r="B47" t="str">
            <v>LUCIANO</v>
          </cell>
          <cell r="C47" t="str">
            <v>BARRACAS CHICA</v>
          </cell>
          <cell r="D47" t="str">
            <v>MARROQUINERIA CHICA</v>
          </cell>
          <cell r="E47">
            <v>16</v>
          </cell>
          <cell r="F47">
            <v>16</v>
          </cell>
          <cell r="G47">
            <v>16</v>
          </cell>
          <cell r="H47">
            <v>45732.387731481482</v>
          </cell>
          <cell r="I47" t="str">
            <v>KENNY NUEVA</v>
          </cell>
          <cell r="J47">
            <v>45714</v>
          </cell>
          <cell r="K47">
            <v>45714</v>
          </cell>
          <cell r="M47">
            <v>40</v>
          </cell>
          <cell r="N47" t="str">
            <v>M141</v>
          </cell>
          <cell r="O47" t="str">
            <v>AV170134014</v>
          </cell>
          <cell r="P47">
            <v>0</v>
          </cell>
          <cell r="Q47" t="str">
            <v>AV0101030201</v>
          </cell>
          <cell r="R47">
            <v>1</v>
          </cell>
          <cell r="S47" t="str">
            <v>AV0600540101</v>
          </cell>
          <cell r="T47">
            <v>1</v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>TIRACIERRE LUCERO GRANDE</v>
          </cell>
          <cell r="AT47" t="str">
            <v/>
          </cell>
          <cell r="AU47" t="str">
            <v/>
          </cell>
          <cell r="AV47" t="str">
            <v/>
          </cell>
          <cell r="AW47" t="str">
            <v xml:space="preserve">GRABADO "EL LUCERO"MEDIANO EN EL FRENTE CENTRADO  </v>
          </cell>
          <cell r="AX47" t="str">
            <v>MALBEC</v>
          </cell>
          <cell r="AY47" t="str">
            <v>ARENA-CUERO BRIDGE</v>
          </cell>
          <cell r="AZ47" t="str">
            <v>CUE0000008</v>
          </cell>
          <cell r="BA47">
            <v>0.1</v>
          </cell>
          <cell r="BB47" t="str">
            <v>AV0100010161</v>
          </cell>
          <cell r="BC47">
            <v>0.4</v>
          </cell>
          <cell r="BD47" t="str">
            <v>FOR0000016</v>
          </cell>
          <cell r="BE47">
            <v>0.1</v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>ROJO</v>
          </cell>
          <cell r="BS47" t="str">
            <v>ARENA-CUERO BRIDGE</v>
          </cell>
          <cell r="BT47" t="str">
            <v>CUE0000010</v>
          </cell>
          <cell r="BU47">
            <v>0.1</v>
          </cell>
          <cell r="BV47" t="str">
            <v>AV0100010113</v>
          </cell>
          <cell r="BW47">
            <v>0.4</v>
          </cell>
          <cell r="BX47" t="str">
            <v>FOR0000016</v>
          </cell>
          <cell r="BY47">
            <v>0.1</v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>NEGRO</v>
          </cell>
          <cell r="CM47" t="str">
            <v>ARENA-CUERO BRIDGE</v>
          </cell>
          <cell r="CN47" t="str">
            <v>CUE0000009</v>
          </cell>
          <cell r="CO47">
            <v>0.1</v>
          </cell>
          <cell r="CP47" t="str">
            <v>AV0100010103</v>
          </cell>
          <cell r="CQ47">
            <v>0.4</v>
          </cell>
          <cell r="CR47" t="str">
            <v>FOR0000018</v>
          </cell>
          <cell r="CS47">
            <v>0.1</v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>CARAMELO</v>
          </cell>
          <cell r="DG47" t="str">
            <v>ARENA-CUERO BRIDGE</v>
          </cell>
          <cell r="DH47" t="str">
            <v>CUE0000004</v>
          </cell>
          <cell r="DI47">
            <v>0.1</v>
          </cell>
          <cell r="DJ47" t="str">
            <v>AV0100010105</v>
          </cell>
          <cell r="DK47">
            <v>0.4</v>
          </cell>
          <cell r="DL47" t="str">
            <v>FOR0000015</v>
          </cell>
          <cell r="DM47">
            <v>0.1</v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  <cell r="DW47" t="str">
            <v/>
          </cell>
          <cell r="DX47" t="str">
            <v/>
          </cell>
          <cell r="DY47" t="str">
            <v/>
          </cell>
          <cell r="DZ47" t="str">
            <v/>
          </cell>
          <cell r="EA47" t="str">
            <v/>
          </cell>
          <cell r="EB47" t="str">
            <v/>
          </cell>
          <cell r="EC47" t="str">
            <v/>
          </cell>
          <cell r="ED47" t="str">
            <v/>
          </cell>
          <cell r="EE47" t="str">
            <v/>
          </cell>
          <cell r="EF47" t="str">
            <v/>
          </cell>
          <cell r="EG47" t="str">
            <v/>
          </cell>
          <cell r="EH47" t="str">
            <v/>
          </cell>
          <cell r="EI47" t="str">
            <v/>
          </cell>
          <cell r="EJ47" t="str">
            <v/>
          </cell>
          <cell r="EK47" t="str">
            <v/>
          </cell>
          <cell r="EL47" t="str">
            <v/>
          </cell>
          <cell r="EM47" t="str">
            <v/>
          </cell>
          <cell r="EN47" t="str">
            <v/>
          </cell>
          <cell r="EO47" t="str">
            <v/>
          </cell>
          <cell r="EP47" t="str">
            <v/>
          </cell>
          <cell r="EQ47" t="str">
            <v/>
          </cell>
          <cell r="ER47" t="str">
            <v/>
          </cell>
          <cell r="ES47" t="str">
            <v/>
          </cell>
          <cell r="ET47" t="str">
            <v/>
          </cell>
          <cell r="EU47" t="str">
            <v/>
          </cell>
          <cell r="EV47" t="str">
            <v/>
          </cell>
          <cell r="EW47" t="str">
            <v/>
          </cell>
          <cell r="EX47" t="str">
            <v/>
          </cell>
          <cell r="EY47" t="str">
            <v/>
          </cell>
          <cell r="EZ47" t="str">
            <v/>
          </cell>
          <cell r="FA47" t="str">
            <v/>
          </cell>
          <cell r="FB47" t="str">
            <v/>
          </cell>
          <cell r="FC47" t="str">
            <v/>
          </cell>
          <cell r="FD47" t="str">
            <v/>
          </cell>
          <cell r="FE47" t="str">
            <v/>
          </cell>
          <cell r="FF47" t="str">
            <v/>
          </cell>
          <cell r="FG47" t="str">
            <v/>
          </cell>
          <cell r="FH47" t="str">
            <v/>
          </cell>
          <cell r="FI47" t="str">
            <v/>
          </cell>
          <cell r="FJ47" t="str">
            <v/>
          </cell>
          <cell r="FK47" t="str">
            <v/>
          </cell>
          <cell r="FL47" t="str">
            <v/>
          </cell>
          <cell r="FM47" t="str">
            <v/>
          </cell>
          <cell r="FN47" t="str">
            <v/>
          </cell>
          <cell r="FO47" t="str">
            <v/>
          </cell>
          <cell r="FP47" t="str">
            <v/>
          </cell>
          <cell r="FQ47" t="str">
            <v/>
          </cell>
          <cell r="FR47" t="str">
            <v/>
          </cell>
          <cell r="FS47" t="str">
            <v/>
          </cell>
          <cell r="FT47" t="str">
            <v/>
          </cell>
          <cell r="FU47" t="str">
            <v/>
          </cell>
          <cell r="FV47" t="str">
            <v/>
          </cell>
          <cell r="FW47" t="str">
            <v/>
          </cell>
          <cell r="FX47" t="str">
            <v/>
          </cell>
          <cell r="FY47" t="str">
            <v/>
          </cell>
          <cell r="FZ47" t="str">
            <v/>
          </cell>
          <cell r="GA47" t="str">
            <v/>
          </cell>
          <cell r="GB47" t="str">
            <v/>
          </cell>
          <cell r="GC47" t="str">
            <v/>
          </cell>
          <cell r="GD47" t="str">
            <v/>
          </cell>
          <cell r="GE47" t="str">
            <v/>
          </cell>
          <cell r="GF47" t="str">
            <v/>
          </cell>
          <cell r="GG47" t="str">
            <v/>
          </cell>
          <cell r="GH47" t="str">
            <v/>
          </cell>
          <cell r="GI47" t="str">
            <v/>
          </cell>
          <cell r="GJ47" t="str">
            <v/>
          </cell>
          <cell r="GK47" t="str">
            <v/>
          </cell>
          <cell r="GL47" t="str">
            <v/>
          </cell>
          <cell r="GM47" t="str">
            <v/>
          </cell>
          <cell r="GN47" t="str">
            <v/>
          </cell>
          <cell r="GO47" t="str">
            <v/>
          </cell>
          <cell r="GP47" t="str">
            <v/>
          </cell>
          <cell r="GQ47" t="str">
            <v/>
          </cell>
          <cell r="GR47" t="str">
            <v/>
          </cell>
          <cell r="GS47" t="str">
            <v/>
          </cell>
          <cell r="GT47" t="str">
            <v/>
          </cell>
          <cell r="GU47" t="str">
            <v/>
          </cell>
          <cell r="GV47" t="str">
            <v/>
          </cell>
          <cell r="GW47" t="str">
            <v/>
          </cell>
          <cell r="GX47" t="str">
            <v/>
          </cell>
          <cell r="GY47" t="str">
            <v/>
          </cell>
          <cell r="GZ47" t="str">
            <v/>
          </cell>
          <cell r="HA47" t="str">
            <v/>
          </cell>
          <cell r="HB47" t="str">
            <v/>
          </cell>
          <cell r="HC47" t="str">
            <v/>
          </cell>
          <cell r="HD47" t="str">
            <v/>
          </cell>
          <cell r="HE47" t="str">
            <v/>
          </cell>
          <cell r="HF47" t="str">
            <v/>
          </cell>
          <cell r="HG47" t="str">
            <v/>
          </cell>
          <cell r="HH47" t="str">
            <v/>
          </cell>
          <cell r="HI47" t="str">
            <v/>
          </cell>
          <cell r="HJ47" t="str">
            <v/>
          </cell>
          <cell r="HK47" t="str">
            <v/>
          </cell>
          <cell r="HL47" t="str">
            <v/>
          </cell>
          <cell r="HM47" t="str">
            <v/>
          </cell>
          <cell r="HN47" t="str">
            <v/>
          </cell>
          <cell r="HO47" t="str">
            <v/>
          </cell>
          <cell r="HP47" t="str">
            <v/>
          </cell>
          <cell r="HQ47" t="str">
            <v/>
          </cell>
          <cell r="HR47" t="str">
            <v/>
          </cell>
          <cell r="HS47" t="str">
            <v/>
          </cell>
          <cell r="HT47" t="str">
            <v/>
          </cell>
          <cell r="HU47" t="str">
            <v/>
          </cell>
          <cell r="HV47" t="str">
            <v/>
          </cell>
          <cell r="HW47" t="str">
            <v/>
          </cell>
          <cell r="HX47" t="str">
            <v/>
          </cell>
          <cell r="HY47" t="str">
            <v/>
          </cell>
          <cell r="HZ47" t="str">
            <v/>
          </cell>
          <cell r="IA47" t="str">
            <v/>
          </cell>
          <cell r="IB47" t="str">
            <v/>
          </cell>
          <cell r="IC47" t="str">
            <v/>
          </cell>
          <cell r="ID47" t="str">
            <v/>
          </cell>
          <cell r="IE47" t="str">
            <v/>
          </cell>
          <cell r="IF47" t="str">
            <v/>
          </cell>
          <cell r="IG47" t="str">
            <v/>
          </cell>
          <cell r="IH47" t="str">
            <v/>
          </cell>
          <cell r="II47" t="str">
            <v/>
          </cell>
          <cell r="IJ47" t="str">
            <v/>
          </cell>
          <cell r="IK47" t="str">
            <v/>
          </cell>
          <cell r="IL47" t="str">
            <v/>
          </cell>
          <cell r="IM47" t="str">
            <v/>
          </cell>
          <cell r="IN47" t="str">
            <v/>
          </cell>
          <cell r="IO47" t="str">
            <v/>
          </cell>
          <cell r="IP47" t="str">
            <v/>
          </cell>
          <cell r="IQ47" t="str">
            <v/>
          </cell>
          <cell r="IR47" t="str">
            <v/>
          </cell>
          <cell r="IS47" t="str">
            <v/>
          </cell>
          <cell r="IT47" t="str">
            <v/>
          </cell>
          <cell r="IU47" t="str">
            <v/>
          </cell>
          <cell r="IV47" t="str">
            <v/>
          </cell>
          <cell r="IW47" t="str">
            <v/>
          </cell>
          <cell r="IX47" t="str">
            <v/>
          </cell>
          <cell r="IY47" t="str">
            <v/>
          </cell>
          <cell r="IZ47" t="str">
            <v/>
          </cell>
          <cell r="JA47" t="str">
            <v/>
          </cell>
          <cell r="JB47" t="str">
            <v/>
          </cell>
          <cell r="JC47" t="str">
            <v/>
          </cell>
          <cell r="JD47" t="str">
            <v/>
          </cell>
          <cell r="JE47" t="str">
            <v/>
          </cell>
          <cell r="JF47" t="str">
            <v/>
          </cell>
          <cell r="JG47" t="str">
            <v/>
          </cell>
          <cell r="JH47" t="str">
            <v/>
          </cell>
          <cell r="JI47" t="str">
            <v/>
          </cell>
          <cell r="JJ47" t="str">
            <v/>
          </cell>
          <cell r="JK47" t="str">
            <v/>
          </cell>
          <cell r="JL47" t="str">
            <v/>
          </cell>
          <cell r="JM47" t="str">
            <v/>
          </cell>
          <cell r="JN47" t="str">
            <v/>
          </cell>
          <cell r="JO47" t="str">
            <v/>
          </cell>
          <cell r="JP47" t="str">
            <v/>
          </cell>
          <cell r="JQ47" t="str">
            <v/>
          </cell>
          <cell r="JR47" t="str">
            <v/>
          </cell>
          <cell r="JS47" t="str">
            <v/>
          </cell>
          <cell r="JT47" t="str">
            <v/>
          </cell>
          <cell r="JU47" t="str">
            <v/>
          </cell>
          <cell r="JV47" t="str">
            <v/>
          </cell>
          <cell r="JW47" t="str">
            <v/>
          </cell>
          <cell r="JX47" t="str">
            <v/>
          </cell>
          <cell r="JY47" t="str">
            <v/>
          </cell>
          <cell r="JZ47" t="str">
            <v/>
          </cell>
          <cell r="KA47" t="str">
            <v/>
          </cell>
          <cell r="KB47" t="str">
            <v/>
          </cell>
          <cell r="KC47" t="str">
            <v/>
          </cell>
          <cell r="KD47">
            <v>6</v>
          </cell>
          <cell r="KE47">
            <v>6</v>
          </cell>
          <cell r="KF47">
            <v>6</v>
          </cell>
          <cell r="KG47">
            <v>4</v>
          </cell>
          <cell r="KH47">
            <v>4</v>
          </cell>
          <cell r="KI47">
            <v>4</v>
          </cell>
          <cell r="KJ47">
            <v>3</v>
          </cell>
          <cell r="KK47">
            <v>3</v>
          </cell>
          <cell r="KL47">
            <v>3</v>
          </cell>
          <cell r="KM47">
            <v>3</v>
          </cell>
          <cell r="KN47">
            <v>3</v>
          </cell>
          <cell r="KO47">
            <v>3</v>
          </cell>
          <cell r="KP47">
            <v>0</v>
          </cell>
          <cell r="KS47">
            <v>0</v>
          </cell>
          <cell r="KV47">
            <v>0</v>
          </cell>
          <cell r="KY47">
            <v>0</v>
          </cell>
          <cell r="LB47">
            <v>0</v>
          </cell>
          <cell r="LE47">
            <v>0</v>
          </cell>
          <cell r="LH47">
            <v>0</v>
          </cell>
          <cell r="LK47">
            <v>0</v>
          </cell>
          <cell r="LO47">
            <v>45747</v>
          </cell>
          <cell r="LP47" t="str">
            <v>COMPLETADO</v>
          </cell>
        </row>
        <row r="48">
          <cell r="A48">
            <v>1647</v>
          </cell>
          <cell r="B48" t="str">
            <v xml:space="preserve"> -----</v>
          </cell>
          <cell r="C48" t="str">
            <v>GABRIEL</v>
          </cell>
          <cell r="D48" t="str">
            <v>MARROQUINERIA CHICA</v>
          </cell>
          <cell r="E48">
            <v>27</v>
          </cell>
          <cell r="F48">
            <v>15</v>
          </cell>
          <cell r="G48">
            <v>15</v>
          </cell>
          <cell r="H48">
            <v>45732.393599537034</v>
          </cell>
          <cell r="I48" t="str">
            <v>TARJETERO VINCENT</v>
          </cell>
          <cell r="J48">
            <v>45722</v>
          </cell>
          <cell r="K48">
            <v>45722</v>
          </cell>
          <cell r="M48">
            <v>35</v>
          </cell>
          <cell r="N48" t="str">
            <v>M130</v>
          </cell>
          <cell r="O48" t="str">
            <v>AV0700420101</v>
          </cell>
          <cell r="P48">
            <v>2</v>
          </cell>
          <cell r="Q48" t="str">
            <v>AV170134014</v>
          </cell>
          <cell r="R48">
            <v>0</v>
          </cell>
          <cell r="S48" t="str">
            <v/>
          </cell>
          <cell r="T48" t="str">
            <v/>
          </cell>
          <cell r="U48" t="str">
            <v/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 xml:space="preserve">GRABADO "EL LUCERO ARGENTINA" CHICO EN ESPALDA, A 1,5 CM DEL BORDE INFERIOR, CENTRADO.  </v>
          </cell>
          <cell r="AX48" t="str">
            <v>CHOCOLATE</v>
          </cell>
          <cell r="AY48" t="str">
            <v>ARENA-CUERO BRIDGE</v>
          </cell>
          <cell r="AZ48" t="str">
            <v>CUE0000005</v>
          </cell>
          <cell r="BA48">
            <v>0.06</v>
          </cell>
          <cell r="BB48" t="str">
            <v>FOR0000015</v>
          </cell>
          <cell r="BC48">
            <v>0.02</v>
          </cell>
          <cell r="BD48" t="str">
            <v>AV1401250545</v>
          </cell>
          <cell r="BE48">
            <v>0</v>
          </cell>
          <cell r="BF48" t="str">
            <v>AV1601300954</v>
          </cell>
          <cell r="BG48">
            <v>0</v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>ROJO</v>
          </cell>
          <cell r="BS48" t="str">
            <v>ARENA-CUERO BRIDGE</v>
          </cell>
          <cell r="BT48" t="str">
            <v>CUE0000010</v>
          </cell>
          <cell r="BU48">
            <v>0.06</v>
          </cell>
          <cell r="BV48" t="str">
            <v>FOR0000016</v>
          </cell>
          <cell r="BW48">
            <v>0.02</v>
          </cell>
          <cell r="BX48" t="str">
            <v>AV1401254460</v>
          </cell>
          <cell r="BY48">
            <v>0</v>
          </cell>
          <cell r="BZ48" t="str">
            <v>AV1601300929</v>
          </cell>
          <cell r="CA48">
            <v>0</v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>CARAMELO</v>
          </cell>
          <cell r="CM48" t="str">
            <v>ARENA-CUERO BRIDGE</v>
          </cell>
          <cell r="CN48" t="str">
            <v>CUE0000004</v>
          </cell>
          <cell r="CO48">
            <v>0.06</v>
          </cell>
          <cell r="CP48" t="str">
            <v>FOR0000015</v>
          </cell>
          <cell r="CQ48">
            <v>0.02</v>
          </cell>
          <cell r="CR48" t="str">
            <v>AV1401250545</v>
          </cell>
          <cell r="CS48">
            <v>0</v>
          </cell>
          <cell r="CT48" t="str">
            <v>AV1601300955</v>
          </cell>
          <cell r="CU48">
            <v>0</v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>TABACO</v>
          </cell>
          <cell r="DG48" t="str">
            <v>ARENA-CUERO BRIDGE</v>
          </cell>
          <cell r="DH48" t="str">
            <v>CUE0000012</v>
          </cell>
          <cell r="DI48">
            <v>0.06</v>
          </cell>
          <cell r="DJ48" t="str">
            <v>FOR0000015</v>
          </cell>
          <cell r="DK48">
            <v>0.02</v>
          </cell>
          <cell r="DL48" t="str">
            <v>AV1401250545</v>
          </cell>
          <cell r="DM48">
            <v>0</v>
          </cell>
          <cell r="DN48" t="str">
            <v>AV1601300954</v>
          </cell>
          <cell r="DO48">
            <v>0</v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  <cell r="DW48" t="str">
            <v/>
          </cell>
          <cell r="DX48" t="str">
            <v/>
          </cell>
          <cell r="DY48" t="str">
            <v/>
          </cell>
          <cell r="DZ48" t="str">
            <v>AZUL_REVES_AZUL</v>
          </cell>
          <cell r="EA48" t="str">
            <v>BIANCO-CUERO MODENA ESPESOR 1,8</v>
          </cell>
          <cell r="EB48" t="str">
            <v>CUE0000156</v>
          </cell>
          <cell r="EC48">
            <v>0.06</v>
          </cell>
          <cell r="ED48" t="str">
            <v>FOR0000014</v>
          </cell>
          <cell r="EE48">
            <v>0.02</v>
          </cell>
          <cell r="EF48" t="str">
            <v>AV1401254360</v>
          </cell>
          <cell r="EG48">
            <v>0</v>
          </cell>
          <cell r="EH48" t="str">
            <v>AV1601300956</v>
          </cell>
          <cell r="EI48">
            <v>0</v>
          </cell>
          <cell r="EJ48" t="str">
            <v/>
          </cell>
          <cell r="EK48" t="str">
            <v/>
          </cell>
          <cell r="EL48" t="str">
            <v/>
          </cell>
          <cell r="EM48" t="str">
            <v/>
          </cell>
          <cell r="EN48" t="str">
            <v/>
          </cell>
          <cell r="EO48" t="str">
            <v/>
          </cell>
          <cell r="EP48" t="str">
            <v/>
          </cell>
          <cell r="EQ48" t="str">
            <v/>
          </cell>
          <cell r="ER48" t="str">
            <v/>
          </cell>
          <cell r="ES48" t="str">
            <v/>
          </cell>
          <cell r="ET48" t="str">
            <v>VERDE_REVES_VERDE</v>
          </cell>
          <cell r="EU48" t="str">
            <v>BIANCO-CUERO MODENA ESPESOR 1,8</v>
          </cell>
          <cell r="EV48" t="str">
            <v>CUE0000157</v>
          </cell>
          <cell r="EW48">
            <v>0.06</v>
          </cell>
          <cell r="EX48" t="str">
            <v>FOR0000013</v>
          </cell>
          <cell r="EY48">
            <v>0.02</v>
          </cell>
          <cell r="EZ48" t="str">
            <v>AV1401254260</v>
          </cell>
          <cell r="FA48">
            <v>0</v>
          </cell>
          <cell r="FB48" t="str">
            <v>AV1601300957</v>
          </cell>
          <cell r="FC48">
            <v>0</v>
          </cell>
          <cell r="FD48" t="str">
            <v/>
          </cell>
          <cell r="FE48" t="str">
            <v/>
          </cell>
          <cell r="FF48" t="str">
            <v/>
          </cell>
          <cell r="FG48" t="str">
            <v/>
          </cell>
          <cell r="FH48" t="str">
            <v/>
          </cell>
          <cell r="FI48" t="str">
            <v/>
          </cell>
          <cell r="FJ48" t="str">
            <v/>
          </cell>
          <cell r="FK48" t="str">
            <v/>
          </cell>
          <cell r="FL48" t="str">
            <v/>
          </cell>
          <cell r="FM48" t="str">
            <v/>
          </cell>
          <cell r="FN48" t="str">
            <v/>
          </cell>
          <cell r="FO48" t="str">
            <v/>
          </cell>
          <cell r="FP48" t="str">
            <v/>
          </cell>
          <cell r="FQ48" t="str">
            <v/>
          </cell>
          <cell r="FR48" t="str">
            <v/>
          </cell>
          <cell r="FS48" t="str">
            <v/>
          </cell>
          <cell r="FT48" t="str">
            <v/>
          </cell>
          <cell r="FU48" t="str">
            <v/>
          </cell>
          <cell r="FV48" t="str">
            <v/>
          </cell>
          <cell r="FW48" t="str">
            <v/>
          </cell>
          <cell r="FX48" t="str">
            <v/>
          </cell>
          <cell r="FY48" t="str">
            <v/>
          </cell>
          <cell r="FZ48" t="str">
            <v/>
          </cell>
          <cell r="GA48" t="str">
            <v/>
          </cell>
          <cell r="GB48" t="str">
            <v/>
          </cell>
          <cell r="GC48" t="str">
            <v/>
          </cell>
          <cell r="GD48" t="str">
            <v/>
          </cell>
          <cell r="GE48" t="str">
            <v/>
          </cell>
          <cell r="GF48" t="str">
            <v/>
          </cell>
          <cell r="GG48" t="str">
            <v/>
          </cell>
          <cell r="GH48" t="str">
            <v/>
          </cell>
          <cell r="GI48" t="str">
            <v/>
          </cell>
          <cell r="GJ48" t="str">
            <v/>
          </cell>
          <cell r="GK48" t="str">
            <v/>
          </cell>
          <cell r="GL48" t="str">
            <v/>
          </cell>
          <cell r="GM48" t="str">
            <v/>
          </cell>
          <cell r="GN48" t="str">
            <v/>
          </cell>
          <cell r="GO48" t="str">
            <v/>
          </cell>
          <cell r="GP48" t="str">
            <v/>
          </cell>
          <cell r="GQ48" t="str">
            <v/>
          </cell>
          <cell r="GR48" t="str">
            <v/>
          </cell>
          <cell r="GS48" t="str">
            <v/>
          </cell>
          <cell r="GT48" t="str">
            <v/>
          </cell>
          <cell r="GU48" t="str">
            <v/>
          </cell>
          <cell r="GV48" t="str">
            <v/>
          </cell>
          <cell r="GW48" t="str">
            <v/>
          </cell>
          <cell r="GX48" t="str">
            <v/>
          </cell>
          <cell r="GY48" t="str">
            <v/>
          </cell>
          <cell r="GZ48" t="str">
            <v/>
          </cell>
          <cell r="HA48" t="str">
            <v/>
          </cell>
          <cell r="HB48" t="str">
            <v/>
          </cell>
          <cell r="HC48" t="str">
            <v/>
          </cell>
          <cell r="HD48" t="str">
            <v/>
          </cell>
          <cell r="HE48" t="str">
            <v/>
          </cell>
          <cell r="HF48" t="str">
            <v/>
          </cell>
          <cell r="HG48" t="str">
            <v/>
          </cell>
          <cell r="HH48" t="str">
            <v/>
          </cell>
          <cell r="HI48" t="str">
            <v/>
          </cell>
          <cell r="HJ48" t="str">
            <v/>
          </cell>
          <cell r="HK48" t="str">
            <v/>
          </cell>
          <cell r="HL48" t="str">
            <v/>
          </cell>
          <cell r="HM48" t="str">
            <v/>
          </cell>
          <cell r="HN48" t="str">
            <v/>
          </cell>
          <cell r="HO48" t="str">
            <v/>
          </cell>
          <cell r="HP48" t="str">
            <v/>
          </cell>
          <cell r="HQ48" t="str">
            <v/>
          </cell>
          <cell r="HR48" t="str">
            <v/>
          </cell>
          <cell r="HS48" t="str">
            <v/>
          </cell>
          <cell r="HT48" t="str">
            <v/>
          </cell>
          <cell r="HU48" t="str">
            <v/>
          </cell>
          <cell r="HV48" t="str">
            <v/>
          </cell>
          <cell r="HW48" t="str">
            <v/>
          </cell>
          <cell r="HX48" t="str">
            <v/>
          </cell>
          <cell r="HY48" t="str">
            <v/>
          </cell>
          <cell r="HZ48" t="str">
            <v/>
          </cell>
          <cell r="IA48" t="str">
            <v/>
          </cell>
          <cell r="IB48" t="str">
            <v/>
          </cell>
          <cell r="IC48" t="str">
            <v/>
          </cell>
          <cell r="ID48" t="str">
            <v/>
          </cell>
          <cell r="IE48" t="str">
            <v/>
          </cell>
          <cell r="IF48" t="str">
            <v/>
          </cell>
          <cell r="IG48" t="str">
            <v/>
          </cell>
          <cell r="IH48" t="str">
            <v/>
          </cell>
          <cell r="II48" t="str">
            <v/>
          </cell>
          <cell r="IJ48" t="str">
            <v/>
          </cell>
          <cell r="IK48" t="str">
            <v/>
          </cell>
          <cell r="IL48" t="str">
            <v/>
          </cell>
          <cell r="IM48" t="str">
            <v/>
          </cell>
          <cell r="IN48" t="str">
            <v/>
          </cell>
          <cell r="IO48" t="str">
            <v/>
          </cell>
          <cell r="IP48" t="str">
            <v/>
          </cell>
          <cell r="IQ48" t="str">
            <v/>
          </cell>
          <cell r="IR48" t="str">
            <v/>
          </cell>
          <cell r="IS48" t="str">
            <v/>
          </cell>
          <cell r="IT48" t="str">
            <v/>
          </cell>
          <cell r="IU48" t="str">
            <v/>
          </cell>
          <cell r="IV48" t="str">
            <v/>
          </cell>
          <cell r="IW48" t="str">
            <v/>
          </cell>
          <cell r="IX48" t="str">
            <v/>
          </cell>
          <cell r="IY48" t="str">
            <v/>
          </cell>
          <cell r="IZ48" t="str">
            <v/>
          </cell>
          <cell r="JA48" t="str">
            <v/>
          </cell>
          <cell r="JB48" t="str">
            <v/>
          </cell>
          <cell r="JC48" t="str">
            <v/>
          </cell>
          <cell r="JD48" t="str">
            <v/>
          </cell>
          <cell r="JE48" t="str">
            <v/>
          </cell>
          <cell r="JF48" t="str">
            <v/>
          </cell>
          <cell r="JG48" t="str">
            <v/>
          </cell>
          <cell r="JH48" t="str">
            <v/>
          </cell>
          <cell r="JI48" t="str">
            <v/>
          </cell>
          <cell r="JJ48" t="str">
            <v/>
          </cell>
          <cell r="JK48" t="str">
            <v/>
          </cell>
          <cell r="JL48" t="str">
            <v/>
          </cell>
          <cell r="JM48" t="str">
            <v/>
          </cell>
          <cell r="JN48" t="str">
            <v/>
          </cell>
          <cell r="JO48" t="str">
            <v/>
          </cell>
          <cell r="JP48" t="str">
            <v/>
          </cell>
          <cell r="JQ48" t="str">
            <v/>
          </cell>
          <cell r="JR48" t="str">
            <v/>
          </cell>
          <cell r="JS48" t="str">
            <v/>
          </cell>
          <cell r="JT48" t="str">
            <v/>
          </cell>
          <cell r="JU48" t="str">
            <v/>
          </cell>
          <cell r="JV48" t="str">
            <v/>
          </cell>
          <cell r="JW48" t="str">
            <v/>
          </cell>
          <cell r="JX48" t="str">
            <v/>
          </cell>
          <cell r="JY48" t="str">
            <v/>
          </cell>
          <cell r="JZ48" t="str">
            <v/>
          </cell>
          <cell r="KA48" t="str">
            <v/>
          </cell>
          <cell r="KB48" t="str">
            <v/>
          </cell>
          <cell r="KC48" t="str">
            <v/>
          </cell>
          <cell r="KD48">
            <v>4</v>
          </cell>
          <cell r="KE48">
            <v>4</v>
          </cell>
          <cell r="KF48">
            <v>4</v>
          </cell>
          <cell r="KG48">
            <v>5</v>
          </cell>
          <cell r="KH48">
            <v>5</v>
          </cell>
          <cell r="KI48">
            <v>5</v>
          </cell>
          <cell r="KJ48">
            <v>4</v>
          </cell>
          <cell r="KK48">
            <v>4</v>
          </cell>
          <cell r="KL48">
            <v>4</v>
          </cell>
          <cell r="KM48">
            <v>2</v>
          </cell>
          <cell r="KN48">
            <v>2</v>
          </cell>
          <cell r="KO48">
            <v>2</v>
          </cell>
          <cell r="KP48">
            <v>6</v>
          </cell>
          <cell r="KQ48">
            <v>0</v>
          </cell>
          <cell r="KR48">
            <v>0</v>
          </cell>
          <cell r="KS48">
            <v>6</v>
          </cell>
          <cell r="KT48">
            <v>0</v>
          </cell>
          <cell r="KU48">
            <v>0</v>
          </cell>
          <cell r="KV48">
            <v>0</v>
          </cell>
          <cell r="KY48">
            <v>0</v>
          </cell>
          <cell r="LB48">
            <v>0</v>
          </cell>
          <cell r="LE48">
            <v>0</v>
          </cell>
          <cell r="LH48">
            <v>0</v>
          </cell>
          <cell r="LK48">
            <v>0</v>
          </cell>
          <cell r="LO48">
            <v>45727</v>
          </cell>
          <cell r="LP48" t="str">
            <v>COMPLETADO</v>
          </cell>
        </row>
        <row r="49">
          <cell r="A49">
            <v>1648</v>
          </cell>
          <cell r="B49" t="str">
            <v>RUBEN</v>
          </cell>
          <cell r="C49" t="str">
            <v>BARRACAS GRANDE</v>
          </cell>
          <cell r="D49" t="str">
            <v>MARROQUINERIA GRANDE</v>
          </cell>
          <cell r="E49">
            <v>9</v>
          </cell>
          <cell r="F49">
            <v>9</v>
          </cell>
          <cell r="G49">
            <v>9</v>
          </cell>
          <cell r="H49">
            <v>45732.396064814813</v>
          </cell>
          <cell r="I49" t="str">
            <v>BANDOLERA ANTONIETA</v>
          </cell>
          <cell r="J49">
            <v>45715</v>
          </cell>
          <cell r="K49">
            <v>45715</v>
          </cell>
          <cell r="M49">
            <v>26</v>
          </cell>
          <cell r="N49" t="str">
            <v>M001</v>
          </cell>
          <cell r="O49" t="str">
            <v>AV0101070301</v>
          </cell>
          <cell r="P49">
            <v>1</v>
          </cell>
          <cell r="Q49" t="str">
            <v>AV0400770101</v>
          </cell>
          <cell r="R49">
            <v>2</v>
          </cell>
          <cell r="S49" t="str">
            <v>AV0600580101</v>
          </cell>
          <cell r="T49">
            <v>2</v>
          </cell>
          <cell r="U49" t="str">
            <v>AV1000380101</v>
          </cell>
          <cell r="V49">
            <v>1</v>
          </cell>
          <cell r="W49" t="str">
            <v>AV1300130101</v>
          </cell>
          <cell r="X49">
            <v>1</v>
          </cell>
          <cell r="Y49" t="str">
            <v>AV0300260101</v>
          </cell>
          <cell r="Z49">
            <v>1</v>
          </cell>
          <cell r="AA49" t="str">
            <v>AV0400900101</v>
          </cell>
          <cell r="AB49">
            <v>1</v>
          </cell>
          <cell r="AC49" t="str">
            <v>AV170129018</v>
          </cell>
          <cell r="AD49">
            <v>0</v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>TIRACIERRE N12: ARGOLLITA CON TIRA FINITA CON  REMACHE 6.6</v>
          </cell>
          <cell r="AT49" t="str">
            <v/>
          </cell>
          <cell r="AU49" t="str">
            <v/>
          </cell>
          <cell r="AV49" t="str">
            <v/>
          </cell>
          <cell r="AW49" t="str">
            <v>GRABADO "EL LUCERO"GRANDE en el frente CENTRADO (En cuerpo de la cartera, debajo de la solapa)</v>
          </cell>
          <cell r="AX49" t="str">
            <v>MALBEC</v>
          </cell>
          <cell r="AY49" t="str">
            <v>ARENA-CUERO BRIDGE</v>
          </cell>
          <cell r="AZ49" t="str">
            <v>CUE0000008</v>
          </cell>
          <cell r="BA49">
            <v>0.28999999999999998</v>
          </cell>
          <cell r="BB49" t="str">
            <v>FOR0000020</v>
          </cell>
          <cell r="BC49">
            <v>0.2</v>
          </cell>
          <cell r="BD49" t="str">
            <v>CIE0000003</v>
          </cell>
          <cell r="BE49">
            <v>0.31</v>
          </cell>
          <cell r="BF49" t="str">
            <v>AV1401240545</v>
          </cell>
          <cell r="BG49">
            <v>0</v>
          </cell>
          <cell r="BH49" t="str">
            <v>AV1101810560</v>
          </cell>
          <cell r="BI49">
            <v>1.45</v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>TABACO</v>
          </cell>
          <cell r="BS49" t="str">
            <v>ARENA-CUERO BRIDGE</v>
          </cell>
          <cell r="BT49" t="str">
            <v>CUE0000012</v>
          </cell>
          <cell r="BU49">
            <v>0.28999999999999998</v>
          </cell>
          <cell r="BV49" t="str">
            <v>FOR0000021</v>
          </cell>
          <cell r="BW49">
            <v>0.2</v>
          </cell>
          <cell r="BX49" t="str">
            <v>CIE0000004</v>
          </cell>
          <cell r="BY49">
            <v>0.31</v>
          </cell>
          <cell r="BZ49" t="str">
            <v>AV1401240545</v>
          </cell>
          <cell r="CA49">
            <v>0</v>
          </cell>
          <cell r="CB49" t="str">
            <v>AV1101810560</v>
          </cell>
          <cell r="CC49">
            <v>1.45</v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  <cell r="DW49" t="str">
            <v/>
          </cell>
          <cell r="DX49" t="str">
            <v/>
          </cell>
          <cell r="DY49" t="str">
            <v/>
          </cell>
          <cell r="DZ49" t="str">
            <v/>
          </cell>
          <cell r="EA49" t="str">
            <v/>
          </cell>
          <cell r="EB49" t="str">
            <v/>
          </cell>
          <cell r="EC49" t="str">
            <v/>
          </cell>
          <cell r="ED49" t="str">
            <v/>
          </cell>
          <cell r="EE49" t="str">
            <v/>
          </cell>
          <cell r="EF49" t="str">
            <v/>
          </cell>
          <cell r="EG49" t="str">
            <v/>
          </cell>
          <cell r="EH49" t="str">
            <v/>
          </cell>
          <cell r="EI49" t="str">
            <v/>
          </cell>
          <cell r="EJ49" t="str">
            <v/>
          </cell>
          <cell r="EK49" t="str">
            <v/>
          </cell>
          <cell r="EL49" t="str">
            <v/>
          </cell>
          <cell r="EM49" t="str">
            <v/>
          </cell>
          <cell r="EN49" t="str">
            <v/>
          </cell>
          <cell r="EO49" t="str">
            <v/>
          </cell>
          <cell r="EP49" t="str">
            <v/>
          </cell>
          <cell r="EQ49" t="str">
            <v/>
          </cell>
          <cell r="ER49" t="str">
            <v/>
          </cell>
          <cell r="ES49" t="str">
            <v/>
          </cell>
          <cell r="ET49" t="str">
            <v/>
          </cell>
          <cell r="EU49" t="str">
            <v/>
          </cell>
          <cell r="EV49" t="str">
            <v/>
          </cell>
          <cell r="EW49" t="str">
            <v/>
          </cell>
          <cell r="EX49" t="str">
            <v/>
          </cell>
          <cell r="EY49" t="str">
            <v/>
          </cell>
          <cell r="EZ49" t="str">
            <v/>
          </cell>
          <cell r="FA49" t="str">
            <v/>
          </cell>
          <cell r="FB49" t="str">
            <v/>
          </cell>
          <cell r="FC49" t="str">
            <v/>
          </cell>
          <cell r="FD49" t="str">
            <v/>
          </cell>
          <cell r="FE49" t="str">
            <v/>
          </cell>
          <cell r="FF49" t="str">
            <v/>
          </cell>
          <cell r="FG49" t="str">
            <v/>
          </cell>
          <cell r="FH49" t="str">
            <v/>
          </cell>
          <cell r="FI49" t="str">
            <v/>
          </cell>
          <cell r="FJ49" t="str">
            <v/>
          </cell>
          <cell r="FK49" t="str">
            <v/>
          </cell>
          <cell r="FL49" t="str">
            <v/>
          </cell>
          <cell r="FM49" t="str">
            <v/>
          </cell>
          <cell r="FN49" t="str">
            <v/>
          </cell>
          <cell r="FO49" t="str">
            <v/>
          </cell>
          <cell r="FP49" t="str">
            <v/>
          </cell>
          <cell r="FQ49" t="str">
            <v/>
          </cell>
          <cell r="FR49" t="str">
            <v/>
          </cell>
          <cell r="FS49" t="str">
            <v/>
          </cell>
          <cell r="FT49" t="str">
            <v/>
          </cell>
          <cell r="FU49" t="str">
            <v/>
          </cell>
          <cell r="FV49" t="str">
            <v/>
          </cell>
          <cell r="FW49" t="str">
            <v/>
          </cell>
          <cell r="FX49" t="str">
            <v/>
          </cell>
          <cell r="FY49" t="str">
            <v/>
          </cell>
          <cell r="FZ49" t="str">
            <v/>
          </cell>
          <cell r="GA49" t="str">
            <v/>
          </cell>
          <cell r="GB49" t="str">
            <v/>
          </cell>
          <cell r="GC49" t="str">
            <v/>
          </cell>
          <cell r="GD49" t="str">
            <v/>
          </cell>
          <cell r="GE49" t="str">
            <v/>
          </cell>
          <cell r="GF49" t="str">
            <v/>
          </cell>
          <cell r="GG49" t="str">
            <v/>
          </cell>
          <cell r="GH49" t="str">
            <v/>
          </cell>
          <cell r="GI49" t="str">
            <v/>
          </cell>
          <cell r="GJ49" t="str">
            <v/>
          </cell>
          <cell r="GK49" t="str">
            <v/>
          </cell>
          <cell r="GL49" t="str">
            <v/>
          </cell>
          <cell r="GM49" t="str">
            <v/>
          </cell>
          <cell r="GN49" t="str">
            <v/>
          </cell>
          <cell r="GO49" t="str">
            <v/>
          </cell>
          <cell r="GP49" t="str">
            <v/>
          </cell>
          <cell r="GQ49" t="str">
            <v/>
          </cell>
          <cell r="GR49" t="str">
            <v/>
          </cell>
          <cell r="GS49" t="str">
            <v/>
          </cell>
          <cell r="GT49" t="str">
            <v/>
          </cell>
          <cell r="GU49" t="str">
            <v/>
          </cell>
          <cell r="GV49" t="str">
            <v/>
          </cell>
          <cell r="GW49" t="str">
            <v/>
          </cell>
          <cell r="GX49" t="str">
            <v/>
          </cell>
          <cell r="GY49" t="str">
            <v/>
          </cell>
          <cell r="GZ49" t="str">
            <v/>
          </cell>
          <cell r="HA49" t="str">
            <v/>
          </cell>
          <cell r="HB49" t="str">
            <v/>
          </cell>
          <cell r="HC49" t="str">
            <v/>
          </cell>
          <cell r="HD49" t="str">
            <v/>
          </cell>
          <cell r="HE49" t="str">
            <v/>
          </cell>
          <cell r="HF49" t="str">
            <v/>
          </cell>
          <cell r="HG49" t="str">
            <v/>
          </cell>
          <cell r="HH49" t="str">
            <v/>
          </cell>
          <cell r="HI49" t="str">
            <v/>
          </cell>
          <cell r="HJ49" t="str">
            <v/>
          </cell>
          <cell r="HK49" t="str">
            <v/>
          </cell>
          <cell r="HL49" t="str">
            <v/>
          </cell>
          <cell r="HM49" t="str">
            <v/>
          </cell>
          <cell r="HN49" t="str">
            <v/>
          </cell>
          <cell r="HO49" t="str">
            <v/>
          </cell>
          <cell r="HP49" t="str">
            <v/>
          </cell>
          <cell r="HQ49" t="str">
            <v/>
          </cell>
          <cell r="HR49" t="str">
            <v/>
          </cell>
          <cell r="HS49" t="str">
            <v/>
          </cell>
          <cell r="HT49" t="str">
            <v/>
          </cell>
          <cell r="HU49" t="str">
            <v/>
          </cell>
          <cell r="HV49" t="str">
            <v/>
          </cell>
          <cell r="HW49" t="str">
            <v/>
          </cell>
          <cell r="HX49" t="str">
            <v/>
          </cell>
          <cell r="HY49" t="str">
            <v/>
          </cell>
          <cell r="HZ49" t="str">
            <v/>
          </cell>
          <cell r="IA49" t="str">
            <v/>
          </cell>
          <cell r="IB49" t="str">
            <v/>
          </cell>
          <cell r="IC49" t="str">
            <v/>
          </cell>
          <cell r="ID49" t="str">
            <v/>
          </cell>
          <cell r="IE49" t="str">
            <v/>
          </cell>
          <cell r="IF49" t="str">
            <v/>
          </cell>
          <cell r="IG49" t="str">
            <v/>
          </cell>
          <cell r="IH49" t="str">
            <v/>
          </cell>
          <cell r="II49" t="str">
            <v/>
          </cell>
          <cell r="IJ49" t="str">
            <v/>
          </cell>
          <cell r="IK49" t="str">
            <v/>
          </cell>
          <cell r="IL49" t="str">
            <v/>
          </cell>
          <cell r="IM49" t="str">
            <v/>
          </cell>
          <cell r="IN49" t="str">
            <v/>
          </cell>
          <cell r="IO49" t="str">
            <v/>
          </cell>
          <cell r="IP49" t="str">
            <v/>
          </cell>
          <cell r="IQ49" t="str">
            <v/>
          </cell>
          <cell r="IR49" t="str">
            <v/>
          </cell>
          <cell r="IS49" t="str">
            <v/>
          </cell>
          <cell r="IT49" t="str">
            <v/>
          </cell>
          <cell r="IU49" t="str">
            <v/>
          </cell>
          <cell r="IV49" t="str">
            <v/>
          </cell>
          <cell r="IW49" t="str">
            <v/>
          </cell>
          <cell r="IX49" t="str">
            <v/>
          </cell>
          <cell r="IY49" t="str">
            <v/>
          </cell>
          <cell r="IZ49" t="str">
            <v/>
          </cell>
          <cell r="JA49" t="str">
            <v/>
          </cell>
          <cell r="JB49" t="str">
            <v/>
          </cell>
          <cell r="JC49" t="str">
            <v/>
          </cell>
          <cell r="JD49" t="str">
            <v/>
          </cell>
          <cell r="JE49" t="str">
            <v/>
          </cell>
          <cell r="JF49" t="str">
            <v/>
          </cell>
          <cell r="JG49" t="str">
            <v/>
          </cell>
          <cell r="JH49" t="str">
            <v/>
          </cell>
          <cell r="JI49" t="str">
            <v/>
          </cell>
          <cell r="JJ49" t="str">
            <v/>
          </cell>
          <cell r="JK49" t="str">
            <v/>
          </cell>
          <cell r="JL49" t="str">
            <v/>
          </cell>
          <cell r="JM49" t="str">
            <v/>
          </cell>
          <cell r="JN49" t="str">
            <v/>
          </cell>
          <cell r="JO49" t="str">
            <v/>
          </cell>
          <cell r="JP49" t="str">
            <v/>
          </cell>
          <cell r="JQ49" t="str">
            <v/>
          </cell>
          <cell r="JR49" t="str">
            <v/>
          </cell>
          <cell r="JS49" t="str">
            <v/>
          </cell>
          <cell r="JT49" t="str">
            <v/>
          </cell>
          <cell r="JU49" t="str">
            <v/>
          </cell>
          <cell r="JV49" t="str">
            <v/>
          </cell>
          <cell r="JW49" t="str">
            <v/>
          </cell>
          <cell r="JX49" t="str">
            <v/>
          </cell>
          <cell r="JY49" t="str">
            <v/>
          </cell>
          <cell r="JZ49" t="str">
            <v/>
          </cell>
          <cell r="KA49" t="str">
            <v/>
          </cell>
          <cell r="KB49" t="str">
            <v/>
          </cell>
          <cell r="KC49" t="str">
            <v/>
          </cell>
          <cell r="KD49">
            <v>4</v>
          </cell>
          <cell r="KE49">
            <v>4</v>
          </cell>
          <cell r="KF49">
            <v>4</v>
          </cell>
          <cell r="KG49">
            <v>5</v>
          </cell>
          <cell r="KH49">
            <v>5</v>
          </cell>
          <cell r="KI49">
            <v>5</v>
          </cell>
          <cell r="KJ49">
            <v>0</v>
          </cell>
          <cell r="KM49">
            <v>0</v>
          </cell>
          <cell r="KP49">
            <v>0</v>
          </cell>
          <cell r="KS49">
            <v>0</v>
          </cell>
          <cell r="KV49">
            <v>0</v>
          </cell>
          <cell r="KY49">
            <v>0</v>
          </cell>
          <cell r="LB49">
            <v>0</v>
          </cell>
          <cell r="LE49">
            <v>0</v>
          </cell>
          <cell r="LH49">
            <v>0</v>
          </cell>
          <cell r="LK49">
            <v>0</v>
          </cell>
          <cell r="LO49">
            <v>45742</v>
          </cell>
          <cell r="LP49" t="str">
            <v>COMPLETADO</v>
          </cell>
        </row>
        <row r="50">
          <cell r="A50">
            <v>1649</v>
          </cell>
          <cell r="B50" t="str">
            <v>LUCIANO</v>
          </cell>
          <cell r="C50" t="str">
            <v>BARRACAS CHICA</v>
          </cell>
          <cell r="D50" t="str">
            <v>MARROQUINERIA GRANDE</v>
          </cell>
          <cell r="E50">
            <v>4</v>
          </cell>
          <cell r="F50">
            <v>4</v>
          </cell>
          <cell r="G50">
            <v>4</v>
          </cell>
          <cell r="H50">
            <v>45732.398622685185</v>
          </cell>
          <cell r="I50" t="str">
            <v>BANDOLERA CARLA</v>
          </cell>
          <cell r="J50">
            <v>45705</v>
          </cell>
          <cell r="K50">
            <v>45705</v>
          </cell>
          <cell r="M50">
            <v>35</v>
          </cell>
          <cell r="N50" t="str">
            <v>M002</v>
          </cell>
          <cell r="O50" t="str">
            <v>AV1001210101</v>
          </cell>
          <cell r="P50">
            <v>1</v>
          </cell>
          <cell r="Q50" t="str">
            <v>AV0401380101</v>
          </cell>
          <cell r="R50">
            <v>1</v>
          </cell>
          <cell r="S50" t="str">
            <v>AV0400400101</v>
          </cell>
          <cell r="T50">
            <v>1</v>
          </cell>
          <cell r="U50" t="str">
            <v>AV170129018</v>
          </cell>
          <cell r="V50">
            <v>0</v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>CORREA IDEM MUESTRA. EN EL LATERAL NO LLEVA REMACHES</v>
          </cell>
          <cell r="AT50" t="str">
            <v>LA CORREA DEBE SALIR DE ADENTRO DE LA VISTA INTERNA</v>
          </cell>
          <cell r="AU50" t="str">
            <v>CONSULTAR SI VA PINTADA O NO O</v>
          </cell>
          <cell r="AV50" t="str">
            <v>REVISAR TIEMPO</v>
          </cell>
          <cell r="AW50" t="str">
            <v>GRABADO "EL LUCERO" CHICO EN VISTA INTERNA CENTRADA</v>
          </cell>
          <cell r="AX50" t="str">
            <v>MALBEC</v>
          </cell>
          <cell r="AY50" t="str">
            <v>ARENA-CUERO BRIDGE</v>
          </cell>
          <cell r="AZ50" t="str">
            <v>CUE0000008</v>
          </cell>
          <cell r="BA50">
            <v>0.17</v>
          </cell>
          <cell r="BB50" t="str">
            <v>FOR0000020</v>
          </cell>
          <cell r="BC50">
            <v>0.04</v>
          </cell>
          <cell r="BD50" t="str">
            <v>AV1401240545</v>
          </cell>
          <cell r="BE50">
            <v>0</v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  <cell r="DW50" t="str">
            <v/>
          </cell>
          <cell r="DX50" t="str">
            <v/>
          </cell>
          <cell r="DY50" t="str">
            <v/>
          </cell>
          <cell r="DZ50" t="str">
            <v/>
          </cell>
          <cell r="EA50" t="str">
            <v/>
          </cell>
          <cell r="EB50" t="str">
            <v/>
          </cell>
          <cell r="EC50" t="str">
            <v/>
          </cell>
          <cell r="ED50" t="str">
            <v/>
          </cell>
          <cell r="EE50" t="str">
            <v/>
          </cell>
          <cell r="EF50" t="str">
            <v/>
          </cell>
          <cell r="EG50" t="str">
            <v/>
          </cell>
          <cell r="EH50" t="str">
            <v/>
          </cell>
          <cell r="EI50" t="str">
            <v/>
          </cell>
          <cell r="EJ50" t="str">
            <v/>
          </cell>
          <cell r="EK50" t="str">
            <v/>
          </cell>
          <cell r="EL50" t="str">
            <v/>
          </cell>
          <cell r="EM50" t="str">
            <v/>
          </cell>
          <cell r="EN50" t="str">
            <v/>
          </cell>
          <cell r="EO50" t="str">
            <v/>
          </cell>
          <cell r="EP50" t="str">
            <v/>
          </cell>
          <cell r="EQ50" t="str">
            <v/>
          </cell>
          <cell r="ER50" t="str">
            <v/>
          </cell>
          <cell r="ES50" t="str">
            <v/>
          </cell>
          <cell r="ET50" t="str">
            <v/>
          </cell>
          <cell r="EU50" t="str">
            <v/>
          </cell>
          <cell r="EV50" t="str">
            <v/>
          </cell>
          <cell r="EW50" t="str">
            <v/>
          </cell>
          <cell r="EX50" t="str">
            <v/>
          </cell>
          <cell r="EY50" t="str">
            <v/>
          </cell>
          <cell r="EZ50" t="str">
            <v/>
          </cell>
          <cell r="FA50" t="str">
            <v/>
          </cell>
          <cell r="FB50" t="str">
            <v/>
          </cell>
          <cell r="FC50" t="str">
            <v/>
          </cell>
          <cell r="FD50" t="str">
            <v/>
          </cell>
          <cell r="FE50" t="str">
            <v/>
          </cell>
          <cell r="FF50" t="str">
            <v/>
          </cell>
          <cell r="FG50" t="str">
            <v/>
          </cell>
          <cell r="FH50" t="str">
            <v/>
          </cell>
          <cell r="FI50" t="str">
            <v/>
          </cell>
          <cell r="FJ50" t="str">
            <v/>
          </cell>
          <cell r="FK50" t="str">
            <v/>
          </cell>
          <cell r="FL50" t="str">
            <v/>
          </cell>
          <cell r="FM50" t="str">
            <v/>
          </cell>
          <cell r="FN50" t="str">
            <v/>
          </cell>
          <cell r="FO50" t="str">
            <v/>
          </cell>
          <cell r="FP50" t="str">
            <v/>
          </cell>
          <cell r="FQ50" t="str">
            <v/>
          </cell>
          <cell r="FR50" t="str">
            <v/>
          </cell>
          <cell r="FS50" t="str">
            <v/>
          </cell>
          <cell r="FT50" t="str">
            <v/>
          </cell>
          <cell r="FU50" t="str">
            <v/>
          </cell>
          <cell r="FV50" t="str">
            <v/>
          </cell>
          <cell r="FW50" t="str">
            <v/>
          </cell>
          <cell r="FX50" t="str">
            <v/>
          </cell>
          <cell r="FY50" t="str">
            <v/>
          </cell>
          <cell r="FZ50" t="str">
            <v/>
          </cell>
          <cell r="GA50" t="str">
            <v/>
          </cell>
          <cell r="GB50" t="str">
            <v/>
          </cell>
          <cell r="GC50" t="str">
            <v/>
          </cell>
          <cell r="GD50" t="str">
            <v/>
          </cell>
          <cell r="GE50" t="str">
            <v/>
          </cell>
          <cell r="GF50" t="str">
            <v/>
          </cell>
          <cell r="GG50" t="str">
            <v/>
          </cell>
          <cell r="GH50" t="str">
            <v/>
          </cell>
          <cell r="GI50" t="str">
            <v/>
          </cell>
          <cell r="GJ50" t="str">
            <v/>
          </cell>
          <cell r="GK50" t="str">
            <v/>
          </cell>
          <cell r="GL50" t="str">
            <v/>
          </cell>
          <cell r="GM50" t="str">
            <v/>
          </cell>
          <cell r="GN50" t="str">
            <v/>
          </cell>
          <cell r="GO50" t="str">
            <v/>
          </cell>
          <cell r="GP50" t="str">
            <v/>
          </cell>
          <cell r="GQ50" t="str">
            <v/>
          </cell>
          <cell r="GR50" t="str">
            <v/>
          </cell>
          <cell r="GS50" t="str">
            <v/>
          </cell>
          <cell r="GT50" t="str">
            <v/>
          </cell>
          <cell r="GU50" t="str">
            <v/>
          </cell>
          <cell r="GV50" t="str">
            <v/>
          </cell>
          <cell r="GW50" t="str">
            <v/>
          </cell>
          <cell r="GX50" t="str">
            <v/>
          </cell>
          <cell r="GY50" t="str">
            <v/>
          </cell>
          <cell r="GZ50" t="str">
            <v/>
          </cell>
          <cell r="HA50" t="str">
            <v/>
          </cell>
          <cell r="HB50" t="str">
            <v/>
          </cell>
          <cell r="HC50" t="str">
            <v/>
          </cell>
          <cell r="HD50" t="str">
            <v/>
          </cell>
          <cell r="HE50" t="str">
            <v/>
          </cell>
          <cell r="HF50" t="str">
            <v/>
          </cell>
          <cell r="HG50" t="str">
            <v/>
          </cell>
          <cell r="HH50" t="str">
            <v/>
          </cell>
          <cell r="HI50" t="str">
            <v/>
          </cell>
          <cell r="HJ50" t="str">
            <v/>
          </cell>
          <cell r="HK50" t="str">
            <v/>
          </cell>
          <cell r="HL50" t="str">
            <v/>
          </cell>
          <cell r="HM50" t="str">
            <v/>
          </cell>
          <cell r="HN50" t="str">
            <v/>
          </cell>
          <cell r="HO50" t="str">
            <v/>
          </cell>
          <cell r="HP50" t="str">
            <v/>
          </cell>
          <cell r="HQ50" t="str">
            <v/>
          </cell>
          <cell r="HR50" t="str">
            <v/>
          </cell>
          <cell r="HS50" t="str">
            <v/>
          </cell>
          <cell r="HT50" t="str">
            <v/>
          </cell>
          <cell r="HU50" t="str">
            <v/>
          </cell>
          <cell r="HV50" t="str">
            <v/>
          </cell>
          <cell r="HW50" t="str">
            <v/>
          </cell>
          <cell r="HX50" t="str">
            <v/>
          </cell>
          <cell r="HY50" t="str">
            <v/>
          </cell>
          <cell r="HZ50" t="str">
            <v/>
          </cell>
          <cell r="IA50" t="str">
            <v/>
          </cell>
          <cell r="IB50" t="str">
            <v/>
          </cell>
          <cell r="IC50" t="str">
            <v/>
          </cell>
          <cell r="ID50" t="str">
            <v/>
          </cell>
          <cell r="IE50" t="str">
            <v/>
          </cell>
          <cell r="IF50" t="str">
            <v/>
          </cell>
          <cell r="IG50" t="str">
            <v/>
          </cell>
          <cell r="IH50" t="str">
            <v/>
          </cell>
          <cell r="II50" t="str">
            <v/>
          </cell>
          <cell r="IJ50" t="str">
            <v/>
          </cell>
          <cell r="IK50" t="str">
            <v/>
          </cell>
          <cell r="IL50" t="str">
            <v/>
          </cell>
          <cell r="IM50" t="str">
            <v/>
          </cell>
          <cell r="IN50" t="str">
            <v/>
          </cell>
          <cell r="IO50" t="str">
            <v/>
          </cell>
          <cell r="IP50" t="str">
            <v/>
          </cell>
          <cell r="IQ50" t="str">
            <v/>
          </cell>
          <cell r="IR50" t="str">
            <v/>
          </cell>
          <cell r="IS50" t="str">
            <v/>
          </cell>
          <cell r="IT50" t="str">
            <v/>
          </cell>
          <cell r="IU50" t="str">
            <v/>
          </cell>
          <cell r="IV50" t="str">
            <v/>
          </cell>
          <cell r="IW50" t="str">
            <v/>
          </cell>
          <cell r="IX50" t="str">
            <v/>
          </cell>
          <cell r="IY50" t="str">
            <v/>
          </cell>
          <cell r="IZ50" t="str">
            <v/>
          </cell>
          <cell r="JA50" t="str">
            <v/>
          </cell>
          <cell r="JB50" t="str">
            <v/>
          </cell>
          <cell r="JC50" t="str">
            <v/>
          </cell>
          <cell r="JD50" t="str">
            <v/>
          </cell>
          <cell r="JE50" t="str">
            <v/>
          </cell>
          <cell r="JF50" t="str">
            <v/>
          </cell>
          <cell r="JG50" t="str">
            <v/>
          </cell>
          <cell r="JH50" t="str">
            <v/>
          </cell>
          <cell r="JI50" t="str">
            <v/>
          </cell>
          <cell r="JJ50" t="str">
            <v/>
          </cell>
          <cell r="JK50" t="str">
            <v/>
          </cell>
          <cell r="JL50" t="str">
            <v/>
          </cell>
          <cell r="JM50" t="str">
            <v/>
          </cell>
          <cell r="JN50" t="str">
            <v/>
          </cell>
          <cell r="JO50" t="str">
            <v/>
          </cell>
          <cell r="JP50" t="str">
            <v/>
          </cell>
          <cell r="JQ50" t="str">
            <v/>
          </cell>
          <cell r="JR50" t="str">
            <v/>
          </cell>
          <cell r="JS50" t="str">
            <v/>
          </cell>
          <cell r="JT50" t="str">
            <v/>
          </cell>
          <cell r="JU50" t="str">
            <v/>
          </cell>
          <cell r="JV50" t="str">
            <v/>
          </cell>
          <cell r="JW50" t="str">
            <v/>
          </cell>
          <cell r="JX50" t="str">
            <v/>
          </cell>
          <cell r="JY50" t="str">
            <v/>
          </cell>
          <cell r="JZ50" t="str">
            <v/>
          </cell>
          <cell r="KA50" t="str">
            <v/>
          </cell>
          <cell r="KB50" t="str">
            <v/>
          </cell>
          <cell r="KC50" t="str">
            <v/>
          </cell>
          <cell r="KD50">
            <v>4</v>
          </cell>
          <cell r="KE50">
            <v>4</v>
          </cell>
          <cell r="KF50">
            <v>4</v>
          </cell>
          <cell r="KG50">
            <v>0</v>
          </cell>
          <cell r="KJ50">
            <v>0</v>
          </cell>
          <cell r="KM50">
            <v>0</v>
          </cell>
          <cell r="KP50">
            <v>0</v>
          </cell>
          <cell r="KS50">
            <v>0</v>
          </cell>
          <cell r="KV50">
            <v>0</v>
          </cell>
          <cell r="KY50">
            <v>0</v>
          </cell>
          <cell r="LB50">
            <v>0</v>
          </cell>
          <cell r="LE50">
            <v>0</v>
          </cell>
          <cell r="LH50">
            <v>0</v>
          </cell>
          <cell r="LK50">
            <v>0</v>
          </cell>
          <cell r="LO50">
            <v>45783</v>
          </cell>
          <cell r="LP50" t="str">
            <v>COMPLETADO</v>
          </cell>
        </row>
        <row r="51">
          <cell r="A51">
            <v>1650</v>
          </cell>
          <cell r="B51" t="str">
            <v>RUBEN</v>
          </cell>
          <cell r="C51" t="str">
            <v>BARRACAS GRANDE</v>
          </cell>
          <cell r="D51" t="str">
            <v>MARROQUINERIA GRANDE</v>
          </cell>
          <cell r="E51">
            <v>7</v>
          </cell>
          <cell r="F51">
            <v>7</v>
          </cell>
          <cell r="G51">
            <v>7</v>
          </cell>
          <cell r="H51">
            <v>45732.406678240739</v>
          </cell>
          <cell r="I51" t="str">
            <v>BANDOLERA CASIOPEA</v>
          </cell>
          <cell r="J51">
            <v>45715</v>
          </cell>
          <cell r="K51">
            <v>45715</v>
          </cell>
          <cell r="M51">
            <v>45</v>
          </cell>
          <cell r="N51" t="str">
            <v>M003</v>
          </cell>
          <cell r="O51" t="str">
            <v>AV0300400101</v>
          </cell>
          <cell r="P51">
            <v>3</v>
          </cell>
          <cell r="Q51" t="str">
            <v>AV0101030201</v>
          </cell>
          <cell r="R51">
            <v>1</v>
          </cell>
          <cell r="S51" t="str">
            <v>AV0400770101</v>
          </cell>
          <cell r="T51">
            <v>2</v>
          </cell>
          <cell r="U51" t="str">
            <v>AV1001210101</v>
          </cell>
          <cell r="V51">
            <v>1</v>
          </cell>
          <cell r="W51" t="str">
            <v>AV0300390101</v>
          </cell>
          <cell r="X51">
            <v>1</v>
          </cell>
          <cell r="Y51" t="str">
            <v>AV0700650101</v>
          </cell>
          <cell r="Z51">
            <v>1</v>
          </cell>
          <cell r="AA51" t="str">
            <v>AV0300440101</v>
          </cell>
          <cell r="AB51">
            <v>1</v>
          </cell>
          <cell r="AC51" t="str">
            <v>AV0101040201</v>
          </cell>
          <cell r="AD51">
            <v>1</v>
          </cell>
          <cell r="AE51" t="str">
            <v>AV0600540101</v>
          </cell>
          <cell r="AF51">
            <v>1</v>
          </cell>
          <cell r="AG51" t="str">
            <v>AV170129018</v>
          </cell>
          <cell r="AH51">
            <v>0</v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>TIRACIERRE EXTERNO EL LUCERO / TIRACIERRE INTERNO N1: TIRA CON REMACHE</v>
          </cell>
          <cell r="AT51" t="str">
            <v/>
          </cell>
          <cell r="AU51" t="str">
            <v/>
          </cell>
          <cell r="AV51" t="str">
            <v/>
          </cell>
          <cell r="AW51" t="str">
            <v xml:space="preserve">GRABADO "EL LUCERO GRANDE" EN EL FRENTE DE LA SOLAPA, CENTRADA A 2CM DEL CIERRE </v>
          </cell>
          <cell r="AX51" t="str">
            <v>AZUL_REVES_AZUL</v>
          </cell>
          <cell r="AY51" t="str">
            <v>BIANCO-CUERO MODENA ESPESOR 1,8</v>
          </cell>
          <cell r="AZ51" t="str">
            <v>CUE0000156</v>
          </cell>
          <cell r="BA51">
            <v>0.22</v>
          </cell>
          <cell r="BB51" t="str">
            <v>FOR0000020</v>
          </cell>
          <cell r="BC51">
            <v>0.18</v>
          </cell>
          <cell r="BD51" t="str">
            <v>AV0100010215</v>
          </cell>
          <cell r="BE51">
            <v>0.38</v>
          </cell>
          <cell r="BF51" t="str">
            <v>AV1401244340</v>
          </cell>
          <cell r="BG51">
            <v>0</v>
          </cell>
          <cell r="BH51" t="str">
            <v>AV1601300956</v>
          </cell>
          <cell r="BI51">
            <v>0</v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>SUELA</v>
          </cell>
          <cell r="BS51" t="str">
            <v>ARENA-CUERO NAPADO</v>
          </cell>
          <cell r="BT51" t="str">
            <v>CUE0000028</v>
          </cell>
          <cell r="BU51">
            <v>0.22</v>
          </cell>
          <cell r="BV51" t="str">
            <v>FOR0000021</v>
          </cell>
          <cell r="BW51">
            <v>0.18</v>
          </cell>
          <cell r="BX51" t="str">
            <v>AV0100010207</v>
          </cell>
          <cell r="BY51">
            <v>0.38</v>
          </cell>
          <cell r="BZ51" t="str">
            <v>AV1401240545</v>
          </cell>
          <cell r="CA51">
            <v>0</v>
          </cell>
          <cell r="CB51" t="str">
            <v>AV1601300955</v>
          </cell>
          <cell r="CC51">
            <v>0</v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>ROJO</v>
          </cell>
          <cell r="CM51" t="str">
            <v>ARENA-CUERO NAPADO</v>
          </cell>
          <cell r="CN51" t="str">
            <v>CUE0000027</v>
          </cell>
          <cell r="CO51">
            <v>0.22</v>
          </cell>
          <cell r="CP51" t="str">
            <v>FOR0000020</v>
          </cell>
          <cell r="CQ51">
            <v>0.18</v>
          </cell>
          <cell r="CR51" t="str">
            <v>AV0100010213</v>
          </cell>
          <cell r="CS51">
            <v>0.38</v>
          </cell>
          <cell r="CT51" t="str">
            <v>AV1401244440</v>
          </cell>
          <cell r="CU51">
            <v>0</v>
          </cell>
          <cell r="CV51" t="str">
            <v>AV1601300929</v>
          </cell>
          <cell r="CW51">
            <v>0</v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  <cell r="DW51" t="str">
            <v/>
          </cell>
          <cell r="DX51" t="str">
            <v/>
          </cell>
          <cell r="DY51" t="str">
            <v/>
          </cell>
          <cell r="DZ51" t="str">
            <v/>
          </cell>
          <cell r="EA51" t="str">
            <v/>
          </cell>
          <cell r="EB51" t="str">
            <v/>
          </cell>
          <cell r="EC51" t="str">
            <v/>
          </cell>
          <cell r="ED51" t="str">
            <v/>
          </cell>
          <cell r="EE51" t="str">
            <v/>
          </cell>
          <cell r="EF51" t="str">
            <v/>
          </cell>
          <cell r="EG51" t="str">
            <v/>
          </cell>
          <cell r="EH51" t="str">
            <v/>
          </cell>
          <cell r="EI51" t="str">
            <v/>
          </cell>
          <cell r="EJ51" t="str">
            <v/>
          </cell>
          <cell r="EK51" t="str">
            <v/>
          </cell>
          <cell r="EL51" t="str">
            <v/>
          </cell>
          <cell r="EM51" t="str">
            <v/>
          </cell>
          <cell r="EN51" t="str">
            <v/>
          </cell>
          <cell r="EO51" t="str">
            <v/>
          </cell>
          <cell r="EP51" t="str">
            <v/>
          </cell>
          <cell r="EQ51" t="str">
            <v/>
          </cell>
          <cell r="ER51" t="str">
            <v/>
          </cell>
          <cell r="ES51" t="str">
            <v/>
          </cell>
          <cell r="ET51" t="str">
            <v/>
          </cell>
          <cell r="EU51" t="str">
            <v/>
          </cell>
          <cell r="EV51" t="str">
            <v/>
          </cell>
          <cell r="EW51" t="str">
            <v/>
          </cell>
          <cell r="EX51" t="str">
            <v/>
          </cell>
          <cell r="EY51" t="str">
            <v/>
          </cell>
          <cell r="EZ51" t="str">
            <v/>
          </cell>
          <cell r="FA51" t="str">
            <v/>
          </cell>
          <cell r="FB51" t="str">
            <v/>
          </cell>
          <cell r="FC51" t="str">
            <v/>
          </cell>
          <cell r="FD51" t="str">
            <v/>
          </cell>
          <cell r="FE51" t="str">
            <v/>
          </cell>
          <cell r="FF51" t="str">
            <v/>
          </cell>
          <cell r="FG51" t="str">
            <v/>
          </cell>
          <cell r="FH51" t="str">
            <v/>
          </cell>
          <cell r="FI51" t="str">
            <v/>
          </cell>
          <cell r="FJ51" t="str">
            <v/>
          </cell>
          <cell r="FK51" t="str">
            <v/>
          </cell>
          <cell r="FL51" t="str">
            <v/>
          </cell>
          <cell r="FM51" t="str">
            <v/>
          </cell>
          <cell r="FN51" t="str">
            <v/>
          </cell>
          <cell r="FO51" t="str">
            <v/>
          </cell>
          <cell r="FP51" t="str">
            <v/>
          </cell>
          <cell r="FQ51" t="str">
            <v/>
          </cell>
          <cell r="FR51" t="str">
            <v/>
          </cell>
          <cell r="FS51" t="str">
            <v/>
          </cell>
          <cell r="FT51" t="str">
            <v/>
          </cell>
          <cell r="FU51" t="str">
            <v/>
          </cell>
          <cell r="FV51" t="str">
            <v/>
          </cell>
          <cell r="FW51" t="str">
            <v/>
          </cell>
          <cell r="FX51" t="str">
            <v/>
          </cell>
          <cell r="FY51" t="str">
            <v/>
          </cell>
          <cell r="FZ51" t="str">
            <v/>
          </cell>
          <cell r="GA51" t="str">
            <v/>
          </cell>
          <cell r="GB51" t="str">
            <v/>
          </cell>
          <cell r="GC51" t="str">
            <v/>
          </cell>
          <cell r="GD51" t="str">
            <v/>
          </cell>
          <cell r="GE51" t="str">
            <v/>
          </cell>
          <cell r="GF51" t="str">
            <v/>
          </cell>
          <cell r="GG51" t="str">
            <v/>
          </cell>
          <cell r="GH51" t="str">
            <v/>
          </cell>
          <cell r="GI51" t="str">
            <v/>
          </cell>
          <cell r="GJ51" t="str">
            <v/>
          </cell>
          <cell r="GK51" t="str">
            <v/>
          </cell>
          <cell r="GL51" t="str">
            <v/>
          </cell>
          <cell r="GM51" t="str">
            <v/>
          </cell>
          <cell r="GN51" t="str">
            <v/>
          </cell>
          <cell r="GO51" t="str">
            <v/>
          </cell>
          <cell r="GP51" t="str">
            <v/>
          </cell>
          <cell r="GQ51" t="str">
            <v/>
          </cell>
          <cell r="GR51" t="str">
            <v/>
          </cell>
          <cell r="GS51" t="str">
            <v/>
          </cell>
          <cell r="GT51" t="str">
            <v/>
          </cell>
          <cell r="GU51" t="str">
            <v/>
          </cell>
          <cell r="GV51" t="str">
            <v/>
          </cell>
          <cell r="GW51" t="str">
            <v/>
          </cell>
          <cell r="GX51" t="str">
            <v/>
          </cell>
          <cell r="GY51" t="str">
            <v/>
          </cell>
          <cell r="GZ51" t="str">
            <v/>
          </cell>
          <cell r="HA51" t="str">
            <v/>
          </cell>
          <cell r="HB51" t="str">
            <v/>
          </cell>
          <cell r="HC51" t="str">
            <v/>
          </cell>
          <cell r="HD51" t="str">
            <v/>
          </cell>
          <cell r="HE51" t="str">
            <v/>
          </cell>
          <cell r="HF51" t="str">
            <v/>
          </cell>
          <cell r="HG51" t="str">
            <v/>
          </cell>
          <cell r="HH51" t="str">
            <v/>
          </cell>
          <cell r="HI51" t="str">
            <v/>
          </cell>
          <cell r="HJ51" t="str">
            <v/>
          </cell>
          <cell r="HK51" t="str">
            <v/>
          </cell>
          <cell r="HL51" t="str">
            <v/>
          </cell>
          <cell r="HM51" t="str">
            <v/>
          </cell>
          <cell r="HN51" t="str">
            <v/>
          </cell>
          <cell r="HO51" t="str">
            <v/>
          </cell>
          <cell r="HP51" t="str">
            <v/>
          </cell>
          <cell r="HQ51" t="str">
            <v/>
          </cell>
          <cell r="HR51" t="str">
            <v/>
          </cell>
          <cell r="HS51" t="str">
            <v/>
          </cell>
          <cell r="HT51" t="str">
            <v/>
          </cell>
          <cell r="HU51" t="str">
            <v/>
          </cell>
          <cell r="HV51" t="str">
            <v/>
          </cell>
          <cell r="HW51" t="str">
            <v/>
          </cell>
          <cell r="HX51" t="str">
            <v/>
          </cell>
          <cell r="HY51" t="str">
            <v/>
          </cell>
          <cell r="HZ51" t="str">
            <v/>
          </cell>
          <cell r="IA51" t="str">
            <v/>
          </cell>
          <cell r="IB51" t="str">
            <v/>
          </cell>
          <cell r="IC51" t="str">
            <v/>
          </cell>
          <cell r="ID51" t="str">
            <v/>
          </cell>
          <cell r="IE51" t="str">
            <v/>
          </cell>
          <cell r="IF51" t="str">
            <v/>
          </cell>
          <cell r="IG51" t="str">
            <v/>
          </cell>
          <cell r="IH51" t="str">
            <v/>
          </cell>
          <cell r="II51" t="str">
            <v/>
          </cell>
          <cell r="IJ51" t="str">
            <v/>
          </cell>
          <cell r="IK51" t="str">
            <v/>
          </cell>
          <cell r="IL51" t="str">
            <v/>
          </cell>
          <cell r="IM51" t="str">
            <v/>
          </cell>
          <cell r="IN51" t="str">
            <v/>
          </cell>
          <cell r="IO51" t="str">
            <v/>
          </cell>
          <cell r="IP51" t="str">
            <v/>
          </cell>
          <cell r="IQ51" t="str">
            <v/>
          </cell>
          <cell r="IR51" t="str">
            <v/>
          </cell>
          <cell r="IS51" t="str">
            <v/>
          </cell>
          <cell r="IT51" t="str">
            <v/>
          </cell>
          <cell r="IU51" t="str">
            <v/>
          </cell>
          <cell r="IV51" t="str">
            <v/>
          </cell>
          <cell r="IW51" t="str">
            <v/>
          </cell>
          <cell r="IX51" t="str">
            <v/>
          </cell>
          <cell r="IY51" t="str">
            <v/>
          </cell>
          <cell r="IZ51" t="str">
            <v/>
          </cell>
          <cell r="JA51" t="str">
            <v/>
          </cell>
          <cell r="JB51" t="str">
            <v/>
          </cell>
          <cell r="JC51" t="str">
            <v/>
          </cell>
          <cell r="JD51" t="str">
            <v/>
          </cell>
          <cell r="JE51" t="str">
            <v/>
          </cell>
          <cell r="JF51" t="str">
            <v/>
          </cell>
          <cell r="JG51" t="str">
            <v/>
          </cell>
          <cell r="JH51" t="str">
            <v/>
          </cell>
          <cell r="JI51" t="str">
            <v/>
          </cell>
          <cell r="JJ51" t="str">
            <v/>
          </cell>
          <cell r="JK51" t="str">
            <v/>
          </cell>
          <cell r="JL51" t="str">
            <v/>
          </cell>
          <cell r="JM51" t="str">
            <v/>
          </cell>
          <cell r="JN51" t="str">
            <v/>
          </cell>
          <cell r="JO51" t="str">
            <v/>
          </cell>
          <cell r="JP51" t="str">
            <v/>
          </cell>
          <cell r="JQ51" t="str">
            <v/>
          </cell>
          <cell r="JR51" t="str">
            <v/>
          </cell>
          <cell r="JS51" t="str">
            <v/>
          </cell>
          <cell r="JT51" t="str">
            <v/>
          </cell>
          <cell r="JU51" t="str">
            <v/>
          </cell>
          <cell r="JV51" t="str">
            <v/>
          </cell>
          <cell r="JW51" t="str">
            <v/>
          </cell>
          <cell r="JX51" t="str">
            <v/>
          </cell>
          <cell r="JY51" t="str">
            <v/>
          </cell>
          <cell r="JZ51" t="str">
            <v/>
          </cell>
          <cell r="KA51" t="str">
            <v/>
          </cell>
          <cell r="KB51" t="str">
            <v/>
          </cell>
          <cell r="KC51" t="str">
            <v/>
          </cell>
          <cell r="KD51">
            <v>3</v>
          </cell>
          <cell r="KE51">
            <v>3</v>
          </cell>
          <cell r="KF51">
            <v>3</v>
          </cell>
          <cell r="KG51">
            <v>2</v>
          </cell>
          <cell r="KH51">
            <v>2</v>
          </cell>
          <cell r="KI51">
            <v>2</v>
          </cell>
          <cell r="KJ51">
            <v>2</v>
          </cell>
          <cell r="KK51">
            <v>2</v>
          </cell>
          <cell r="KL51">
            <v>2</v>
          </cell>
          <cell r="KM51">
            <v>0</v>
          </cell>
          <cell r="KP51">
            <v>0</v>
          </cell>
          <cell r="KS51">
            <v>0</v>
          </cell>
          <cell r="KV51">
            <v>0</v>
          </cell>
          <cell r="KY51">
            <v>0</v>
          </cell>
          <cell r="LB51">
            <v>0</v>
          </cell>
          <cell r="LE51">
            <v>0</v>
          </cell>
          <cell r="LH51">
            <v>0</v>
          </cell>
          <cell r="LK51">
            <v>0</v>
          </cell>
          <cell r="LO51">
            <v>45742</v>
          </cell>
          <cell r="LP51" t="str">
            <v>COMPLETADO</v>
          </cell>
        </row>
        <row r="52">
          <cell r="A52">
            <v>1651</v>
          </cell>
          <cell r="B52" t="str">
            <v>RUBEN</v>
          </cell>
          <cell r="C52" t="str">
            <v>BARRACAS GRANDE</v>
          </cell>
          <cell r="D52" t="str">
            <v>MARROQUINERIA GRANDE</v>
          </cell>
          <cell r="E52">
            <v>3</v>
          </cell>
          <cell r="F52">
            <v>3</v>
          </cell>
          <cell r="G52">
            <v>3</v>
          </cell>
          <cell r="H52">
            <v>45732.410995370374</v>
          </cell>
          <cell r="I52" t="str">
            <v>BANDOLERA LENA</v>
          </cell>
          <cell r="J52">
            <v>45705</v>
          </cell>
          <cell r="K52">
            <v>45705</v>
          </cell>
          <cell r="M52">
            <v>50</v>
          </cell>
          <cell r="N52" t="str">
            <v>M004</v>
          </cell>
          <cell r="O52" t="str">
            <v>AV0101070301</v>
          </cell>
          <cell r="P52">
            <v>1</v>
          </cell>
          <cell r="Q52" t="str">
            <v>AV0600560101</v>
          </cell>
          <cell r="R52">
            <v>1</v>
          </cell>
          <cell r="S52" t="str">
            <v>AV1000880101</v>
          </cell>
          <cell r="T52">
            <v>1</v>
          </cell>
          <cell r="U52" t="str">
            <v>AV0300400101</v>
          </cell>
          <cell r="V52">
            <v>3</v>
          </cell>
          <cell r="W52" t="str">
            <v>AV0600570101</v>
          </cell>
          <cell r="X52">
            <v>2</v>
          </cell>
          <cell r="Y52" t="str">
            <v>AV1000780101</v>
          </cell>
          <cell r="Z52">
            <v>2</v>
          </cell>
          <cell r="AA52" t="str">
            <v>AV0300460101</v>
          </cell>
          <cell r="AB52">
            <v>2</v>
          </cell>
          <cell r="AC52" t="str">
            <v>BAC1300020827</v>
          </cell>
          <cell r="AD52">
            <v>0.05</v>
          </cell>
          <cell r="AE52" t="str">
            <v>AV0300390101</v>
          </cell>
          <cell r="AF52">
            <v>1</v>
          </cell>
          <cell r="AG52" t="str">
            <v>AV0101040201</v>
          </cell>
          <cell r="AH52">
            <v>1</v>
          </cell>
          <cell r="AI52" t="str">
            <v>AV170129018</v>
          </cell>
          <cell r="AJ52">
            <v>0</v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>TIRACIERRE CON TIRA DE CUERO Y GRABADO L* LUCERO</v>
          </cell>
          <cell r="AT52" t="str">
            <v/>
          </cell>
          <cell r="AU52" t="str">
            <v/>
          </cell>
          <cell r="AV52" t="str">
            <v/>
          </cell>
          <cell r="AW52" t="str">
            <v xml:space="preserve">GRABADO "EL LUCERO" CHICO EN LA VISTA DEL CIERRE, EN EL FRENTE CENTRADO. </v>
          </cell>
          <cell r="AX52" t="str">
            <v>CARAMELO</v>
          </cell>
          <cell r="AY52" t="str">
            <v>ARENA-CUERO NAPADO</v>
          </cell>
          <cell r="AZ52" t="str">
            <v>CUE0000022</v>
          </cell>
          <cell r="BA52">
            <v>0.4</v>
          </cell>
          <cell r="BB52" t="str">
            <v>FOR0000021</v>
          </cell>
          <cell r="BC52">
            <v>0.45</v>
          </cell>
          <cell r="BD52" t="str">
            <v>AV0100010105</v>
          </cell>
          <cell r="BE52">
            <v>0.32</v>
          </cell>
          <cell r="BF52" t="str">
            <v>AV0100020305</v>
          </cell>
          <cell r="BG52">
            <v>0.16</v>
          </cell>
          <cell r="BH52" t="str">
            <v>AV1401240545</v>
          </cell>
          <cell r="BI52">
            <v>0</v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>MALBEC</v>
          </cell>
          <cell r="BS52" t="str">
            <v>ARENA-CUERO NAPADO</v>
          </cell>
          <cell r="BT52" t="str">
            <v>CUE0000025</v>
          </cell>
          <cell r="BU52">
            <v>0.4</v>
          </cell>
          <cell r="BV52" t="str">
            <v>FOR0000020</v>
          </cell>
          <cell r="BW52">
            <v>0.45</v>
          </cell>
          <cell r="BX52" t="str">
            <v>AV0100010161</v>
          </cell>
          <cell r="BY52">
            <v>0.32</v>
          </cell>
          <cell r="BZ52" t="str">
            <v>CIE0000003</v>
          </cell>
          <cell r="CA52">
            <v>0.16</v>
          </cell>
          <cell r="CB52" t="str">
            <v>AV1401240545</v>
          </cell>
          <cell r="CC52">
            <v>0</v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  <cell r="DW52" t="str">
            <v/>
          </cell>
          <cell r="DX52" t="str">
            <v/>
          </cell>
          <cell r="DY52" t="str">
            <v/>
          </cell>
          <cell r="DZ52" t="str">
            <v/>
          </cell>
          <cell r="EA52" t="str">
            <v/>
          </cell>
          <cell r="EB52" t="str">
            <v/>
          </cell>
          <cell r="EC52" t="str">
            <v/>
          </cell>
          <cell r="ED52" t="str">
            <v/>
          </cell>
          <cell r="EE52" t="str">
            <v/>
          </cell>
          <cell r="EF52" t="str">
            <v/>
          </cell>
          <cell r="EG52" t="str">
            <v/>
          </cell>
          <cell r="EH52" t="str">
            <v/>
          </cell>
          <cell r="EI52" t="str">
            <v/>
          </cell>
          <cell r="EJ52" t="str">
            <v/>
          </cell>
          <cell r="EK52" t="str">
            <v/>
          </cell>
          <cell r="EL52" t="str">
            <v/>
          </cell>
          <cell r="EM52" t="str">
            <v/>
          </cell>
          <cell r="EN52" t="str">
            <v/>
          </cell>
          <cell r="EO52" t="str">
            <v/>
          </cell>
          <cell r="EP52" t="str">
            <v/>
          </cell>
          <cell r="EQ52" t="str">
            <v/>
          </cell>
          <cell r="ER52" t="str">
            <v/>
          </cell>
          <cell r="ES52" t="str">
            <v/>
          </cell>
          <cell r="ET52" t="str">
            <v/>
          </cell>
          <cell r="EU52" t="str">
            <v/>
          </cell>
          <cell r="EV52" t="str">
            <v/>
          </cell>
          <cell r="EW52" t="str">
            <v/>
          </cell>
          <cell r="EX52" t="str">
            <v/>
          </cell>
          <cell r="EY52" t="str">
            <v/>
          </cell>
          <cell r="EZ52" t="str">
            <v/>
          </cell>
          <cell r="FA52" t="str">
            <v/>
          </cell>
          <cell r="FB52" t="str">
            <v/>
          </cell>
          <cell r="FC52" t="str">
            <v/>
          </cell>
          <cell r="FD52" t="str">
            <v/>
          </cell>
          <cell r="FE52" t="str">
            <v/>
          </cell>
          <cell r="FF52" t="str">
            <v/>
          </cell>
          <cell r="FG52" t="str">
            <v/>
          </cell>
          <cell r="FH52" t="str">
            <v/>
          </cell>
          <cell r="FI52" t="str">
            <v/>
          </cell>
          <cell r="FJ52" t="str">
            <v/>
          </cell>
          <cell r="FK52" t="str">
            <v/>
          </cell>
          <cell r="FL52" t="str">
            <v/>
          </cell>
          <cell r="FM52" t="str">
            <v/>
          </cell>
          <cell r="FN52" t="str">
            <v/>
          </cell>
          <cell r="FO52" t="str">
            <v/>
          </cell>
          <cell r="FP52" t="str">
            <v/>
          </cell>
          <cell r="FQ52" t="str">
            <v/>
          </cell>
          <cell r="FR52" t="str">
            <v/>
          </cell>
          <cell r="FS52" t="str">
            <v/>
          </cell>
          <cell r="FT52" t="str">
            <v/>
          </cell>
          <cell r="FU52" t="str">
            <v/>
          </cell>
          <cell r="FV52" t="str">
            <v/>
          </cell>
          <cell r="FW52" t="str">
            <v/>
          </cell>
          <cell r="FX52" t="str">
            <v/>
          </cell>
          <cell r="FY52" t="str">
            <v/>
          </cell>
          <cell r="FZ52" t="str">
            <v/>
          </cell>
          <cell r="GA52" t="str">
            <v/>
          </cell>
          <cell r="GB52" t="str">
            <v/>
          </cell>
          <cell r="GC52" t="str">
            <v/>
          </cell>
          <cell r="GD52" t="str">
            <v/>
          </cell>
          <cell r="GE52" t="str">
            <v/>
          </cell>
          <cell r="GF52" t="str">
            <v/>
          </cell>
          <cell r="GG52" t="str">
            <v/>
          </cell>
          <cell r="GH52" t="str">
            <v/>
          </cell>
          <cell r="GI52" t="str">
            <v/>
          </cell>
          <cell r="GJ52" t="str">
            <v/>
          </cell>
          <cell r="GK52" t="str">
            <v/>
          </cell>
          <cell r="GL52" t="str">
            <v/>
          </cell>
          <cell r="GM52" t="str">
            <v/>
          </cell>
          <cell r="GN52" t="str">
            <v/>
          </cell>
          <cell r="GO52" t="str">
            <v/>
          </cell>
          <cell r="GP52" t="str">
            <v/>
          </cell>
          <cell r="GQ52" t="str">
            <v/>
          </cell>
          <cell r="GR52" t="str">
            <v/>
          </cell>
          <cell r="GS52" t="str">
            <v/>
          </cell>
          <cell r="GT52" t="str">
            <v/>
          </cell>
          <cell r="GU52" t="str">
            <v/>
          </cell>
          <cell r="GV52" t="str">
            <v/>
          </cell>
          <cell r="GW52" t="str">
            <v/>
          </cell>
          <cell r="GX52" t="str">
            <v/>
          </cell>
          <cell r="GY52" t="str">
            <v/>
          </cell>
          <cell r="GZ52" t="str">
            <v/>
          </cell>
          <cell r="HA52" t="str">
            <v/>
          </cell>
          <cell r="HB52" t="str">
            <v/>
          </cell>
          <cell r="HC52" t="str">
            <v/>
          </cell>
          <cell r="HD52" t="str">
            <v/>
          </cell>
          <cell r="HE52" t="str">
            <v/>
          </cell>
          <cell r="HF52" t="str">
            <v/>
          </cell>
          <cell r="HG52" t="str">
            <v/>
          </cell>
          <cell r="HH52" t="str">
            <v/>
          </cell>
          <cell r="HI52" t="str">
            <v/>
          </cell>
          <cell r="HJ52" t="str">
            <v/>
          </cell>
          <cell r="HK52" t="str">
            <v/>
          </cell>
          <cell r="HL52" t="str">
            <v/>
          </cell>
          <cell r="HM52" t="str">
            <v/>
          </cell>
          <cell r="HN52" t="str">
            <v/>
          </cell>
          <cell r="HO52" t="str">
            <v/>
          </cell>
          <cell r="HP52" t="str">
            <v/>
          </cell>
          <cell r="HQ52" t="str">
            <v/>
          </cell>
          <cell r="HR52" t="str">
            <v/>
          </cell>
          <cell r="HS52" t="str">
            <v/>
          </cell>
          <cell r="HT52" t="str">
            <v/>
          </cell>
          <cell r="HU52" t="str">
            <v/>
          </cell>
          <cell r="HV52" t="str">
            <v/>
          </cell>
          <cell r="HW52" t="str">
            <v/>
          </cell>
          <cell r="HX52" t="str">
            <v/>
          </cell>
          <cell r="HY52" t="str">
            <v/>
          </cell>
          <cell r="HZ52" t="str">
            <v/>
          </cell>
          <cell r="IA52" t="str">
            <v/>
          </cell>
          <cell r="IB52" t="str">
            <v/>
          </cell>
          <cell r="IC52" t="str">
            <v/>
          </cell>
          <cell r="ID52" t="str">
            <v/>
          </cell>
          <cell r="IE52" t="str">
            <v/>
          </cell>
          <cell r="IF52" t="str">
            <v/>
          </cell>
          <cell r="IG52" t="str">
            <v/>
          </cell>
          <cell r="IH52" t="str">
            <v/>
          </cell>
          <cell r="II52" t="str">
            <v/>
          </cell>
          <cell r="IJ52" t="str">
            <v/>
          </cell>
          <cell r="IK52" t="str">
            <v/>
          </cell>
          <cell r="IL52" t="str">
            <v/>
          </cell>
          <cell r="IM52" t="str">
            <v/>
          </cell>
          <cell r="IN52" t="str">
            <v/>
          </cell>
          <cell r="IO52" t="str">
            <v/>
          </cell>
          <cell r="IP52" t="str">
            <v/>
          </cell>
          <cell r="IQ52" t="str">
            <v/>
          </cell>
          <cell r="IR52" t="str">
            <v/>
          </cell>
          <cell r="IS52" t="str">
            <v/>
          </cell>
          <cell r="IT52" t="str">
            <v/>
          </cell>
          <cell r="IU52" t="str">
            <v/>
          </cell>
          <cell r="IV52" t="str">
            <v/>
          </cell>
          <cell r="IW52" t="str">
            <v/>
          </cell>
          <cell r="IX52" t="str">
            <v/>
          </cell>
          <cell r="IY52" t="str">
            <v/>
          </cell>
          <cell r="IZ52" t="str">
            <v/>
          </cell>
          <cell r="JA52" t="str">
            <v/>
          </cell>
          <cell r="JB52" t="str">
            <v/>
          </cell>
          <cell r="JC52" t="str">
            <v/>
          </cell>
          <cell r="JD52" t="str">
            <v/>
          </cell>
          <cell r="JE52" t="str">
            <v/>
          </cell>
          <cell r="JF52" t="str">
            <v/>
          </cell>
          <cell r="JG52" t="str">
            <v/>
          </cell>
          <cell r="JH52" t="str">
            <v/>
          </cell>
          <cell r="JI52" t="str">
            <v/>
          </cell>
          <cell r="JJ52" t="str">
            <v/>
          </cell>
          <cell r="JK52" t="str">
            <v/>
          </cell>
          <cell r="JL52" t="str">
            <v/>
          </cell>
          <cell r="JM52" t="str">
            <v/>
          </cell>
          <cell r="JN52" t="str">
            <v/>
          </cell>
          <cell r="JO52" t="str">
            <v/>
          </cell>
          <cell r="JP52" t="str">
            <v/>
          </cell>
          <cell r="JQ52" t="str">
            <v/>
          </cell>
          <cell r="JR52" t="str">
            <v/>
          </cell>
          <cell r="JS52" t="str">
            <v/>
          </cell>
          <cell r="JT52" t="str">
            <v/>
          </cell>
          <cell r="JU52" t="str">
            <v/>
          </cell>
          <cell r="JV52" t="str">
            <v/>
          </cell>
          <cell r="JW52" t="str">
            <v/>
          </cell>
          <cell r="JX52" t="str">
            <v/>
          </cell>
          <cell r="JY52" t="str">
            <v/>
          </cell>
          <cell r="JZ52" t="str">
            <v/>
          </cell>
          <cell r="KA52" t="str">
            <v/>
          </cell>
          <cell r="KB52" t="str">
            <v/>
          </cell>
          <cell r="KC52" t="str">
            <v/>
          </cell>
          <cell r="KD52">
            <v>2</v>
          </cell>
          <cell r="KE52">
            <v>2</v>
          </cell>
          <cell r="KF52">
            <v>2</v>
          </cell>
          <cell r="KG52">
            <v>1</v>
          </cell>
          <cell r="KH52">
            <v>1</v>
          </cell>
          <cell r="KI52">
            <v>1</v>
          </cell>
          <cell r="KJ52">
            <v>0</v>
          </cell>
          <cell r="KM52">
            <v>0</v>
          </cell>
          <cell r="KP52">
            <v>0</v>
          </cell>
          <cell r="KS52">
            <v>0</v>
          </cell>
          <cell r="KV52">
            <v>0</v>
          </cell>
          <cell r="KY52">
            <v>0</v>
          </cell>
          <cell r="LB52">
            <v>0</v>
          </cell>
          <cell r="LE52">
            <v>0</v>
          </cell>
          <cell r="LH52">
            <v>0</v>
          </cell>
          <cell r="LK52">
            <v>0</v>
          </cell>
          <cell r="LO52">
            <v>45721</v>
          </cell>
          <cell r="LP52" t="str">
            <v>COMPLETADO</v>
          </cell>
        </row>
        <row r="53">
          <cell r="A53">
            <v>1652</v>
          </cell>
          <cell r="B53" t="str">
            <v>RUBEN</v>
          </cell>
          <cell r="C53" t="str">
            <v>BARRACAS GRANDE</v>
          </cell>
          <cell r="D53" t="str">
            <v>MARROQUINERIA GRANDE</v>
          </cell>
          <cell r="E53">
            <v>14</v>
          </cell>
          <cell r="F53">
            <v>14</v>
          </cell>
          <cell r="G53">
            <v>14</v>
          </cell>
          <cell r="H53">
            <v>45734.529050925928</v>
          </cell>
          <cell r="I53" t="str">
            <v>BANDOLERA NEW VICENTA</v>
          </cell>
          <cell r="J53">
            <v>45706</v>
          </cell>
          <cell r="K53">
            <v>45706</v>
          </cell>
          <cell r="M53">
            <v>25</v>
          </cell>
          <cell r="N53" t="str">
            <v>M144</v>
          </cell>
          <cell r="O53" t="str">
            <v>AV0101070301</v>
          </cell>
          <cell r="P53">
            <v>1</v>
          </cell>
          <cell r="Q53" t="str">
            <v>AV0600560101</v>
          </cell>
          <cell r="R53">
            <v>1</v>
          </cell>
          <cell r="S53" t="str">
            <v>AV0300390101</v>
          </cell>
          <cell r="T53">
            <v>1</v>
          </cell>
          <cell r="U53" t="str">
            <v>AV0400230101</v>
          </cell>
          <cell r="V53">
            <v>1</v>
          </cell>
          <cell r="W53" t="str">
            <v>AV170129018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 xml:space="preserve"> LLEVA 3 TROQUELES DIFERENTES VER FICHA PRODUCTO</v>
          </cell>
          <cell r="AT53" t="str">
            <v>CORREA TODA EN CUERO</v>
          </cell>
          <cell r="AU53" t="str">
            <v/>
          </cell>
          <cell r="AV53" t="str">
            <v/>
          </cell>
          <cell r="AW53" t="str">
            <v>GRABADO "EL 
LUCERO" EN EL 
FRENTE CENTRADO 
(EN CUERPO DE LA 
CARTERA, DEBAJO DE 
LA SOLAPA)</v>
          </cell>
          <cell r="AX53" t="str">
            <v>CARAMELO</v>
          </cell>
          <cell r="AY53" t="str">
            <v>ARENA-CUERO NAPADO</v>
          </cell>
          <cell r="AZ53" t="str">
            <v>CUE0000022</v>
          </cell>
          <cell r="BA53">
            <v>0.22</v>
          </cell>
          <cell r="BB53" t="str">
            <v>AV0100020305</v>
          </cell>
          <cell r="BC53">
            <v>0.21</v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>ROJO</v>
          </cell>
          <cell r="BS53" t="str">
            <v>ARENA-CUERO NAPADO</v>
          </cell>
          <cell r="BT53" t="str">
            <v>CUE0000027</v>
          </cell>
          <cell r="BU53">
            <v>0.22</v>
          </cell>
          <cell r="BV53" t="str">
            <v>AV0100020313</v>
          </cell>
          <cell r="BW53">
            <v>0.21</v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>MALBEC</v>
          </cell>
          <cell r="CM53" t="str">
            <v>ARENA-CUERO NAPADO</v>
          </cell>
          <cell r="CN53" t="str">
            <v>CUE0000025</v>
          </cell>
          <cell r="CO53">
            <v>0.22</v>
          </cell>
          <cell r="CP53" t="str">
            <v>CIE0000003</v>
          </cell>
          <cell r="CQ53">
            <v>0.21</v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>SUELA</v>
          </cell>
          <cell r="DG53" t="str">
            <v>ARENA-CUERO NAPADO</v>
          </cell>
          <cell r="DH53" t="str">
            <v>CUE0000028</v>
          </cell>
          <cell r="DI53">
            <v>0.22</v>
          </cell>
          <cell r="DJ53" t="str">
            <v>AV0100020337</v>
          </cell>
          <cell r="DK53">
            <v>0.21</v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  <cell r="DW53" t="str">
            <v/>
          </cell>
          <cell r="DX53" t="str">
            <v/>
          </cell>
          <cell r="DY53" t="str">
            <v/>
          </cell>
          <cell r="DZ53" t="str">
            <v/>
          </cell>
          <cell r="EA53" t="str">
            <v/>
          </cell>
          <cell r="EB53" t="str">
            <v/>
          </cell>
          <cell r="EC53" t="str">
            <v/>
          </cell>
          <cell r="ED53" t="str">
            <v/>
          </cell>
          <cell r="EE53" t="str">
            <v/>
          </cell>
          <cell r="EF53" t="str">
            <v/>
          </cell>
          <cell r="EG53" t="str">
            <v/>
          </cell>
          <cell r="EH53" t="str">
            <v/>
          </cell>
          <cell r="EI53" t="str">
            <v/>
          </cell>
          <cell r="EJ53" t="str">
            <v/>
          </cell>
          <cell r="EK53" t="str">
            <v/>
          </cell>
          <cell r="EL53" t="str">
            <v/>
          </cell>
          <cell r="EM53" t="str">
            <v/>
          </cell>
          <cell r="EN53" t="str">
            <v/>
          </cell>
          <cell r="EO53" t="str">
            <v/>
          </cell>
          <cell r="EP53" t="str">
            <v/>
          </cell>
          <cell r="EQ53" t="str">
            <v/>
          </cell>
          <cell r="ER53" t="str">
            <v/>
          </cell>
          <cell r="ES53" t="str">
            <v/>
          </cell>
          <cell r="ET53" t="str">
            <v/>
          </cell>
          <cell r="EU53" t="str">
            <v/>
          </cell>
          <cell r="EV53" t="str">
            <v/>
          </cell>
          <cell r="EW53" t="str">
            <v/>
          </cell>
          <cell r="EX53" t="str">
            <v/>
          </cell>
          <cell r="EY53" t="str">
            <v/>
          </cell>
          <cell r="EZ53" t="str">
            <v/>
          </cell>
          <cell r="FA53" t="str">
            <v/>
          </cell>
          <cell r="FB53" t="str">
            <v/>
          </cell>
          <cell r="FC53" t="str">
            <v/>
          </cell>
          <cell r="FD53" t="str">
            <v/>
          </cell>
          <cell r="FE53" t="str">
            <v/>
          </cell>
          <cell r="FF53" t="str">
            <v/>
          </cell>
          <cell r="FG53" t="str">
            <v/>
          </cell>
          <cell r="FH53" t="str">
            <v/>
          </cell>
          <cell r="FI53" t="str">
            <v/>
          </cell>
          <cell r="FJ53" t="str">
            <v/>
          </cell>
          <cell r="FK53" t="str">
            <v/>
          </cell>
          <cell r="FL53" t="str">
            <v/>
          </cell>
          <cell r="FM53" t="str">
            <v/>
          </cell>
          <cell r="FN53" t="str">
            <v/>
          </cell>
          <cell r="FO53" t="str">
            <v/>
          </cell>
          <cell r="FP53" t="str">
            <v/>
          </cell>
          <cell r="FQ53" t="str">
            <v/>
          </cell>
          <cell r="FR53" t="str">
            <v/>
          </cell>
          <cell r="FS53" t="str">
            <v/>
          </cell>
          <cell r="FT53" t="str">
            <v/>
          </cell>
          <cell r="FU53" t="str">
            <v/>
          </cell>
          <cell r="FV53" t="str">
            <v/>
          </cell>
          <cell r="FW53" t="str">
            <v/>
          </cell>
          <cell r="FX53" t="str">
            <v/>
          </cell>
          <cell r="FY53" t="str">
            <v/>
          </cell>
          <cell r="FZ53" t="str">
            <v/>
          </cell>
          <cell r="GA53" t="str">
            <v/>
          </cell>
          <cell r="GB53" t="str">
            <v/>
          </cell>
          <cell r="GC53" t="str">
            <v/>
          </cell>
          <cell r="GD53" t="str">
            <v/>
          </cell>
          <cell r="GE53" t="str">
            <v/>
          </cell>
          <cell r="GF53" t="str">
            <v/>
          </cell>
          <cell r="GG53" t="str">
            <v/>
          </cell>
          <cell r="GH53" t="str">
            <v/>
          </cell>
          <cell r="GI53" t="str">
            <v/>
          </cell>
          <cell r="GJ53" t="str">
            <v/>
          </cell>
          <cell r="GK53" t="str">
            <v/>
          </cell>
          <cell r="GL53" t="str">
            <v/>
          </cell>
          <cell r="GM53" t="str">
            <v/>
          </cell>
          <cell r="GN53" t="str">
            <v/>
          </cell>
          <cell r="GO53" t="str">
            <v/>
          </cell>
          <cell r="GP53" t="str">
            <v/>
          </cell>
          <cell r="GQ53" t="str">
            <v/>
          </cell>
          <cell r="GR53" t="str">
            <v/>
          </cell>
          <cell r="GS53" t="str">
            <v/>
          </cell>
          <cell r="GT53" t="str">
            <v/>
          </cell>
          <cell r="GU53" t="str">
            <v/>
          </cell>
          <cell r="GV53" t="str">
            <v/>
          </cell>
          <cell r="GW53" t="str">
            <v/>
          </cell>
          <cell r="GX53" t="str">
            <v/>
          </cell>
          <cell r="GY53" t="str">
            <v/>
          </cell>
          <cell r="GZ53" t="str">
            <v/>
          </cell>
          <cell r="HA53" t="str">
            <v/>
          </cell>
          <cell r="HB53" t="str">
            <v/>
          </cell>
          <cell r="HC53" t="str">
            <v/>
          </cell>
          <cell r="HD53" t="str">
            <v/>
          </cell>
          <cell r="HE53" t="str">
            <v/>
          </cell>
          <cell r="HF53" t="str">
            <v/>
          </cell>
          <cell r="HG53" t="str">
            <v/>
          </cell>
          <cell r="HH53" t="str">
            <v/>
          </cell>
          <cell r="HI53" t="str">
            <v/>
          </cell>
          <cell r="HJ53" t="str">
            <v/>
          </cell>
          <cell r="HK53" t="str">
            <v/>
          </cell>
          <cell r="HL53" t="str">
            <v/>
          </cell>
          <cell r="HM53" t="str">
            <v/>
          </cell>
          <cell r="HN53" t="str">
            <v/>
          </cell>
          <cell r="HO53" t="str">
            <v/>
          </cell>
          <cell r="HP53" t="str">
            <v/>
          </cell>
          <cell r="HQ53" t="str">
            <v/>
          </cell>
          <cell r="HR53" t="str">
            <v/>
          </cell>
          <cell r="HS53" t="str">
            <v/>
          </cell>
          <cell r="HT53" t="str">
            <v/>
          </cell>
          <cell r="HU53" t="str">
            <v/>
          </cell>
          <cell r="HV53" t="str">
            <v/>
          </cell>
          <cell r="HW53" t="str">
            <v/>
          </cell>
          <cell r="HX53" t="str">
            <v/>
          </cell>
          <cell r="HY53" t="str">
            <v/>
          </cell>
          <cell r="HZ53" t="str">
            <v/>
          </cell>
          <cell r="IA53" t="str">
            <v/>
          </cell>
          <cell r="IB53" t="str">
            <v/>
          </cell>
          <cell r="IC53" t="str">
            <v/>
          </cell>
          <cell r="ID53" t="str">
            <v/>
          </cell>
          <cell r="IE53" t="str">
            <v/>
          </cell>
          <cell r="IF53" t="str">
            <v/>
          </cell>
          <cell r="IG53" t="str">
            <v/>
          </cell>
          <cell r="IH53" t="str">
            <v/>
          </cell>
          <cell r="II53" t="str">
            <v/>
          </cell>
          <cell r="IJ53" t="str">
            <v/>
          </cell>
          <cell r="IK53" t="str">
            <v/>
          </cell>
          <cell r="IL53" t="str">
            <v/>
          </cell>
          <cell r="IM53" t="str">
            <v/>
          </cell>
          <cell r="IN53" t="str">
            <v/>
          </cell>
          <cell r="IO53" t="str">
            <v/>
          </cell>
          <cell r="IP53" t="str">
            <v/>
          </cell>
          <cell r="IQ53" t="str">
            <v/>
          </cell>
          <cell r="IR53" t="str">
            <v/>
          </cell>
          <cell r="IS53" t="str">
            <v/>
          </cell>
          <cell r="IT53" t="str">
            <v/>
          </cell>
          <cell r="IU53" t="str">
            <v/>
          </cell>
          <cell r="IV53" t="str">
            <v/>
          </cell>
          <cell r="IW53" t="str">
            <v/>
          </cell>
          <cell r="IX53" t="str">
            <v/>
          </cell>
          <cell r="IY53" t="str">
            <v/>
          </cell>
          <cell r="IZ53" t="str">
            <v/>
          </cell>
          <cell r="JA53" t="str">
            <v/>
          </cell>
          <cell r="JB53" t="str">
            <v/>
          </cell>
          <cell r="JC53" t="str">
            <v/>
          </cell>
          <cell r="JD53" t="str">
            <v/>
          </cell>
          <cell r="JE53" t="str">
            <v/>
          </cell>
          <cell r="JF53" t="str">
            <v/>
          </cell>
          <cell r="JG53" t="str">
            <v/>
          </cell>
          <cell r="JH53" t="str">
            <v/>
          </cell>
          <cell r="JI53" t="str">
            <v/>
          </cell>
          <cell r="JJ53" t="str">
            <v/>
          </cell>
          <cell r="JK53" t="str">
            <v/>
          </cell>
          <cell r="JL53" t="str">
            <v/>
          </cell>
          <cell r="JM53" t="str">
            <v/>
          </cell>
          <cell r="JN53" t="str">
            <v/>
          </cell>
          <cell r="JO53" t="str">
            <v/>
          </cell>
          <cell r="JP53" t="str">
            <v/>
          </cell>
          <cell r="JQ53" t="str">
            <v/>
          </cell>
          <cell r="JR53" t="str">
            <v/>
          </cell>
          <cell r="JS53" t="str">
            <v/>
          </cell>
          <cell r="JT53" t="str">
            <v/>
          </cell>
          <cell r="JU53" t="str">
            <v/>
          </cell>
          <cell r="JV53" t="str">
            <v/>
          </cell>
          <cell r="JW53" t="str">
            <v/>
          </cell>
          <cell r="JX53" t="str">
            <v/>
          </cell>
          <cell r="JY53" t="str">
            <v/>
          </cell>
          <cell r="JZ53" t="str">
            <v/>
          </cell>
          <cell r="KA53" t="str">
            <v/>
          </cell>
          <cell r="KB53" t="str">
            <v/>
          </cell>
          <cell r="KC53" t="str">
            <v/>
          </cell>
          <cell r="KD53">
            <v>2</v>
          </cell>
          <cell r="KE53">
            <v>2</v>
          </cell>
          <cell r="KF53">
            <v>2</v>
          </cell>
          <cell r="KG53">
            <v>4</v>
          </cell>
          <cell r="KH53">
            <v>4</v>
          </cell>
          <cell r="KI53">
            <v>4</v>
          </cell>
          <cell r="KJ53">
            <v>6</v>
          </cell>
          <cell r="KK53">
            <v>6</v>
          </cell>
          <cell r="KL53">
            <v>6</v>
          </cell>
          <cell r="KM53">
            <v>2</v>
          </cell>
          <cell r="KN53">
            <v>2</v>
          </cell>
          <cell r="KO53">
            <v>2</v>
          </cell>
          <cell r="KP53">
            <v>0</v>
          </cell>
          <cell r="KS53">
            <v>0</v>
          </cell>
          <cell r="KV53">
            <v>0</v>
          </cell>
          <cell r="KY53">
            <v>0</v>
          </cell>
          <cell r="LB53">
            <v>0</v>
          </cell>
          <cell r="LE53">
            <v>0</v>
          </cell>
          <cell r="LH53">
            <v>0</v>
          </cell>
          <cell r="LK53">
            <v>0</v>
          </cell>
          <cell r="LO53">
            <v>45742</v>
          </cell>
          <cell r="LP53" t="str">
            <v>COMPLETADO</v>
          </cell>
        </row>
        <row r="54">
          <cell r="A54">
            <v>1653</v>
          </cell>
          <cell r="B54" t="str">
            <v>RUBEN</v>
          </cell>
          <cell r="C54" t="str">
            <v>BARRACAS GRANDE</v>
          </cell>
          <cell r="D54" t="str">
            <v>MARROQUINERIA GRANDE</v>
          </cell>
          <cell r="E54">
            <v>9</v>
          </cell>
          <cell r="F54">
            <v>9</v>
          </cell>
          <cell r="G54">
            <v>9</v>
          </cell>
          <cell r="H54">
            <v>45732.432638888888</v>
          </cell>
          <cell r="I54" t="str">
            <v>BANDOLERA SAGITTA</v>
          </cell>
          <cell r="J54">
            <v>45705</v>
          </cell>
          <cell r="K54">
            <v>45705</v>
          </cell>
          <cell r="M54">
            <v>45</v>
          </cell>
          <cell r="N54" t="str">
            <v>M009</v>
          </cell>
          <cell r="O54" t="str">
            <v>AV0101040201</v>
          </cell>
          <cell r="P54">
            <v>2</v>
          </cell>
          <cell r="Q54" t="str">
            <v>AV0300390101</v>
          </cell>
          <cell r="R54">
            <v>2</v>
          </cell>
          <cell r="S54" t="str">
            <v>AV0300400101</v>
          </cell>
          <cell r="T54">
            <v>3</v>
          </cell>
          <cell r="U54" t="str">
            <v>AV0400770101</v>
          </cell>
          <cell r="V54">
            <v>2</v>
          </cell>
          <cell r="W54" t="str">
            <v>AV0600550101</v>
          </cell>
          <cell r="X54">
            <v>2</v>
          </cell>
          <cell r="Y54" t="str">
            <v>AV0400230101</v>
          </cell>
          <cell r="Z54">
            <v>1</v>
          </cell>
          <cell r="AA54" t="str">
            <v>AV0700650101</v>
          </cell>
          <cell r="AB54">
            <v>1</v>
          </cell>
          <cell r="AC54" t="str">
            <v>AV170129018</v>
          </cell>
          <cell r="AD54">
            <v>0</v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  <cell r="AR54" t="str">
            <v/>
          </cell>
          <cell r="AS54" t="str">
            <v>TIRACIERRE N1- TIRA CON REMACHE + GRABADO ESTRELLITA</v>
          </cell>
          <cell r="AT54" t="str">
            <v/>
          </cell>
          <cell r="AU54" t="str">
            <v/>
          </cell>
          <cell r="AV54" t="str">
            <v/>
          </cell>
          <cell r="AW54" t="str">
            <v xml:space="preserve">GRABADO EL LUCERO, EN ELFRENTE CENTRADO, A 3 CM DEL BORDE INFERIOR  </v>
          </cell>
          <cell r="AX54" t="str">
            <v>VERDE_REVES_VERDE</v>
          </cell>
          <cell r="AY54" t="str">
            <v>BIANCO-CUERO MODENA ESPESOR 1,8</v>
          </cell>
          <cell r="AZ54" t="str">
            <v>CUE0000157</v>
          </cell>
          <cell r="BA54">
            <v>0.2</v>
          </cell>
          <cell r="BB54" t="str">
            <v>FOR0000020</v>
          </cell>
          <cell r="BC54">
            <v>0.19</v>
          </cell>
          <cell r="BD54" t="str">
            <v>AV0100010217</v>
          </cell>
          <cell r="BE54">
            <v>0.45</v>
          </cell>
          <cell r="BF54" t="str">
            <v>AV1401244240</v>
          </cell>
          <cell r="BG54">
            <v>0</v>
          </cell>
          <cell r="BH54" t="str">
            <v>AV1601300957</v>
          </cell>
          <cell r="BI54">
            <v>0</v>
          </cell>
          <cell r="BJ54" t="str">
            <v/>
          </cell>
          <cell r="BK54" t="str">
            <v/>
          </cell>
          <cell r="BL54" t="str">
            <v/>
          </cell>
          <cell r="BM54" t="str">
            <v/>
          </cell>
          <cell r="BN54" t="str">
            <v/>
          </cell>
          <cell r="BO54" t="str">
            <v/>
          </cell>
          <cell r="BP54" t="str">
            <v/>
          </cell>
          <cell r="BQ54" t="str">
            <v/>
          </cell>
          <cell r="BR54" t="str">
            <v>CARAMELO</v>
          </cell>
          <cell r="BS54" t="str">
            <v>ARENA-CUERO NAPADO</v>
          </cell>
          <cell r="BT54" t="str">
            <v>CUE0000022</v>
          </cell>
          <cell r="BU54">
            <v>0.2</v>
          </cell>
          <cell r="BV54" t="str">
            <v>FOR0000021</v>
          </cell>
          <cell r="BW54">
            <v>0.19</v>
          </cell>
          <cell r="BX54" t="str">
            <v>AV0100010205</v>
          </cell>
          <cell r="BY54">
            <v>0.45</v>
          </cell>
          <cell r="BZ54" t="str">
            <v>AV1401240545</v>
          </cell>
          <cell r="CA54">
            <v>0</v>
          </cell>
          <cell r="CB54" t="str">
            <v>AV1601300955</v>
          </cell>
          <cell r="CC54">
            <v>0</v>
          </cell>
          <cell r="CD54" t="str">
            <v/>
          </cell>
          <cell r="CE54" t="str">
            <v/>
          </cell>
          <cell r="CF54" t="str">
            <v/>
          </cell>
          <cell r="CG54" t="str">
            <v/>
          </cell>
          <cell r="CH54" t="str">
            <v/>
          </cell>
          <cell r="CI54" t="str">
            <v/>
          </cell>
          <cell r="CJ54" t="str">
            <v/>
          </cell>
          <cell r="CK54" t="str">
            <v/>
          </cell>
          <cell r="CL54" t="str">
            <v/>
          </cell>
          <cell r="CM54" t="str">
            <v/>
          </cell>
          <cell r="CN54" t="str">
            <v/>
          </cell>
          <cell r="CO54" t="str">
            <v/>
          </cell>
          <cell r="CP54" t="str">
            <v/>
          </cell>
          <cell r="CQ54" t="str">
            <v/>
          </cell>
          <cell r="CR54" t="str">
            <v/>
          </cell>
          <cell r="CS54" t="str">
            <v/>
          </cell>
          <cell r="CT54" t="str">
            <v/>
          </cell>
          <cell r="CU54" t="str">
            <v/>
          </cell>
          <cell r="CV54" t="str">
            <v/>
          </cell>
          <cell r="CW54" t="str">
            <v/>
          </cell>
          <cell r="CX54" t="str">
            <v/>
          </cell>
          <cell r="CY54" t="str">
            <v/>
          </cell>
          <cell r="CZ54" t="str">
            <v/>
          </cell>
          <cell r="DA54" t="str">
            <v/>
          </cell>
          <cell r="DB54" t="str">
            <v/>
          </cell>
          <cell r="DC54" t="str">
            <v/>
          </cell>
          <cell r="DD54" t="str">
            <v/>
          </cell>
          <cell r="DE54" t="str">
            <v/>
          </cell>
          <cell r="DF54" t="str">
            <v/>
          </cell>
          <cell r="DG54" t="str">
            <v/>
          </cell>
          <cell r="DH54" t="str">
            <v/>
          </cell>
          <cell r="DI54" t="str">
            <v/>
          </cell>
          <cell r="DJ54" t="str">
            <v/>
          </cell>
          <cell r="DK54" t="str">
            <v/>
          </cell>
          <cell r="DL54" t="str">
            <v/>
          </cell>
          <cell r="DM54" t="str">
            <v/>
          </cell>
          <cell r="DN54" t="str">
            <v/>
          </cell>
          <cell r="DO54" t="str">
            <v/>
          </cell>
          <cell r="DP54" t="str">
            <v/>
          </cell>
          <cell r="DQ54" t="str">
            <v/>
          </cell>
          <cell r="DR54" t="str">
            <v/>
          </cell>
          <cell r="DS54" t="str">
            <v/>
          </cell>
          <cell r="DT54" t="str">
            <v/>
          </cell>
          <cell r="DU54" t="str">
            <v/>
          </cell>
          <cell r="DV54" t="str">
            <v/>
          </cell>
          <cell r="DW54" t="str">
            <v/>
          </cell>
          <cell r="DX54" t="str">
            <v/>
          </cell>
          <cell r="DY54" t="str">
            <v/>
          </cell>
          <cell r="DZ54" t="str">
            <v/>
          </cell>
          <cell r="EA54" t="str">
            <v/>
          </cell>
          <cell r="EB54" t="str">
            <v/>
          </cell>
          <cell r="EC54" t="str">
            <v/>
          </cell>
          <cell r="ED54" t="str">
            <v/>
          </cell>
          <cell r="EE54" t="str">
            <v/>
          </cell>
          <cell r="EF54" t="str">
            <v/>
          </cell>
          <cell r="EG54" t="str">
            <v/>
          </cell>
          <cell r="EH54" t="str">
            <v/>
          </cell>
          <cell r="EI54" t="str">
            <v/>
          </cell>
          <cell r="EJ54" t="str">
            <v/>
          </cell>
          <cell r="EK54" t="str">
            <v/>
          </cell>
          <cell r="EL54" t="str">
            <v/>
          </cell>
          <cell r="EM54" t="str">
            <v/>
          </cell>
          <cell r="EN54" t="str">
            <v/>
          </cell>
          <cell r="EO54" t="str">
            <v/>
          </cell>
          <cell r="EP54" t="str">
            <v/>
          </cell>
          <cell r="EQ54" t="str">
            <v/>
          </cell>
          <cell r="ER54" t="str">
            <v/>
          </cell>
          <cell r="ES54" t="str">
            <v/>
          </cell>
          <cell r="ET54" t="str">
            <v/>
          </cell>
          <cell r="EU54" t="str">
            <v/>
          </cell>
          <cell r="EV54" t="str">
            <v/>
          </cell>
          <cell r="EW54" t="str">
            <v/>
          </cell>
          <cell r="EX54" t="str">
            <v/>
          </cell>
          <cell r="EY54" t="str">
            <v/>
          </cell>
          <cell r="EZ54" t="str">
            <v/>
          </cell>
          <cell r="FA54" t="str">
            <v/>
          </cell>
          <cell r="FB54" t="str">
            <v/>
          </cell>
          <cell r="FC54" t="str">
            <v/>
          </cell>
          <cell r="FD54" t="str">
            <v/>
          </cell>
          <cell r="FE54" t="str">
            <v/>
          </cell>
          <cell r="FF54" t="str">
            <v/>
          </cell>
          <cell r="FG54" t="str">
            <v/>
          </cell>
          <cell r="FH54" t="str">
            <v/>
          </cell>
          <cell r="FI54" t="str">
            <v/>
          </cell>
          <cell r="FJ54" t="str">
            <v/>
          </cell>
          <cell r="FK54" t="str">
            <v/>
          </cell>
          <cell r="FL54" t="str">
            <v/>
          </cell>
          <cell r="FM54" t="str">
            <v/>
          </cell>
          <cell r="FN54" t="str">
            <v/>
          </cell>
          <cell r="FO54" t="str">
            <v/>
          </cell>
          <cell r="FP54" t="str">
            <v/>
          </cell>
          <cell r="FQ54" t="str">
            <v/>
          </cell>
          <cell r="FR54" t="str">
            <v/>
          </cell>
          <cell r="FS54" t="str">
            <v/>
          </cell>
          <cell r="FT54" t="str">
            <v/>
          </cell>
          <cell r="FU54" t="str">
            <v/>
          </cell>
          <cell r="FV54" t="str">
            <v/>
          </cell>
          <cell r="FW54" t="str">
            <v/>
          </cell>
          <cell r="FX54" t="str">
            <v/>
          </cell>
          <cell r="FY54" t="str">
            <v/>
          </cell>
          <cell r="FZ54" t="str">
            <v/>
          </cell>
          <cell r="GA54" t="str">
            <v/>
          </cell>
          <cell r="GB54" t="str">
            <v/>
          </cell>
          <cell r="GC54" t="str">
            <v/>
          </cell>
          <cell r="GD54" t="str">
            <v/>
          </cell>
          <cell r="GE54" t="str">
            <v/>
          </cell>
          <cell r="GF54" t="str">
            <v/>
          </cell>
          <cell r="GG54" t="str">
            <v/>
          </cell>
          <cell r="GH54" t="str">
            <v/>
          </cell>
          <cell r="GI54" t="str">
            <v/>
          </cell>
          <cell r="GJ54" t="str">
            <v/>
          </cell>
          <cell r="GK54" t="str">
            <v/>
          </cell>
          <cell r="GL54" t="str">
            <v/>
          </cell>
          <cell r="GM54" t="str">
            <v/>
          </cell>
          <cell r="GN54" t="str">
            <v/>
          </cell>
          <cell r="GO54" t="str">
            <v/>
          </cell>
          <cell r="GP54" t="str">
            <v/>
          </cell>
          <cell r="GQ54" t="str">
            <v/>
          </cell>
          <cell r="GR54" t="str">
            <v/>
          </cell>
          <cell r="GS54" t="str">
            <v/>
          </cell>
          <cell r="GT54" t="str">
            <v/>
          </cell>
          <cell r="GU54" t="str">
            <v/>
          </cell>
          <cell r="GV54" t="str">
            <v/>
          </cell>
          <cell r="GW54" t="str">
            <v/>
          </cell>
          <cell r="GX54" t="str">
            <v/>
          </cell>
          <cell r="GY54" t="str">
            <v/>
          </cell>
          <cell r="GZ54" t="str">
            <v/>
          </cell>
          <cell r="HA54" t="str">
            <v/>
          </cell>
          <cell r="HB54" t="str">
            <v/>
          </cell>
          <cell r="HC54" t="str">
            <v/>
          </cell>
          <cell r="HD54" t="str">
            <v/>
          </cell>
          <cell r="HE54" t="str">
            <v/>
          </cell>
          <cell r="HF54" t="str">
            <v/>
          </cell>
          <cell r="HG54" t="str">
            <v/>
          </cell>
          <cell r="HH54" t="str">
            <v/>
          </cell>
          <cell r="HI54" t="str">
            <v/>
          </cell>
          <cell r="HJ54" t="str">
            <v/>
          </cell>
          <cell r="HK54" t="str">
            <v/>
          </cell>
          <cell r="HL54" t="str">
            <v/>
          </cell>
          <cell r="HM54" t="str">
            <v/>
          </cell>
          <cell r="HN54" t="str">
            <v/>
          </cell>
          <cell r="HO54" t="str">
            <v/>
          </cell>
          <cell r="HP54" t="str">
            <v/>
          </cell>
          <cell r="HQ54" t="str">
            <v/>
          </cell>
          <cell r="HR54" t="str">
            <v/>
          </cell>
          <cell r="HS54" t="str">
            <v/>
          </cell>
          <cell r="HT54" t="str">
            <v/>
          </cell>
          <cell r="HU54" t="str">
            <v/>
          </cell>
          <cell r="HV54" t="str">
            <v/>
          </cell>
          <cell r="HW54" t="str">
            <v/>
          </cell>
          <cell r="HX54" t="str">
            <v/>
          </cell>
          <cell r="HY54" t="str">
            <v/>
          </cell>
          <cell r="HZ54" t="str">
            <v/>
          </cell>
          <cell r="IA54" t="str">
            <v/>
          </cell>
          <cell r="IB54" t="str">
            <v/>
          </cell>
          <cell r="IC54" t="str">
            <v/>
          </cell>
          <cell r="ID54" t="str">
            <v/>
          </cell>
          <cell r="IE54" t="str">
            <v/>
          </cell>
          <cell r="IF54" t="str">
            <v/>
          </cell>
          <cell r="IG54" t="str">
            <v/>
          </cell>
          <cell r="IH54" t="str">
            <v/>
          </cell>
          <cell r="II54" t="str">
            <v/>
          </cell>
          <cell r="IJ54" t="str">
            <v/>
          </cell>
          <cell r="IK54" t="str">
            <v/>
          </cell>
          <cell r="IL54" t="str">
            <v/>
          </cell>
          <cell r="IM54" t="str">
            <v/>
          </cell>
          <cell r="IN54" t="str">
            <v/>
          </cell>
          <cell r="IO54" t="str">
            <v/>
          </cell>
          <cell r="IP54" t="str">
            <v/>
          </cell>
          <cell r="IQ54" t="str">
            <v/>
          </cell>
          <cell r="IR54" t="str">
            <v/>
          </cell>
          <cell r="IS54" t="str">
            <v/>
          </cell>
          <cell r="IT54" t="str">
            <v/>
          </cell>
          <cell r="IU54" t="str">
            <v/>
          </cell>
          <cell r="IV54" t="str">
            <v/>
          </cell>
          <cell r="IW54" t="str">
            <v/>
          </cell>
          <cell r="IX54" t="str">
            <v/>
          </cell>
          <cell r="IY54" t="str">
            <v/>
          </cell>
          <cell r="IZ54" t="str">
            <v/>
          </cell>
          <cell r="JA54" t="str">
            <v/>
          </cell>
          <cell r="JB54" t="str">
            <v/>
          </cell>
          <cell r="JC54" t="str">
            <v/>
          </cell>
          <cell r="JD54" t="str">
            <v/>
          </cell>
          <cell r="JE54" t="str">
            <v/>
          </cell>
          <cell r="JF54" t="str">
            <v/>
          </cell>
          <cell r="JG54" t="str">
            <v/>
          </cell>
          <cell r="JH54" t="str">
            <v/>
          </cell>
          <cell r="JI54" t="str">
            <v/>
          </cell>
          <cell r="JJ54" t="str">
            <v/>
          </cell>
          <cell r="JK54" t="str">
            <v/>
          </cell>
          <cell r="JL54" t="str">
            <v/>
          </cell>
          <cell r="JM54" t="str">
            <v/>
          </cell>
          <cell r="JN54" t="str">
            <v/>
          </cell>
          <cell r="JO54" t="str">
            <v/>
          </cell>
          <cell r="JP54" t="str">
            <v/>
          </cell>
          <cell r="JQ54" t="str">
            <v/>
          </cell>
          <cell r="JR54" t="str">
            <v/>
          </cell>
          <cell r="JS54" t="str">
            <v/>
          </cell>
          <cell r="JT54" t="str">
            <v/>
          </cell>
          <cell r="JU54" t="str">
            <v/>
          </cell>
          <cell r="JV54" t="str">
            <v/>
          </cell>
          <cell r="JW54" t="str">
            <v/>
          </cell>
          <cell r="JX54" t="str">
            <v/>
          </cell>
          <cell r="JY54" t="str">
            <v/>
          </cell>
          <cell r="JZ54" t="str">
            <v/>
          </cell>
          <cell r="KA54" t="str">
            <v/>
          </cell>
          <cell r="KB54" t="str">
            <v/>
          </cell>
          <cell r="KC54" t="str">
            <v/>
          </cell>
          <cell r="KD54">
            <v>6</v>
          </cell>
          <cell r="KE54">
            <v>6</v>
          </cell>
          <cell r="KF54">
            <v>6</v>
          </cell>
          <cell r="KG54">
            <v>3</v>
          </cell>
          <cell r="KH54">
            <v>3</v>
          </cell>
          <cell r="KI54">
            <v>3</v>
          </cell>
          <cell r="KJ54">
            <v>0</v>
          </cell>
          <cell r="KM54">
            <v>0</v>
          </cell>
          <cell r="KP54">
            <v>0</v>
          </cell>
          <cell r="KS54">
            <v>0</v>
          </cell>
          <cell r="KV54">
            <v>0</v>
          </cell>
          <cell r="KY54">
            <v>0</v>
          </cell>
          <cell r="LB54">
            <v>0</v>
          </cell>
          <cell r="LE54">
            <v>0</v>
          </cell>
          <cell r="LH54">
            <v>0</v>
          </cell>
          <cell r="LK54">
            <v>0</v>
          </cell>
          <cell r="LO54">
            <v>45721</v>
          </cell>
          <cell r="LP54" t="str">
            <v>COMPLETADO</v>
          </cell>
        </row>
        <row r="55">
          <cell r="A55">
            <v>1654</v>
          </cell>
          <cell r="B55" t="str">
            <v>RUBEN</v>
          </cell>
          <cell r="C55" t="str">
            <v>BARRACAS GRANDE</v>
          </cell>
          <cell r="D55" t="str">
            <v>MARROQUINERIA GRANDE</v>
          </cell>
          <cell r="E55">
            <v>6</v>
          </cell>
          <cell r="F55">
            <v>6</v>
          </cell>
          <cell r="G55">
            <v>6</v>
          </cell>
          <cell r="H55">
            <v>45732.435949074075</v>
          </cell>
          <cell r="I55" t="str">
            <v>CARTERA CHALTEN</v>
          </cell>
          <cell r="J55">
            <v>45712</v>
          </cell>
          <cell r="K55">
            <v>45712</v>
          </cell>
          <cell r="M55">
            <v>40</v>
          </cell>
          <cell r="N55" t="str">
            <v>M140</v>
          </cell>
          <cell r="O55" t="str">
            <v>AV170129018</v>
          </cell>
          <cell r="P55">
            <v>0</v>
          </cell>
          <cell r="Q55" t="str">
            <v>BAC1300020827</v>
          </cell>
          <cell r="R55">
            <v>0.01</v>
          </cell>
          <cell r="S55" t="str">
            <v>AV0401220101</v>
          </cell>
          <cell r="T55">
            <v>4</v>
          </cell>
          <cell r="U55" t="str">
            <v>AV0101040201</v>
          </cell>
          <cell r="V55">
            <v>1</v>
          </cell>
          <cell r="W55" t="str">
            <v>AV1000780101</v>
          </cell>
          <cell r="X55">
            <v>2</v>
          </cell>
          <cell r="Y55" t="str">
            <v>AV0400230101</v>
          </cell>
          <cell r="Z55">
            <v>1</v>
          </cell>
          <cell r="AA55" t="str">
            <v>AV0300390101</v>
          </cell>
          <cell r="AB55">
            <v>2</v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  <cell r="AR55" t="str">
            <v/>
          </cell>
          <cell r="AS55" t="str">
            <v>TIRACIERRE N1 - TIRA CONTRAPEGADA CON REMACHE + GRABADO ESTRELLA</v>
          </cell>
          <cell r="AT55" t="str">
            <v/>
          </cell>
          <cell r="AU55" t="str">
            <v/>
          </cell>
          <cell r="AV55" t="str">
            <v/>
          </cell>
          <cell r="AW55" t="str">
            <v xml:space="preserve">GRABADO EL LUCERO EN PIEZA LATERAL    </v>
          </cell>
          <cell r="AX55" t="str">
            <v>TABACO</v>
          </cell>
          <cell r="AY55" t="str">
            <v>ARENA-CUERO BRIDGE</v>
          </cell>
          <cell r="AZ55" t="str">
            <v>CUE0000012</v>
          </cell>
          <cell r="BA55">
            <v>0.65</v>
          </cell>
          <cell r="BB55" t="str">
            <v>FOR0000021</v>
          </cell>
          <cell r="BC55">
            <v>0.27</v>
          </cell>
          <cell r="BD55" t="str">
            <v>AV0100010214</v>
          </cell>
          <cell r="BE55">
            <v>0.22</v>
          </cell>
          <cell r="BF55" t="str">
            <v/>
          </cell>
          <cell r="BG55" t="str">
            <v/>
          </cell>
          <cell r="BH55" t="str">
            <v/>
          </cell>
          <cell r="BI55" t="str">
            <v/>
          </cell>
          <cell r="BJ55" t="str">
            <v/>
          </cell>
          <cell r="BK55" t="str">
            <v/>
          </cell>
          <cell r="BL55" t="str">
            <v/>
          </cell>
          <cell r="BM55" t="str">
            <v/>
          </cell>
          <cell r="BN55" t="str">
            <v/>
          </cell>
          <cell r="BO55" t="str">
            <v/>
          </cell>
          <cell r="BP55" t="str">
            <v/>
          </cell>
          <cell r="BQ55" t="str">
            <v/>
          </cell>
          <cell r="BR55" t="str">
            <v/>
          </cell>
          <cell r="BS55" t="str">
            <v/>
          </cell>
          <cell r="BT55" t="str">
            <v/>
          </cell>
          <cell r="BU55" t="str">
            <v/>
          </cell>
          <cell r="BV55" t="str">
            <v/>
          </cell>
          <cell r="BW55" t="str">
            <v/>
          </cell>
          <cell r="BX55" t="str">
            <v/>
          </cell>
          <cell r="BY55" t="str">
            <v/>
          </cell>
          <cell r="BZ55" t="str">
            <v/>
          </cell>
          <cell r="CA55" t="str">
            <v/>
          </cell>
          <cell r="CB55" t="str">
            <v/>
          </cell>
          <cell r="CC55" t="str">
            <v/>
          </cell>
          <cell r="CD55" t="str">
            <v/>
          </cell>
          <cell r="CE55" t="str">
            <v/>
          </cell>
          <cell r="CF55" t="str">
            <v/>
          </cell>
          <cell r="CG55" t="str">
            <v/>
          </cell>
          <cell r="CH55" t="str">
            <v/>
          </cell>
          <cell r="CI55" t="str">
            <v/>
          </cell>
          <cell r="CJ55" t="str">
            <v/>
          </cell>
          <cell r="CK55" t="str">
            <v/>
          </cell>
          <cell r="CL55" t="str">
            <v/>
          </cell>
          <cell r="CM55" t="str">
            <v/>
          </cell>
          <cell r="CN55" t="str">
            <v/>
          </cell>
          <cell r="CO55" t="str">
            <v/>
          </cell>
          <cell r="CP55" t="str">
            <v/>
          </cell>
          <cell r="CQ55" t="str">
            <v/>
          </cell>
          <cell r="CR55" t="str">
            <v/>
          </cell>
          <cell r="CS55" t="str">
            <v/>
          </cell>
          <cell r="CT55" t="str">
            <v/>
          </cell>
          <cell r="CU55" t="str">
            <v/>
          </cell>
          <cell r="CV55" t="str">
            <v/>
          </cell>
          <cell r="CW55" t="str">
            <v/>
          </cell>
          <cell r="CX55" t="str">
            <v/>
          </cell>
          <cell r="CY55" t="str">
            <v/>
          </cell>
          <cell r="CZ55" t="str">
            <v/>
          </cell>
          <cell r="DA55" t="str">
            <v/>
          </cell>
          <cell r="DB55" t="str">
            <v/>
          </cell>
          <cell r="DC55" t="str">
            <v/>
          </cell>
          <cell r="DD55" t="str">
            <v/>
          </cell>
          <cell r="DE55" t="str">
            <v/>
          </cell>
          <cell r="DF55" t="str">
            <v/>
          </cell>
          <cell r="DG55" t="str">
            <v/>
          </cell>
          <cell r="DH55" t="str">
            <v/>
          </cell>
          <cell r="DI55" t="str">
            <v/>
          </cell>
          <cell r="DJ55" t="str">
            <v/>
          </cell>
          <cell r="DK55" t="str">
            <v/>
          </cell>
          <cell r="DL55" t="str">
            <v/>
          </cell>
          <cell r="DM55" t="str">
            <v/>
          </cell>
          <cell r="DN55" t="str">
            <v/>
          </cell>
          <cell r="DO55" t="str">
            <v/>
          </cell>
          <cell r="DP55" t="str">
            <v/>
          </cell>
          <cell r="DQ55" t="str">
            <v/>
          </cell>
          <cell r="DR55" t="str">
            <v/>
          </cell>
          <cell r="DS55" t="str">
            <v/>
          </cell>
          <cell r="DT55" t="str">
            <v/>
          </cell>
          <cell r="DU55" t="str">
            <v/>
          </cell>
          <cell r="DV55" t="str">
            <v/>
          </cell>
          <cell r="DW55" t="str">
            <v/>
          </cell>
          <cell r="DX55" t="str">
            <v/>
          </cell>
          <cell r="DY55" t="str">
            <v/>
          </cell>
          <cell r="DZ55" t="str">
            <v/>
          </cell>
          <cell r="EA55" t="str">
            <v/>
          </cell>
          <cell r="EB55" t="str">
            <v/>
          </cell>
          <cell r="EC55" t="str">
            <v/>
          </cell>
          <cell r="ED55" t="str">
            <v/>
          </cell>
          <cell r="EE55" t="str">
            <v/>
          </cell>
          <cell r="EF55" t="str">
            <v/>
          </cell>
          <cell r="EG55" t="str">
            <v/>
          </cell>
          <cell r="EH55" t="str">
            <v/>
          </cell>
          <cell r="EI55" t="str">
            <v/>
          </cell>
          <cell r="EJ55" t="str">
            <v/>
          </cell>
          <cell r="EK55" t="str">
            <v/>
          </cell>
          <cell r="EL55" t="str">
            <v/>
          </cell>
          <cell r="EM55" t="str">
            <v/>
          </cell>
          <cell r="EN55" t="str">
            <v/>
          </cell>
          <cell r="EO55" t="str">
            <v/>
          </cell>
          <cell r="EP55" t="str">
            <v/>
          </cell>
          <cell r="EQ55" t="str">
            <v/>
          </cell>
          <cell r="ER55" t="str">
            <v/>
          </cell>
          <cell r="ES55" t="str">
            <v/>
          </cell>
          <cell r="ET55" t="str">
            <v/>
          </cell>
          <cell r="EU55" t="str">
            <v/>
          </cell>
          <cell r="EV55" t="str">
            <v/>
          </cell>
          <cell r="EW55" t="str">
            <v/>
          </cell>
          <cell r="EX55" t="str">
            <v/>
          </cell>
          <cell r="EY55" t="str">
            <v/>
          </cell>
          <cell r="EZ55" t="str">
            <v/>
          </cell>
          <cell r="FA55" t="str">
            <v/>
          </cell>
          <cell r="FB55" t="str">
            <v/>
          </cell>
          <cell r="FC55" t="str">
            <v/>
          </cell>
          <cell r="FD55" t="str">
            <v/>
          </cell>
          <cell r="FE55" t="str">
            <v/>
          </cell>
          <cell r="FF55" t="str">
            <v/>
          </cell>
          <cell r="FG55" t="str">
            <v/>
          </cell>
          <cell r="FH55" t="str">
            <v/>
          </cell>
          <cell r="FI55" t="str">
            <v/>
          </cell>
          <cell r="FJ55" t="str">
            <v/>
          </cell>
          <cell r="FK55" t="str">
            <v/>
          </cell>
          <cell r="FL55" t="str">
            <v/>
          </cell>
          <cell r="FM55" t="str">
            <v/>
          </cell>
          <cell r="FN55" t="str">
            <v/>
          </cell>
          <cell r="FO55" t="str">
            <v/>
          </cell>
          <cell r="FP55" t="str">
            <v/>
          </cell>
          <cell r="FQ55" t="str">
            <v/>
          </cell>
          <cell r="FR55" t="str">
            <v/>
          </cell>
          <cell r="FS55" t="str">
            <v/>
          </cell>
          <cell r="FT55" t="str">
            <v/>
          </cell>
          <cell r="FU55" t="str">
            <v/>
          </cell>
          <cell r="FV55" t="str">
            <v/>
          </cell>
          <cell r="FW55" t="str">
            <v/>
          </cell>
          <cell r="FX55" t="str">
            <v/>
          </cell>
          <cell r="FY55" t="str">
            <v/>
          </cell>
          <cell r="FZ55" t="str">
            <v/>
          </cell>
          <cell r="GA55" t="str">
            <v/>
          </cell>
          <cell r="GB55" t="str">
            <v/>
          </cell>
          <cell r="GC55" t="str">
            <v/>
          </cell>
          <cell r="GD55" t="str">
            <v/>
          </cell>
          <cell r="GE55" t="str">
            <v/>
          </cell>
          <cell r="GF55" t="str">
            <v/>
          </cell>
          <cell r="GG55" t="str">
            <v/>
          </cell>
          <cell r="GH55" t="str">
            <v/>
          </cell>
          <cell r="GI55" t="str">
            <v/>
          </cell>
          <cell r="GJ55" t="str">
            <v/>
          </cell>
          <cell r="GK55" t="str">
            <v/>
          </cell>
          <cell r="GL55" t="str">
            <v/>
          </cell>
          <cell r="GM55" t="str">
            <v/>
          </cell>
          <cell r="GN55" t="str">
            <v/>
          </cell>
          <cell r="GO55" t="str">
            <v/>
          </cell>
          <cell r="GP55" t="str">
            <v/>
          </cell>
          <cell r="GQ55" t="str">
            <v/>
          </cell>
          <cell r="GR55" t="str">
            <v/>
          </cell>
          <cell r="GS55" t="str">
            <v/>
          </cell>
          <cell r="GT55" t="str">
            <v/>
          </cell>
          <cell r="GU55" t="str">
            <v/>
          </cell>
          <cell r="GV55" t="str">
            <v/>
          </cell>
          <cell r="GW55" t="str">
            <v/>
          </cell>
          <cell r="GX55" t="str">
            <v/>
          </cell>
          <cell r="GY55" t="str">
            <v/>
          </cell>
          <cell r="GZ55" t="str">
            <v/>
          </cell>
          <cell r="HA55" t="str">
            <v/>
          </cell>
          <cell r="HB55" t="str">
            <v/>
          </cell>
          <cell r="HC55" t="str">
            <v/>
          </cell>
          <cell r="HD55" t="str">
            <v/>
          </cell>
          <cell r="HE55" t="str">
            <v/>
          </cell>
          <cell r="HF55" t="str">
            <v/>
          </cell>
          <cell r="HG55" t="str">
            <v/>
          </cell>
          <cell r="HH55" t="str">
            <v/>
          </cell>
          <cell r="HI55" t="str">
            <v/>
          </cell>
          <cell r="HJ55" t="str">
            <v/>
          </cell>
          <cell r="HK55" t="str">
            <v/>
          </cell>
          <cell r="HL55" t="str">
            <v/>
          </cell>
          <cell r="HM55" t="str">
            <v/>
          </cell>
          <cell r="HN55" t="str">
            <v/>
          </cell>
          <cell r="HO55" t="str">
            <v/>
          </cell>
          <cell r="HP55" t="str">
            <v/>
          </cell>
          <cell r="HQ55" t="str">
            <v/>
          </cell>
          <cell r="HR55" t="str">
            <v/>
          </cell>
          <cell r="HS55" t="str">
            <v/>
          </cell>
          <cell r="HT55" t="str">
            <v/>
          </cell>
          <cell r="HU55" t="str">
            <v/>
          </cell>
          <cell r="HV55" t="str">
            <v/>
          </cell>
          <cell r="HW55" t="str">
            <v/>
          </cell>
          <cell r="HX55" t="str">
            <v/>
          </cell>
          <cell r="HY55" t="str">
            <v/>
          </cell>
          <cell r="HZ55" t="str">
            <v/>
          </cell>
          <cell r="IA55" t="str">
            <v/>
          </cell>
          <cell r="IB55" t="str">
            <v/>
          </cell>
          <cell r="IC55" t="str">
            <v/>
          </cell>
          <cell r="ID55" t="str">
            <v/>
          </cell>
          <cell r="IE55" t="str">
            <v/>
          </cell>
          <cell r="IF55" t="str">
            <v/>
          </cell>
          <cell r="IG55" t="str">
            <v/>
          </cell>
          <cell r="IH55" t="str">
            <v/>
          </cell>
          <cell r="II55" t="str">
            <v/>
          </cell>
          <cell r="IJ55" t="str">
            <v/>
          </cell>
          <cell r="IK55" t="str">
            <v/>
          </cell>
          <cell r="IL55" t="str">
            <v/>
          </cell>
          <cell r="IM55" t="str">
            <v/>
          </cell>
          <cell r="IN55" t="str">
            <v/>
          </cell>
          <cell r="IO55" t="str">
            <v/>
          </cell>
          <cell r="IP55" t="str">
            <v/>
          </cell>
          <cell r="IQ55" t="str">
            <v/>
          </cell>
          <cell r="IR55" t="str">
            <v/>
          </cell>
          <cell r="IS55" t="str">
            <v/>
          </cell>
          <cell r="IT55" t="str">
            <v/>
          </cell>
          <cell r="IU55" t="str">
            <v/>
          </cell>
          <cell r="IV55" t="str">
            <v/>
          </cell>
          <cell r="IW55" t="str">
            <v/>
          </cell>
          <cell r="IX55" t="str">
            <v/>
          </cell>
          <cell r="IY55" t="str">
            <v/>
          </cell>
          <cell r="IZ55" t="str">
            <v/>
          </cell>
          <cell r="JA55" t="str">
            <v/>
          </cell>
          <cell r="JB55" t="str">
            <v/>
          </cell>
          <cell r="JC55" t="str">
            <v/>
          </cell>
          <cell r="JD55" t="str">
            <v/>
          </cell>
          <cell r="JE55" t="str">
            <v/>
          </cell>
          <cell r="JF55" t="str">
            <v/>
          </cell>
          <cell r="JG55" t="str">
            <v/>
          </cell>
          <cell r="JH55" t="str">
            <v/>
          </cell>
          <cell r="JI55" t="str">
            <v/>
          </cell>
          <cell r="JJ55" t="str">
            <v/>
          </cell>
          <cell r="JK55" t="str">
            <v/>
          </cell>
          <cell r="JL55" t="str">
            <v/>
          </cell>
          <cell r="JM55" t="str">
            <v/>
          </cell>
          <cell r="JN55" t="str">
            <v/>
          </cell>
          <cell r="JO55" t="str">
            <v/>
          </cell>
          <cell r="JP55" t="str">
            <v/>
          </cell>
          <cell r="JQ55" t="str">
            <v/>
          </cell>
          <cell r="JR55" t="str">
            <v/>
          </cell>
          <cell r="JS55" t="str">
            <v/>
          </cell>
          <cell r="JT55" t="str">
            <v/>
          </cell>
          <cell r="JU55" t="str">
            <v/>
          </cell>
          <cell r="JV55" t="str">
            <v/>
          </cell>
          <cell r="JW55" t="str">
            <v/>
          </cell>
          <cell r="JX55" t="str">
            <v/>
          </cell>
          <cell r="JY55" t="str">
            <v/>
          </cell>
          <cell r="JZ55" t="str">
            <v/>
          </cell>
          <cell r="KA55" t="str">
            <v/>
          </cell>
          <cell r="KB55" t="str">
            <v/>
          </cell>
          <cell r="KC55" t="str">
            <v/>
          </cell>
          <cell r="KD55">
            <v>6</v>
          </cell>
          <cell r="KE55">
            <v>6</v>
          </cell>
          <cell r="KF55">
            <v>6</v>
          </cell>
          <cell r="KG55">
            <v>0</v>
          </cell>
          <cell r="KJ55">
            <v>0</v>
          </cell>
          <cell r="KM55">
            <v>0</v>
          </cell>
          <cell r="KP55">
            <v>0</v>
          </cell>
          <cell r="KS55">
            <v>0</v>
          </cell>
          <cell r="KV55">
            <v>0</v>
          </cell>
          <cell r="KY55">
            <v>0</v>
          </cell>
          <cell r="LB55">
            <v>0</v>
          </cell>
          <cell r="LE55">
            <v>0</v>
          </cell>
          <cell r="LH55">
            <v>0</v>
          </cell>
          <cell r="LK55">
            <v>0</v>
          </cell>
          <cell r="LO55">
            <v>45733</v>
          </cell>
          <cell r="LP55" t="str">
            <v>COMPLETADO</v>
          </cell>
        </row>
        <row r="56">
          <cell r="A56">
            <v>1655</v>
          </cell>
          <cell r="B56" t="str">
            <v>RUBEN</v>
          </cell>
          <cell r="C56" t="str">
            <v>BARRACAS GRANDE</v>
          </cell>
          <cell r="D56" t="str">
            <v>MARROQUINERIA GRANDE</v>
          </cell>
          <cell r="E56">
            <v>20</v>
          </cell>
          <cell r="F56">
            <v>17</v>
          </cell>
          <cell r="G56">
            <v>17</v>
          </cell>
          <cell r="H56">
            <v>45732.440578703703</v>
          </cell>
          <cell r="I56" t="str">
            <v>CARTERA LONDRES</v>
          </cell>
          <cell r="J56">
            <v>45712</v>
          </cell>
          <cell r="K56">
            <v>45712</v>
          </cell>
          <cell r="L56">
            <v>45733</v>
          </cell>
          <cell r="M56">
            <v>50</v>
          </cell>
          <cell r="N56" t="str">
            <v>M043</v>
          </cell>
          <cell r="O56" t="str">
            <v>AV0101040201</v>
          </cell>
          <cell r="P56">
            <v>1</v>
          </cell>
          <cell r="Q56" t="str">
            <v>AV0300390101</v>
          </cell>
          <cell r="R56">
            <v>1</v>
          </cell>
          <cell r="S56" t="str">
            <v>AV0300400101</v>
          </cell>
          <cell r="T56">
            <v>4</v>
          </cell>
          <cell r="U56" t="str">
            <v>AV1000430101</v>
          </cell>
          <cell r="V56">
            <v>3</v>
          </cell>
          <cell r="W56" t="str">
            <v>BAC1300020827</v>
          </cell>
          <cell r="X56">
            <v>0.1</v>
          </cell>
          <cell r="Y56" t="str">
            <v>AV0300460101</v>
          </cell>
          <cell r="Z56">
            <v>1</v>
          </cell>
          <cell r="AA56" t="str">
            <v>AV170129018</v>
          </cell>
          <cell r="AB56">
            <v>0</v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  <cell r="AR56" t="str">
            <v/>
          </cell>
          <cell r="AS56" t="str">
            <v>TIRACIERRES N1 - TIRA CON REMACHE Y GRABADO ESTRELLITA</v>
          </cell>
          <cell r="AT56" t="str">
            <v/>
          </cell>
          <cell r="AU56" t="str">
            <v/>
          </cell>
          <cell r="AV56" t="str">
            <v/>
          </cell>
          <cell r="AW56" t="str">
            <v>GRABADO EL LUCERO GRANDE EN ESPALDA A 3.5CM DEL BORDE SUPERIOR, CENTRADO</v>
          </cell>
          <cell r="AX56" t="str">
            <v>MALBEC</v>
          </cell>
          <cell r="AY56" t="str">
            <v>ARENA-CUERO BRIDGE</v>
          </cell>
          <cell r="AZ56" t="str">
            <v>CUE0000008</v>
          </cell>
          <cell r="BA56">
            <v>0.53</v>
          </cell>
          <cell r="BB56" t="str">
            <v>FOR0000020</v>
          </cell>
          <cell r="BC56">
            <v>0.32</v>
          </cell>
          <cell r="BD56" t="str">
            <v>AV1101170526</v>
          </cell>
          <cell r="BE56">
            <v>1.1499999999999999</v>
          </cell>
          <cell r="BF56" t="str">
            <v>AV0100010261</v>
          </cell>
          <cell r="BG56">
            <v>0.28000000000000003</v>
          </cell>
          <cell r="BH56" t="str">
            <v/>
          </cell>
          <cell r="BI56" t="str">
            <v/>
          </cell>
          <cell r="BJ56" t="str">
            <v/>
          </cell>
          <cell r="BK56" t="str">
            <v/>
          </cell>
          <cell r="BL56" t="str">
            <v/>
          </cell>
          <cell r="BM56" t="str">
            <v/>
          </cell>
          <cell r="BN56" t="str">
            <v/>
          </cell>
          <cell r="BO56" t="str">
            <v/>
          </cell>
          <cell r="BP56" t="str">
            <v/>
          </cell>
          <cell r="BQ56" t="str">
            <v/>
          </cell>
          <cell r="BR56" t="str">
            <v>TABACO</v>
          </cell>
          <cell r="BS56" t="str">
            <v>ARENA-CUERO BRIDGE</v>
          </cell>
          <cell r="BT56" t="str">
            <v>CUE0000012</v>
          </cell>
          <cell r="BU56">
            <v>0.53</v>
          </cell>
          <cell r="BV56" t="str">
            <v>FOR0000021</v>
          </cell>
          <cell r="BW56">
            <v>0.32</v>
          </cell>
          <cell r="BX56" t="str">
            <v>AV1101180538</v>
          </cell>
          <cell r="BY56">
            <v>1.1499999999999999</v>
          </cell>
          <cell r="BZ56" t="str">
            <v>AV0100010214</v>
          </cell>
          <cell r="CA56">
            <v>0.28000000000000003</v>
          </cell>
          <cell r="CB56" t="str">
            <v/>
          </cell>
          <cell r="CC56" t="str">
            <v/>
          </cell>
          <cell r="CD56" t="str">
            <v/>
          </cell>
          <cell r="CE56" t="str">
            <v/>
          </cell>
          <cell r="CF56" t="str">
            <v/>
          </cell>
          <cell r="CG56" t="str">
            <v/>
          </cell>
          <cell r="CH56" t="str">
            <v/>
          </cell>
          <cell r="CI56" t="str">
            <v/>
          </cell>
          <cell r="CJ56" t="str">
            <v/>
          </cell>
          <cell r="CK56" t="str">
            <v/>
          </cell>
          <cell r="CL56" t="str">
            <v>CHOCOLATE</v>
          </cell>
          <cell r="CM56" t="str">
            <v>ARENA-CUERO BRIDGE</v>
          </cell>
          <cell r="CN56" t="str">
            <v>CUE0000005</v>
          </cell>
          <cell r="CO56">
            <v>0.53</v>
          </cell>
          <cell r="CP56" t="str">
            <v>FOR0000021</v>
          </cell>
          <cell r="CQ56">
            <v>0.32</v>
          </cell>
          <cell r="CR56" t="str">
            <v>AV1101180538</v>
          </cell>
          <cell r="CS56">
            <v>1.1499999999999999</v>
          </cell>
          <cell r="CT56" t="str">
            <v>CIE0000002</v>
          </cell>
          <cell r="CU56">
            <v>0.28000000000000003</v>
          </cell>
          <cell r="CV56" t="str">
            <v/>
          </cell>
          <cell r="CW56" t="str">
            <v/>
          </cell>
          <cell r="CX56" t="str">
            <v/>
          </cell>
          <cell r="CY56" t="str">
            <v/>
          </cell>
          <cell r="CZ56" t="str">
            <v/>
          </cell>
          <cell r="DA56" t="str">
            <v/>
          </cell>
          <cell r="DB56" t="str">
            <v/>
          </cell>
          <cell r="DC56" t="str">
            <v/>
          </cell>
          <cell r="DD56" t="str">
            <v/>
          </cell>
          <cell r="DE56" t="str">
            <v/>
          </cell>
          <cell r="DF56" t="str">
            <v>VERDE_REVES_VERDE</v>
          </cell>
          <cell r="DG56" t="str">
            <v>BIANCO-CUERO MODENA ESPESOR 1,8</v>
          </cell>
          <cell r="DH56" t="str">
            <v>CUE0000157</v>
          </cell>
          <cell r="DI56">
            <v>0.53</v>
          </cell>
          <cell r="DJ56" t="str">
            <v>FOR0000020</v>
          </cell>
          <cell r="DK56">
            <v>0.32</v>
          </cell>
          <cell r="DL56" t="str">
            <v>AV1101170526</v>
          </cell>
          <cell r="DM56">
            <v>1.1499999999999999</v>
          </cell>
          <cell r="DN56" t="str">
            <v>AV0100010217</v>
          </cell>
          <cell r="DO56">
            <v>0.28000000000000003</v>
          </cell>
          <cell r="DP56" t="str">
            <v/>
          </cell>
          <cell r="DQ56" t="str">
            <v/>
          </cell>
          <cell r="DR56" t="str">
            <v/>
          </cell>
          <cell r="DS56" t="str">
            <v/>
          </cell>
          <cell r="DT56" t="str">
            <v/>
          </cell>
          <cell r="DU56" t="str">
            <v/>
          </cell>
          <cell r="DV56" t="str">
            <v/>
          </cell>
          <cell r="DW56" t="str">
            <v/>
          </cell>
          <cell r="DX56" t="str">
            <v/>
          </cell>
          <cell r="DY56" t="str">
            <v/>
          </cell>
          <cell r="DZ56" t="str">
            <v>AZUL_REVES_AZUL</v>
          </cell>
          <cell r="EA56" t="str">
            <v>BIANCO-CUERO MODENA ESPESOR 1,8</v>
          </cell>
          <cell r="EB56" t="str">
            <v>CUE0000156</v>
          </cell>
          <cell r="EC56">
            <v>0.53</v>
          </cell>
          <cell r="ED56" t="str">
            <v>FOR0000020</v>
          </cell>
          <cell r="EE56">
            <v>0.32</v>
          </cell>
          <cell r="EF56" t="str">
            <v>AV1101170526</v>
          </cell>
          <cell r="EG56">
            <v>1.1499999999999999</v>
          </cell>
          <cell r="EH56" t="str">
            <v>AV0100010215</v>
          </cell>
          <cell r="EI56">
            <v>0.28000000000000003</v>
          </cell>
          <cell r="EJ56" t="str">
            <v/>
          </cell>
          <cell r="EK56" t="str">
            <v/>
          </cell>
          <cell r="EL56" t="str">
            <v/>
          </cell>
          <cell r="EM56" t="str">
            <v/>
          </cell>
          <cell r="EN56" t="str">
            <v/>
          </cell>
          <cell r="EO56" t="str">
            <v/>
          </cell>
          <cell r="EP56" t="str">
            <v/>
          </cell>
          <cell r="EQ56" t="str">
            <v/>
          </cell>
          <cell r="ER56" t="str">
            <v/>
          </cell>
          <cell r="ES56" t="str">
            <v/>
          </cell>
          <cell r="ET56" t="str">
            <v/>
          </cell>
          <cell r="EU56" t="str">
            <v/>
          </cell>
          <cell r="EV56" t="str">
            <v/>
          </cell>
          <cell r="EW56" t="str">
            <v/>
          </cell>
          <cell r="EX56" t="str">
            <v/>
          </cell>
          <cell r="EY56" t="str">
            <v/>
          </cell>
          <cell r="EZ56" t="str">
            <v/>
          </cell>
          <cell r="FA56" t="str">
            <v/>
          </cell>
          <cell r="FB56" t="str">
            <v/>
          </cell>
          <cell r="FC56" t="str">
            <v/>
          </cell>
          <cell r="FD56" t="str">
            <v/>
          </cell>
          <cell r="FE56" t="str">
            <v/>
          </cell>
          <cell r="FF56" t="str">
            <v/>
          </cell>
          <cell r="FG56" t="str">
            <v/>
          </cell>
          <cell r="FH56" t="str">
            <v/>
          </cell>
          <cell r="FI56" t="str">
            <v/>
          </cell>
          <cell r="FJ56" t="str">
            <v/>
          </cell>
          <cell r="FK56" t="str">
            <v/>
          </cell>
          <cell r="FL56" t="str">
            <v/>
          </cell>
          <cell r="FM56" t="str">
            <v/>
          </cell>
          <cell r="FN56" t="str">
            <v/>
          </cell>
          <cell r="FO56" t="str">
            <v/>
          </cell>
          <cell r="FP56" t="str">
            <v/>
          </cell>
          <cell r="FQ56" t="str">
            <v/>
          </cell>
          <cell r="FR56" t="str">
            <v/>
          </cell>
          <cell r="FS56" t="str">
            <v/>
          </cell>
          <cell r="FT56" t="str">
            <v/>
          </cell>
          <cell r="FU56" t="str">
            <v/>
          </cell>
          <cell r="FV56" t="str">
            <v/>
          </cell>
          <cell r="FW56" t="str">
            <v/>
          </cell>
          <cell r="FX56" t="str">
            <v/>
          </cell>
          <cell r="FY56" t="str">
            <v/>
          </cell>
          <cell r="FZ56" t="str">
            <v/>
          </cell>
          <cell r="GA56" t="str">
            <v/>
          </cell>
          <cell r="GB56" t="str">
            <v/>
          </cell>
          <cell r="GC56" t="str">
            <v/>
          </cell>
          <cell r="GD56" t="str">
            <v/>
          </cell>
          <cell r="GE56" t="str">
            <v/>
          </cell>
          <cell r="GF56" t="str">
            <v/>
          </cell>
          <cell r="GG56" t="str">
            <v/>
          </cell>
          <cell r="GH56" t="str">
            <v/>
          </cell>
          <cell r="GI56" t="str">
            <v/>
          </cell>
          <cell r="GJ56" t="str">
            <v/>
          </cell>
          <cell r="GK56" t="str">
            <v/>
          </cell>
          <cell r="GL56" t="str">
            <v/>
          </cell>
          <cell r="GM56" t="str">
            <v/>
          </cell>
          <cell r="GN56" t="str">
            <v/>
          </cell>
          <cell r="GO56" t="str">
            <v/>
          </cell>
          <cell r="GP56" t="str">
            <v/>
          </cell>
          <cell r="GQ56" t="str">
            <v/>
          </cell>
          <cell r="GR56" t="str">
            <v/>
          </cell>
          <cell r="GS56" t="str">
            <v/>
          </cell>
          <cell r="GT56" t="str">
            <v/>
          </cell>
          <cell r="GU56" t="str">
            <v/>
          </cell>
          <cell r="GV56" t="str">
            <v/>
          </cell>
          <cell r="GW56" t="str">
            <v/>
          </cell>
          <cell r="GX56" t="str">
            <v/>
          </cell>
          <cell r="GY56" t="str">
            <v/>
          </cell>
          <cell r="GZ56" t="str">
            <v/>
          </cell>
          <cell r="HA56" t="str">
            <v/>
          </cell>
          <cell r="HB56" t="str">
            <v/>
          </cell>
          <cell r="HC56" t="str">
            <v/>
          </cell>
          <cell r="HD56" t="str">
            <v/>
          </cell>
          <cell r="HE56" t="str">
            <v/>
          </cell>
          <cell r="HF56" t="str">
            <v/>
          </cell>
          <cell r="HG56" t="str">
            <v/>
          </cell>
          <cell r="HH56" t="str">
            <v/>
          </cell>
          <cell r="HI56" t="str">
            <v/>
          </cell>
          <cell r="HJ56" t="str">
            <v/>
          </cell>
          <cell r="HK56" t="str">
            <v/>
          </cell>
          <cell r="HL56" t="str">
            <v/>
          </cell>
          <cell r="HM56" t="str">
            <v/>
          </cell>
          <cell r="HN56" t="str">
            <v/>
          </cell>
          <cell r="HO56" t="str">
            <v/>
          </cell>
          <cell r="HP56" t="str">
            <v/>
          </cell>
          <cell r="HQ56" t="str">
            <v/>
          </cell>
          <cell r="HR56" t="str">
            <v/>
          </cell>
          <cell r="HS56" t="str">
            <v/>
          </cell>
          <cell r="HT56" t="str">
            <v/>
          </cell>
          <cell r="HU56" t="str">
            <v/>
          </cell>
          <cell r="HV56" t="str">
            <v/>
          </cell>
          <cell r="HW56" t="str">
            <v/>
          </cell>
          <cell r="HX56" t="str">
            <v/>
          </cell>
          <cell r="HY56" t="str">
            <v/>
          </cell>
          <cell r="HZ56" t="str">
            <v/>
          </cell>
          <cell r="IA56" t="str">
            <v/>
          </cell>
          <cell r="IB56" t="str">
            <v/>
          </cell>
          <cell r="IC56" t="str">
            <v/>
          </cell>
          <cell r="ID56" t="str">
            <v/>
          </cell>
          <cell r="IE56" t="str">
            <v/>
          </cell>
          <cell r="IF56" t="str">
            <v/>
          </cell>
          <cell r="IG56" t="str">
            <v/>
          </cell>
          <cell r="IH56" t="str">
            <v/>
          </cell>
          <cell r="II56" t="str">
            <v/>
          </cell>
          <cell r="IJ56" t="str">
            <v/>
          </cell>
          <cell r="IK56" t="str">
            <v/>
          </cell>
          <cell r="IL56" t="str">
            <v/>
          </cell>
          <cell r="IM56" t="str">
            <v/>
          </cell>
          <cell r="IN56" t="str">
            <v/>
          </cell>
          <cell r="IO56" t="str">
            <v/>
          </cell>
          <cell r="IP56" t="str">
            <v/>
          </cell>
          <cell r="IQ56" t="str">
            <v/>
          </cell>
          <cell r="IR56" t="str">
            <v/>
          </cell>
          <cell r="IS56" t="str">
            <v/>
          </cell>
          <cell r="IT56" t="str">
            <v/>
          </cell>
          <cell r="IU56" t="str">
            <v/>
          </cell>
          <cell r="IV56" t="str">
            <v/>
          </cell>
          <cell r="IW56" t="str">
            <v/>
          </cell>
          <cell r="IX56" t="str">
            <v/>
          </cell>
          <cell r="IY56" t="str">
            <v/>
          </cell>
          <cell r="IZ56" t="str">
            <v/>
          </cell>
          <cell r="JA56" t="str">
            <v/>
          </cell>
          <cell r="JB56" t="str">
            <v/>
          </cell>
          <cell r="JC56" t="str">
            <v/>
          </cell>
          <cell r="JD56" t="str">
            <v/>
          </cell>
          <cell r="JE56" t="str">
            <v/>
          </cell>
          <cell r="JF56" t="str">
            <v/>
          </cell>
          <cell r="JG56" t="str">
            <v/>
          </cell>
          <cell r="JH56" t="str">
            <v/>
          </cell>
          <cell r="JI56" t="str">
            <v/>
          </cell>
          <cell r="JJ56" t="str">
            <v/>
          </cell>
          <cell r="JK56" t="str">
            <v/>
          </cell>
          <cell r="JL56" t="str">
            <v/>
          </cell>
          <cell r="JM56" t="str">
            <v/>
          </cell>
          <cell r="JN56" t="str">
            <v/>
          </cell>
          <cell r="JO56" t="str">
            <v/>
          </cell>
          <cell r="JP56" t="str">
            <v/>
          </cell>
          <cell r="JQ56" t="str">
            <v/>
          </cell>
          <cell r="JR56" t="str">
            <v/>
          </cell>
          <cell r="JS56" t="str">
            <v/>
          </cell>
          <cell r="JT56" t="str">
            <v/>
          </cell>
          <cell r="JU56" t="str">
            <v/>
          </cell>
          <cell r="JV56" t="str">
            <v/>
          </cell>
          <cell r="JW56" t="str">
            <v/>
          </cell>
          <cell r="JX56" t="str">
            <v/>
          </cell>
          <cell r="JY56" t="str">
            <v/>
          </cell>
          <cell r="JZ56" t="str">
            <v/>
          </cell>
          <cell r="KA56" t="str">
            <v/>
          </cell>
          <cell r="KB56" t="str">
            <v/>
          </cell>
          <cell r="KC56" t="str">
            <v/>
          </cell>
          <cell r="KD56">
            <v>3</v>
          </cell>
          <cell r="KE56">
            <v>3</v>
          </cell>
          <cell r="KF56">
            <v>3</v>
          </cell>
          <cell r="KG56">
            <v>2</v>
          </cell>
          <cell r="KH56">
            <v>2</v>
          </cell>
          <cell r="KI56">
            <v>2</v>
          </cell>
          <cell r="KJ56">
            <v>3</v>
          </cell>
          <cell r="KK56">
            <v>3</v>
          </cell>
          <cell r="KL56">
            <v>3</v>
          </cell>
          <cell r="KM56">
            <v>6</v>
          </cell>
          <cell r="KN56">
            <v>6</v>
          </cell>
          <cell r="KO56">
            <v>6</v>
          </cell>
          <cell r="KP56">
            <v>6</v>
          </cell>
          <cell r="KQ56">
            <v>3</v>
          </cell>
          <cell r="KR56">
            <v>3</v>
          </cell>
          <cell r="KS56">
            <v>0</v>
          </cell>
          <cell r="KV56">
            <v>0</v>
          </cell>
          <cell r="KY56">
            <v>0</v>
          </cell>
          <cell r="LB56">
            <v>0</v>
          </cell>
          <cell r="LE56">
            <v>0</v>
          </cell>
          <cell r="LH56">
            <v>0</v>
          </cell>
          <cell r="LK56">
            <v>0</v>
          </cell>
          <cell r="LN56">
            <v>45712</v>
          </cell>
          <cell r="LO56">
            <v>45909</v>
          </cell>
          <cell r="LP56" t="str">
            <v>COMPLETADO</v>
          </cell>
        </row>
        <row r="57">
          <cell r="A57">
            <v>1656</v>
          </cell>
          <cell r="B57" t="str">
            <v>RUBEN</v>
          </cell>
          <cell r="C57" t="str">
            <v>BARRACAS GRANDE</v>
          </cell>
          <cell r="D57" t="str">
            <v>MARROQUINERIA GRANDE</v>
          </cell>
          <cell r="E57">
            <v>6</v>
          </cell>
          <cell r="F57">
            <v>0</v>
          </cell>
          <cell r="G57">
            <v>0</v>
          </cell>
          <cell r="H57">
            <v>45732.443796296298</v>
          </cell>
          <cell r="I57" t="str">
            <v>CARTERA MINI APHOLO C/ CIERRE</v>
          </cell>
          <cell r="M57">
            <v>40</v>
          </cell>
          <cell r="N57" t="str">
            <v>M044</v>
          </cell>
          <cell r="O57" t="str">
            <v>AV0101030201</v>
          </cell>
          <cell r="P57">
            <v>1</v>
          </cell>
          <cell r="Q57" t="str">
            <v>AV1000380101</v>
          </cell>
          <cell r="R57">
            <v>1</v>
          </cell>
          <cell r="S57" t="str">
            <v>AV0300400101</v>
          </cell>
          <cell r="T57">
            <v>1</v>
          </cell>
          <cell r="U57" t="str">
            <v>BAC1300020827</v>
          </cell>
          <cell r="V57">
            <v>0.02</v>
          </cell>
          <cell r="W57" t="str">
            <v>AV170129018</v>
          </cell>
          <cell r="X57">
            <v>0</v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  <cell r="AH57" t="str">
            <v/>
          </cell>
          <cell r="AI57" t="str">
            <v/>
          </cell>
          <cell r="AJ57" t="str">
            <v/>
          </cell>
          <cell r="AK57" t="str">
            <v/>
          </cell>
          <cell r="AL57" t="str">
            <v/>
          </cell>
          <cell r="AM57" t="str">
            <v/>
          </cell>
          <cell r="AN57" t="str">
            <v/>
          </cell>
          <cell r="AO57" t="str">
            <v/>
          </cell>
          <cell r="AP57" t="str">
            <v/>
          </cell>
          <cell r="AQ57" t="str">
            <v/>
          </cell>
          <cell r="AR57" t="str">
            <v/>
          </cell>
          <cell r="AS57" t="str">
            <v>TIRACIERRE 1 : ARGOLLITA CON TIRA DE CUERO + REMACHE + GRABADO ESTRELLA</v>
          </cell>
          <cell r="AT57" t="str">
            <v/>
          </cell>
          <cell r="AU57" t="str">
            <v/>
          </cell>
          <cell r="AV57" t="str">
            <v/>
          </cell>
          <cell r="AW57" t="str">
            <v xml:space="preserve">GRABADO "EL LUCERO" GRANDE - CENTRADO EN ESPALDA A 3 CM DESDE EL BORDE SUPERIOR </v>
          </cell>
          <cell r="AX57" t="str">
            <v>MALBEC</v>
          </cell>
          <cell r="AY57" t="str">
            <v>ARENA-CUERO BRIDGE</v>
          </cell>
          <cell r="AZ57" t="str">
            <v>CUE0000008</v>
          </cell>
          <cell r="BA57">
            <v>0.55000000000000004</v>
          </cell>
          <cell r="BB57" t="str">
            <v>AV1401240545</v>
          </cell>
          <cell r="BC57">
            <v>0</v>
          </cell>
          <cell r="BD57" t="str">
            <v>FOR0000020</v>
          </cell>
          <cell r="BE57">
            <v>0.03</v>
          </cell>
          <cell r="BF57" t="str">
            <v>AV0100010261</v>
          </cell>
          <cell r="BG57">
            <v>0.31</v>
          </cell>
          <cell r="BH57" t="str">
            <v/>
          </cell>
          <cell r="BI57" t="str">
            <v/>
          </cell>
          <cell r="BJ57" t="str">
            <v/>
          </cell>
          <cell r="BK57" t="str">
            <v/>
          </cell>
          <cell r="BL57" t="str">
            <v/>
          </cell>
          <cell r="BM57" t="str">
            <v/>
          </cell>
          <cell r="BN57" t="str">
            <v/>
          </cell>
          <cell r="BO57" t="str">
            <v/>
          </cell>
          <cell r="BP57" t="str">
            <v/>
          </cell>
          <cell r="BQ57" t="str">
            <v/>
          </cell>
          <cell r="BR57" t="str">
            <v/>
          </cell>
          <cell r="BS57" t="str">
            <v/>
          </cell>
          <cell r="BT57" t="str">
            <v/>
          </cell>
          <cell r="BU57" t="str">
            <v/>
          </cell>
          <cell r="BV57" t="str">
            <v/>
          </cell>
          <cell r="BW57" t="str">
            <v/>
          </cell>
          <cell r="BX57" t="str">
            <v/>
          </cell>
          <cell r="BY57" t="str">
            <v/>
          </cell>
          <cell r="BZ57" t="str">
            <v/>
          </cell>
          <cell r="CA57" t="str">
            <v/>
          </cell>
          <cell r="CB57" t="str">
            <v/>
          </cell>
          <cell r="CC57" t="str">
            <v/>
          </cell>
          <cell r="CD57" t="str">
            <v/>
          </cell>
          <cell r="CE57" t="str">
            <v/>
          </cell>
          <cell r="CF57" t="str">
            <v/>
          </cell>
          <cell r="CG57" t="str">
            <v/>
          </cell>
          <cell r="CH57" t="str">
            <v/>
          </cell>
          <cell r="CI57" t="str">
            <v/>
          </cell>
          <cell r="CJ57" t="str">
            <v/>
          </cell>
          <cell r="CK57" t="str">
            <v/>
          </cell>
          <cell r="CL57" t="str">
            <v/>
          </cell>
          <cell r="CM57" t="str">
            <v/>
          </cell>
          <cell r="CN57" t="str">
            <v/>
          </cell>
          <cell r="CO57" t="str">
            <v/>
          </cell>
          <cell r="CP57" t="str">
            <v/>
          </cell>
          <cell r="CQ57" t="str">
            <v/>
          </cell>
          <cell r="CR57" t="str">
            <v/>
          </cell>
          <cell r="CS57" t="str">
            <v/>
          </cell>
          <cell r="CT57" t="str">
            <v/>
          </cell>
          <cell r="CU57" t="str">
            <v/>
          </cell>
          <cell r="CV57" t="str">
            <v/>
          </cell>
          <cell r="CW57" t="str">
            <v/>
          </cell>
          <cell r="CX57" t="str">
            <v/>
          </cell>
          <cell r="CY57" t="str">
            <v/>
          </cell>
          <cell r="CZ57" t="str">
            <v/>
          </cell>
          <cell r="DA57" t="str">
            <v/>
          </cell>
          <cell r="DB57" t="str">
            <v/>
          </cell>
          <cell r="DC57" t="str">
            <v/>
          </cell>
          <cell r="DD57" t="str">
            <v/>
          </cell>
          <cell r="DE57" t="str">
            <v/>
          </cell>
          <cell r="DF57" t="str">
            <v/>
          </cell>
          <cell r="DG57" t="str">
            <v/>
          </cell>
          <cell r="DH57" t="str">
            <v/>
          </cell>
          <cell r="DI57" t="str">
            <v/>
          </cell>
          <cell r="DJ57" t="str">
            <v/>
          </cell>
          <cell r="DK57" t="str">
            <v/>
          </cell>
          <cell r="DL57" t="str">
            <v/>
          </cell>
          <cell r="DM57" t="str">
            <v/>
          </cell>
          <cell r="DN57" t="str">
            <v/>
          </cell>
          <cell r="DO57" t="str">
            <v/>
          </cell>
          <cell r="DP57" t="str">
            <v/>
          </cell>
          <cell r="DQ57" t="str">
            <v/>
          </cell>
          <cell r="DR57" t="str">
            <v/>
          </cell>
          <cell r="DS57" t="str">
            <v/>
          </cell>
          <cell r="DT57" t="str">
            <v/>
          </cell>
          <cell r="DU57" t="str">
            <v/>
          </cell>
          <cell r="DV57" t="str">
            <v/>
          </cell>
          <cell r="DW57" t="str">
            <v/>
          </cell>
          <cell r="DX57" t="str">
            <v/>
          </cell>
          <cell r="DY57" t="str">
            <v/>
          </cell>
          <cell r="DZ57" t="str">
            <v/>
          </cell>
          <cell r="EA57" t="str">
            <v/>
          </cell>
          <cell r="EB57" t="str">
            <v/>
          </cell>
          <cell r="EC57" t="str">
            <v/>
          </cell>
          <cell r="ED57" t="str">
            <v/>
          </cell>
          <cell r="EE57" t="str">
            <v/>
          </cell>
          <cell r="EF57" t="str">
            <v/>
          </cell>
          <cell r="EG57" t="str">
            <v/>
          </cell>
          <cell r="EH57" t="str">
            <v/>
          </cell>
          <cell r="EI57" t="str">
            <v/>
          </cell>
          <cell r="EJ57" t="str">
            <v/>
          </cell>
          <cell r="EK57" t="str">
            <v/>
          </cell>
          <cell r="EL57" t="str">
            <v/>
          </cell>
          <cell r="EM57" t="str">
            <v/>
          </cell>
          <cell r="EN57" t="str">
            <v/>
          </cell>
          <cell r="EO57" t="str">
            <v/>
          </cell>
          <cell r="EP57" t="str">
            <v/>
          </cell>
          <cell r="EQ57" t="str">
            <v/>
          </cell>
          <cell r="ER57" t="str">
            <v/>
          </cell>
          <cell r="ES57" t="str">
            <v/>
          </cell>
          <cell r="ET57" t="str">
            <v/>
          </cell>
          <cell r="EU57" t="str">
            <v/>
          </cell>
          <cell r="EV57" t="str">
            <v/>
          </cell>
          <cell r="EW57" t="str">
            <v/>
          </cell>
          <cell r="EX57" t="str">
            <v/>
          </cell>
          <cell r="EY57" t="str">
            <v/>
          </cell>
          <cell r="EZ57" t="str">
            <v/>
          </cell>
          <cell r="FA57" t="str">
            <v/>
          </cell>
          <cell r="FB57" t="str">
            <v/>
          </cell>
          <cell r="FC57" t="str">
            <v/>
          </cell>
          <cell r="FD57" t="str">
            <v/>
          </cell>
          <cell r="FE57" t="str">
            <v/>
          </cell>
          <cell r="FF57" t="str">
            <v/>
          </cell>
          <cell r="FG57" t="str">
            <v/>
          </cell>
          <cell r="FH57" t="str">
            <v/>
          </cell>
          <cell r="FI57" t="str">
            <v/>
          </cell>
          <cell r="FJ57" t="str">
            <v/>
          </cell>
          <cell r="FK57" t="str">
            <v/>
          </cell>
          <cell r="FL57" t="str">
            <v/>
          </cell>
          <cell r="FM57" t="str">
            <v/>
          </cell>
          <cell r="FN57" t="str">
            <v/>
          </cell>
          <cell r="FO57" t="str">
            <v/>
          </cell>
          <cell r="FP57" t="str">
            <v/>
          </cell>
          <cell r="FQ57" t="str">
            <v/>
          </cell>
          <cell r="FR57" t="str">
            <v/>
          </cell>
          <cell r="FS57" t="str">
            <v/>
          </cell>
          <cell r="FT57" t="str">
            <v/>
          </cell>
          <cell r="FU57" t="str">
            <v/>
          </cell>
          <cell r="FV57" t="str">
            <v/>
          </cell>
          <cell r="FW57" t="str">
            <v/>
          </cell>
          <cell r="FX57" t="str">
            <v/>
          </cell>
          <cell r="FY57" t="str">
            <v/>
          </cell>
          <cell r="FZ57" t="str">
            <v/>
          </cell>
          <cell r="GA57" t="str">
            <v/>
          </cell>
          <cell r="GB57" t="str">
            <v/>
          </cell>
          <cell r="GC57" t="str">
            <v/>
          </cell>
          <cell r="GD57" t="str">
            <v/>
          </cell>
          <cell r="GE57" t="str">
            <v/>
          </cell>
          <cell r="GF57" t="str">
            <v/>
          </cell>
          <cell r="GG57" t="str">
            <v/>
          </cell>
          <cell r="GH57" t="str">
            <v/>
          </cell>
          <cell r="GI57" t="str">
            <v/>
          </cell>
          <cell r="GJ57" t="str">
            <v/>
          </cell>
          <cell r="GK57" t="str">
            <v/>
          </cell>
          <cell r="GL57" t="str">
            <v/>
          </cell>
          <cell r="GM57" t="str">
            <v/>
          </cell>
          <cell r="GN57" t="str">
            <v/>
          </cell>
          <cell r="GO57" t="str">
            <v/>
          </cell>
          <cell r="GP57" t="str">
            <v/>
          </cell>
          <cell r="GQ57" t="str">
            <v/>
          </cell>
          <cell r="GR57" t="str">
            <v/>
          </cell>
          <cell r="GS57" t="str">
            <v/>
          </cell>
          <cell r="GT57" t="str">
            <v/>
          </cell>
          <cell r="GU57" t="str">
            <v/>
          </cell>
          <cell r="GV57" t="str">
            <v/>
          </cell>
          <cell r="GW57" t="str">
            <v/>
          </cell>
          <cell r="GX57" t="str">
            <v/>
          </cell>
          <cell r="GY57" t="str">
            <v/>
          </cell>
          <cell r="GZ57" t="str">
            <v/>
          </cell>
          <cell r="HA57" t="str">
            <v/>
          </cell>
          <cell r="HB57" t="str">
            <v/>
          </cell>
          <cell r="HC57" t="str">
            <v/>
          </cell>
          <cell r="HD57" t="str">
            <v/>
          </cell>
          <cell r="HE57" t="str">
            <v/>
          </cell>
          <cell r="HF57" t="str">
            <v/>
          </cell>
          <cell r="HG57" t="str">
            <v/>
          </cell>
          <cell r="HH57" t="str">
            <v/>
          </cell>
          <cell r="HI57" t="str">
            <v/>
          </cell>
          <cell r="HJ57" t="str">
            <v/>
          </cell>
          <cell r="HK57" t="str">
            <v/>
          </cell>
          <cell r="HL57" t="str">
            <v/>
          </cell>
          <cell r="HM57" t="str">
            <v/>
          </cell>
          <cell r="HN57" t="str">
            <v/>
          </cell>
          <cell r="HO57" t="str">
            <v/>
          </cell>
          <cell r="HP57" t="str">
            <v/>
          </cell>
          <cell r="HQ57" t="str">
            <v/>
          </cell>
          <cell r="HR57" t="str">
            <v/>
          </cell>
          <cell r="HS57" t="str">
            <v/>
          </cell>
          <cell r="HT57" t="str">
            <v/>
          </cell>
          <cell r="HU57" t="str">
            <v/>
          </cell>
          <cell r="HV57" t="str">
            <v/>
          </cell>
          <cell r="HW57" t="str">
            <v/>
          </cell>
          <cell r="HX57" t="str">
            <v/>
          </cell>
          <cell r="HY57" t="str">
            <v/>
          </cell>
          <cell r="HZ57" t="str">
            <v/>
          </cell>
          <cell r="IA57" t="str">
            <v/>
          </cell>
          <cell r="IB57" t="str">
            <v/>
          </cell>
          <cell r="IC57" t="str">
            <v/>
          </cell>
          <cell r="ID57" t="str">
            <v/>
          </cell>
          <cell r="IE57" t="str">
            <v/>
          </cell>
          <cell r="IF57" t="str">
            <v/>
          </cell>
          <cell r="IG57" t="str">
            <v/>
          </cell>
          <cell r="IH57" t="str">
            <v/>
          </cell>
          <cell r="II57" t="str">
            <v/>
          </cell>
          <cell r="IJ57" t="str">
            <v/>
          </cell>
          <cell r="IK57" t="str">
            <v/>
          </cell>
          <cell r="IL57" t="str">
            <v/>
          </cell>
          <cell r="IM57" t="str">
            <v/>
          </cell>
          <cell r="IN57" t="str">
            <v/>
          </cell>
          <cell r="IO57" t="str">
            <v/>
          </cell>
          <cell r="IP57" t="str">
            <v/>
          </cell>
          <cell r="IQ57" t="str">
            <v/>
          </cell>
          <cell r="IR57" t="str">
            <v/>
          </cell>
          <cell r="IS57" t="str">
            <v/>
          </cell>
          <cell r="IT57" t="str">
            <v/>
          </cell>
          <cell r="IU57" t="str">
            <v/>
          </cell>
          <cell r="IV57" t="str">
            <v/>
          </cell>
          <cell r="IW57" t="str">
            <v/>
          </cell>
          <cell r="IX57" t="str">
            <v/>
          </cell>
          <cell r="IY57" t="str">
            <v/>
          </cell>
          <cell r="IZ57" t="str">
            <v/>
          </cell>
          <cell r="JA57" t="str">
            <v/>
          </cell>
          <cell r="JB57" t="str">
            <v/>
          </cell>
          <cell r="JC57" t="str">
            <v/>
          </cell>
          <cell r="JD57" t="str">
            <v/>
          </cell>
          <cell r="JE57" t="str">
            <v/>
          </cell>
          <cell r="JF57" t="str">
            <v/>
          </cell>
          <cell r="JG57" t="str">
            <v/>
          </cell>
          <cell r="JH57" t="str">
            <v/>
          </cell>
          <cell r="JI57" t="str">
            <v/>
          </cell>
          <cell r="JJ57" t="str">
            <v/>
          </cell>
          <cell r="JK57" t="str">
            <v/>
          </cell>
          <cell r="JL57" t="str">
            <v/>
          </cell>
          <cell r="JM57" t="str">
            <v/>
          </cell>
          <cell r="JN57" t="str">
            <v/>
          </cell>
          <cell r="JO57" t="str">
            <v/>
          </cell>
          <cell r="JP57" t="str">
            <v/>
          </cell>
          <cell r="JQ57" t="str">
            <v/>
          </cell>
          <cell r="JR57" t="str">
            <v/>
          </cell>
          <cell r="JS57" t="str">
            <v/>
          </cell>
          <cell r="JT57" t="str">
            <v/>
          </cell>
          <cell r="JU57" t="str">
            <v/>
          </cell>
          <cell r="JV57" t="str">
            <v/>
          </cell>
          <cell r="JW57" t="str">
            <v/>
          </cell>
          <cell r="JX57" t="str">
            <v/>
          </cell>
          <cell r="JY57" t="str">
            <v/>
          </cell>
          <cell r="JZ57" t="str">
            <v/>
          </cell>
          <cell r="KA57" t="str">
            <v/>
          </cell>
          <cell r="KB57" t="str">
            <v/>
          </cell>
          <cell r="KC57" t="str">
            <v/>
          </cell>
          <cell r="KD57">
            <v>6</v>
          </cell>
          <cell r="KE57">
            <v>0</v>
          </cell>
          <cell r="KF57">
            <v>0</v>
          </cell>
          <cell r="KG57">
            <v>0</v>
          </cell>
          <cell r="KJ57">
            <v>0</v>
          </cell>
          <cell r="KM57">
            <v>0</v>
          </cell>
          <cell r="KP57">
            <v>0</v>
          </cell>
          <cell r="KS57">
            <v>0</v>
          </cell>
          <cell r="KV57">
            <v>0</v>
          </cell>
          <cell r="KY57">
            <v>0</v>
          </cell>
          <cell r="LB57">
            <v>0</v>
          </cell>
          <cell r="LE57">
            <v>0</v>
          </cell>
          <cell r="LH57">
            <v>0</v>
          </cell>
          <cell r="LK57">
            <v>0</v>
          </cell>
          <cell r="LP57" t="str">
            <v>NO COMENZADO</v>
          </cell>
        </row>
        <row r="58">
          <cell r="A58">
            <v>1657</v>
          </cell>
          <cell r="B58" t="str">
            <v>RUBEN</v>
          </cell>
          <cell r="C58" t="str">
            <v>BARRACAS GRANDE</v>
          </cell>
          <cell r="D58" t="str">
            <v>MARROQUINERIA CHICA</v>
          </cell>
          <cell r="E58">
            <v>12</v>
          </cell>
          <cell r="F58">
            <v>12</v>
          </cell>
          <cell r="G58">
            <v>12</v>
          </cell>
          <cell r="H58">
            <v>45732.447731481479</v>
          </cell>
          <cell r="I58" t="str">
            <v>MINI EMMA</v>
          </cell>
          <cell r="J58">
            <v>45706</v>
          </cell>
          <cell r="K58">
            <v>45706</v>
          </cell>
          <cell r="M58">
            <v>55</v>
          </cell>
          <cell r="N58" t="str">
            <v>M137</v>
          </cell>
          <cell r="O58" t="str">
            <v>AV170134014</v>
          </cell>
          <cell r="P58">
            <v>0</v>
          </cell>
          <cell r="Q58" t="str">
            <v>BAC1300020827</v>
          </cell>
          <cell r="R58">
            <v>0.01</v>
          </cell>
          <cell r="S58" t="str">
            <v>AV0300440101</v>
          </cell>
          <cell r="T58">
            <v>1</v>
          </cell>
          <cell r="U58" t="str">
            <v>VAR0000011</v>
          </cell>
          <cell r="V58">
            <v>0.44</v>
          </cell>
          <cell r="W58" t="str">
            <v>AV0400770101</v>
          </cell>
          <cell r="X58">
            <v>2</v>
          </cell>
          <cell r="Y58" t="str">
            <v>AV0400230101</v>
          </cell>
          <cell r="Z58">
            <v>1</v>
          </cell>
          <cell r="AA58" t="str">
            <v>AV0601400101</v>
          </cell>
          <cell r="AB58">
            <v>2</v>
          </cell>
          <cell r="AC58" t="str">
            <v>AV0300400101</v>
          </cell>
          <cell r="AD58">
            <v>5</v>
          </cell>
          <cell r="AE58" t="str">
            <v/>
          </cell>
          <cell r="AF58" t="str">
            <v/>
          </cell>
          <cell r="AG58" t="str">
            <v/>
          </cell>
          <cell r="AH58" t="str">
            <v/>
          </cell>
          <cell r="AI58" t="str">
            <v/>
          </cell>
          <cell r="AJ58" t="str">
            <v/>
          </cell>
          <cell r="AK58" t="str">
            <v/>
          </cell>
          <cell r="AL58" t="str">
            <v/>
          </cell>
          <cell r="AM58" t="str">
            <v/>
          </cell>
          <cell r="AN58" t="str">
            <v/>
          </cell>
          <cell r="AO58" t="str">
            <v/>
          </cell>
          <cell r="AP58" t="str">
            <v/>
          </cell>
          <cell r="AQ58" t="str">
            <v/>
          </cell>
          <cell r="AR58" t="str">
            <v/>
          </cell>
          <cell r="AS58" t="str">
            <v/>
          </cell>
          <cell r="AT58" t="str">
            <v/>
          </cell>
          <cell r="AU58" t="str">
            <v/>
          </cell>
          <cell r="AV58" t="str">
            <v/>
          </cell>
          <cell r="AW58" t="str">
            <v xml:space="preserve">GRABADO EL LUCERO GRANDE ARRIBA CENTRADO. DEJAR 3CM Y GRABAR  </v>
          </cell>
          <cell r="AX58" t="str">
            <v>ROJO</v>
          </cell>
          <cell r="AY58" t="str">
            <v>ARENA-CUERO NAPADO</v>
          </cell>
          <cell r="AZ58" t="str">
            <v>CUE0000027</v>
          </cell>
          <cell r="BA58">
            <v>0.26</v>
          </cell>
          <cell r="BB58" t="str">
            <v/>
          </cell>
          <cell r="BC58" t="str">
            <v/>
          </cell>
          <cell r="BD58" t="str">
            <v/>
          </cell>
          <cell r="BE58" t="str">
            <v/>
          </cell>
          <cell r="BF58" t="str">
            <v/>
          </cell>
          <cell r="BG58" t="str">
            <v/>
          </cell>
          <cell r="BH58" t="str">
            <v/>
          </cell>
          <cell r="BI58" t="str">
            <v/>
          </cell>
          <cell r="BJ58" t="str">
            <v/>
          </cell>
          <cell r="BK58" t="str">
            <v/>
          </cell>
          <cell r="BL58" t="str">
            <v/>
          </cell>
          <cell r="BM58" t="str">
            <v/>
          </cell>
          <cell r="BN58" t="str">
            <v/>
          </cell>
          <cell r="BO58" t="str">
            <v/>
          </cell>
          <cell r="BP58" t="str">
            <v/>
          </cell>
          <cell r="BQ58" t="str">
            <v/>
          </cell>
          <cell r="BR58" t="str">
            <v>MALBEC</v>
          </cell>
          <cell r="BS58" t="str">
            <v>ARENA-CUERO NAPADO</v>
          </cell>
          <cell r="BT58" t="str">
            <v>CUE0000025</v>
          </cell>
          <cell r="BU58">
            <v>0.26</v>
          </cell>
          <cell r="BV58" t="str">
            <v/>
          </cell>
          <cell r="BW58" t="str">
            <v/>
          </cell>
          <cell r="BX58" t="str">
            <v/>
          </cell>
          <cell r="BY58" t="str">
            <v/>
          </cell>
          <cell r="BZ58" t="str">
            <v/>
          </cell>
          <cell r="CA58" t="str">
            <v/>
          </cell>
          <cell r="CB58" t="str">
            <v/>
          </cell>
          <cell r="CC58" t="str">
            <v/>
          </cell>
          <cell r="CD58" t="str">
            <v/>
          </cell>
          <cell r="CE58" t="str">
            <v/>
          </cell>
          <cell r="CF58" t="str">
            <v/>
          </cell>
          <cell r="CG58" t="str">
            <v/>
          </cell>
          <cell r="CH58" t="str">
            <v/>
          </cell>
          <cell r="CI58" t="str">
            <v/>
          </cell>
          <cell r="CJ58" t="str">
            <v/>
          </cell>
          <cell r="CK58" t="str">
            <v/>
          </cell>
          <cell r="CL58" t="str">
            <v/>
          </cell>
          <cell r="CM58" t="str">
            <v/>
          </cell>
          <cell r="CN58" t="str">
            <v/>
          </cell>
          <cell r="CO58" t="str">
            <v/>
          </cell>
          <cell r="CP58" t="str">
            <v/>
          </cell>
          <cell r="CQ58" t="str">
            <v/>
          </cell>
          <cell r="CR58" t="str">
            <v/>
          </cell>
          <cell r="CS58" t="str">
            <v/>
          </cell>
          <cell r="CT58" t="str">
            <v/>
          </cell>
          <cell r="CU58" t="str">
            <v/>
          </cell>
          <cell r="CV58" t="str">
            <v/>
          </cell>
          <cell r="CW58" t="str">
            <v/>
          </cell>
          <cell r="CX58" t="str">
            <v/>
          </cell>
          <cell r="CY58" t="str">
            <v/>
          </cell>
          <cell r="CZ58" t="str">
            <v/>
          </cell>
          <cell r="DA58" t="str">
            <v/>
          </cell>
          <cell r="DB58" t="str">
            <v/>
          </cell>
          <cell r="DC58" t="str">
            <v/>
          </cell>
          <cell r="DD58" t="str">
            <v/>
          </cell>
          <cell r="DE58" t="str">
            <v/>
          </cell>
          <cell r="DF58" t="str">
            <v/>
          </cell>
          <cell r="DG58" t="str">
            <v/>
          </cell>
          <cell r="DH58" t="str">
            <v/>
          </cell>
          <cell r="DI58" t="str">
            <v/>
          </cell>
          <cell r="DJ58" t="str">
            <v/>
          </cell>
          <cell r="DK58" t="str">
            <v/>
          </cell>
          <cell r="DL58" t="str">
            <v/>
          </cell>
          <cell r="DM58" t="str">
            <v/>
          </cell>
          <cell r="DN58" t="str">
            <v/>
          </cell>
          <cell r="DO58" t="str">
            <v/>
          </cell>
          <cell r="DP58" t="str">
            <v/>
          </cell>
          <cell r="DQ58" t="str">
            <v/>
          </cell>
          <cell r="DR58" t="str">
            <v/>
          </cell>
          <cell r="DS58" t="str">
            <v/>
          </cell>
          <cell r="DT58" t="str">
            <v/>
          </cell>
          <cell r="DU58" t="str">
            <v/>
          </cell>
          <cell r="DV58" t="str">
            <v/>
          </cell>
          <cell r="DW58" t="str">
            <v/>
          </cell>
          <cell r="DX58" t="str">
            <v/>
          </cell>
          <cell r="DY58" t="str">
            <v/>
          </cell>
          <cell r="DZ58" t="str">
            <v/>
          </cell>
          <cell r="EA58" t="str">
            <v/>
          </cell>
          <cell r="EB58" t="str">
            <v/>
          </cell>
          <cell r="EC58" t="str">
            <v/>
          </cell>
          <cell r="ED58" t="str">
            <v/>
          </cell>
          <cell r="EE58" t="str">
            <v/>
          </cell>
          <cell r="EF58" t="str">
            <v/>
          </cell>
          <cell r="EG58" t="str">
            <v/>
          </cell>
          <cell r="EH58" t="str">
            <v/>
          </cell>
          <cell r="EI58" t="str">
            <v/>
          </cell>
          <cell r="EJ58" t="str">
            <v/>
          </cell>
          <cell r="EK58" t="str">
            <v/>
          </cell>
          <cell r="EL58" t="str">
            <v/>
          </cell>
          <cell r="EM58" t="str">
            <v/>
          </cell>
          <cell r="EN58" t="str">
            <v/>
          </cell>
          <cell r="EO58" t="str">
            <v/>
          </cell>
          <cell r="EP58" t="str">
            <v/>
          </cell>
          <cell r="EQ58" t="str">
            <v/>
          </cell>
          <cell r="ER58" t="str">
            <v/>
          </cell>
          <cell r="ES58" t="str">
            <v/>
          </cell>
          <cell r="ET58" t="str">
            <v/>
          </cell>
          <cell r="EU58" t="str">
            <v/>
          </cell>
          <cell r="EV58" t="str">
            <v/>
          </cell>
          <cell r="EW58" t="str">
            <v/>
          </cell>
          <cell r="EX58" t="str">
            <v/>
          </cell>
          <cell r="EY58" t="str">
            <v/>
          </cell>
          <cell r="EZ58" t="str">
            <v/>
          </cell>
          <cell r="FA58" t="str">
            <v/>
          </cell>
          <cell r="FB58" t="str">
            <v/>
          </cell>
          <cell r="FC58" t="str">
            <v/>
          </cell>
          <cell r="FD58" t="str">
            <v/>
          </cell>
          <cell r="FE58" t="str">
            <v/>
          </cell>
          <cell r="FF58" t="str">
            <v/>
          </cell>
          <cell r="FG58" t="str">
            <v/>
          </cell>
          <cell r="FH58" t="str">
            <v/>
          </cell>
          <cell r="FI58" t="str">
            <v/>
          </cell>
          <cell r="FJ58" t="str">
            <v/>
          </cell>
          <cell r="FK58" t="str">
            <v/>
          </cell>
          <cell r="FL58" t="str">
            <v/>
          </cell>
          <cell r="FM58" t="str">
            <v/>
          </cell>
          <cell r="FN58" t="str">
            <v/>
          </cell>
          <cell r="FO58" t="str">
            <v/>
          </cell>
          <cell r="FP58" t="str">
            <v/>
          </cell>
          <cell r="FQ58" t="str">
            <v/>
          </cell>
          <cell r="FR58" t="str">
            <v/>
          </cell>
          <cell r="FS58" t="str">
            <v/>
          </cell>
          <cell r="FT58" t="str">
            <v/>
          </cell>
          <cell r="FU58" t="str">
            <v/>
          </cell>
          <cell r="FV58" t="str">
            <v/>
          </cell>
          <cell r="FW58" t="str">
            <v/>
          </cell>
          <cell r="FX58" t="str">
            <v/>
          </cell>
          <cell r="FY58" t="str">
            <v/>
          </cell>
          <cell r="FZ58" t="str">
            <v/>
          </cell>
          <cell r="GA58" t="str">
            <v/>
          </cell>
          <cell r="GB58" t="str">
            <v/>
          </cell>
          <cell r="GC58" t="str">
            <v/>
          </cell>
          <cell r="GD58" t="str">
            <v/>
          </cell>
          <cell r="GE58" t="str">
            <v/>
          </cell>
          <cell r="GF58" t="str">
            <v/>
          </cell>
          <cell r="GG58" t="str">
            <v/>
          </cell>
          <cell r="GH58" t="str">
            <v/>
          </cell>
          <cell r="GI58" t="str">
            <v/>
          </cell>
          <cell r="GJ58" t="str">
            <v/>
          </cell>
          <cell r="GK58" t="str">
            <v/>
          </cell>
          <cell r="GL58" t="str">
            <v/>
          </cell>
          <cell r="GM58" t="str">
            <v/>
          </cell>
          <cell r="GN58" t="str">
            <v/>
          </cell>
          <cell r="GO58" t="str">
            <v/>
          </cell>
          <cell r="GP58" t="str">
            <v/>
          </cell>
          <cell r="GQ58" t="str">
            <v/>
          </cell>
          <cell r="GR58" t="str">
            <v/>
          </cell>
          <cell r="GS58" t="str">
            <v/>
          </cell>
          <cell r="GT58" t="str">
            <v/>
          </cell>
          <cell r="GU58" t="str">
            <v/>
          </cell>
          <cell r="GV58" t="str">
            <v/>
          </cell>
          <cell r="GW58" t="str">
            <v/>
          </cell>
          <cell r="GX58" t="str">
            <v/>
          </cell>
          <cell r="GY58" t="str">
            <v/>
          </cell>
          <cell r="GZ58" t="str">
            <v/>
          </cell>
          <cell r="HA58" t="str">
            <v/>
          </cell>
          <cell r="HB58" t="str">
            <v/>
          </cell>
          <cell r="HC58" t="str">
            <v/>
          </cell>
          <cell r="HD58" t="str">
            <v/>
          </cell>
          <cell r="HE58" t="str">
            <v/>
          </cell>
          <cell r="HF58" t="str">
            <v/>
          </cell>
          <cell r="HG58" t="str">
            <v/>
          </cell>
          <cell r="HH58" t="str">
            <v/>
          </cell>
          <cell r="HI58" t="str">
            <v/>
          </cell>
          <cell r="HJ58" t="str">
            <v/>
          </cell>
          <cell r="HK58" t="str">
            <v/>
          </cell>
          <cell r="HL58" t="str">
            <v/>
          </cell>
          <cell r="HM58" t="str">
            <v/>
          </cell>
          <cell r="HN58" t="str">
            <v/>
          </cell>
          <cell r="HO58" t="str">
            <v/>
          </cell>
          <cell r="HP58" t="str">
            <v/>
          </cell>
          <cell r="HQ58" t="str">
            <v/>
          </cell>
          <cell r="HR58" t="str">
            <v/>
          </cell>
          <cell r="HS58" t="str">
            <v/>
          </cell>
          <cell r="HT58" t="str">
            <v/>
          </cell>
          <cell r="HU58" t="str">
            <v/>
          </cell>
          <cell r="HV58" t="str">
            <v/>
          </cell>
          <cell r="HW58" t="str">
            <v/>
          </cell>
          <cell r="HX58" t="str">
            <v/>
          </cell>
          <cell r="HY58" t="str">
            <v/>
          </cell>
          <cell r="HZ58" t="str">
            <v/>
          </cell>
          <cell r="IA58" t="str">
            <v/>
          </cell>
          <cell r="IB58" t="str">
            <v/>
          </cell>
          <cell r="IC58" t="str">
            <v/>
          </cell>
          <cell r="ID58" t="str">
            <v/>
          </cell>
          <cell r="IE58" t="str">
            <v/>
          </cell>
          <cell r="IF58" t="str">
            <v/>
          </cell>
          <cell r="IG58" t="str">
            <v/>
          </cell>
          <cell r="IH58" t="str">
            <v/>
          </cell>
          <cell r="II58" t="str">
            <v/>
          </cell>
          <cell r="IJ58" t="str">
            <v/>
          </cell>
          <cell r="IK58" t="str">
            <v/>
          </cell>
          <cell r="IL58" t="str">
            <v/>
          </cell>
          <cell r="IM58" t="str">
            <v/>
          </cell>
          <cell r="IN58" t="str">
            <v/>
          </cell>
          <cell r="IO58" t="str">
            <v/>
          </cell>
          <cell r="IP58" t="str">
            <v/>
          </cell>
          <cell r="IQ58" t="str">
            <v/>
          </cell>
          <cell r="IR58" t="str">
            <v/>
          </cell>
          <cell r="IS58" t="str">
            <v/>
          </cell>
          <cell r="IT58" t="str">
            <v/>
          </cell>
          <cell r="IU58" t="str">
            <v/>
          </cell>
          <cell r="IV58" t="str">
            <v/>
          </cell>
          <cell r="IW58" t="str">
            <v/>
          </cell>
          <cell r="IX58" t="str">
            <v/>
          </cell>
          <cell r="IY58" t="str">
            <v/>
          </cell>
          <cell r="IZ58" t="str">
            <v/>
          </cell>
          <cell r="JA58" t="str">
            <v/>
          </cell>
          <cell r="JB58" t="str">
            <v/>
          </cell>
          <cell r="JC58" t="str">
            <v/>
          </cell>
          <cell r="JD58" t="str">
            <v/>
          </cell>
          <cell r="JE58" t="str">
            <v/>
          </cell>
          <cell r="JF58" t="str">
            <v/>
          </cell>
          <cell r="JG58" t="str">
            <v/>
          </cell>
          <cell r="JH58" t="str">
            <v/>
          </cell>
          <cell r="JI58" t="str">
            <v/>
          </cell>
          <cell r="JJ58" t="str">
            <v/>
          </cell>
          <cell r="JK58" t="str">
            <v/>
          </cell>
          <cell r="JL58" t="str">
            <v/>
          </cell>
          <cell r="JM58" t="str">
            <v/>
          </cell>
          <cell r="JN58" t="str">
            <v/>
          </cell>
          <cell r="JO58" t="str">
            <v/>
          </cell>
          <cell r="JP58" t="str">
            <v/>
          </cell>
          <cell r="JQ58" t="str">
            <v/>
          </cell>
          <cell r="JR58" t="str">
            <v/>
          </cell>
          <cell r="JS58" t="str">
            <v/>
          </cell>
          <cell r="JT58" t="str">
            <v/>
          </cell>
          <cell r="JU58" t="str">
            <v/>
          </cell>
          <cell r="JV58" t="str">
            <v/>
          </cell>
          <cell r="JW58" t="str">
            <v/>
          </cell>
          <cell r="JX58" t="str">
            <v/>
          </cell>
          <cell r="JY58" t="str">
            <v/>
          </cell>
          <cell r="JZ58" t="str">
            <v/>
          </cell>
          <cell r="KA58" t="str">
            <v/>
          </cell>
          <cell r="KB58" t="str">
            <v/>
          </cell>
          <cell r="KC58" t="str">
            <v/>
          </cell>
          <cell r="KD58">
            <v>6</v>
          </cell>
          <cell r="KE58">
            <v>6</v>
          </cell>
          <cell r="KF58">
            <v>6</v>
          </cell>
          <cell r="KG58">
            <v>6</v>
          </cell>
          <cell r="KH58">
            <v>6</v>
          </cell>
          <cell r="KI58">
            <v>6</v>
          </cell>
          <cell r="KJ58">
            <v>0</v>
          </cell>
          <cell r="KM58">
            <v>0</v>
          </cell>
          <cell r="KP58">
            <v>0</v>
          </cell>
          <cell r="KS58">
            <v>0</v>
          </cell>
          <cell r="KV58">
            <v>0</v>
          </cell>
          <cell r="KY58">
            <v>0</v>
          </cell>
          <cell r="LB58">
            <v>0</v>
          </cell>
          <cell r="LE58">
            <v>0</v>
          </cell>
          <cell r="LH58">
            <v>0</v>
          </cell>
          <cell r="LK58">
            <v>0</v>
          </cell>
          <cell r="LO58">
            <v>45742</v>
          </cell>
          <cell r="LP58" t="str">
            <v>COMPLETADO</v>
          </cell>
        </row>
        <row r="59">
          <cell r="A59">
            <v>1658</v>
          </cell>
          <cell r="B59" t="str">
            <v>RUBEN</v>
          </cell>
          <cell r="C59" t="str">
            <v>BARRACAS GRANDE</v>
          </cell>
          <cell r="D59" t="str">
            <v>MARROQUINERIA GRANDE</v>
          </cell>
          <cell r="E59">
            <v>8</v>
          </cell>
          <cell r="F59">
            <v>8</v>
          </cell>
          <cell r="G59">
            <v>8</v>
          </cell>
          <cell r="H59">
            <v>45732.503541666665</v>
          </cell>
          <cell r="I59" t="str">
            <v>MOCHILA ATLAS FULL BLACK 1</v>
          </cell>
          <cell r="J59">
            <v>45713</v>
          </cell>
          <cell r="K59">
            <v>45713</v>
          </cell>
          <cell r="M59">
            <v>70</v>
          </cell>
          <cell r="N59" t="str">
            <v>M163</v>
          </cell>
          <cell r="O59" t="str">
            <v>VAR0000019</v>
          </cell>
          <cell r="P59">
            <v>0.32</v>
          </cell>
          <cell r="Q59" t="str">
            <v>AV1000840101</v>
          </cell>
          <cell r="R59">
            <v>2</v>
          </cell>
          <cell r="S59" t="str">
            <v>AV0400900101</v>
          </cell>
          <cell r="T59">
            <v>2</v>
          </cell>
          <cell r="U59" t="str">
            <v>AV0400390101</v>
          </cell>
          <cell r="V59">
            <v>3</v>
          </cell>
          <cell r="W59" t="str">
            <v>AV1802210726</v>
          </cell>
          <cell r="X59">
            <v>0.08</v>
          </cell>
          <cell r="Y59" t="str">
            <v>AV170129018</v>
          </cell>
          <cell r="Z59">
            <v>0</v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  <cell r="AJ59" t="str">
            <v/>
          </cell>
          <cell r="AK59" t="str">
            <v/>
          </cell>
          <cell r="AL59" t="str">
            <v/>
          </cell>
          <cell r="AM59" t="str">
            <v/>
          </cell>
          <cell r="AN59" t="str">
            <v/>
          </cell>
          <cell r="AO59" t="str">
            <v/>
          </cell>
          <cell r="AP59" t="str">
            <v/>
          </cell>
          <cell r="AQ59" t="str">
            <v/>
          </cell>
          <cell r="AR59" t="str">
            <v/>
          </cell>
          <cell r="AS59" t="str">
            <v>TIRACIERRE N N1 TIRA CON ESTRELLITA LUCERO</v>
          </cell>
          <cell r="AT59" t="str">
            <v/>
          </cell>
          <cell r="AU59" t="str">
            <v/>
          </cell>
          <cell r="AV59" t="str">
            <v/>
          </cell>
          <cell r="AW59" t="str">
            <v xml:space="preserve"> GRABADO "EL 
LUCERO" GRANDE 
ARRIBA EN 
BOLSILLO 
ESPALDA 
CENTRADO</v>
          </cell>
          <cell r="AX59" t="str">
            <v>NEGRO</v>
          </cell>
          <cell r="AY59" t="str">
            <v>ARENA-CUERO NAPADO</v>
          </cell>
          <cell r="AZ59" t="str">
            <v>CUE0000026</v>
          </cell>
          <cell r="BA59">
            <v>0.61</v>
          </cell>
          <cell r="BB59" t="str">
            <v>FOR0000020</v>
          </cell>
          <cell r="BC59">
            <v>0.17</v>
          </cell>
          <cell r="BD59" t="str">
            <v>AV0102190303</v>
          </cell>
          <cell r="BE59">
            <v>1.08</v>
          </cell>
          <cell r="BF59" t="str">
            <v>VAR0000006</v>
          </cell>
          <cell r="BG59">
            <v>4.68</v>
          </cell>
          <cell r="BH59" t="str">
            <v>FOR0000004</v>
          </cell>
          <cell r="BI59">
            <v>0.06</v>
          </cell>
          <cell r="BJ59" t="str">
            <v>AV1102130726</v>
          </cell>
          <cell r="BK59">
            <v>2.52</v>
          </cell>
          <cell r="BL59" t="str">
            <v/>
          </cell>
          <cell r="BM59" t="str">
            <v/>
          </cell>
          <cell r="BN59" t="str">
            <v>UNIDAD</v>
          </cell>
          <cell r="BO59">
            <v>24</v>
          </cell>
          <cell r="BP59" t="str">
            <v/>
          </cell>
          <cell r="BQ59" t="str">
            <v/>
          </cell>
          <cell r="BR59" t="str">
            <v/>
          </cell>
          <cell r="BS59" t="str">
            <v/>
          </cell>
          <cell r="BT59" t="str">
            <v/>
          </cell>
          <cell r="BU59" t="str">
            <v/>
          </cell>
          <cell r="BV59" t="str">
            <v/>
          </cell>
          <cell r="BW59" t="str">
            <v/>
          </cell>
          <cell r="BX59" t="str">
            <v/>
          </cell>
          <cell r="BY59" t="str">
            <v/>
          </cell>
          <cell r="BZ59" t="str">
            <v/>
          </cell>
          <cell r="CA59" t="str">
            <v/>
          </cell>
          <cell r="CB59" t="str">
            <v/>
          </cell>
          <cell r="CC59" t="str">
            <v/>
          </cell>
          <cell r="CD59" t="str">
            <v/>
          </cell>
          <cell r="CE59" t="str">
            <v/>
          </cell>
          <cell r="CF59" t="str">
            <v/>
          </cell>
          <cell r="CG59" t="str">
            <v/>
          </cell>
          <cell r="CH59" t="str">
            <v/>
          </cell>
          <cell r="CI59" t="str">
            <v/>
          </cell>
          <cell r="CJ59" t="str">
            <v/>
          </cell>
          <cell r="CK59" t="str">
            <v/>
          </cell>
          <cell r="CL59" t="str">
            <v/>
          </cell>
          <cell r="CM59" t="str">
            <v/>
          </cell>
          <cell r="CN59" t="str">
            <v/>
          </cell>
          <cell r="CO59" t="str">
            <v/>
          </cell>
          <cell r="CP59" t="str">
            <v/>
          </cell>
          <cell r="CQ59" t="str">
            <v/>
          </cell>
          <cell r="CR59" t="str">
            <v/>
          </cell>
          <cell r="CS59" t="str">
            <v/>
          </cell>
          <cell r="CT59" t="str">
            <v/>
          </cell>
          <cell r="CU59" t="str">
            <v/>
          </cell>
          <cell r="CV59" t="str">
            <v/>
          </cell>
          <cell r="CW59" t="str">
            <v/>
          </cell>
          <cell r="CX59" t="str">
            <v/>
          </cell>
          <cell r="CY59" t="str">
            <v/>
          </cell>
          <cell r="CZ59" t="str">
            <v/>
          </cell>
          <cell r="DA59" t="str">
            <v/>
          </cell>
          <cell r="DB59" t="str">
            <v/>
          </cell>
          <cell r="DC59" t="str">
            <v/>
          </cell>
          <cell r="DD59" t="str">
            <v/>
          </cell>
          <cell r="DE59" t="str">
            <v/>
          </cell>
          <cell r="DF59" t="str">
            <v/>
          </cell>
          <cell r="DG59" t="str">
            <v/>
          </cell>
          <cell r="DH59" t="str">
            <v/>
          </cell>
          <cell r="DI59" t="str">
            <v/>
          </cell>
          <cell r="DJ59" t="str">
            <v/>
          </cell>
          <cell r="DK59" t="str">
            <v/>
          </cell>
          <cell r="DL59" t="str">
            <v/>
          </cell>
          <cell r="DM59" t="str">
            <v/>
          </cell>
          <cell r="DN59" t="str">
            <v/>
          </cell>
          <cell r="DO59" t="str">
            <v/>
          </cell>
          <cell r="DP59" t="str">
            <v/>
          </cell>
          <cell r="DQ59" t="str">
            <v/>
          </cell>
          <cell r="DR59" t="str">
            <v/>
          </cell>
          <cell r="DS59" t="str">
            <v/>
          </cell>
          <cell r="DT59" t="str">
            <v/>
          </cell>
          <cell r="DU59" t="str">
            <v/>
          </cell>
          <cell r="DV59" t="str">
            <v/>
          </cell>
          <cell r="DW59" t="str">
            <v/>
          </cell>
          <cell r="DX59" t="str">
            <v/>
          </cell>
          <cell r="DY59" t="str">
            <v/>
          </cell>
          <cell r="DZ59" t="str">
            <v/>
          </cell>
          <cell r="EA59" t="str">
            <v/>
          </cell>
          <cell r="EB59" t="str">
            <v/>
          </cell>
          <cell r="EC59" t="str">
            <v/>
          </cell>
          <cell r="ED59" t="str">
            <v/>
          </cell>
          <cell r="EE59" t="str">
            <v/>
          </cell>
          <cell r="EF59" t="str">
            <v/>
          </cell>
          <cell r="EG59" t="str">
            <v/>
          </cell>
          <cell r="EH59" t="str">
            <v/>
          </cell>
          <cell r="EI59" t="str">
            <v/>
          </cell>
          <cell r="EJ59" t="str">
            <v/>
          </cell>
          <cell r="EK59" t="str">
            <v/>
          </cell>
          <cell r="EL59" t="str">
            <v/>
          </cell>
          <cell r="EM59" t="str">
            <v/>
          </cell>
          <cell r="EN59" t="str">
            <v/>
          </cell>
          <cell r="EO59" t="str">
            <v/>
          </cell>
          <cell r="EP59" t="str">
            <v/>
          </cell>
          <cell r="EQ59" t="str">
            <v/>
          </cell>
          <cell r="ER59" t="str">
            <v/>
          </cell>
          <cell r="ES59" t="str">
            <v/>
          </cell>
          <cell r="ET59" t="str">
            <v/>
          </cell>
          <cell r="EU59" t="str">
            <v/>
          </cell>
          <cell r="EV59" t="str">
            <v/>
          </cell>
          <cell r="EW59" t="str">
            <v/>
          </cell>
          <cell r="EX59" t="str">
            <v/>
          </cell>
          <cell r="EY59" t="str">
            <v/>
          </cell>
          <cell r="EZ59" t="str">
            <v/>
          </cell>
          <cell r="FA59" t="str">
            <v/>
          </cell>
          <cell r="FB59" t="str">
            <v/>
          </cell>
          <cell r="FC59" t="str">
            <v/>
          </cell>
          <cell r="FD59" t="str">
            <v/>
          </cell>
          <cell r="FE59" t="str">
            <v/>
          </cell>
          <cell r="FF59" t="str">
            <v/>
          </cell>
          <cell r="FG59" t="str">
            <v/>
          </cell>
          <cell r="FH59" t="str">
            <v/>
          </cell>
          <cell r="FI59" t="str">
            <v/>
          </cell>
          <cell r="FJ59" t="str">
            <v/>
          </cell>
          <cell r="FK59" t="str">
            <v/>
          </cell>
          <cell r="FL59" t="str">
            <v/>
          </cell>
          <cell r="FM59" t="str">
            <v/>
          </cell>
          <cell r="FN59" t="str">
            <v/>
          </cell>
          <cell r="FO59" t="str">
            <v/>
          </cell>
          <cell r="FP59" t="str">
            <v/>
          </cell>
          <cell r="FQ59" t="str">
            <v/>
          </cell>
          <cell r="FR59" t="str">
            <v/>
          </cell>
          <cell r="FS59" t="str">
            <v/>
          </cell>
          <cell r="FT59" t="str">
            <v/>
          </cell>
          <cell r="FU59" t="str">
            <v/>
          </cell>
          <cell r="FV59" t="str">
            <v/>
          </cell>
          <cell r="FW59" t="str">
            <v/>
          </cell>
          <cell r="FX59" t="str">
            <v/>
          </cell>
          <cell r="FY59" t="str">
            <v/>
          </cell>
          <cell r="FZ59" t="str">
            <v/>
          </cell>
          <cell r="GA59" t="str">
            <v/>
          </cell>
          <cell r="GB59" t="str">
            <v/>
          </cell>
          <cell r="GC59" t="str">
            <v/>
          </cell>
          <cell r="GD59" t="str">
            <v/>
          </cell>
          <cell r="GE59" t="str">
            <v/>
          </cell>
          <cell r="GF59" t="str">
            <v/>
          </cell>
          <cell r="GG59" t="str">
            <v/>
          </cell>
          <cell r="GH59" t="str">
            <v/>
          </cell>
          <cell r="GI59" t="str">
            <v/>
          </cell>
          <cell r="GJ59" t="str">
            <v/>
          </cell>
          <cell r="GK59" t="str">
            <v/>
          </cell>
          <cell r="GL59" t="str">
            <v/>
          </cell>
          <cell r="GM59" t="str">
            <v/>
          </cell>
          <cell r="GN59" t="str">
            <v/>
          </cell>
          <cell r="GO59" t="str">
            <v/>
          </cell>
          <cell r="GP59" t="str">
            <v/>
          </cell>
          <cell r="GQ59" t="str">
            <v/>
          </cell>
          <cell r="GR59" t="str">
            <v/>
          </cell>
          <cell r="GS59" t="str">
            <v/>
          </cell>
          <cell r="GT59" t="str">
            <v/>
          </cell>
          <cell r="GU59" t="str">
            <v/>
          </cell>
          <cell r="GV59" t="str">
            <v/>
          </cell>
          <cell r="GW59" t="str">
            <v/>
          </cell>
          <cell r="GX59" t="str">
            <v/>
          </cell>
          <cell r="GY59" t="str">
            <v/>
          </cell>
          <cell r="GZ59" t="str">
            <v/>
          </cell>
          <cell r="HA59" t="str">
            <v/>
          </cell>
          <cell r="HB59" t="str">
            <v/>
          </cell>
          <cell r="HC59" t="str">
            <v/>
          </cell>
          <cell r="HD59" t="str">
            <v/>
          </cell>
          <cell r="HE59" t="str">
            <v/>
          </cell>
          <cell r="HF59" t="str">
            <v/>
          </cell>
          <cell r="HG59" t="str">
            <v/>
          </cell>
          <cell r="HH59" t="str">
            <v/>
          </cell>
          <cell r="HI59" t="str">
            <v/>
          </cell>
          <cell r="HJ59" t="str">
            <v/>
          </cell>
          <cell r="HK59" t="str">
            <v/>
          </cell>
          <cell r="HL59" t="str">
            <v/>
          </cell>
          <cell r="HM59" t="str">
            <v/>
          </cell>
          <cell r="HN59" t="str">
            <v/>
          </cell>
          <cell r="HO59" t="str">
            <v/>
          </cell>
          <cell r="HP59" t="str">
            <v/>
          </cell>
          <cell r="HQ59" t="str">
            <v/>
          </cell>
          <cell r="HR59" t="str">
            <v/>
          </cell>
          <cell r="HS59" t="str">
            <v/>
          </cell>
          <cell r="HT59" t="str">
            <v/>
          </cell>
          <cell r="HU59" t="str">
            <v/>
          </cell>
          <cell r="HV59" t="str">
            <v/>
          </cell>
          <cell r="HW59" t="str">
            <v/>
          </cell>
          <cell r="HX59" t="str">
            <v/>
          </cell>
          <cell r="HY59" t="str">
            <v/>
          </cell>
          <cell r="HZ59" t="str">
            <v/>
          </cell>
          <cell r="IA59" t="str">
            <v/>
          </cell>
          <cell r="IB59" t="str">
            <v/>
          </cell>
          <cell r="IC59" t="str">
            <v/>
          </cell>
          <cell r="ID59" t="str">
            <v/>
          </cell>
          <cell r="IE59" t="str">
            <v/>
          </cell>
          <cell r="IF59" t="str">
            <v/>
          </cell>
          <cell r="IG59" t="str">
            <v/>
          </cell>
          <cell r="IH59" t="str">
            <v/>
          </cell>
          <cell r="II59" t="str">
            <v/>
          </cell>
          <cell r="IJ59" t="str">
            <v/>
          </cell>
          <cell r="IK59" t="str">
            <v/>
          </cell>
          <cell r="IL59" t="str">
            <v/>
          </cell>
          <cell r="IM59" t="str">
            <v/>
          </cell>
          <cell r="IN59" t="str">
            <v/>
          </cell>
          <cell r="IO59" t="str">
            <v/>
          </cell>
          <cell r="IP59" t="str">
            <v/>
          </cell>
          <cell r="IQ59" t="str">
            <v/>
          </cell>
          <cell r="IR59" t="str">
            <v/>
          </cell>
          <cell r="IS59" t="str">
            <v/>
          </cell>
          <cell r="IT59" t="str">
            <v/>
          </cell>
          <cell r="IU59" t="str">
            <v/>
          </cell>
          <cell r="IV59" t="str">
            <v/>
          </cell>
          <cell r="IW59" t="str">
            <v/>
          </cell>
          <cell r="IX59" t="str">
            <v/>
          </cell>
          <cell r="IY59" t="str">
            <v/>
          </cell>
          <cell r="IZ59" t="str">
            <v/>
          </cell>
          <cell r="JA59" t="str">
            <v/>
          </cell>
          <cell r="JB59" t="str">
            <v/>
          </cell>
          <cell r="JC59" t="str">
            <v/>
          </cell>
          <cell r="JD59" t="str">
            <v/>
          </cell>
          <cell r="JE59" t="str">
            <v/>
          </cell>
          <cell r="JF59" t="str">
            <v/>
          </cell>
          <cell r="JG59" t="str">
            <v/>
          </cell>
          <cell r="JH59" t="str">
            <v/>
          </cell>
          <cell r="JI59" t="str">
            <v/>
          </cell>
          <cell r="JJ59" t="str">
            <v/>
          </cell>
          <cell r="JK59" t="str">
            <v/>
          </cell>
          <cell r="JL59" t="str">
            <v/>
          </cell>
          <cell r="JM59" t="str">
            <v/>
          </cell>
          <cell r="JN59" t="str">
            <v/>
          </cell>
          <cell r="JO59" t="str">
            <v/>
          </cell>
          <cell r="JP59" t="str">
            <v/>
          </cell>
          <cell r="JQ59" t="str">
            <v/>
          </cell>
          <cell r="JR59" t="str">
            <v/>
          </cell>
          <cell r="JS59" t="str">
            <v/>
          </cell>
          <cell r="JT59" t="str">
            <v/>
          </cell>
          <cell r="JU59" t="str">
            <v/>
          </cell>
          <cell r="JV59" t="str">
            <v/>
          </cell>
          <cell r="JW59" t="str">
            <v/>
          </cell>
          <cell r="JX59" t="str">
            <v/>
          </cell>
          <cell r="JY59" t="str">
            <v/>
          </cell>
          <cell r="JZ59" t="str">
            <v/>
          </cell>
          <cell r="KA59" t="str">
            <v/>
          </cell>
          <cell r="KB59" t="str">
            <v/>
          </cell>
          <cell r="KC59" t="str">
            <v/>
          </cell>
          <cell r="KD59">
            <v>8</v>
          </cell>
          <cell r="KE59">
            <v>8</v>
          </cell>
          <cell r="KF59">
            <v>8</v>
          </cell>
          <cell r="KG59">
            <v>0</v>
          </cell>
          <cell r="KJ59">
            <v>0</v>
          </cell>
          <cell r="KM59">
            <v>0</v>
          </cell>
          <cell r="KP59">
            <v>0</v>
          </cell>
          <cell r="KS59">
            <v>0</v>
          </cell>
          <cell r="KV59">
            <v>0</v>
          </cell>
          <cell r="KY59">
            <v>0</v>
          </cell>
          <cell r="LB59">
            <v>0</v>
          </cell>
          <cell r="LE59">
            <v>0</v>
          </cell>
          <cell r="LH59">
            <v>0</v>
          </cell>
          <cell r="LK59">
            <v>0</v>
          </cell>
          <cell r="LO59">
            <v>45713</v>
          </cell>
          <cell r="LP59" t="str">
            <v>COMPLETADO</v>
          </cell>
        </row>
        <row r="60">
          <cell r="A60">
            <v>1659</v>
          </cell>
          <cell r="B60" t="str">
            <v>RUBEN</v>
          </cell>
          <cell r="C60" t="str">
            <v>BARRACAS GRANDE</v>
          </cell>
          <cell r="D60" t="str">
            <v>MARROQUINERIA GRANDE</v>
          </cell>
          <cell r="E60">
            <v>1</v>
          </cell>
          <cell r="F60">
            <v>0</v>
          </cell>
          <cell r="G60">
            <v>0</v>
          </cell>
          <cell r="H60">
            <v>45732.50880787037</v>
          </cell>
          <cell r="I60" t="str">
            <v>MOCHILA ATLAS FULL BLACK 2</v>
          </cell>
          <cell r="J60">
            <v>45706</v>
          </cell>
          <cell r="K60">
            <v>45706</v>
          </cell>
          <cell r="M60">
            <v>85</v>
          </cell>
          <cell r="N60" t="str">
            <v>M164</v>
          </cell>
          <cell r="O60" t="str">
            <v>VAR0000019</v>
          </cell>
          <cell r="P60">
            <v>0.32</v>
          </cell>
          <cell r="Q60" t="str">
            <v>AV1000840101</v>
          </cell>
          <cell r="R60">
            <v>2</v>
          </cell>
          <cell r="S60" t="str">
            <v>AV0400900101</v>
          </cell>
          <cell r="T60">
            <v>2</v>
          </cell>
          <cell r="U60" t="str">
            <v>AV0400390101</v>
          </cell>
          <cell r="V60">
            <v>4</v>
          </cell>
          <cell r="W60" t="str">
            <v>AV1802210726</v>
          </cell>
          <cell r="X60">
            <v>0.08</v>
          </cell>
          <cell r="Y60" t="str">
            <v>AV170129018</v>
          </cell>
          <cell r="Z60">
            <v>0</v>
          </cell>
          <cell r="AA60" t="str">
            <v/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  <cell r="AH60" t="str">
            <v/>
          </cell>
          <cell r="AI60" t="str">
            <v/>
          </cell>
          <cell r="AJ60" t="str">
            <v/>
          </cell>
          <cell r="AK60" t="str">
            <v/>
          </cell>
          <cell r="AL60" t="str">
            <v/>
          </cell>
          <cell r="AM60" t="str">
            <v/>
          </cell>
          <cell r="AN60" t="str">
            <v/>
          </cell>
          <cell r="AO60" t="str">
            <v/>
          </cell>
          <cell r="AP60" t="str">
            <v/>
          </cell>
          <cell r="AQ60" t="str">
            <v/>
          </cell>
          <cell r="AR60" t="str">
            <v/>
          </cell>
          <cell r="AS60" t="str">
            <v>TIRACIERRE N N1 TIRA CON ESTRELLITA LUCERO</v>
          </cell>
          <cell r="AT60" t="str">
            <v/>
          </cell>
          <cell r="AU60" t="str">
            <v/>
          </cell>
          <cell r="AV60" t="str">
            <v/>
          </cell>
          <cell r="AW60" t="str">
            <v xml:space="preserve"> GRABADO "EL 
LUCERO" GRANDE 
ARRIBA EN 
BOLSILLO 
ESPALDA 
CENTRADO</v>
          </cell>
          <cell r="AX60" t="str">
            <v>NEGRO</v>
          </cell>
          <cell r="AY60" t="str">
            <v>ARENA-CUERO NAPADO</v>
          </cell>
          <cell r="AZ60" t="str">
            <v>CUE0000026</v>
          </cell>
          <cell r="BA60">
            <v>0.68</v>
          </cell>
          <cell r="BB60" t="str">
            <v>FOR0000020</v>
          </cell>
          <cell r="BC60">
            <v>0.17</v>
          </cell>
          <cell r="BD60" t="str">
            <v>AV0102190303</v>
          </cell>
          <cell r="BE60">
            <v>1.17</v>
          </cell>
          <cell r="BF60" t="str">
            <v>VAR0000006</v>
          </cell>
          <cell r="BG60">
            <v>4.68</v>
          </cell>
          <cell r="BH60" t="str">
            <v>FOR0000004</v>
          </cell>
          <cell r="BI60">
            <v>7.0000000000000007E-2</v>
          </cell>
          <cell r="BJ60" t="str">
            <v>AV1102130726</v>
          </cell>
          <cell r="BK60">
            <v>2.52</v>
          </cell>
          <cell r="BL60" t="str">
            <v/>
          </cell>
          <cell r="BM60" t="str">
            <v/>
          </cell>
          <cell r="BN60" t="str">
            <v>UNIDAD</v>
          </cell>
          <cell r="BO60">
            <v>4</v>
          </cell>
          <cell r="BP60" t="str">
            <v/>
          </cell>
          <cell r="BQ60" t="str">
            <v/>
          </cell>
          <cell r="BR60" t="str">
            <v/>
          </cell>
          <cell r="BS60" t="str">
            <v/>
          </cell>
          <cell r="BT60" t="str">
            <v/>
          </cell>
          <cell r="BU60" t="str">
            <v/>
          </cell>
          <cell r="BV60" t="str">
            <v/>
          </cell>
          <cell r="BW60" t="str">
            <v/>
          </cell>
          <cell r="BX60" t="str">
            <v/>
          </cell>
          <cell r="BY60" t="str">
            <v/>
          </cell>
          <cell r="BZ60" t="str">
            <v/>
          </cell>
          <cell r="CA60" t="str">
            <v/>
          </cell>
          <cell r="CB60" t="str">
            <v/>
          </cell>
          <cell r="CC60" t="str">
            <v/>
          </cell>
          <cell r="CD60" t="str">
            <v/>
          </cell>
          <cell r="CE60" t="str">
            <v/>
          </cell>
          <cell r="CF60" t="str">
            <v/>
          </cell>
          <cell r="CG60" t="str">
            <v/>
          </cell>
          <cell r="CH60" t="str">
            <v/>
          </cell>
          <cell r="CI60" t="str">
            <v/>
          </cell>
          <cell r="CJ60" t="str">
            <v/>
          </cell>
          <cell r="CK60" t="str">
            <v/>
          </cell>
          <cell r="CL60" t="str">
            <v/>
          </cell>
          <cell r="CM60" t="str">
            <v/>
          </cell>
          <cell r="CN60" t="str">
            <v/>
          </cell>
          <cell r="CO60" t="str">
            <v/>
          </cell>
          <cell r="CP60" t="str">
            <v/>
          </cell>
          <cell r="CQ60" t="str">
            <v/>
          </cell>
          <cell r="CR60" t="str">
            <v/>
          </cell>
          <cell r="CS60" t="str">
            <v/>
          </cell>
          <cell r="CT60" t="str">
            <v/>
          </cell>
          <cell r="CU60" t="str">
            <v/>
          </cell>
          <cell r="CV60" t="str">
            <v/>
          </cell>
          <cell r="CW60" t="str">
            <v/>
          </cell>
          <cell r="CX60" t="str">
            <v/>
          </cell>
          <cell r="CY60" t="str">
            <v/>
          </cell>
          <cell r="CZ60" t="str">
            <v/>
          </cell>
          <cell r="DA60" t="str">
            <v/>
          </cell>
          <cell r="DB60" t="str">
            <v/>
          </cell>
          <cell r="DC60" t="str">
            <v/>
          </cell>
          <cell r="DD60" t="str">
            <v/>
          </cell>
          <cell r="DE60" t="str">
            <v/>
          </cell>
          <cell r="DF60" t="str">
            <v/>
          </cell>
          <cell r="DG60" t="str">
            <v/>
          </cell>
          <cell r="DH60" t="str">
            <v/>
          </cell>
          <cell r="DI60" t="str">
            <v/>
          </cell>
          <cell r="DJ60" t="str">
            <v/>
          </cell>
          <cell r="DK60" t="str">
            <v/>
          </cell>
          <cell r="DL60" t="str">
            <v/>
          </cell>
          <cell r="DM60" t="str">
            <v/>
          </cell>
          <cell r="DN60" t="str">
            <v/>
          </cell>
          <cell r="DO60" t="str">
            <v/>
          </cell>
          <cell r="DP60" t="str">
            <v/>
          </cell>
          <cell r="DQ60" t="str">
            <v/>
          </cell>
          <cell r="DR60" t="str">
            <v/>
          </cell>
          <cell r="DS60" t="str">
            <v/>
          </cell>
          <cell r="DT60" t="str">
            <v/>
          </cell>
          <cell r="DU60" t="str">
            <v/>
          </cell>
          <cell r="DV60" t="str">
            <v/>
          </cell>
          <cell r="DW60" t="str">
            <v/>
          </cell>
          <cell r="DX60" t="str">
            <v/>
          </cell>
          <cell r="DY60" t="str">
            <v/>
          </cell>
          <cell r="DZ60" t="str">
            <v/>
          </cell>
          <cell r="EA60" t="str">
            <v/>
          </cell>
          <cell r="EB60" t="str">
            <v/>
          </cell>
          <cell r="EC60" t="str">
            <v/>
          </cell>
          <cell r="ED60" t="str">
            <v/>
          </cell>
          <cell r="EE60" t="str">
            <v/>
          </cell>
          <cell r="EF60" t="str">
            <v/>
          </cell>
          <cell r="EG60" t="str">
            <v/>
          </cell>
          <cell r="EH60" t="str">
            <v/>
          </cell>
          <cell r="EI60" t="str">
            <v/>
          </cell>
          <cell r="EJ60" t="str">
            <v/>
          </cell>
          <cell r="EK60" t="str">
            <v/>
          </cell>
          <cell r="EL60" t="str">
            <v/>
          </cell>
          <cell r="EM60" t="str">
            <v/>
          </cell>
          <cell r="EN60" t="str">
            <v/>
          </cell>
          <cell r="EO60" t="str">
            <v/>
          </cell>
          <cell r="EP60" t="str">
            <v/>
          </cell>
          <cell r="EQ60" t="str">
            <v/>
          </cell>
          <cell r="ER60" t="str">
            <v/>
          </cell>
          <cell r="ES60" t="str">
            <v/>
          </cell>
          <cell r="ET60" t="str">
            <v/>
          </cell>
          <cell r="EU60" t="str">
            <v/>
          </cell>
          <cell r="EV60" t="str">
            <v/>
          </cell>
          <cell r="EW60" t="str">
            <v/>
          </cell>
          <cell r="EX60" t="str">
            <v/>
          </cell>
          <cell r="EY60" t="str">
            <v/>
          </cell>
          <cell r="EZ60" t="str">
            <v/>
          </cell>
          <cell r="FA60" t="str">
            <v/>
          </cell>
          <cell r="FB60" t="str">
            <v/>
          </cell>
          <cell r="FC60" t="str">
            <v/>
          </cell>
          <cell r="FD60" t="str">
            <v/>
          </cell>
          <cell r="FE60" t="str">
            <v/>
          </cell>
          <cell r="FF60" t="str">
            <v/>
          </cell>
          <cell r="FG60" t="str">
            <v/>
          </cell>
          <cell r="FH60" t="str">
            <v/>
          </cell>
          <cell r="FI60" t="str">
            <v/>
          </cell>
          <cell r="FJ60" t="str">
            <v/>
          </cell>
          <cell r="FK60" t="str">
            <v/>
          </cell>
          <cell r="FL60" t="str">
            <v/>
          </cell>
          <cell r="FM60" t="str">
            <v/>
          </cell>
          <cell r="FN60" t="str">
            <v/>
          </cell>
          <cell r="FO60" t="str">
            <v/>
          </cell>
          <cell r="FP60" t="str">
            <v/>
          </cell>
          <cell r="FQ60" t="str">
            <v/>
          </cell>
          <cell r="FR60" t="str">
            <v/>
          </cell>
          <cell r="FS60" t="str">
            <v/>
          </cell>
          <cell r="FT60" t="str">
            <v/>
          </cell>
          <cell r="FU60" t="str">
            <v/>
          </cell>
          <cell r="FV60" t="str">
            <v/>
          </cell>
          <cell r="FW60" t="str">
            <v/>
          </cell>
          <cell r="FX60" t="str">
            <v/>
          </cell>
          <cell r="FY60" t="str">
            <v/>
          </cell>
          <cell r="FZ60" t="str">
            <v/>
          </cell>
          <cell r="GA60" t="str">
            <v/>
          </cell>
          <cell r="GB60" t="str">
            <v/>
          </cell>
          <cell r="GC60" t="str">
            <v/>
          </cell>
          <cell r="GD60" t="str">
            <v/>
          </cell>
          <cell r="GE60" t="str">
            <v/>
          </cell>
          <cell r="GF60" t="str">
            <v/>
          </cell>
          <cell r="GG60" t="str">
            <v/>
          </cell>
          <cell r="GH60" t="str">
            <v/>
          </cell>
          <cell r="GI60" t="str">
            <v/>
          </cell>
          <cell r="GJ60" t="str">
            <v/>
          </cell>
          <cell r="GK60" t="str">
            <v/>
          </cell>
          <cell r="GL60" t="str">
            <v/>
          </cell>
          <cell r="GM60" t="str">
            <v/>
          </cell>
          <cell r="GN60" t="str">
            <v/>
          </cell>
          <cell r="GO60" t="str">
            <v/>
          </cell>
          <cell r="GP60" t="str">
            <v/>
          </cell>
          <cell r="GQ60" t="str">
            <v/>
          </cell>
          <cell r="GR60" t="str">
            <v/>
          </cell>
          <cell r="GS60" t="str">
            <v/>
          </cell>
          <cell r="GT60" t="str">
            <v/>
          </cell>
          <cell r="GU60" t="str">
            <v/>
          </cell>
          <cell r="GV60" t="str">
            <v/>
          </cell>
          <cell r="GW60" t="str">
            <v/>
          </cell>
          <cell r="GX60" t="str">
            <v/>
          </cell>
          <cell r="GY60" t="str">
            <v/>
          </cell>
          <cell r="GZ60" t="str">
            <v/>
          </cell>
          <cell r="HA60" t="str">
            <v/>
          </cell>
          <cell r="HB60" t="str">
            <v/>
          </cell>
          <cell r="HC60" t="str">
            <v/>
          </cell>
          <cell r="HD60" t="str">
            <v/>
          </cell>
          <cell r="HE60" t="str">
            <v/>
          </cell>
          <cell r="HF60" t="str">
            <v/>
          </cell>
          <cell r="HG60" t="str">
            <v/>
          </cell>
          <cell r="HH60" t="str">
            <v/>
          </cell>
          <cell r="HI60" t="str">
            <v/>
          </cell>
          <cell r="HJ60" t="str">
            <v/>
          </cell>
          <cell r="HK60" t="str">
            <v/>
          </cell>
          <cell r="HL60" t="str">
            <v/>
          </cell>
          <cell r="HM60" t="str">
            <v/>
          </cell>
          <cell r="HN60" t="str">
            <v/>
          </cell>
          <cell r="HO60" t="str">
            <v/>
          </cell>
          <cell r="HP60" t="str">
            <v/>
          </cell>
          <cell r="HQ60" t="str">
            <v/>
          </cell>
          <cell r="HR60" t="str">
            <v/>
          </cell>
          <cell r="HS60" t="str">
            <v/>
          </cell>
          <cell r="HT60" t="str">
            <v/>
          </cell>
          <cell r="HU60" t="str">
            <v/>
          </cell>
          <cell r="HV60" t="str">
            <v/>
          </cell>
          <cell r="HW60" t="str">
            <v/>
          </cell>
          <cell r="HX60" t="str">
            <v/>
          </cell>
          <cell r="HY60" t="str">
            <v/>
          </cell>
          <cell r="HZ60" t="str">
            <v/>
          </cell>
          <cell r="IA60" t="str">
            <v/>
          </cell>
          <cell r="IB60" t="str">
            <v/>
          </cell>
          <cell r="IC60" t="str">
            <v/>
          </cell>
          <cell r="ID60" t="str">
            <v/>
          </cell>
          <cell r="IE60" t="str">
            <v/>
          </cell>
          <cell r="IF60" t="str">
            <v/>
          </cell>
          <cell r="IG60" t="str">
            <v/>
          </cell>
          <cell r="IH60" t="str">
            <v/>
          </cell>
          <cell r="II60" t="str">
            <v/>
          </cell>
          <cell r="IJ60" t="str">
            <v/>
          </cell>
          <cell r="IK60" t="str">
            <v/>
          </cell>
          <cell r="IL60" t="str">
            <v/>
          </cell>
          <cell r="IM60" t="str">
            <v/>
          </cell>
          <cell r="IN60" t="str">
            <v/>
          </cell>
          <cell r="IO60" t="str">
            <v/>
          </cell>
          <cell r="IP60" t="str">
            <v/>
          </cell>
          <cell r="IQ60" t="str">
            <v/>
          </cell>
          <cell r="IR60" t="str">
            <v/>
          </cell>
          <cell r="IS60" t="str">
            <v/>
          </cell>
          <cell r="IT60" t="str">
            <v/>
          </cell>
          <cell r="IU60" t="str">
            <v/>
          </cell>
          <cell r="IV60" t="str">
            <v/>
          </cell>
          <cell r="IW60" t="str">
            <v/>
          </cell>
          <cell r="IX60" t="str">
            <v/>
          </cell>
          <cell r="IY60" t="str">
            <v/>
          </cell>
          <cell r="IZ60" t="str">
            <v/>
          </cell>
          <cell r="JA60" t="str">
            <v/>
          </cell>
          <cell r="JB60" t="str">
            <v/>
          </cell>
          <cell r="JC60" t="str">
            <v/>
          </cell>
          <cell r="JD60" t="str">
            <v/>
          </cell>
          <cell r="JE60" t="str">
            <v/>
          </cell>
          <cell r="JF60" t="str">
            <v/>
          </cell>
          <cell r="JG60" t="str">
            <v/>
          </cell>
          <cell r="JH60" t="str">
            <v/>
          </cell>
          <cell r="JI60" t="str">
            <v/>
          </cell>
          <cell r="JJ60" t="str">
            <v/>
          </cell>
          <cell r="JK60" t="str">
            <v/>
          </cell>
          <cell r="JL60" t="str">
            <v/>
          </cell>
          <cell r="JM60" t="str">
            <v/>
          </cell>
          <cell r="JN60" t="str">
            <v/>
          </cell>
          <cell r="JO60" t="str">
            <v/>
          </cell>
          <cell r="JP60" t="str">
            <v/>
          </cell>
          <cell r="JQ60" t="str">
            <v/>
          </cell>
          <cell r="JR60" t="str">
            <v/>
          </cell>
          <cell r="JS60" t="str">
            <v/>
          </cell>
          <cell r="JT60" t="str">
            <v/>
          </cell>
          <cell r="JU60" t="str">
            <v/>
          </cell>
          <cell r="JV60" t="str">
            <v/>
          </cell>
          <cell r="JW60" t="str">
            <v/>
          </cell>
          <cell r="JX60" t="str">
            <v/>
          </cell>
          <cell r="JY60" t="str">
            <v/>
          </cell>
          <cell r="JZ60" t="str">
            <v/>
          </cell>
          <cell r="KA60" t="str">
            <v/>
          </cell>
          <cell r="KB60" t="str">
            <v/>
          </cell>
          <cell r="KC60" t="str">
            <v/>
          </cell>
          <cell r="KD60">
            <v>1</v>
          </cell>
          <cell r="KG60">
            <v>0</v>
          </cell>
          <cell r="KJ60">
            <v>0</v>
          </cell>
          <cell r="KM60">
            <v>0</v>
          </cell>
          <cell r="KP60">
            <v>0</v>
          </cell>
          <cell r="KS60">
            <v>0</v>
          </cell>
          <cell r="KV60">
            <v>0</v>
          </cell>
          <cell r="KY60">
            <v>0</v>
          </cell>
          <cell r="LB60">
            <v>0</v>
          </cell>
          <cell r="LE60">
            <v>0</v>
          </cell>
          <cell r="LH60">
            <v>0</v>
          </cell>
          <cell r="LK60">
            <v>0</v>
          </cell>
          <cell r="LP60" t="str">
            <v>EN PRODUCCION</v>
          </cell>
        </row>
        <row r="61">
          <cell r="A61">
            <v>1660</v>
          </cell>
          <cell r="B61" t="str">
            <v>RUBEN</v>
          </cell>
          <cell r="C61" t="str">
            <v>BARRACAS GRANDE</v>
          </cell>
          <cell r="D61" t="str">
            <v>MARROQUINERIA GRANDE</v>
          </cell>
          <cell r="E61">
            <v>7</v>
          </cell>
          <cell r="F61">
            <v>7</v>
          </cell>
          <cell r="G61">
            <v>7</v>
          </cell>
          <cell r="H61">
            <v>45732.532233796293</v>
          </cell>
          <cell r="I61" t="str">
            <v>MOCHILA PIETRO</v>
          </cell>
          <cell r="J61">
            <v>45713</v>
          </cell>
          <cell r="K61">
            <v>45713</v>
          </cell>
          <cell r="M61">
            <v>120</v>
          </cell>
          <cell r="N61" t="str">
            <v>M057</v>
          </cell>
          <cell r="O61" t="str">
            <v>BAC1300020827</v>
          </cell>
          <cell r="P61">
            <v>0.03</v>
          </cell>
          <cell r="Q61" t="str">
            <v>BAC0200081126</v>
          </cell>
          <cell r="R61">
            <v>0.08</v>
          </cell>
          <cell r="S61" t="str">
            <v>BAC0200071027</v>
          </cell>
          <cell r="T61">
            <v>0.09</v>
          </cell>
          <cell r="U61" t="str">
            <v>FOR0000032</v>
          </cell>
          <cell r="V61">
            <v>10</v>
          </cell>
          <cell r="W61" t="str">
            <v>AV0101030201</v>
          </cell>
          <cell r="X61">
            <v>1</v>
          </cell>
          <cell r="Y61" t="str">
            <v>AV0101040201</v>
          </cell>
          <cell r="Z61">
            <v>2</v>
          </cell>
          <cell r="AA61" t="str">
            <v>AV0300410101</v>
          </cell>
          <cell r="AB61">
            <v>2</v>
          </cell>
          <cell r="AC61" t="str">
            <v>AV1000790101</v>
          </cell>
          <cell r="AD61">
            <v>1</v>
          </cell>
          <cell r="AE61" t="str">
            <v>AV0401150101</v>
          </cell>
          <cell r="AF61">
            <v>2</v>
          </cell>
          <cell r="AG61" t="str">
            <v>AV1802210726</v>
          </cell>
          <cell r="AH61">
            <v>0.05</v>
          </cell>
          <cell r="AI61" t="str">
            <v>AV0300390101</v>
          </cell>
          <cell r="AJ61">
            <v>2</v>
          </cell>
          <cell r="AK61" t="str">
            <v>AV170129018</v>
          </cell>
          <cell r="AL61">
            <v>0</v>
          </cell>
          <cell r="AM61" t="str">
            <v/>
          </cell>
          <cell r="AN61" t="str">
            <v/>
          </cell>
          <cell r="AO61" t="str">
            <v/>
          </cell>
          <cell r="AP61" t="str">
            <v/>
          </cell>
          <cell r="AQ61" t="str">
            <v/>
          </cell>
          <cell r="AR61" t="str">
            <v/>
          </cell>
          <cell r="AS61" t="str">
            <v>TIRACIERRE PRINCIPAL -. METAL LUCERO // TIRACIERRE BOLSILLOS -N4- TIRA PEGADA CON REMACHE Y GRABADO L</v>
          </cell>
          <cell r="AT61" t="str">
            <v/>
          </cell>
          <cell r="AU61" t="str">
            <v/>
          </cell>
          <cell r="AV61" t="str">
            <v/>
          </cell>
          <cell r="AW61" t="str">
            <v xml:space="preserve">GRABADO " EL LUCERO" GRANDE CENTRADO EN VISTA ESPALDA  </v>
          </cell>
          <cell r="AX61" t="str">
            <v>NEGRO</v>
          </cell>
          <cell r="AY61" t="str">
            <v>VANESKA-CUERO NAPADO DUNA</v>
          </cell>
          <cell r="AZ61" t="str">
            <v>CUE0000059</v>
          </cell>
          <cell r="BA61">
            <v>0.99</v>
          </cell>
          <cell r="BB61" t="str">
            <v>FOR0000020</v>
          </cell>
          <cell r="BC61">
            <v>0.66</v>
          </cell>
          <cell r="BD61" t="str">
            <v>AV0100010103</v>
          </cell>
          <cell r="BE61">
            <v>1.7</v>
          </cell>
          <cell r="BF61" t="str">
            <v>AV1401244040</v>
          </cell>
          <cell r="BG61">
            <v>0</v>
          </cell>
          <cell r="BH61" t="str">
            <v>AV1601300926</v>
          </cell>
          <cell r="BI61">
            <v>0</v>
          </cell>
          <cell r="BJ61" t="str">
            <v/>
          </cell>
          <cell r="BK61" t="str">
            <v/>
          </cell>
          <cell r="BL61" t="str">
            <v/>
          </cell>
          <cell r="BM61" t="str">
            <v/>
          </cell>
          <cell r="BN61" t="str">
            <v/>
          </cell>
          <cell r="BO61" t="str">
            <v/>
          </cell>
          <cell r="BP61" t="str">
            <v/>
          </cell>
          <cell r="BQ61" t="str">
            <v/>
          </cell>
          <cell r="BR61" t="str">
            <v>CEDRO</v>
          </cell>
          <cell r="BS61" t="str">
            <v>BIANCO-CUERO FIORENTINO</v>
          </cell>
          <cell r="BT61" t="str">
            <v>CUE0000055</v>
          </cell>
          <cell r="BU61">
            <v>0.99</v>
          </cell>
          <cell r="BV61" t="str">
            <v>FOR0000021</v>
          </cell>
          <cell r="BW61">
            <v>0.66</v>
          </cell>
          <cell r="BX61" t="str">
            <v>AV0100010111</v>
          </cell>
          <cell r="BY61">
            <v>1.7</v>
          </cell>
          <cell r="BZ61" t="str">
            <v>AV1401240545</v>
          </cell>
          <cell r="CA61">
            <v>0</v>
          </cell>
          <cell r="CB61" t="str">
            <v>AV1601300955</v>
          </cell>
          <cell r="CC61">
            <v>0</v>
          </cell>
          <cell r="CD61" t="str">
            <v/>
          </cell>
          <cell r="CE61" t="str">
            <v/>
          </cell>
          <cell r="CF61" t="str">
            <v/>
          </cell>
          <cell r="CG61" t="str">
            <v/>
          </cell>
          <cell r="CH61" t="str">
            <v/>
          </cell>
          <cell r="CI61" t="str">
            <v/>
          </cell>
          <cell r="CJ61" t="str">
            <v/>
          </cell>
          <cell r="CK61" t="str">
            <v/>
          </cell>
          <cell r="CL61" t="str">
            <v>TABACO</v>
          </cell>
          <cell r="CM61" t="str">
            <v>ARENA-CUERO BRIDGE</v>
          </cell>
          <cell r="CN61" t="str">
            <v>CUE0000012</v>
          </cell>
          <cell r="CO61">
            <v>0.99</v>
          </cell>
          <cell r="CP61" t="str">
            <v>FOR0000021</v>
          </cell>
          <cell r="CQ61">
            <v>0.66</v>
          </cell>
          <cell r="CR61" t="str">
            <v>AV0100010114</v>
          </cell>
          <cell r="CS61">
            <v>1.7</v>
          </cell>
          <cell r="CT61" t="str">
            <v>AV1401264540</v>
          </cell>
          <cell r="CU61">
            <v>0</v>
          </cell>
          <cell r="CV61" t="str">
            <v>AV1601300954</v>
          </cell>
          <cell r="CW61">
            <v>0</v>
          </cell>
          <cell r="CX61" t="str">
            <v/>
          </cell>
          <cell r="CY61" t="str">
            <v/>
          </cell>
          <cell r="CZ61" t="str">
            <v/>
          </cell>
          <cell r="DA61" t="str">
            <v/>
          </cell>
          <cell r="DB61" t="str">
            <v/>
          </cell>
          <cell r="DC61" t="str">
            <v/>
          </cell>
          <cell r="DD61" t="str">
            <v/>
          </cell>
          <cell r="DE61" t="str">
            <v/>
          </cell>
          <cell r="DF61" t="str">
            <v/>
          </cell>
          <cell r="DG61" t="str">
            <v/>
          </cell>
          <cell r="DH61" t="str">
            <v/>
          </cell>
          <cell r="DI61" t="str">
            <v/>
          </cell>
          <cell r="DJ61" t="str">
            <v/>
          </cell>
          <cell r="DK61" t="str">
            <v/>
          </cell>
          <cell r="DL61" t="str">
            <v/>
          </cell>
          <cell r="DM61" t="str">
            <v/>
          </cell>
          <cell r="DN61" t="str">
            <v/>
          </cell>
          <cell r="DO61" t="str">
            <v/>
          </cell>
          <cell r="DP61" t="str">
            <v/>
          </cell>
          <cell r="DQ61" t="str">
            <v/>
          </cell>
          <cell r="DR61" t="str">
            <v/>
          </cell>
          <cell r="DS61" t="str">
            <v/>
          </cell>
          <cell r="DT61" t="str">
            <v/>
          </cell>
          <cell r="DU61" t="str">
            <v/>
          </cell>
          <cell r="DV61" t="str">
            <v/>
          </cell>
          <cell r="DW61" t="str">
            <v/>
          </cell>
          <cell r="DX61" t="str">
            <v/>
          </cell>
          <cell r="DY61" t="str">
            <v/>
          </cell>
          <cell r="DZ61" t="str">
            <v/>
          </cell>
          <cell r="EA61" t="str">
            <v/>
          </cell>
          <cell r="EB61" t="str">
            <v/>
          </cell>
          <cell r="EC61" t="str">
            <v/>
          </cell>
          <cell r="ED61" t="str">
            <v/>
          </cell>
          <cell r="EE61" t="str">
            <v/>
          </cell>
          <cell r="EF61" t="str">
            <v/>
          </cell>
          <cell r="EG61" t="str">
            <v/>
          </cell>
          <cell r="EH61" t="str">
            <v/>
          </cell>
          <cell r="EI61" t="str">
            <v/>
          </cell>
          <cell r="EJ61" t="str">
            <v/>
          </cell>
          <cell r="EK61" t="str">
            <v/>
          </cell>
          <cell r="EL61" t="str">
            <v/>
          </cell>
          <cell r="EM61" t="str">
            <v/>
          </cell>
          <cell r="EN61" t="str">
            <v/>
          </cell>
          <cell r="EO61" t="str">
            <v/>
          </cell>
          <cell r="EP61" t="str">
            <v/>
          </cell>
          <cell r="EQ61" t="str">
            <v/>
          </cell>
          <cell r="ER61" t="str">
            <v/>
          </cell>
          <cell r="ES61" t="str">
            <v/>
          </cell>
          <cell r="ET61" t="str">
            <v/>
          </cell>
          <cell r="EU61" t="str">
            <v/>
          </cell>
          <cell r="EV61" t="str">
            <v/>
          </cell>
          <cell r="EW61" t="str">
            <v/>
          </cell>
          <cell r="EX61" t="str">
            <v/>
          </cell>
          <cell r="EY61" t="str">
            <v/>
          </cell>
          <cell r="EZ61" t="str">
            <v/>
          </cell>
          <cell r="FA61" t="str">
            <v/>
          </cell>
          <cell r="FB61" t="str">
            <v/>
          </cell>
          <cell r="FC61" t="str">
            <v/>
          </cell>
          <cell r="FD61" t="str">
            <v/>
          </cell>
          <cell r="FE61" t="str">
            <v/>
          </cell>
          <cell r="FF61" t="str">
            <v/>
          </cell>
          <cell r="FG61" t="str">
            <v/>
          </cell>
          <cell r="FH61" t="str">
            <v/>
          </cell>
          <cell r="FI61" t="str">
            <v/>
          </cell>
          <cell r="FJ61" t="str">
            <v/>
          </cell>
          <cell r="FK61" t="str">
            <v/>
          </cell>
          <cell r="FL61" t="str">
            <v/>
          </cell>
          <cell r="FM61" t="str">
            <v/>
          </cell>
          <cell r="FN61" t="str">
            <v/>
          </cell>
          <cell r="FO61" t="str">
            <v/>
          </cell>
          <cell r="FP61" t="str">
            <v/>
          </cell>
          <cell r="FQ61" t="str">
            <v/>
          </cell>
          <cell r="FR61" t="str">
            <v/>
          </cell>
          <cell r="FS61" t="str">
            <v/>
          </cell>
          <cell r="FT61" t="str">
            <v/>
          </cell>
          <cell r="FU61" t="str">
            <v/>
          </cell>
          <cell r="FV61" t="str">
            <v/>
          </cell>
          <cell r="FW61" t="str">
            <v/>
          </cell>
          <cell r="FX61" t="str">
            <v/>
          </cell>
          <cell r="FY61" t="str">
            <v/>
          </cell>
          <cell r="FZ61" t="str">
            <v/>
          </cell>
          <cell r="GA61" t="str">
            <v/>
          </cell>
          <cell r="GB61" t="str">
            <v/>
          </cell>
          <cell r="GC61" t="str">
            <v/>
          </cell>
          <cell r="GD61" t="str">
            <v/>
          </cell>
          <cell r="GE61" t="str">
            <v/>
          </cell>
          <cell r="GF61" t="str">
            <v/>
          </cell>
          <cell r="GG61" t="str">
            <v/>
          </cell>
          <cell r="GH61" t="str">
            <v/>
          </cell>
          <cell r="GI61" t="str">
            <v/>
          </cell>
          <cell r="GJ61" t="str">
            <v/>
          </cell>
          <cell r="GK61" t="str">
            <v/>
          </cell>
          <cell r="GL61" t="str">
            <v/>
          </cell>
          <cell r="GM61" t="str">
            <v/>
          </cell>
          <cell r="GN61" t="str">
            <v/>
          </cell>
          <cell r="GO61" t="str">
            <v/>
          </cell>
          <cell r="GP61" t="str">
            <v/>
          </cell>
          <cell r="GQ61" t="str">
            <v/>
          </cell>
          <cell r="GR61" t="str">
            <v/>
          </cell>
          <cell r="GS61" t="str">
            <v/>
          </cell>
          <cell r="GT61" t="str">
            <v/>
          </cell>
          <cell r="GU61" t="str">
            <v/>
          </cell>
          <cell r="GV61" t="str">
            <v/>
          </cell>
          <cell r="GW61" t="str">
            <v/>
          </cell>
          <cell r="GX61" t="str">
            <v/>
          </cell>
          <cell r="GY61" t="str">
            <v/>
          </cell>
          <cell r="GZ61" t="str">
            <v/>
          </cell>
          <cell r="HA61" t="str">
            <v/>
          </cell>
          <cell r="HB61" t="str">
            <v/>
          </cell>
          <cell r="HC61" t="str">
            <v/>
          </cell>
          <cell r="HD61" t="str">
            <v/>
          </cell>
          <cell r="HE61" t="str">
            <v/>
          </cell>
          <cell r="HF61" t="str">
            <v/>
          </cell>
          <cell r="HG61" t="str">
            <v/>
          </cell>
          <cell r="HH61" t="str">
            <v/>
          </cell>
          <cell r="HI61" t="str">
            <v/>
          </cell>
          <cell r="HJ61" t="str">
            <v/>
          </cell>
          <cell r="HK61" t="str">
            <v/>
          </cell>
          <cell r="HL61" t="str">
            <v/>
          </cell>
          <cell r="HM61" t="str">
            <v/>
          </cell>
          <cell r="HN61" t="str">
            <v/>
          </cell>
          <cell r="HO61" t="str">
            <v/>
          </cell>
          <cell r="HP61" t="str">
            <v/>
          </cell>
          <cell r="HQ61" t="str">
            <v/>
          </cell>
          <cell r="HR61" t="str">
            <v/>
          </cell>
          <cell r="HS61" t="str">
            <v/>
          </cell>
          <cell r="HT61" t="str">
            <v/>
          </cell>
          <cell r="HU61" t="str">
            <v/>
          </cell>
          <cell r="HV61" t="str">
            <v/>
          </cell>
          <cell r="HW61" t="str">
            <v/>
          </cell>
          <cell r="HX61" t="str">
            <v/>
          </cell>
          <cell r="HY61" t="str">
            <v/>
          </cell>
          <cell r="HZ61" t="str">
            <v/>
          </cell>
          <cell r="IA61" t="str">
            <v/>
          </cell>
          <cell r="IB61" t="str">
            <v/>
          </cell>
          <cell r="IC61" t="str">
            <v/>
          </cell>
          <cell r="ID61" t="str">
            <v/>
          </cell>
          <cell r="IE61" t="str">
            <v/>
          </cell>
          <cell r="IF61" t="str">
            <v/>
          </cell>
          <cell r="IG61" t="str">
            <v/>
          </cell>
          <cell r="IH61" t="str">
            <v/>
          </cell>
          <cell r="II61" t="str">
            <v/>
          </cell>
          <cell r="IJ61" t="str">
            <v/>
          </cell>
          <cell r="IK61" t="str">
            <v/>
          </cell>
          <cell r="IL61" t="str">
            <v/>
          </cell>
          <cell r="IM61" t="str">
            <v/>
          </cell>
          <cell r="IN61" t="str">
            <v/>
          </cell>
          <cell r="IO61" t="str">
            <v/>
          </cell>
          <cell r="IP61" t="str">
            <v/>
          </cell>
          <cell r="IQ61" t="str">
            <v/>
          </cell>
          <cell r="IR61" t="str">
            <v/>
          </cell>
          <cell r="IS61" t="str">
            <v/>
          </cell>
          <cell r="IT61" t="str">
            <v/>
          </cell>
          <cell r="IU61" t="str">
            <v/>
          </cell>
          <cell r="IV61" t="str">
            <v/>
          </cell>
          <cell r="IW61" t="str">
            <v/>
          </cell>
          <cell r="IX61" t="str">
            <v/>
          </cell>
          <cell r="IY61" t="str">
            <v/>
          </cell>
          <cell r="IZ61" t="str">
            <v/>
          </cell>
          <cell r="JA61" t="str">
            <v/>
          </cell>
          <cell r="JB61" t="str">
            <v/>
          </cell>
          <cell r="JC61" t="str">
            <v/>
          </cell>
          <cell r="JD61" t="str">
            <v/>
          </cell>
          <cell r="JE61" t="str">
            <v/>
          </cell>
          <cell r="JF61" t="str">
            <v/>
          </cell>
          <cell r="JG61" t="str">
            <v/>
          </cell>
          <cell r="JH61" t="str">
            <v/>
          </cell>
          <cell r="JI61" t="str">
            <v/>
          </cell>
          <cell r="JJ61" t="str">
            <v/>
          </cell>
          <cell r="JK61" t="str">
            <v/>
          </cell>
          <cell r="JL61" t="str">
            <v/>
          </cell>
          <cell r="JM61" t="str">
            <v/>
          </cell>
          <cell r="JN61" t="str">
            <v/>
          </cell>
          <cell r="JO61" t="str">
            <v/>
          </cell>
          <cell r="JP61" t="str">
            <v/>
          </cell>
          <cell r="JQ61" t="str">
            <v/>
          </cell>
          <cell r="JR61" t="str">
            <v/>
          </cell>
          <cell r="JS61" t="str">
            <v/>
          </cell>
          <cell r="JT61" t="str">
            <v/>
          </cell>
          <cell r="JU61" t="str">
            <v/>
          </cell>
          <cell r="JV61" t="str">
            <v/>
          </cell>
          <cell r="JW61" t="str">
            <v/>
          </cell>
          <cell r="JX61" t="str">
            <v/>
          </cell>
          <cell r="JY61" t="str">
            <v/>
          </cell>
          <cell r="JZ61" t="str">
            <v/>
          </cell>
          <cell r="KA61" t="str">
            <v/>
          </cell>
          <cell r="KB61" t="str">
            <v/>
          </cell>
          <cell r="KC61" t="str">
            <v/>
          </cell>
          <cell r="KD61">
            <v>2</v>
          </cell>
          <cell r="KE61">
            <v>2</v>
          </cell>
          <cell r="KF61">
            <v>2</v>
          </cell>
          <cell r="KG61">
            <v>2</v>
          </cell>
          <cell r="KH61">
            <v>2</v>
          </cell>
          <cell r="KI61">
            <v>2</v>
          </cell>
          <cell r="KJ61">
            <v>3</v>
          </cell>
          <cell r="KK61">
            <v>3</v>
          </cell>
          <cell r="KL61">
            <v>3</v>
          </cell>
          <cell r="KM61">
            <v>0</v>
          </cell>
          <cell r="KP61">
            <v>0</v>
          </cell>
          <cell r="KS61">
            <v>0</v>
          </cell>
          <cell r="KV61">
            <v>0</v>
          </cell>
          <cell r="KY61">
            <v>0</v>
          </cell>
          <cell r="LB61">
            <v>0</v>
          </cell>
          <cell r="LE61">
            <v>0</v>
          </cell>
          <cell r="LH61">
            <v>0</v>
          </cell>
          <cell r="LK61">
            <v>0</v>
          </cell>
          <cell r="LO61">
            <v>45713</v>
          </cell>
          <cell r="LP61" t="str">
            <v>COMPLETADO</v>
          </cell>
        </row>
        <row r="62">
          <cell r="A62">
            <v>1662</v>
          </cell>
          <cell r="B62" t="str">
            <v>RUBEN</v>
          </cell>
          <cell r="C62" t="str">
            <v>BARRACAS GRANDE</v>
          </cell>
          <cell r="D62" t="str">
            <v>MARROQUINERIA GRANDE</v>
          </cell>
          <cell r="E62">
            <v>9</v>
          </cell>
          <cell r="F62">
            <v>9</v>
          </cell>
          <cell r="G62">
            <v>9</v>
          </cell>
          <cell r="H62">
            <v>45732.534456018519</v>
          </cell>
          <cell r="I62" t="str">
            <v>PORTALAPTOP MILTON</v>
          </cell>
          <cell r="J62">
            <v>45713</v>
          </cell>
          <cell r="K62">
            <v>45713</v>
          </cell>
          <cell r="M62">
            <v>18</v>
          </cell>
          <cell r="N62" t="str">
            <v>M095</v>
          </cell>
          <cell r="O62" t="str">
            <v>AV170129018</v>
          </cell>
          <cell r="P62">
            <v>0</v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 t="str">
            <v/>
          </cell>
          <cell r="AH62" t="str">
            <v/>
          </cell>
          <cell r="AI62" t="str">
            <v/>
          </cell>
          <cell r="AJ62" t="str">
            <v/>
          </cell>
          <cell r="AK62" t="str">
            <v/>
          </cell>
          <cell r="AL62" t="str">
            <v/>
          </cell>
          <cell r="AM62" t="str">
            <v/>
          </cell>
          <cell r="AN62" t="str">
            <v/>
          </cell>
          <cell r="AO62" t="str">
            <v/>
          </cell>
          <cell r="AP62" t="str">
            <v/>
          </cell>
          <cell r="AQ62" t="str">
            <v/>
          </cell>
          <cell r="AR62" t="str">
            <v/>
          </cell>
          <cell r="AS62" t="str">
            <v>MODIFICAR EL MOLDE VA PUNTA REDONDEADA</v>
          </cell>
          <cell r="AT62" t="str">
            <v/>
          </cell>
          <cell r="AU62" t="str">
            <v/>
          </cell>
          <cell r="AV62" t="str">
            <v/>
          </cell>
          <cell r="AW62" t="str">
            <v xml:space="preserve">GRABADO "EL LUCERO ARGENTINA" GRANDE EN ESPALDA, CENTRADO A 1,5 CM DESDE EL BORDE INFERIOR </v>
          </cell>
          <cell r="AX62" t="str">
            <v>TABACO</v>
          </cell>
          <cell r="AY62" t="str">
            <v>ARENA-CUERO BRIDGE</v>
          </cell>
          <cell r="AZ62" t="str">
            <v>CUE0000012</v>
          </cell>
          <cell r="BA62">
            <v>0.27</v>
          </cell>
          <cell r="BB62" t="str">
            <v>AV1401240545</v>
          </cell>
          <cell r="BC62">
            <v>0</v>
          </cell>
          <cell r="BD62" t="str">
            <v/>
          </cell>
          <cell r="BE62" t="str">
            <v/>
          </cell>
          <cell r="BF62" t="str">
            <v/>
          </cell>
          <cell r="BG62" t="str">
            <v/>
          </cell>
          <cell r="BH62" t="str">
            <v/>
          </cell>
          <cell r="BI62" t="str">
            <v/>
          </cell>
          <cell r="BJ62" t="str">
            <v/>
          </cell>
          <cell r="BK62" t="str">
            <v/>
          </cell>
          <cell r="BL62" t="str">
            <v/>
          </cell>
          <cell r="BM62" t="str">
            <v/>
          </cell>
          <cell r="BN62" t="str">
            <v/>
          </cell>
          <cell r="BO62" t="str">
            <v/>
          </cell>
          <cell r="BP62" t="str">
            <v/>
          </cell>
          <cell r="BQ62" t="str">
            <v/>
          </cell>
          <cell r="BR62" t="str">
            <v>NEGRO</v>
          </cell>
          <cell r="BS62" t="str">
            <v>ARENA-CUERO BRIDGE</v>
          </cell>
          <cell r="BT62" t="str">
            <v>CUE0000009</v>
          </cell>
          <cell r="BU62">
            <v>0.27</v>
          </cell>
          <cell r="BV62" t="str">
            <v>AV1401244040</v>
          </cell>
          <cell r="BW62">
            <v>0</v>
          </cell>
          <cell r="BX62" t="str">
            <v/>
          </cell>
          <cell r="BY62" t="str">
            <v/>
          </cell>
          <cell r="BZ62" t="str">
            <v/>
          </cell>
          <cell r="CA62" t="str">
            <v/>
          </cell>
          <cell r="CB62" t="str">
            <v/>
          </cell>
          <cell r="CC62" t="str">
            <v/>
          </cell>
          <cell r="CD62" t="str">
            <v/>
          </cell>
          <cell r="CE62" t="str">
            <v/>
          </cell>
          <cell r="CF62" t="str">
            <v/>
          </cell>
          <cell r="CG62" t="str">
            <v/>
          </cell>
          <cell r="CH62" t="str">
            <v/>
          </cell>
          <cell r="CI62" t="str">
            <v/>
          </cell>
          <cell r="CJ62" t="str">
            <v/>
          </cell>
          <cell r="CK62" t="str">
            <v/>
          </cell>
          <cell r="CL62" t="str">
            <v/>
          </cell>
          <cell r="CM62" t="str">
            <v/>
          </cell>
          <cell r="CN62" t="str">
            <v/>
          </cell>
          <cell r="CO62" t="str">
            <v/>
          </cell>
          <cell r="CP62" t="str">
            <v/>
          </cell>
          <cell r="CQ62" t="str">
            <v/>
          </cell>
          <cell r="CR62" t="str">
            <v/>
          </cell>
          <cell r="CS62" t="str">
            <v/>
          </cell>
          <cell r="CT62" t="str">
            <v/>
          </cell>
          <cell r="CU62" t="str">
            <v/>
          </cell>
          <cell r="CV62" t="str">
            <v/>
          </cell>
          <cell r="CW62" t="str">
            <v/>
          </cell>
          <cell r="CX62" t="str">
            <v/>
          </cell>
          <cell r="CY62" t="str">
            <v/>
          </cell>
          <cell r="CZ62" t="str">
            <v/>
          </cell>
          <cell r="DA62" t="str">
            <v/>
          </cell>
          <cell r="DB62" t="str">
            <v/>
          </cell>
          <cell r="DC62" t="str">
            <v/>
          </cell>
          <cell r="DD62" t="str">
            <v/>
          </cell>
          <cell r="DE62" t="str">
            <v/>
          </cell>
          <cell r="DF62" t="str">
            <v/>
          </cell>
          <cell r="DG62" t="str">
            <v/>
          </cell>
          <cell r="DH62" t="str">
            <v/>
          </cell>
          <cell r="DI62" t="str">
            <v/>
          </cell>
          <cell r="DJ62" t="str">
            <v/>
          </cell>
          <cell r="DK62" t="str">
            <v/>
          </cell>
          <cell r="DL62" t="str">
            <v/>
          </cell>
          <cell r="DM62" t="str">
            <v/>
          </cell>
          <cell r="DN62" t="str">
            <v/>
          </cell>
          <cell r="DO62" t="str">
            <v/>
          </cell>
          <cell r="DP62" t="str">
            <v/>
          </cell>
          <cell r="DQ62" t="str">
            <v/>
          </cell>
          <cell r="DR62" t="str">
            <v/>
          </cell>
          <cell r="DS62" t="str">
            <v/>
          </cell>
          <cell r="DT62" t="str">
            <v/>
          </cell>
          <cell r="DU62" t="str">
            <v/>
          </cell>
          <cell r="DV62" t="str">
            <v/>
          </cell>
          <cell r="DW62" t="str">
            <v/>
          </cell>
          <cell r="DX62" t="str">
            <v/>
          </cell>
          <cell r="DY62" t="str">
            <v/>
          </cell>
          <cell r="DZ62" t="str">
            <v/>
          </cell>
          <cell r="EA62" t="str">
            <v/>
          </cell>
          <cell r="EB62" t="str">
            <v/>
          </cell>
          <cell r="EC62" t="str">
            <v/>
          </cell>
          <cell r="ED62" t="str">
            <v/>
          </cell>
          <cell r="EE62" t="str">
            <v/>
          </cell>
          <cell r="EF62" t="str">
            <v/>
          </cell>
          <cell r="EG62" t="str">
            <v/>
          </cell>
          <cell r="EH62" t="str">
            <v/>
          </cell>
          <cell r="EI62" t="str">
            <v/>
          </cell>
          <cell r="EJ62" t="str">
            <v/>
          </cell>
          <cell r="EK62" t="str">
            <v/>
          </cell>
          <cell r="EL62" t="str">
            <v/>
          </cell>
          <cell r="EM62" t="str">
            <v/>
          </cell>
          <cell r="EN62" t="str">
            <v/>
          </cell>
          <cell r="EO62" t="str">
            <v/>
          </cell>
          <cell r="EP62" t="str">
            <v/>
          </cell>
          <cell r="EQ62" t="str">
            <v/>
          </cell>
          <cell r="ER62" t="str">
            <v/>
          </cell>
          <cell r="ES62" t="str">
            <v/>
          </cell>
          <cell r="ET62" t="str">
            <v/>
          </cell>
          <cell r="EU62" t="str">
            <v/>
          </cell>
          <cell r="EV62" t="str">
            <v/>
          </cell>
          <cell r="EW62" t="str">
            <v/>
          </cell>
          <cell r="EX62" t="str">
            <v/>
          </cell>
          <cell r="EY62" t="str">
            <v/>
          </cell>
          <cell r="EZ62" t="str">
            <v/>
          </cell>
          <cell r="FA62" t="str">
            <v/>
          </cell>
          <cell r="FB62" t="str">
            <v/>
          </cell>
          <cell r="FC62" t="str">
            <v/>
          </cell>
          <cell r="FD62" t="str">
            <v/>
          </cell>
          <cell r="FE62" t="str">
            <v/>
          </cell>
          <cell r="FF62" t="str">
            <v/>
          </cell>
          <cell r="FG62" t="str">
            <v/>
          </cell>
          <cell r="FH62" t="str">
            <v/>
          </cell>
          <cell r="FI62" t="str">
            <v/>
          </cell>
          <cell r="FJ62" t="str">
            <v/>
          </cell>
          <cell r="FK62" t="str">
            <v/>
          </cell>
          <cell r="FL62" t="str">
            <v/>
          </cell>
          <cell r="FM62" t="str">
            <v/>
          </cell>
          <cell r="FN62" t="str">
            <v/>
          </cell>
          <cell r="FO62" t="str">
            <v/>
          </cell>
          <cell r="FP62" t="str">
            <v/>
          </cell>
          <cell r="FQ62" t="str">
            <v/>
          </cell>
          <cell r="FR62" t="str">
            <v/>
          </cell>
          <cell r="FS62" t="str">
            <v/>
          </cell>
          <cell r="FT62" t="str">
            <v/>
          </cell>
          <cell r="FU62" t="str">
            <v/>
          </cell>
          <cell r="FV62" t="str">
            <v/>
          </cell>
          <cell r="FW62" t="str">
            <v/>
          </cell>
          <cell r="FX62" t="str">
            <v/>
          </cell>
          <cell r="FY62" t="str">
            <v/>
          </cell>
          <cell r="FZ62" t="str">
            <v/>
          </cell>
          <cell r="GA62" t="str">
            <v/>
          </cell>
          <cell r="GB62" t="str">
            <v/>
          </cell>
          <cell r="GC62" t="str">
            <v/>
          </cell>
          <cell r="GD62" t="str">
            <v/>
          </cell>
          <cell r="GE62" t="str">
            <v/>
          </cell>
          <cell r="GF62" t="str">
            <v/>
          </cell>
          <cell r="GG62" t="str">
            <v/>
          </cell>
          <cell r="GH62" t="str">
            <v/>
          </cell>
          <cell r="GI62" t="str">
            <v/>
          </cell>
          <cell r="GJ62" t="str">
            <v/>
          </cell>
          <cell r="GK62" t="str">
            <v/>
          </cell>
          <cell r="GL62" t="str">
            <v/>
          </cell>
          <cell r="GM62" t="str">
            <v/>
          </cell>
          <cell r="GN62" t="str">
            <v/>
          </cell>
          <cell r="GO62" t="str">
            <v/>
          </cell>
          <cell r="GP62" t="str">
            <v/>
          </cell>
          <cell r="GQ62" t="str">
            <v/>
          </cell>
          <cell r="GR62" t="str">
            <v/>
          </cell>
          <cell r="GS62" t="str">
            <v/>
          </cell>
          <cell r="GT62" t="str">
            <v/>
          </cell>
          <cell r="GU62" t="str">
            <v/>
          </cell>
          <cell r="GV62" t="str">
            <v/>
          </cell>
          <cell r="GW62" t="str">
            <v/>
          </cell>
          <cell r="GX62" t="str">
            <v/>
          </cell>
          <cell r="GY62" t="str">
            <v/>
          </cell>
          <cell r="GZ62" t="str">
            <v/>
          </cell>
          <cell r="HA62" t="str">
            <v/>
          </cell>
          <cell r="HB62" t="str">
            <v/>
          </cell>
          <cell r="HC62" t="str">
            <v/>
          </cell>
          <cell r="HD62" t="str">
            <v/>
          </cell>
          <cell r="HE62" t="str">
            <v/>
          </cell>
          <cell r="HF62" t="str">
            <v/>
          </cell>
          <cell r="HG62" t="str">
            <v/>
          </cell>
          <cell r="HH62" t="str">
            <v/>
          </cell>
          <cell r="HI62" t="str">
            <v/>
          </cell>
          <cell r="HJ62" t="str">
            <v/>
          </cell>
          <cell r="HK62" t="str">
            <v/>
          </cell>
          <cell r="HL62" t="str">
            <v/>
          </cell>
          <cell r="HM62" t="str">
            <v/>
          </cell>
          <cell r="HN62" t="str">
            <v/>
          </cell>
          <cell r="HO62" t="str">
            <v/>
          </cell>
          <cell r="HP62" t="str">
            <v/>
          </cell>
          <cell r="HQ62" t="str">
            <v/>
          </cell>
          <cell r="HR62" t="str">
            <v/>
          </cell>
          <cell r="HS62" t="str">
            <v/>
          </cell>
          <cell r="HT62" t="str">
            <v/>
          </cell>
          <cell r="HU62" t="str">
            <v/>
          </cell>
          <cell r="HV62" t="str">
            <v/>
          </cell>
          <cell r="HW62" t="str">
            <v/>
          </cell>
          <cell r="HX62" t="str">
            <v/>
          </cell>
          <cell r="HY62" t="str">
            <v/>
          </cell>
          <cell r="HZ62" t="str">
            <v/>
          </cell>
          <cell r="IA62" t="str">
            <v/>
          </cell>
          <cell r="IB62" t="str">
            <v/>
          </cell>
          <cell r="IC62" t="str">
            <v/>
          </cell>
          <cell r="ID62" t="str">
            <v/>
          </cell>
          <cell r="IE62" t="str">
            <v/>
          </cell>
          <cell r="IF62" t="str">
            <v/>
          </cell>
          <cell r="IG62" t="str">
            <v/>
          </cell>
          <cell r="IH62" t="str">
            <v/>
          </cell>
          <cell r="II62" t="str">
            <v/>
          </cell>
          <cell r="IJ62" t="str">
            <v/>
          </cell>
          <cell r="IK62" t="str">
            <v/>
          </cell>
          <cell r="IL62" t="str">
            <v/>
          </cell>
          <cell r="IM62" t="str">
            <v/>
          </cell>
          <cell r="IN62" t="str">
            <v/>
          </cell>
          <cell r="IO62" t="str">
            <v/>
          </cell>
          <cell r="IP62" t="str">
            <v/>
          </cell>
          <cell r="IQ62" t="str">
            <v/>
          </cell>
          <cell r="IR62" t="str">
            <v/>
          </cell>
          <cell r="IS62" t="str">
            <v/>
          </cell>
          <cell r="IT62" t="str">
            <v/>
          </cell>
          <cell r="IU62" t="str">
            <v/>
          </cell>
          <cell r="IV62" t="str">
            <v/>
          </cell>
          <cell r="IW62" t="str">
            <v/>
          </cell>
          <cell r="IX62" t="str">
            <v/>
          </cell>
          <cell r="IY62" t="str">
            <v/>
          </cell>
          <cell r="IZ62" t="str">
            <v/>
          </cell>
          <cell r="JA62" t="str">
            <v/>
          </cell>
          <cell r="JB62" t="str">
            <v/>
          </cell>
          <cell r="JC62" t="str">
            <v/>
          </cell>
          <cell r="JD62" t="str">
            <v/>
          </cell>
          <cell r="JE62" t="str">
            <v/>
          </cell>
          <cell r="JF62" t="str">
            <v/>
          </cell>
          <cell r="JG62" t="str">
            <v/>
          </cell>
          <cell r="JH62" t="str">
            <v/>
          </cell>
          <cell r="JI62" t="str">
            <v/>
          </cell>
          <cell r="JJ62" t="str">
            <v/>
          </cell>
          <cell r="JK62" t="str">
            <v/>
          </cell>
          <cell r="JL62" t="str">
            <v/>
          </cell>
          <cell r="JM62" t="str">
            <v/>
          </cell>
          <cell r="JN62" t="str">
            <v/>
          </cell>
          <cell r="JO62" t="str">
            <v/>
          </cell>
          <cell r="JP62" t="str">
            <v/>
          </cell>
          <cell r="JQ62" t="str">
            <v/>
          </cell>
          <cell r="JR62" t="str">
            <v/>
          </cell>
          <cell r="JS62" t="str">
            <v/>
          </cell>
          <cell r="JT62" t="str">
            <v/>
          </cell>
          <cell r="JU62" t="str">
            <v/>
          </cell>
          <cell r="JV62" t="str">
            <v/>
          </cell>
          <cell r="JW62" t="str">
            <v/>
          </cell>
          <cell r="JX62" t="str">
            <v/>
          </cell>
          <cell r="JY62" t="str">
            <v/>
          </cell>
          <cell r="JZ62" t="str">
            <v/>
          </cell>
          <cell r="KA62" t="str">
            <v/>
          </cell>
          <cell r="KB62" t="str">
            <v/>
          </cell>
          <cell r="KC62" t="str">
            <v/>
          </cell>
          <cell r="KD62">
            <v>3</v>
          </cell>
          <cell r="KE62">
            <v>3</v>
          </cell>
          <cell r="KF62">
            <v>3</v>
          </cell>
          <cell r="KG62">
            <v>6</v>
          </cell>
          <cell r="KH62">
            <v>6</v>
          </cell>
          <cell r="KI62">
            <v>6</v>
          </cell>
          <cell r="KJ62">
            <v>0</v>
          </cell>
          <cell r="KM62">
            <v>0</v>
          </cell>
          <cell r="KP62">
            <v>0</v>
          </cell>
          <cell r="KS62">
            <v>0</v>
          </cell>
          <cell r="KV62">
            <v>0</v>
          </cell>
          <cell r="KY62">
            <v>0</v>
          </cell>
          <cell r="LB62">
            <v>0</v>
          </cell>
          <cell r="LE62">
            <v>0</v>
          </cell>
          <cell r="LH62">
            <v>0</v>
          </cell>
          <cell r="LK62">
            <v>0</v>
          </cell>
          <cell r="LO62">
            <v>45713</v>
          </cell>
          <cell r="LP62" t="str">
            <v>COMPLETADO</v>
          </cell>
        </row>
        <row r="63">
          <cell r="A63">
            <v>1661</v>
          </cell>
          <cell r="B63" t="str">
            <v>RUBEN</v>
          </cell>
          <cell r="C63" t="str">
            <v>BARRACAS GRANDE</v>
          </cell>
          <cell r="D63" t="str">
            <v>MARROQUINERIA GRANDE</v>
          </cell>
          <cell r="E63">
            <v>7</v>
          </cell>
          <cell r="F63">
            <v>7</v>
          </cell>
          <cell r="G63">
            <v>7</v>
          </cell>
          <cell r="H63">
            <v>45739.778553240743</v>
          </cell>
          <cell r="I63" t="str">
            <v>MOCHILA PIETRO</v>
          </cell>
          <cell r="J63">
            <v>45689</v>
          </cell>
          <cell r="K63">
            <v>45690</v>
          </cell>
          <cell r="M63">
            <v>120</v>
          </cell>
          <cell r="N63" t="str">
            <v>M057</v>
          </cell>
          <cell r="O63" t="str">
            <v>BAC1300020827</v>
          </cell>
          <cell r="P63">
            <v>0.03</v>
          </cell>
          <cell r="Q63" t="str">
            <v>BAC0200081126</v>
          </cell>
          <cell r="R63">
            <v>0.08</v>
          </cell>
          <cell r="S63" t="str">
            <v>BAC0200071027</v>
          </cell>
          <cell r="T63">
            <v>0.09</v>
          </cell>
          <cell r="U63" t="str">
            <v>FOR0000032</v>
          </cell>
          <cell r="V63">
            <v>10</v>
          </cell>
          <cell r="W63" t="str">
            <v>AV0101030201</v>
          </cell>
          <cell r="X63">
            <v>1</v>
          </cell>
          <cell r="Y63" t="str">
            <v>AV0101040201</v>
          </cell>
          <cell r="Z63">
            <v>2</v>
          </cell>
          <cell r="AA63" t="str">
            <v>AV0300410101</v>
          </cell>
          <cell r="AB63">
            <v>2</v>
          </cell>
          <cell r="AC63" t="str">
            <v>AV1000790101</v>
          </cell>
          <cell r="AD63">
            <v>1</v>
          </cell>
          <cell r="AE63" t="str">
            <v>AV0401150101</v>
          </cell>
          <cell r="AF63">
            <v>2</v>
          </cell>
          <cell r="AG63" t="str">
            <v>AV1802210726</v>
          </cell>
          <cell r="AH63">
            <v>0.05</v>
          </cell>
          <cell r="AI63" t="str">
            <v>AV0300390101</v>
          </cell>
          <cell r="AJ63">
            <v>2</v>
          </cell>
          <cell r="AK63" t="str">
            <v>AV170129018</v>
          </cell>
          <cell r="AL63">
            <v>0</v>
          </cell>
          <cell r="AM63" t="str">
            <v/>
          </cell>
          <cell r="AN63" t="str">
            <v/>
          </cell>
          <cell r="AO63" t="str">
            <v/>
          </cell>
          <cell r="AP63" t="str">
            <v/>
          </cell>
          <cell r="AQ63" t="str">
            <v/>
          </cell>
          <cell r="AR63" t="str">
            <v/>
          </cell>
          <cell r="AS63" t="str">
            <v>TIRACIERRE PRINCIPAL -. METAL LUCERO // TIRACIERRE BOLSILLOS -N4- TIRA PEGADA CON REMACHE Y GRABADO L</v>
          </cell>
          <cell r="AT63" t="str">
            <v/>
          </cell>
          <cell r="AU63" t="str">
            <v/>
          </cell>
          <cell r="AV63" t="str">
            <v/>
          </cell>
          <cell r="AW63" t="str">
            <v xml:space="preserve">GRABADO " EL LUCERO" GRANDE CENTRADO EN VISTA ESPALDA  </v>
          </cell>
          <cell r="AX63" t="str">
            <v>NEGRO</v>
          </cell>
          <cell r="AY63" t="str">
            <v>VANESKA-CUERO NAPADO DUNA</v>
          </cell>
          <cell r="AZ63" t="str">
            <v>CUE0000059</v>
          </cell>
          <cell r="BA63">
            <v>0.99</v>
          </cell>
          <cell r="BB63" t="str">
            <v>FOR0000020</v>
          </cell>
          <cell r="BC63">
            <v>0.66</v>
          </cell>
          <cell r="BD63" t="str">
            <v>AV0100010103</v>
          </cell>
          <cell r="BE63">
            <v>1.7</v>
          </cell>
          <cell r="BF63" t="str">
            <v>AV1401244040</v>
          </cell>
          <cell r="BG63">
            <v>0</v>
          </cell>
          <cell r="BH63" t="str">
            <v>AV1601300926</v>
          </cell>
          <cell r="BI63">
            <v>0</v>
          </cell>
          <cell r="BJ63" t="str">
            <v/>
          </cell>
          <cell r="BK63" t="str">
            <v/>
          </cell>
          <cell r="BL63" t="str">
            <v/>
          </cell>
          <cell r="BM63" t="str">
            <v/>
          </cell>
          <cell r="BN63" t="str">
            <v/>
          </cell>
          <cell r="BO63" t="str">
            <v/>
          </cell>
          <cell r="BP63" t="str">
            <v/>
          </cell>
          <cell r="BQ63" t="str">
            <v/>
          </cell>
          <cell r="BR63" t="str">
            <v>CEDRO</v>
          </cell>
          <cell r="BS63" t="str">
            <v>BIANCO-CUERO FIORENTINO</v>
          </cell>
          <cell r="BT63" t="str">
            <v>CUE0000055</v>
          </cell>
          <cell r="BU63">
            <v>0.99</v>
          </cell>
          <cell r="BV63" t="str">
            <v>FOR0000021</v>
          </cell>
          <cell r="BW63">
            <v>0.66</v>
          </cell>
          <cell r="BX63" t="str">
            <v>AV0100010111</v>
          </cell>
          <cell r="BY63">
            <v>1.7</v>
          </cell>
          <cell r="BZ63" t="str">
            <v>AV1401240545</v>
          </cell>
          <cell r="CA63">
            <v>0</v>
          </cell>
          <cell r="CB63" t="str">
            <v>AV1601300955</v>
          </cell>
          <cell r="CC63">
            <v>0</v>
          </cell>
          <cell r="CD63" t="str">
            <v/>
          </cell>
          <cell r="CE63" t="str">
            <v/>
          </cell>
          <cell r="CF63" t="str">
            <v/>
          </cell>
          <cell r="CG63" t="str">
            <v/>
          </cell>
          <cell r="CH63" t="str">
            <v/>
          </cell>
          <cell r="CI63" t="str">
            <v/>
          </cell>
          <cell r="CJ63" t="str">
            <v/>
          </cell>
          <cell r="CK63" t="str">
            <v/>
          </cell>
          <cell r="CL63" t="str">
            <v>TABACO</v>
          </cell>
          <cell r="CM63" t="str">
            <v>ARENA-CUERO BRIDGE</v>
          </cell>
          <cell r="CN63" t="str">
            <v>CUE0000012</v>
          </cell>
          <cell r="CO63">
            <v>0.99</v>
          </cell>
          <cell r="CP63" t="str">
            <v>FOR0000021</v>
          </cell>
          <cell r="CQ63">
            <v>0.66</v>
          </cell>
          <cell r="CR63" t="str">
            <v>AV0100010114</v>
          </cell>
          <cell r="CS63">
            <v>1.7</v>
          </cell>
          <cell r="CT63" t="str">
            <v>AV1401264540</v>
          </cell>
          <cell r="CU63">
            <v>0</v>
          </cell>
          <cell r="CV63" t="str">
            <v>AV1601300954</v>
          </cell>
          <cell r="CW63">
            <v>0</v>
          </cell>
          <cell r="CX63" t="str">
            <v/>
          </cell>
          <cell r="CY63" t="str">
            <v/>
          </cell>
          <cell r="CZ63" t="str">
            <v/>
          </cell>
          <cell r="DA63" t="str">
            <v/>
          </cell>
          <cell r="DB63" t="str">
            <v/>
          </cell>
          <cell r="DC63" t="str">
            <v/>
          </cell>
          <cell r="DD63" t="str">
            <v/>
          </cell>
          <cell r="DE63" t="str">
            <v/>
          </cell>
          <cell r="DF63" t="str">
            <v/>
          </cell>
          <cell r="DG63" t="str">
            <v/>
          </cell>
          <cell r="DH63" t="str">
            <v/>
          </cell>
          <cell r="DI63" t="str">
            <v/>
          </cell>
          <cell r="DJ63" t="str">
            <v/>
          </cell>
          <cell r="DK63" t="str">
            <v/>
          </cell>
          <cell r="DL63" t="str">
            <v/>
          </cell>
          <cell r="DM63" t="str">
            <v/>
          </cell>
          <cell r="DN63" t="str">
            <v/>
          </cell>
          <cell r="DO63" t="str">
            <v/>
          </cell>
          <cell r="DP63" t="str">
            <v/>
          </cell>
          <cell r="DQ63" t="str">
            <v/>
          </cell>
          <cell r="DR63" t="str">
            <v/>
          </cell>
          <cell r="DS63" t="str">
            <v/>
          </cell>
          <cell r="DT63" t="str">
            <v/>
          </cell>
          <cell r="DU63" t="str">
            <v/>
          </cell>
          <cell r="DV63" t="str">
            <v/>
          </cell>
          <cell r="DW63" t="str">
            <v/>
          </cell>
          <cell r="DX63" t="str">
            <v/>
          </cell>
          <cell r="DY63" t="str">
            <v/>
          </cell>
          <cell r="DZ63" t="str">
            <v/>
          </cell>
          <cell r="EA63" t="str">
            <v/>
          </cell>
          <cell r="EB63" t="str">
            <v/>
          </cell>
          <cell r="EC63" t="str">
            <v/>
          </cell>
          <cell r="ED63" t="str">
            <v/>
          </cell>
          <cell r="EE63" t="str">
            <v/>
          </cell>
          <cell r="EF63" t="str">
            <v/>
          </cell>
          <cell r="EG63" t="str">
            <v/>
          </cell>
          <cell r="EH63" t="str">
            <v/>
          </cell>
          <cell r="EI63" t="str">
            <v/>
          </cell>
          <cell r="EJ63" t="str">
            <v/>
          </cell>
          <cell r="EK63" t="str">
            <v/>
          </cell>
          <cell r="EL63" t="str">
            <v/>
          </cell>
          <cell r="EM63" t="str">
            <v/>
          </cell>
          <cell r="EN63" t="str">
            <v/>
          </cell>
          <cell r="EO63" t="str">
            <v/>
          </cell>
          <cell r="EP63" t="str">
            <v/>
          </cell>
          <cell r="EQ63" t="str">
            <v/>
          </cell>
          <cell r="ER63" t="str">
            <v/>
          </cell>
          <cell r="ES63" t="str">
            <v/>
          </cell>
          <cell r="ET63" t="str">
            <v/>
          </cell>
          <cell r="EU63" t="str">
            <v/>
          </cell>
          <cell r="EV63" t="str">
            <v/>
          </cell>
          <cell r="EW63" t="str">
            <v/>
          </cell>
          <cell r="EX63" t="str">
            <v/>
          </cell>
          <cell r="EY63" t="str">
            <v/>
          </cell>
          <cell r="EZ63" t="str">
            <v/>
          </cell>
          <cell r="FA63" t="str">
            <v/>
          </cell>
          <cell r="FB63" t="str">
            <v/>
          </cell>
          <cell r="FC63" t="str">
            <v/>
          </cell>
          <cell r="FD63" t="str">
            <v/>
          </cell>
          <cell r="FE63" t="str">
            <v/>
          </cell>
          <cell r="FF63" t="str">
            <v/>
          </cell>
          <cell r="FG63" t="str">
            <v/>
          </cell>
          <cell r="FH63" t="str">
            <v/>
          </cell>
          <cell r="FI63" t="str">
            <v/>
          </cell>
          <cell r="FJ63" t="str">
            <v/>
          </cell>
          <cell r="FK63" t="str">
            <v/>
          </cell>
          <cell r="FL63" t="str">
            <v/>
          </cell>
          <cell r="FM63" t="str">
            <v/>
          </cell>
          <cell r="FN63" t="str">
            <v/>
          </cell>
          <cell r="FO63" t="str">
            <v/>
          </cell>
          <cell r="FP63" t="str">
            <v/>
          </cell>
          <cell r="FQ63" t="str">
            <v/>
          </cell>
          <cell r="FR63" t="str">
            <v/>
          </cell>
          <cell r="FS63" t="str">
            <v/>
          </cell>
          <cell r="FT63" t="str">
            <v/>
          </cell>
          <cell r="FU63" t="str">
            <v/>
          </cell>
          <cell r="FV63" t="str">
            <v/>
          </cell>
          <cell r="FW63" t="str">
            <v/>
          </cell>
          <cell r="FX63" t="str">
            <v/>
          </cell>
          <cell r="FY63" t="str">
            <v/>
          </cell>
          <cell r="FZ63" t="str">
            <v/>
          </cell>
          <cell r="GA63" t="str">
            <v/>
          </cell>
          <cell r="GB63" t="str">
            <v/>
          </cell>
          <cell r="GC63" t="str">
            <v/>
          </cell>
          <cell r="GD63" t="str">
            <v/>
          </cell>
          <cell r="GE63" t="str">
            <v/>
          </cell>
          <cell r="GF63" t="str">
            <v/>
          </cell>
          <cell r="GG63" t="str">
            <v/>
          </cell>
          <cell r="GH63" t="str">
            <v/>
          </cell>
          <cell r="GI63" t="str">
            <v/>
          </cell>
          <cell r="GJ63" t="str">
            <v/>
          </cell>
          <cell r="GK63" t="str">
            <v/>
          </cell>
          <cell r="GL63" t="str">
            <v/>
          </cell>
          <cell r="GM63" t="str">
            <v/>
          </cell>
          <cell r="GN63" t="str">
            <v/>
          </cell>
          <cell r="GO63" t="str">
            <v/>
          </cell>
          <cell r="GP63" t="str">
            <v/>
          </cell>
          <cell r="GQ63" t="str">
            <v/>
          </cell>
          <cell r="GR63" t="str">
            <v/>
          </cell>
          <cell r="GS63" t="str">
            <v/>
          </cell>
          <cell r="GT63" t="str">
            <v/>
          </cell>
          <cell r="GU63" t="str">
            <v/>
          </cell>
          <cell r="GV63" t="str">
            <v/>
          </cell>
          <cell r="GW63" t="str">
            <v/>
          </cell>
          <cell r="GX63" t="str">
            <v/>
          </cell>
          <cell r="GY63" t="str">
            <v/>
          </cell>
          <cell r="GZ63" t="str">
            <v/>
          </cell>
          <cell r="HA63" t="str">
            <v/>
          </cell>
          <cell r="HB63" t="str">
            <v/>
          </cell>
          <cell r="HC63" t="str">
            <v/>
          </cell>
          <cell r="HD63" t="str">
            <v/>
          </cell>
          <cell r="HE63" t="str">
            <v/>
          </cell>
          <cell r="HF63" t="str">
            <v/>
          </cell>
          <cell r="HG63" t="str">
            <v/>
          </cell>
          <cell r="HH63" t="str">
            <v/>
          </cell>
          <cell r="HI63" t="str">
            <v/>
          </cell>
          <cell r="HJ63" t="str">
            <v/>
          </cell>
          <cell r="HK63" t="str">
            <v/>
          </cell>
          <cell r="HL63" t="str">
            <v/>
          </cell>
          <cell r="HM63" t="str">
            <v/>
          </cell>
          <cell r="HN63" t="str">
            <v/>
          </cell>
          <cell r="HO63" t="str">
            <v/>
          </cell>
          <cell r="HP63" t="str">
            <v/>
          </cell>
          <cell r="HQ63" t="str">
            <v/>
          </cell>
          <cell r="HR63" t="str">
            <v/>
          </cell>
          <cell r="HS63" t="str">
            <v/>
          </cell>
          <cell r="HT63" t="str">
            <v/>
          </cell>
          <cell r="HU63" t="str">
            <v/>
          </cell>
          <cell r="HV63" t="str">
            <v/>
          </cell>
          <cell r="HW63" t="str">
            <v/>
          </cell>
          <cell r="HX63" t="str">
            <v/>
          </cell>
          <cell r="HY63" t="str">
            <v/>
          </cell>
          <cell r="HZ63" t="str">
            <v/>
          </cell>
          <cell r="IA63" t="str">
            <v/>
          </cell>
          <cell r="IB63" t="str">
            <v/>
          </cell>
          <cell r="IC63" t="str">
            <v/>
          </cell>
          <cell r="ID63" t="str">
            <v/>
          </cell>
          <cell r="IE63" t="str">
            <v/>
          </cell>
          <cell r="IF63" t="str">
            <v/>
          </cell>
          <cell r="IG63" t="str">
            <v/>
          </cell>
          <cell r="IH63" t="str">
            <v/>
          </cell>
          <cell r="II63" t="str">
            <v/>
          </cell>
          <cell r="IJ63" t="str">
            <v/>
          </cell>
          <cell r="IK63" t="str">
            <v/>
          </cell>
          <cell r="IL63" t="str">
            <v/>
          </cell>
          <cell r="IM63" t="str">
            <v/>
          </cell>
          <cell r="IN63" t="str">
            <v/>
          </cell>
          <cell r="IO63" t="str">
            <v/>
          </cell>
          <cell r="IP63" t="str">
            <v/>
          </cell>
          <cell r="IQ63" t="str">
            <v/>
          </cell>
          <cell r="IR63" t="str">
            <v/>
          </cell>
          <cell r="IS63" t="str">
            <v/>
          </cell>
          <cell r="IT63" t="str">
            <v/>
          </cell>
          <cell r="IU63" t="str">
            <v/>
          </cell>
          <cell r="IV63" t="str">
            <v/>
          </cell>
          <cell r="IW63" t="str">
            <v/>
          </cell>
          <cell r="IX63" t="str">
            <v/>
          </cell>
          <cell r="IY63" t="str">
            <v/>
          </cell>
          <cell r="IZ63" t="str">
            <v/>
          </cell>
          <cell r="JA63" t="str">
            <v/>
          </cell>
          <cell r="JB63" t="str">
            <v/>
          </cell>
          <cell r="JC63" t="str">
            <v/>
          </cell>
          <cell r="JD63" t="str">
            <v/>
          </cell>
          <cell r="JE63" t="str">
            <v/>
          </cell>
          <cell r="JF63" t="str">
            <v/>
          </cell>
          <cell r="JG63" t="str">
            <v/>
          </cell>
          <cell r="JH63" t="str">
            <v/>
          </cell>
          <cell r="JI63" t="str">
            <v/>
          </cell>
          <cell r="JJ63" t="str">
            <v/>
          </cell>
          <cell r="JK63" t="str">
            <v/>
          </cell>
          <cell r="JL63" t="str">
            <v/>
          </cell>
          <cell r="JM63" t="str">
            <v/>
          </cell>
          <cell r="JN63" t="str">
            <v/>
          </cell>
          <cell r="JO63" t="str">
            <v/>
          </cell>
          <cell r="JP63" t="str">
            <v/>
          </cell>
          <cell r="JQ63" t="str">
            <v/>
          </cell>
          <cell r="JR63" t="str">
            <v/>
          </cell>
          <cell r="JS63" t="str">
            <v/>
          </cell>
          <cell r="JT63" t="str">
            <v/>
          </cell>
          <cell r="JU63" t="str">
            <v/>
          </cell>
          <cell r="JV63" t="str">
            <v/>
          </cell>
          <cell r="JW63" t="str">
            <v/>
          </cell>
          <cell r="JX63" t="str">
            <v/>
          </cell>
          <cell r="JY63" t="str">
            <v/>
          </cell>
          <cell r="JZ63" t="str">
            <v/>
          </cell>
          <cell r="KA63" t="str">
            <v/>
          </cell>
          <cell r="KB63" t="str">
            <v/>
          </cell>
          <cell r="KC63" t="str">
            <v/>
          </cell>
          <cell r="KD63">
            <v>2</v>
          </cell>
          <cell r="KE63">
            <v>2</v>
          </cell>
          <cell r="KF63">
            <v>2</v>
          </cell>
          <cell r="KG63">
            <v>2</v>
          </cell>
          <cell r="KH63">
            <v>2</v>
          </cell>
          <cell r="KI63">
            <v>2</v>
          </cell>
          <cell r="KJ63">
            <v>3</v>
          </cell>
          <cell r="KK63">
            <v>3</v>
          </cell>
          <cell r="KL63">
            <v>3</v>
          </cell>
          <cell r="KM63">
            <v>0</v>
          </cell>
          <cell r="KP63">
            <v>0</v>
          </cell>
          <cell r="KS63">
            <v>0</v>
          </cell>
          <cell r="KV63">
            <v>0</v>
          </cell>
          <cell r="KY63">
            <v>0</v>
          </cell>
          <cell r="LB63">
            <v>0</v>
          </cell>
          <cell r="LE63">
            <v>0</v>
          </cell>
          <cell r="LH63">
            <v>0</v>
          </cell>
          <cell r="LK63">
            <v>0</v>
          </cell>
          <cell r="LO63">
            <v>45713</v>
          </cell>
          <cell r="LP63" t="str">
            <v>COMPLETADO</v>
          </cell>
        </row>
        <row r="64">
          <cell r="A64">
            <v>1664</v>
          </cell>
          <cell r="B64" t="str">
            <v xml:space="preserve"> -----</v>
          </cell>
          <cell r="C64" t="str">
            <v>VANESA</v>
          </cell>
          <cell r="D64" t="str">
            <v>MARROQUINERIA CHICA</v>
          </cell>
          <cell r="E64">
            <v>23</v>
          </cell>
          <cell r="F64">
            <v>23</v>
          </cell>
          <cell r="G64">
            <v>23</v>
          </cell>
          <cell r="H64">
            <v>45732.543206018519</v>
          </cell>
          <cell r="I64" t="str">
            <v>INDIVIDUAL CURVO</v>
          </cell>
          <cell r="J64">
            <v>45712</v>
          </cell>
          <cell r="K64">
            <v>45712</v>
          </cell>
          <cell r="M64">
            <v>10</v>
          </cell>
          <cell r="N64" t="str">
            <v>M133</v>
          </cell>
          <cell r="O64" t="str">
            <v>AV170134014</v>
          </cell>
          <cell r="P64">
            <v>0</v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 t="str">
            <v/>
          </cell>
          <cell r="AH64" t="str">
            <v/>
          </cell>
          <cell r="AI64" t="str">
            <v/>
          </cell>
          <cell r="AJ64" t="str">
            <v/>
          </cell>
          <cell r="AK64" t="str">
            <v/>
          </cell>
          <cell r="AL64" t="str">
            <v/>
          </cell>
          <cell r="AM64" t="str">
            <v/>
          </cell>
          <cell r="AN64" t="str">
            <v/>
          </cell>
          <cell r="AO64" t="str">
            <v/>
          </cell>
          <cell r="AP64" t="str">
            <v/>
          </cell>
          <cell r="AQ64" t="str">
            <v/>
          </cell>
          <cell r="AR64" t="str">
            <v/>
          </cell>
          <cell r="AS64" t="str">
            <v/>
          </cell>
          <cell r="AT64" t="str">
            <v/>
          </cell>
          <cell r="AU64" t="str">
            <v/>
          </cell>
          <cell r="AV64" t="str">
            <v/>
          </cell>
          <cell r="AW64" t="str">
            <v xml:space="preserve">GRABADO "EL LUCERO CHICO" ESQUINA INFERIOR DERECHA    </v>
          </cell>
          <cell r="AX64" t="str">
            <v>NEGRO</v>
          </cell>
          <cell r="AY64" t="str">
            <v>ARENA-CUERO BRIDGE</v>
          </cell>
          <cell r="AZ64" t="str">
            <v>CUE0000009</v>
          </cell>
          <cell r="BA64">
            <v>0.13</v>
          </cell>
          <cell r="BB64" t="str">
            <v>FOR0000029</v>
          </cell>
          <cell r="BC64">
            <v>0.13</v>
          </cell>
          <cell r="BD64" t="str">
            <v/>
          </cell>
          <cell r="BE64" t="str">
            <v/>
          </cell>
          <cell r="BF64" t="str">
            <v/>
          </cell>
          <cell r="BG64" t="str">
            <v/>
          </cell>
          <cell r="BH64" t="str">
            <v/>
          </cell>
          <cell r="BI64" t="str">
            <v/>
          </cell>
          <cell r="BJ64" t="str">
            <v/>
          </cell>
          <cell r="BK64" t="str">
            <v/>
          </cell>
          <cell r="BL64" t="str">
            <v/>
          </cell>
          <cell r="BM64" t="str">
            <v/>
          </cell>
          <cell r="BN64" t="str">
            <v/>
          </cell>
          <cell r="BO64" t="str">
            <v/>
          </cell>
          <cell r="BP64" t="str">
            <v/>
          </cell>
          <cell r="BQ64" t="str">
            <v/>
          </cell>
          <cell r="BR64" t="str">
            <v>TABACO</v>
          </cell>
          <cell r="BS64" t="str">
            <v>ARENA-CUERO BRIDGE</v>
          </cell>
          <cell r="BT64" t="str">
            <v>CUE0000012</v>
          </cell>
          <cell r="BU64">
            <v>0.13</v>
          </cell>
          <cell r="BV64" t="str">
            <v>FOR0000031</v>
          </cell>
          <cell r="BW64">
            <v>0.13</v>
          </cell>
          <cell r="BX64" t="str">
            <v/>
          </cell>
          <cell r="BY64" t="str">
            <v/>
          </cell>
          <cell r="BZ64" t="str">
            <v/>
          </cell>
          <cell r="CA64" t="str">
            <v/>
          </cell>
          <cell r="CB64" t="str">
            <v/>
          </cell>
          <cell r="CC64" t="str">
            <v/>
          </cell>
          <cell r="CD64" t="str">
            <v/>
          </cell>
          <cell r="CE64" t="str">
            <v/>
          </cell>
          <cell r="CF64" t="str">
            <v/>
          </cell>
          <cell r="CG64" t="str">
            <v/>
          </cell>
          <cell r="CH64" t="str">
            <v/>
          </cell>
          <cell r="CI64" t="str">
            <v/>
          </cell>
          <cell r="CJ64" t="str">
            <v/>
          </cell>
          <cell r="CK64" t="str">
            <v/>
          </cell>
          <cell r="CL64" t="str">
            <v>ROJO</v>
          </cell>
          <cell r="CM64" t="str">
            <v>ARENA-CUERO BRIDGE</v>
          </cell>
          <cell r="CN64" t="str">
            <v>CUE0000010</v>
          </cell>
          <cell r="CO64">
            <v>0.13</v>
          </cell>
          <cell r="CP64" t="str">
            <v>FOR0000030</v>
          </cell>
          <cell r="CQ64">
            <v>0.13</v>
          </cell>
          <cell r="CR64" t="str">
            <v/>
          </cell>
          <cell r="CS64" t="str">
            <v/>
          </cell>
          <cell r="CT64" t="str">
            <v/>
          </cell>
          <cell r="CU64" t="str">
            <v/>
          </cell>
          <cell r="CV64" t="str">
            <v/>
          </cell>
          <cell r="CW64" t="str">
            <v/>
          </cell>
          <cell r="CX64" t="str">
            <v/>
          </cell>
          <cell r="CY64" t="str">
            <v/>
          </cell>
          <cell r="CZ64" t="str">
            <v/>
          </cell>
          <cell r="DA64" t="str">
            <v/>
          </cell>
          <cell r="DB64" t="str">
            <v/>
          </cell>
          <cell r="DC64" t="str">
            <v/>
          </cell>
          <cell r="DD64" t="str">
            <v/>
          </cell>
          <cell r="DE64" t="str">
            <v/>
          </cell>
          <cell r="DF64" t="str">
            <v>CARAMELO</v>
          </cell>
          <cell r="DG64" t="str">
            <v>ARENA-CUERO NAPADO</v>
          </cell>
          <cell r="DH64" t="str">
            <v>CUE0000022</v>
          </cell>
          <cell r="DI64">
            <v>0.13</v>
          </cell>
          <cell r="DJ64" t="str">
            <v>FOR0000028</v>
          </cell>
          <cell r="DK64">
            <v>0.13</v>
          </cell>
          <cell r="DL64" t="str">
            <v/>
          </cell>
          <cell r="DM64" t="str">
            <v/>
          </cell>
          <cell r="DN64" t="str">
            <v/>
          </cell>
          <cell r="DO64" t="str">
            <v/>
          </cell>
          <cell r="DP64" t="str">
            <v/>
          </cell>
          <cell r="DQ64" t="str">
            <v/>
          </cell>
          <cell r="DR64" t="str">
            <v/>
          </cell>
          <cell r="DS64" t="str">
            <v/>
          </cell>
          <cell r="DT64" t="str">
            <v/>
          </cell>
          <cell r="DU64" t="str">
            <v/>
          </cell>
          <cell r="DV64" t="str">
            <v/>
          </cell>
          <cell r="DW64" t="str">
            <v/>
          </cell>
          <cell r="DX64" t="str">
            <v/>
          </cell>
          <cell r="DY64" t="str">
            <v/>
          </cell>
          <cell r="DZ64" t="str">
            <v/>
          </cell>
          <cell r="EA64" t="str">
            <v/>
          </cell>
          <cell r="EB64" t="str">
            <v/>
          </cell>
          <cell r="EC64" t="str">
            <v/>
          </cell>
          <cell r="ED64" t="str">
            <v/>
          </cell>
          <cell r="EE64" t="str">
            <v/>
          </cell>
          <cell r="EF64" t="str">
            <v/>
          </cell>
          <cell r="EG64" t="str">
            <v/>
          </cell>
          <cell r="EH64" t="str">
            <v/>
          </cell>
          <cell r="EI64" t="str">
            <v/>
          </cell>
          <cell r="EJ64" t="str">
            <v/>
          </cell>
          <cell r="EK64" t="str">
            <v/>
          </cell>
          <cell r="EL64" t="str">
            <v/>
          </cell>
          <cell r="EM64" t="str">
            <v/>
          </cell>
          <cell r="EN64" t="str">
            <v/>
          </cell>
          <cell r="EO64" t="str">
            <v/>
          </cell>
          <cell r="EP64" t="str">
            <v/>
          </cell>
          <cell r="EQ64" t="str">
            <v/>
          </cell>
          <cell r="ER64" t="str">
            <v/>
          </cell>
          <cell r="ES64" t="str">
            <v/>
          </cell>
          <cell r="ET64" t="str">
            <v/>
          </cell>
          <cell r="EU64" t="str">
            <v/>
          </cell>
          <cell r="EV64" t="str">
            <v/>
          </cell>
          <cell r="EW64" t="str">
            <v/>
          </cell>
          <cell r="EX64" t="str">
            <v/>
          </cell>
          <cell r="EY64" t="str">
            <v/>
          </cell>
          <cell r="EZ64" t="str">
            <v/>
          </cell>
          <cell r="FA64" t="str">
            <v/>
          </cell>
          <cell r="FB64" t="str">
            <v/>
          </cell>
          <cell r="FC64" t="str">
            <v/>
          </cell>
          <cell r="FD64" t="str">
            <v/>
          </cell>
          <cell r="FE64" t="str">
            <v/>
          </cell>
          <cell r="FF64" t="str">
            <v/>
          </cell>
          <cell r="FG64" t="str">
            <v/>
          </cell>
          <cell r="FH64" t="str">
            <v/>
          </cell>
          <cell r="FI64" t="str">
            <v/>
          </cell>
          <cell r="FJ64" t="str">
            <v/>
          </cell>
          <cell r="FK64" t="str">
            <v/>
          </cell>
          <cell r="FL64" t="str">
            <v/>
          </cell>
          <cell r="FM64" t="str">
            <v/>
          </cell>
          <cell r="FN64" t="str">
            <v/>
          </cell>
          <cell r="FO64" t="str">
            <v/>
          </cell>
          <cell r="FP64" t="str">
            <v/>
          </cell>
          <cell r="FQ64" t="str">
            <v/>
          </cell>
          <cell r="FR64" t="str">
            <v/>
          </cell>
          <cell r="FS64" t="str">
            <v/>
          </cell>
          <cell r="FT64" t="str">
            <v/>
          </cell>
          <cell r="FU64" t="str">
            <v/>
          </cell>
          <cell r="FV64" t="str">
            <v/>
          </cell>
          <cell r="FW64" t="str">
            <v/>
          </cell>
          <cell r="FX64" t="str">
            <v/>
          </cell>
          <cell r="FY64" t="str">
            <v/>
          </cell>
          <cell r="FZ64" t="str">
            <v/>
          </cell>
          <cell r="GA64" t="str">
            <v/>
          </cell>
          <cell r="GB64" t="str">
            <v/>
          </cell>
          <cell r="GC64" t="str">
            <v/>
          </cell>
          <cell r="GD64" t="str">
            <v/>
          </cell>
          <cell r="GE64" t="str">
            <v/>
          </cell>
          <cell r="GF64" t="str">
            <v/>
          </cell>
          <cell r="GG64" t="str">
            <v/>
          </cell>
          <cell r="GH64" t="str">
            <v/>
          </cell>
          <cell r="GI64" t="str">
            <v/>
          </cell>
          <cell r="GJ64" t="str">
            <v/>
          </cell>
          <cell r="GK64" t="str">
            <v/>
          </cell>
          <cell r="GL64" t="str">
            <v/>
          </cell>
          <cell r="GM64" t="str">
            <v/>
          </cell>
          <cell r="GN64" t="str">
            <v/>
          </cell>
          <cell r="GO64" t="str">
            <v/>
          </cell>
          <cell r="GP64" t="str">
            <v/>
          </cell>
          <cell r="GQ64" t="str">
            <v/>
          </cell>
          <cell r="GR64" t="str">
            <v/>
          </cell>
          <cell r="GS64" t="str">
            <v/>
          </cell>
          <cell r="GT64" t="str">
            <v/>
          </cell>
          <cell r="GU64" t="str">
            <v/>
          </cell>
          <cell r="GV64" t="str">
            <v/>
          </cell>
          <cell r="GW64" t="str">
            <v/>
          </cell>
          <cell r="GX64" t="str">
            <v/>
          </cell>
          <cell r="GY64" t="str">
            <v/>
          </cell>
          <cell r="GZ64" t="str">
            <v/>
          </cell>
          <cell r="HA64" t="str">
            <v/>
          </cell>
          <cell r="HB64" t="str">
            <v/>
          </cell>
          <cell r="HC64" t="str">
            <v/>
          </cell>
          <cell r="HD64" t="str">
            <v/>
          </cell>
          <cell r="HE64" t="str">
            <v/>
          </cell>
          <cell r="HF64" t="str">
            <v/>
          </cell>
          <cell r="HG64" t="str">
            <v/>
          </cell>
          <cell r="HH64" t="str">
            <v/>
          </cell>
          <cell r="HI64" t="str">
            <v/>
          </cell>
          <cell r="HJ64" t="str">
            <v/>
          </cell>
          <cell r="HK64" t="str">
            <v/>
          </cell>
          <cell r="HL64" t="str">
            <v/>
          </cell>
          <cell r="HM64" t="str">
            <v/>
          </cell>
          <cell r="HN64" t="str">
            <v/>
          </cell>
          <cell r="HO64" t="str">
            <v/>
          </cell>
          <cell r="HP64" t="str">
            <v/>
          </cell>
          <cell r="HQ64" t="str">
            <v/>
          </cell>
          <cell r="HR64" t="str">
            <v/>
          </cell>
          <cell r="HS64" t="str">
            <v/>
          </cell>
          <cell r="HT64" t="str">
            <v/>
          </cell>
          <cell r="HU64" t="str">
            <v/>
          </cell>
          <cell r="HV64" t="str">
            <v/>
          </cell>
          <cell r="HW64" t="str">
            <v/>
          </cell>
          <cell r="HX64" t="str">
            <v/>
          </cell>
          <cell r="HY64" t="str">
            <v/>
          </cell>
          <cell r="HZ64" t="str">
            <v/>
          </cell>
          <cell r="IA64" t="str">
            <v/>
          </cell>
          <cell r="IB64" t="str">
            <v/>
          </cell>
          <cell r="IC64" t="str">
            <v/>
          </cell>
          <cell r="ID64" t="str">
            <v/>
          </cell>
          <cell r="IE64" t="str">
            <v/>
          </cell>
          <cell r="IF64" t="str">
            <v/>
          </cell>
          <cell r="IG64" t="str">
            <v/>
          </cell>
          <cell r="IH64" t="str">
            <v/>
          </cell>
          <cell r="II64" t="str">
            <v/>
          </cell>
          <cell r="IJ64" t="str">
            <v/>
          </cell>
          <cell r="IK64" t="str">
            <v/>
          </cell>
          <cell r="IL64" t="str">
            <v/>
          </cell>
          <cell r="IM64" t="str">
            <v/>
          </cell>
          <cell r="IN64" t="str">
            <v/>
          </cell>
          <cell r="IO64" t="str">
            <v/>
          </cell>
          <cell r="IP64" t="str">
            <v/>
          </cell>
          <cell r="IQ64" t="str">
            <v/>
          </cell>
          <cell r="IR64" t="str">
            <v/>
          </cell>
          <cell r="IS64" t="str">
            <v/>
          </cell>
          <cell r="IT64" t="str">
            <v/>
          </cell>
          <cell r="IU64" t="str">
            <v/>
          </cell>
          <cell r="IV64" t="str">
            <v/>
          </cell>
          <cell r="IW64" t="str">
            <v/>
          </cell>
          <cell r="IX64" t="str">
            <v/>
          </cell>
          <cell r="IY64" t="str">
            <v/>
          </cell>
          <cell r="IZ64" t="str">
            <v/>
          </cell>
          <cell r="JA64" t="str">
            <v/>
          </cell>
          <cell r="JB64" t="str">
            <v/>
          </cell>
          <cell r="JC64" t="str">
            <v/>
          </cell>
          <cell r="JD64" t="str">
            <v/>
          </cell>
          <cell r="JE64" t="str">
            <v/>
          </cell>
          <cell r="JF64" t="str">
            <v/>
          </cell>
          <cell r="JG64" t="str">
            <v/>
          </cell>
          <cell r="JH64" t="str">
            <v/>
          </cell>
          <cell r="JI64" t="str">
            <v/>
          </cell>
          <cell r="JJ64" t="str">
            <v/>
          </cell>
          <cell r="JK64" t="str">
            <v/>
          </cell>
          <cell r="JL64" t="str">
            <v/>
          </cell>
          <cell r="JM64" t="str">
            <v/>
          </cell>
          <cell r="JN64" t="str">
            <v/>
          </cell>
          <cell r="JO64" t="str">
            <v/>
          </cell>
          <cell r="JP64" t="str">
            <v/>
          </cell>
          <cell r="JQ64" t="str">
            <v/>
          </cell>
          <cell r="JR64" t="str">
            <v/>
          </cell>
          <cell r="JS64" t="str">
            <v/>
          </cell>
          <cell r="JT64" t="str">
            <v/>
          </cell>
          <cell r="JU64" t="str">
            <v/>
          </cell>
          <cell r="JV64" t="str">
            <v/>
          </cell>
          <cell r="JW64" t="str">
            <v/>
          </cell>
          <cell r="JX64" t="str">
            <v/>
          </cell>
          <cell r="JY64" t="str">
            <v/>
          </cell>
          <cell r="JZ64" t="str">
            <v/>
          </cell>
          <cell r="KA64" t="str">
            <v/>
          </cell>
          <cell r="KB64" t="str">
            <v/>
          </cell>
          <cell r="KC64" t="str">
            <v/>
          </cell>
          <cell r="KD64">
            <v>6</v>
          </cell>
          <cell r="KE64">
            <v>6</v>
          </cell>
          <cell r="KF64">
            <v>6</v>
          </cell>
          <cell r="KG64">
            <v>9</v>
          </cell>
          <cell r="KH64">
            <v>9</v>
          </cell>
          <cell r="KI64">
            <v>9</v>
          </cell>
          <cell r="KJ64">
            <v>4</v>
          </cell>
          <cell r="KK64">
            <v>4</v>
          </cell>
          <cell r="KL64">
            <v>4</v>
          </cell>
          <cell r="KM64">
            <v>4</v>
          </cell>
          <cell r="KN64">
            <v>4</v>
          </cell>
          <cell r="KO64">
            <v>4</v>
          </cell>
          <cell r="KP64">
            <v>0</v>
          </cell>
          <cell r="KS64">
            <v>0</v>
          </cell>
          <cell r="KV64">
            <v>0</v>
          </cell>
          <cell r="KY64">
            <v>0</v>
          </cell>
          <cell r="LB64">
            <v>0</v>
          </cell>
          <cell r="LE64">
            <v>0</v>
          </cell>
          <cell r="LH64">
            <v>0</v>
          </cell>
          <cell r="LK64">
            <v>0</v>
          </cell>
          <cell r="LO64">
            <v>45737</v>
          </cell>
          <cell r="LP64" t="str">
            <v>COMPLETADO</v>
          </cell>
        </row>
        <row r="65">
          <cell r="A65">
            <v>1665</v>
          </cell>
          <cell r="B65" t="str">
            <v xml:space="preserve"> -----</v>
          </cell>
          <cell r="C65" t="str">
            <v>VANESA</v>
          </cell>
          <cell r="D65" t="str">
            <v>MARROQUINERIA CHICA</v>
          </cell>
          <cell r="E65">
            <v>14</v>
          </cell>
          <cell r="F65">
            <v>14</v>
          </cell>
          <cell r="G65">
            <v>14</v>
          </cell>
          <cell r="H65">
            <v>45732.555868055555</v>
          </cell>
          <cell r="I65" t="str">
            <v>INDIVIDUAL RECTO</v>
          </cell>
          <cell r="J65">
            <v>45726</v>
          </cell>
          <cell r="K65">
            <v>45726</v>
          </cell>
          <cell r="M65">
            <v>10</v>
          </cell>
          <cell r="N65" t="str">
            <v>M132</v>
          </cell>
          <cell r="O65" t="str">
            <v>AV170134014</v>
          </cell>
          <cell r="P65">
            <v>0</v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  <cell r="AH65" t="str">
            <v/>
          </cell>
          <cell r="AI65" t="str">
            <v/>
          </cell>
          <cell r="AJ65" t="str">
            <v/>
          </cell>
          <cell r="AK65" t="str">
            <v/>
          </cell>
          <cell r="AL65" t="str">
            <v/>
          </cell>
          <cell r="AM65" t="str">
            <v/>
          </cell>
          <cell r="AN65" t="str">
            <v/>
          </cell>
          <cell r="AO65" t="str">
            <v/>
          </cell>
          <cell r="AP65" t="str">
            <v/>
          </cell>
          <cell r="AQ65" t="str">
            <v/>
          </cell>
          <cell r="AR65" t="str">
            <v/>
          </cell>
          <cell r="AS65" t="str">
            <v/>
          </cell>
          <cell r="AT65" t="str">
            <v/>
          </cell>
          <cell r="AU65" t="str">
            <v/>
          </cell>
          <cell r="AV65" t="str">
            <v/>
          </cell>
          <cell r="AW65" t="str">
            <v xml:space="preserve">GRABADO "EL LUCERO CHICO" ESQUINA INFERIOR DERECHA    </v>
          </cell>
          <cell r="AX65" t="str">
            <v>NEGRO</v>
          </cell>
          <cell r="AY65" t="str">
            <v>ARENA-CUERO NAPADO</v>
          </cell>
          <cell r="AZ65" t="str">
            <v>CUE0000026</v>
          </cell>
          <cell r="BA65">
            <v>0.13</v>
          </cell>
          <cell r="BB65" t="str">
            <v>FOR0000029</v>
          </cell>
          <cell r="BC65">
            <v>0.13</v>
          </cell>
          <cell r="BD65" t="str">
            <v/>
          </cell>
          <cell r="BE65" t="str">
            <v/>
          </cell>
          <cell r="BF65" t="str">
            <v/>
          </cell>
          <cell r="BG65" t="str">
            <v/>
          </cell>
          <cell r="BH65" t="str">
            <v/>
          </cell>
          <cell r="BI65" t="str">
            <v/>
          </cell>
          <cell r="BJ65" t="str">
            <v/>
          </cell>
          <cell r="BK65" t="str">
            <v/>
          </cell>
          <cell r="BL65" t="str">
            <v/>
          </cell>
          <cell r="BM65" t="str">
            <v/>
          </cell>
          <cell r="BN65" t="str">
            <v/>
          </cell>
          <cell r="BO65" t="str">
            <v/>
          </cell>
          <cell r="BP65" t="str">
            <v/>
          </cell>
          <cell r="BQ65" t="str">
            <v/>
          </cell>
          <cell r="BR65" t="str">
            <v>ROJO</v>
          </cell>
          <cell r="BS65" t="str">
            <v>ARENA-CUERO BRIDGE</v>
          </cell>
          <cell r="BT65" t="str">
            <v>CUE0000010</v>
          </cell>
          <cell r="BU65">
            <v>0.13</v>
          </cell>
          <cell r="BV65" t="str">
            <v>FOR0000030</v>
          </cell>
          <cell r="BW65">
            <v>0.13</v>
          </cell>
          <cell r="BX65" t="str">
            <v/>
          </cell>
          <cell r="BY65" t="str">
            <v/>
          </cell>
          <cell r="BZ65" t="str">
            <v/>
          </cell>
          <cell r="CA65" t="str">
            <v/>
          </cell>
          <cell r="CB65" t="str">
            <v/>
          </cell>
          <cell r="CC65" t="str">
            <v/>
          </cell>
          <cell r="CD65" t="str">
            <v/>
          </cell>
          <cell r="CE65" t="str">
            <v/>
          </cell>
          <cell r="CF65" t="str">
            <v/>
          </cell>
          <cell r="CG65" t="str">
            <v/>
          </cell>
          <cell r="CH65" t="str">
            <v/>
          </cell>
          <cell r="CI65" t="str">
            <v/>
          </cell>
          <cell r="CJ65" t="str">
            <v/>
          </cell>
          <cell r="CK65" t="str">
            <v/>
          </cell>
          <cell r="CL65" t="str">
            <v>CARAMELO</v>
          </cell>
          <cell r="CM65" t="str">
            <v>ARENA-CUERO NAPADO</v>
          </cell>
          <cell r="CN65" t="str">
            <v>CUE0000022</v>
          </cell>
          <cell r="CO65">
            <v>0.13</v>
          </cell>
          <cell r="CP65" t="str">
            <v>FOR0000028</v>
          </cell>
          <cell r="CQ65">
            <v>0.13</v>
          </cell>
          <cell r="CR65" t="str">
            <v/>
          </cell>
          <cell r="CS65" t="str">
            <v/>
          </cell>
          <cell r="CT65" t="str">
            <v/>
          </cell>
          <cell r="CU65" t="str">
            <v/>
          </cell>
          <cell r="CV65" t="str">
            <v/>
          </cell>
          <cell r="CW65" t="str">
            <v/>
          </cell>
          <cell r="CX65" t="str">
            <v/>
          </cell>
          <cell r="CY65" t="str">
            <v/>
          </cell>
          <cell r="CZ65" t="str">
            <v/>
          </cell>
          <cell r="DA65" t="str">
            <v/>
          </cell>
          <cell r="DB65" t="str">
            <v/>
          </cell>
          <cell r="DC65" t="str">
            <v/>
          </cell>
          <cell r="DD65" t="str">
            <v/>
          </cell>
          <cell r="DE65" t="str">
            <v/>
          </cell>
          <cell r="DF65" t="str">
            <v/>
          </cell>
          <cell r="DG65" t="str">
            <v/>
          </cell>
          <cell r="DH65" t="str">
            <v/>
          </cell>
          <cell r="DI65" t="str">
            <v/>
          </cell>
          <cell r="DJ65" t="str">
            <v/>
          </cell>
          <cell r="DK65" t="str">
            <v/>
          </cell>
          <cell r="DL65" t="str">
            <v/>
          </cell>
          <cell r="DM65" t="str">
            <v/>
          </cell>
          <cell r="DN65" t="str">
            <v/>
          </cell>
          <cell r="DO65" t="str">
            <v/>
          </cell>
          <cell r="DP65" t="str">
            <v/>
          </cell>
          <cell r="DQ65" t="str">
            <v/>
          </cell>
          <cell r="DR65" t="str">
            <v/>
          </cell>
          <cell r="DS65" t="str">
            <v/>
          </cell>
          <cell r="DT65" t="str">
            <v/>
          </cell>
          <cell r="DU65" t="str">
            <v/>
          </cell>
          <cell r="DV65" t="str">
            <v/>
          </cell>
          <cell r="DW65" t="str">
            <v/>
          </cell>
          <cell r="DX65" t="str">
            <v/>
          </cell>
          <cell r="DY65" t="str">
            <v/>
          </cell>
          <cell r="DZ65" t="str">
            <v/>
          </cell>
          <cell r="EA65" t="str">
            <v/>
          </cell>
          <cell r="EB65" t="str">
            <v/>
          </cell>
          <cell r="EC65" t="str">
            <v/>
          </cell>
          <cell r="ED65" t="str">
            <v/>
          </cell>
          <cell r="EE65" t="str">
            <v/>
          </cell>
          <cell r="EF65" t="str">
            <v/>
          </cell>
          <cell r="EG65" t="str">
            <v/>
          </cell>
          <cell r="EH65" t="str">
            <v/>
          </cell>
          <cell r="EI65" t="str">
            <v/>
          </cell>
          <cell r="EJ65" t="str">
            <v/>
          </cell>
          <cell r="EK65" t="str">
            <v/>
          </cell>
          <cell r="EL65" t="str">
            <v/>
          </cell>
          <cell r="EM65" t="str">
            <v/>
          </cell>
          <cell r="EN65" t="str">
            <v/>
          </cell>
          <cell r="EO65" t="str">
            <v/>
          </cell>
          <cell r="EP65" t="str">
            <v/>
          </cell>
          <cell r="EQ65" t="str">
            <v/>
          </cell>
          <cell r="ER65" t="str">
            <v/>
          </cell>
          <cell r="ES65" t="str">
            <v/>
          </cell>
          <cell r="ET65" t="str">
            <v/>
          </cell>
          <cell r="EU65" t="str">
            <v/>
          </cell>
          <cell r="EV65" t="str">
            <v/>
          </cell>
          <cell r="EW65" t="str">
            <v/>
          </cell>
          <cell r="EX65" t="str">
            <v/>
          </cell>
          <cell r="EY65" t="str">
            <v/>
          </cell>
          <cell r="EZ65" t="str">
            <v/>
          </cell>
          <cell r="FA65" t="str">
            <v/>
          </cell>
          <cell r="FB65" t="str">
            <v/>
          </cell>
          <cell r="FC65" t="str">
            <v/>
          </cell>
          <cell r="FD65" t="str">
            <v/>
          </cell>
          <cell r="FE65" t="str">
            <v/>
          </cell>
          <cell r="FF65" t="str">
            <v/>
          </cell>
          <cell r="FG65" t="str">
            <v/>
          </cell>
          <cell r="FH65" t="str">
            <v/>
          </cell>
          <cell r="FI65" t="str">
            <v/>
          </cell>
          <cell r="FJ65" t="str">
            <v/>
          </cell>
          <cell r="FK65" t="str">
            <v/>
          </cell>
          <cell r="FL65" t="str">
            <v/>
          </cell>
          <cell r="FM65" t="str">
            <v/>
          </cell>
          <cell r="FN65" t="str">
            <v/>
          </cell>
          <cell r="FO65" t="str">
            <v/>
          </cell>
          <cell r="FP65" t="str">
            <v/>
          </cell>
          <cell r="FQ65" t="str">
            <v/>
          </cell>
          <cell r="FR65" t="str">
            <v/>
          </cell>
          <cell r="FS65" t="str">
            <v/>
          </cell>
          <cell r="FT65" t="str">
            <v/>
          </cell>
          <cell r="FU65" t="str">
            <v/>
          </cell>
          <cell r="FV65" t="str">
            <v/>
          </cell>
          <cell r="FW65" t="str">
            <v/>
          </cell>
          <cell r="FX65" t="str">
            <v/>
          </cell>
          <cell r="FY65" t="str">
            <v/>
          </cell>
          <cell r="FZ65" t="str">
            <v/>
          </cell>
          <cell r="GA65" t="str">
            <v/>
          </cell>
          <cell r="GB65" t="str">
            <v/>
          </cell>
          <cell r="GC65" t="str">
            <v/>
          </cell>
          <cell r="GD65" t="str">
            <v/>
          </cell>
          <cell r="GE65" t="str">
            <v/>
          </cell>
          <cell r="GF65" t="str">
            <v/>
          </cell>
          <cell r="GG65" t="str">
            <v/>
          </cell>
          <cell r="GH65" t="str">
            <v/>
          </cell>
          <cell r="GI65" t="str">
            <v/>
          </cell>
          <cell r="GJ65" t="str">
            <v/>
          </cell>
          <cell r="GK65" t="str">
            <v/>
          </cell>
          <cell r="GL65" t="str">
            <v/>
          </cell>
          <cell r="GM65" t="str">
            <v/>
          </cell>
          <cell r="GN65" t="str">
            <v/>
          </cell>
          <cell r="GO65" t="str">
            <v/>
          </cell>
          <cell r="GP65" t="str">
            <v/>
          </cell>
          <cell r="GQ65" t="str">
            <v/>
          </cell>
          <cell r="GR65" t="str">
            <v/>
          </cell>
          <cell r="GS65" t="str">
            <v/>
          </cell>
          <cell r="GT65" t="str">
            <v/>
          </cell>
          <cell r="GU65" t="str">
            <v/>
          </cell>
          <cell r="GV65" t="str">
            <v/>
          </cell>
          <cell r="GW65" t="str">
            <v/>
          </cell>
          <cell r="GX65" t="str">
            <v/>
          </cell>
          <cell r="GY65" t="str">
            <v/>
          </cell>
          <cell r="GZ65" t="str">
            <v/>
          </cell>
          <cell r="HA65" t="str">
            <v/>
          </cell>
          <cell r="HB65" t="str">
            <v/>
          </cell>
          <cell r="HC65" t="str">
            <v/>
          </cell>
          <cell r="HD65" t="str">
            <v/>
          </cell>
          <cell r="HE65" t="str">
            <v/>
          </cell>
          <cell r="HF65" t="str">
            <v/>
          </cell>
          <cell r="HG65" t="str">
            <v/>
          </cell>
          <cell r="HH65" t="str">
            <v/>
          </cell>
          <cell r="HI65" t="str">
            <v/>
          </cell>
          <cell r="HJ65" t="str">
            <v/>
          </cell>
          <cell r="HK65" t="str">
            <v/>
          </cell>
          <cell r="HL65" t="str">
            <v/>
          </cell>
          <cell r="HM65" t="str">
            <v/>
          </cell>
          <cell r="HN65" t="str">
            <v/>
          </cell>
          <cell r="HO65" t="str">
            <v/>
          </cell>
          <cell r="HP65" t="str">
            <v/>
          </cell>
          <cell r="HQ65" t="str">
            <v/>
          </cell>
          <cell r="HR65" t="str">
            <v/>
          </cell>
          <cell r="HS65" t="str">
            <v/>
          </cell>
          <cell r="HT65" t="str">
            <v/>
          </cell>
          <cell r="HU65" t="str">
            <v/>
          </cell>
          <cell r="HV65" t="str">
            <v/>
          </cell>
          <cell r="HW65" t="str">
            <v/>
          </cell>
          <cell r="HX65" t="str">
            <v/>
          </cell>
          <cell r="HY65" t="str">
            <v/>
          </cell>
          <cell r="HZ65" t="str">
            <v/>
          </cell>
          <cell r="IA65" t="str">
            <v/>
          </cell>
          <cell r="IB65" t="str">
            <v/>
          </cell>
          <cell r="IC65" t="str">
            <v/>
          </cell>
          <cell r="ID65" t="str">
            <v/>
          </cell>
          <cell r="IE65" t="str">
            <v/>
          </cell>
          <cell r="IF65" t="str">
            <v/>
          </cell>
          <cell r="IG65" t="str">
            <v/>
          </cell>
          <cell r="IH65" t="str">
            <v/>
          </cell>
          <cell r="II65" t="str">
            <v/>
          </cell>
          <cell r="IJ65" t="str">
            <v/>
          </cell>
          <cell r="IK65" t="str">
            <v/>
          </cell>
          <cell r="IL65" t="str">
            <v/>
          </cell>
          <cell r="IM65" t="str">
            <v/>
          </cell>
          <cell r="IN65" t="str">
            <v/>
          </cell>
          <cell r="IO65" t="str">
            <v/>
          </cell>
          <cell r="IP65" t="str">
            <v/>
          </cell>
          <cell r="IQ65" t="str">
            <v/>
          </cell>
          <cell r="IR65" t="str">
            <v/>
          </cell>
          <cell r="IS65" t="str">
            <v/>
          </cell>
          <cell r="IT65" t="str">
            <v/>
          </cell>
          <cell r="IU65" t="str">
            <v/>
          </cell>
          <cell r="IV65" t="str">
            <v/>
          </cell>
          <cell r="IW65" t="str">
            <v/>
          </cell>
          <cell r="IX65" t="str">
            <v/>
          </cell>
          <cell r="IY65" t="str">
            <v/>
          </cell>
          <cell r="IZ65" t="str">
            <v/>
          </cell>
          <cell r="JA65" t="str">
            <v/>
          </cell>
          <cell r="JB65" t="str">
            <v/>
          </cell>
          <cell r="JC65" t="str">
            <v/>
          </cell>
          <cell r="JD65" t="str">
            <v/>
          </cell>
          <cell r="JE65" t="str">
            <v/>
          </cell>
          <cell r="JF65" t="str">
            <v/>
          </cell>
          <cell r="JG65" t="str">
            <v/>
          </cell>
          <cell r="JH65" t="str">
            <v/>
          </cell>
          <cell r="JI65" t="str">
            <v/>
          </cell>
          <cell r="JJ65" t="str">
            <v/>
          </cell>
          <cell r="JK65" t="str">
            <v/>
          </cell>
          <cell r="JL65" t="str">
            <v/>
          </cell>
          <cell r="JM65" t="str">
            <v/>
          </cell>
          <cell r="JN65" t="str">
            <v/>
          </cell>
          <cell r="JO65" t="str">
            <v/>
          </cell>
          <cell r="JP65" t="str">
            <v/>
          </cell>
          <cell r="JQ65" t="str">
            <v/>
          </cell>
          <cell r="JR65" t="str">
            <v/>
          </cell>
          <cell r="JS65" t="str">
            <v/>
          </cell>
          <cell r="JT65" t="str">
            <v/>
          </cell>
          <cell r="JU65" t="str">
            <v/>
          </cell>
          <cell r="JV65" t="str">
            <v/>
          </cell>
          <cell r="JW65" t="str">
            <v/>
          </cell>
          <cell r="JX65" t="str">
            <v/>
          </cell>
          <cell r="JY65" t="str">
            <v/>
          </cell>
          <cell r="JZ65" t="str">
            <v/>
          </cell>
          <cell r="KA65" t="str">
            <v/>
          </cell>
          <cell r="KB65" t="str">
            <v/>
          </cell>
          <cell r="KC65" t="str">
            <v/>
          </cell>
          <cell r="KD65">
            <v>4</v>
          </cell>
          <cell r="KE65">
            <v>4</v>
          </cell>
          <cell r="KF65">
            <v>4</v>
          </cell>
          <cell r="KG65">
            <v>6</v>
          </cell>
          <cell r="KH65">
            <v>6</v>
          </cell>
          <cell r="KI65">
            <v>6</v>
          </cell>
          <cell r="KJ65">
            <v>4</v>
          </cell>
          <cell r="KK65">
            <v>4</v>
          </cell>
          <cell r="KL65">
            <v>4</v>
          </cell>
          <cell r="KM65">
            <v>0</v>
          </cell>
          <cell r="KP65">
            <v>0</v>
          </cell>
          <cell r="KS65">
            <v>0</v>
          </cell>
          <cell r="KV65">
            <v>0</v>
          </cell>
          <cell r="KY65">
            <v>0</v>
          </cell>
          <cell r="LB65">
            <v>0</v>
          </cell>
          <cell r="LE65">
            <v>0</v>
          </cell>
          <cell r="LH65">
            <v>0</v>
          </cell>
          <cell r="LK65">
            <v>0</v>
          </cell>
          <cell r="LO65">
            <v>45737</v>
          </cell>
          <cell r="LP65" t="str">
            <v>COMPLETADO</v>
          </cell>
        </row>
        <row r="66">
          <cell r="A66">
            <v>1666</v>
          </cell>
          <cell r="B66" t="str">
            <v>RUBEN</v>
          </cell>
          <cell r="C66" t="str">
            <v>BARRACAS GRANDE</v>
          </cell>
          <cell r="D66" t="str">
            <v>MARROQUINERIA GRANDE</v>
          </cell>
          <cell r="E66">
            <v>10</v>
          </cell>
          <cell r="F66">
            <v>10</v>
          </cell>
          <cell r="G66">
            <v>10</v>
          </cell>
          <cell r="H66">
            <v>45732.55914351852</v>
          </cell>
          <cell r="I66" t="str">
            <v>BOLSO TUBO GRANDE</v>
          </cell>
          <cell r="J66">
            <v>45708</v>
          </cell>
          <cell r="K66">
            <v>45708</v>
          </cell>
          <cell r="M66">
            <v>90</v>
          </cell>
          <cell r="N66" t="str">
            <v>M030</v>
          </cell>
          <cell r="O66" t="str">
            <v>BAC1300020827</v>
          </cell>
          <cell r="P66">
            <v>0.08</v>
          </cell>
          <cell r="Q66" t="str">
            <v>AV0101030201</v>
          </cell>
          <cell r="R66">
            <v>2</v>
          </cell>
          <cell r="S66" t="str">
            <v>AV0101040201</v>
          </cell>
          <cell r="T66">
            <v>1</v>
          </cell>
          <cell r="U66" t="str">
            <v>AV0300250101</v>
          </cell>
          <cell r="V66">
            <v>4</v>
          </cell>
          <cell r="W66" t="str">
            <v>AV0300410101</v>
          </cell>
          <cell r="X66">
            <v>9</v>
          </cell>
          <cell r="Y66" t="str">
            <v>AV1302250428</v>
          </cell>
          <cell r="Z66">
            <v>2</v>
          </cell>
          <cell r="AA66" t="str">
            <v>AV1302240428</v>
          </cell>
          <cell r="AB66">
            <v>0.8</v>
          </cell>
          <cell r="AC66" t="str">
            <v>AV1001450101</v>
          </cell>
          <cell r="AD66">
            <v>2</v>
          </cell>
          <cell r="AE66" t="str">
            <v>AV0700630101</v>
          </cell>
          <cell r="AF66">
            <v>2</v>
          </cell>
          <cell r="AG66" t="str">
            <v>AV0701130101</v>
          </cell>
          <cell r="AH66">
            <v>1</v>
          </cell>
          <cell r="AI66" t="str">
            <v>AV0600540101</v>
          </cell>
          <cell r="AJ66">
            <v>2</v>
          </cell>
          <cell r="AK66" t="str">
            <v>AV0300390101</v>
          </cell>
          <cell r="AL66">
            <v>1</v>
          </cell>
          <cell r="AM66" t="str">
            <v>AV170129018</v>
          </cell>
          <cell r="AN66">
            <v>0</v>
          </cell>
          <cell r="AO66" t="str">
            <v/>
          </cell>
          <cell r="AP66" t="str">
            <v/>
          </cell>
          <cell r="AQ66" t="str">
            <v/>
          </cell>
          <cell r="AR66" t="str">
            <v/>
          </cell>
          <cell r="AS66" t="str">
            <v>TIRACIERRE INTERNO: N1 TIRA CON REMACHE + GRABADO ESTRELLITA</v>
          </cell>
          <cell r="AT66" t="str">
            <v>TIRACIERRES EXTERNOS "EL LUCERO" GRANDE</v>
          </cell>
          <cell r="AU66" t="str">
            <v>GAMUZA: CON VISTA DE CUERO EN BOLSILLO FRENTE</v>
          </cell>
          <cell r="AV66" t="str">
            <v>SIN CLAVOS DE FONDO / SIN BOLSILLO AL FRENTE / CORREA PUNTA REDONDEADA</v>
          </cell>
          <cell r="AW66" t="str">
            <v xml:space="preserve">EL LUCERO ARGENTINA TAMAÑO GRANDE, EN TROQUEL COCIDO DEBAJO DE VISTA DE CIERRE INTERNO </v>
          </cell>
          <cell r="AX66" t="str">
            <v>NEGRO_PELO_HOLANDO</v>
          </cell>
          <cell r="AY66" t="str">
            <v>ARENA-CUERO BRIDGE</v>
          </cell>
          <cell r="AZ66" t="str">
            <v>CUE0000009</v>
          </cell>
          <cell r="BA66">
            <v>0.43</v>
          </cell>
          <cell r="BB66" t="str">
            <v>CUE0000116</v>
          </cell>
          <cell r="BC66">
            <v>0.82</v>
          </cell>
          <cell r="BD66" t="str">
            <v>FOR0000021</v>
          </cell>
          <cell r="BE66">
            <v>0.72</v>
          </cell>
          <cell r="BF66" t="str">
            <v>AV0100010103</v>
          </cell>
          <cell r="BG66">
            <v>1.02</v>
          </cell>
          <cell r="BH66" t="str">
            <v>AV1801370726</v>
          </cell>
          <cell r="BI66">
            <v>2</v>
          </cell>
          <cell r="BJ66" t="str">
            <v>AV1401244040</v>
          </cell>
          <cell r="BK66">
            <v>0</v>
          </cell>
          <cell r="BL66" t="str">
            <v/>
          </cell>
          <cell r="BM66" t="str">
            <v/>
          </cell>
          <cell r="BN66" t="str">
            <v/>
          </cell>
          <cell r="BO66" t="str">
            <v/>
          </cell>
          <cell r="BP66" t="str">
            <v/>
          </cell>
          <cell r="BQ66" t="str">
            <v/>
          </cell>
          <cell r="BR66" t="str">
            <v>TABACO_PELO_HEREFORD</v>
          </cell>
          <cell r="BS66" t="str">
            <v>ARENA-CUERO BRIDGE</v>
          </cell>
          <cell r="BT66" t="str">
            <v>CUE0000012</v>
          </cell>
          <cell r="BU66">
            <v>0.43</v>
          </cell>
          <cell r="BV66" t="str">
            <v>CUE0000117</v>
          </cell>
          <cell r="BW66">
            <v>0.82</v>
          </cell>
          <cell r="BX66" t="str">
            <v>FOR0000020</v>
          </cell>
          <cell r="BY66">
            <v>0.72</v>
          </cell>
          <cell r="BZ66" t="str">
            <v>AV0100010111</v>
          </cell>
          <cell r="CA66">
            <v>1.02</v>
          </cell>
          <cell r="CB66" t="str">
            <v>AV1801370725</v>
          </cell>
          <cell r="CC66">
            <v>2</v>
          </cell>
          <cell r="CD66" t="str">
            <v>AV1401240545</v>
          </cell>
          <cell r="CE66">
            <v>0</v>
          </cell>
          <cell r="CF66" t="str">
            <v/>
          </cell>
          <cell r="CG66" t="str">
            <v/>
          </cell>
          <cell r="CH66" t="str">
            <v/>
          </cell>
          <cell r="CI66" t="str">
            <v/>
          </cell>
          <cell r="CJ66" t="str">
            <v/>
          </cell>
          <cell r="CK66" t="str">
            <v/>
          </cell>
          <cell r="CL66" t="str">
            <v/>
          </cell>
          <cell r="CM66" t="str">
            <v/>
          </cell>
          <cell r="CN66" t="str">
            <v/>
          </cell>
          <cell r="CO66" t="str">
            <v/>
          </cell>
          <cell r="CP66" t="str">
            <v/>
          </cell>
          <cell r="CQ66" t="str">
            <v/>
          </cell>
          <cell r="CR66" t="str">
            <v/>
          </cell>
          <cell r="CS66" t="str">
            <v/>
          </cell>
          <cell r="CT66" t="str">
            <v/>
          </cell>
          <cell r="CU66" t="str">
            <v/>
          </cell>
          <cell r="CV66" t="str">
            <v/>
          </cell>
          <cell r="CW66" t="str">
            <v/>
          </cell>
          <cell r="CX66" t="str">
            <v/>
          </cell>
          <cell r="CY66" t="str">
            <v/>
          </cell>
          <cell r="CZ66" t="str">
            <v/>
          </cell>
          <cell r="DA66" t="str">
            <v/>
          </cell>
          <cell r="DB66" t="str">
            <v/>
          </cell>
          <cell r="DC66" t="str">
            <v/>
          </cell>
          <cell r="DD66" t="str">
            <v/>
          </cell>
          <cell r="DE66" t="str">
            <v/>
          </cell>
          <cell r="DF66" t="str">
            <v/>
          </cell>
          <cell r="DG66" t="str">
            <v/>
          </cell>
          <cell r="DH66" t="str">
            <v/>
          </cell>
          <cell r="DI66" t="str">
            <v/>
          </cell>
          <cell r="DJ66" t="str">
            <v/>
          </cell>
          <cell r="DK66" t="str">
            <v/>
          </cell>
          <cell r="DL66" t="str">
            <v/>
          </cell>
          <cell r="DM66" t="str">
            <v/>
          </cell>
          <cell r="DN66" t="str">
            <v/>
          </cell>
          <cell r="DO66" t="str">
            <v/>
          </cell>
          <cell r="DP66" t="str">
            <v/>
          </cell>
          <cell r="DQ66" t="str">
            <v/>
          </cell>
          <cell r="DR66" t="str">
            <v/>
          </cell>
          <cell r="DS66" t="str">
            <v/>
          </cell>
          <cell r="DT66" t="str">
            <v/>
          </cell>
          <cell r="DU66" t="str">
            <v/>
          </cell>
          <cell r="DV66" t="str">
            <v/>
          </cell>
          <cell r="DW66" t="str">
            <v/>
          </cell>
          <cell r="DX66" t="str">
            <v/>
          </cell>
          <cell r="DY66" t="str">
            <v/>
          </cell>
          <cell r="DZ66" t="str">
            <v/>
          </cell>
          <cell r="EA66" t="str">
            <v/>
          </cell>
          <cell r="EB66" t="str">
            <v/>
          </cell>
          <cell r="EC66" t="str">
            <v/>
          </cell>
          <cell r="ED66" t="str">
            <v/>
          </cell>
          <cell r="EE66" t="str">
            <v/>
          </cell>
          <cell r="EF66" t="str">
            <v/>
          </cell>
          <cell r="EG66" t="str">
            <v/>
          </cell>
          <cell r="EH66" t="str">
            <v/>
          </cell>
          <cell r="EI66" t="str">
            <v/>
          </cell>
          <cell r="EJ66" t="str">
            <v/>
          </cell>
          <cell r="EK66" t="str">
            <v/>
          </cell>
          <cell r="EL66" t="str">
            <v/>
          </cell>
          <cell r="EM66" t="str">
            <v/>
          </cell>
          <cell r="EN66" t="str">
            <v/>
          </cell>
          <cell r="EO66" t="str">
            <v/>
          </cell>
          <cell r="EP66" t="str">
            <v/>
          </cell>
          <cell r="EQ66" t="str">
            <v/>
          </cell>
          <cell r="ER66" t="str">
            <v/>
          </cell>
          <cell r="ES66" t="str">
            <v/>
          </cell>
          <cell r="ET66" t="str">
            <v/>
          </cell>
          <cell r="EU66" t="str">
            <v/>
          </cell>
          <cell r="EV66" t="str">
            <v/>
          </cell>
          <cell r="EW66" t="str">
            <v/>
          </cell>
          <cell r="EX66" t="str">
            <v/>
          </cell>
          <cell r="EY66" t="str">
            <v/>
          </cell>
          <cell r="EZ66" t="str">
            <v/>
          </cell>
          <cell r="FA66" t="str">
            <v/>
          </cell>
          <cell r="FB66" t="str">
            <v/>
          </cell>
          <cell r="FC66" t="str">
            <v/>
          </cell>
          <cell r="FD66" t="str">
            <v/>
          </cell>
          <cell r="FE66" t="str">
            <v/>
          </cell>
          <cell r="FF66" t="str">
            <v/>
          </cell>
          <cell r="FG66" t="str">
            <v/>
          </cell>
          <cell r="FH66" t="str">
            <v/>
          </cell>
          <cell r="FI66" t="str">
            <v/>
          </cell>
          <cell r="FJ66" t="str">
            <v/>
          </cell>
          <cell r="FK66" t="str">
            <v/>
          </cell>
          <cell r="FL66" t="str">
            <v/>
          </cell>
          <cell r="FM66" t="str">
            <v/>
          </cell>
          <cell r="FN66" t="str">
            <v/>
          </cell>
          <cell r="FO66" t="str">
            <v/>
          </cell>
          <cell r="FP66" t="str">
            <v/>
          </cell>
          <cell r="FQ66" t="str">
            <v/>
          </cell>
          <cell r="FR66" t="str">
            <v/>
          </cell>
          <cell r="FS66" t="str">
            <v/>
          </cell>
          <cell r="FT66" t="str">
            <v/>
          </cell>
          <cell r="FU66" t="str">
            <v/>
          </cell>
          <cell r="FV66" t="str">
            <v/>
          </cell>
          <cell r="FW66" t="str">
            <v/>
          </cell>
          <cell r="FX66" t="str">
            <v/>
          </cell>
          <cell r="FY66" t="str">
            <v/>
          </cell>
          <cell r="FZ66" t="str">
            <v/>
          </cell>
          <cell r="GA66" t="str">
            <v/>
          </cell>
          <cell r="GB66" t="str">
            <v/>
          </cell>
          <cell r="GC66" t="str">
            <v/>
          </cell>
          <cell r="GD66" t="str">
            <v/>
          </cell>
          <cell r="GE66" t="str">
            <v/>
          </cell>
          <cell r="GF66" t="str">
            <v/>
          </cell>
          <cell r="GG66" t="str">
            <v/>
          </cell>
          <cell r="GH66" t="str">
            <v/>
          </cell>
          <cell r="GI66" t="str">
            <v/>
          </cell>
          <cell r="GJ66" t="str">
            <v/>
          </cell>
          <cell r="GK66" t="str">
            <v/>
          </cell>
          <cell r="GL66" t="str">
            <v/>
          </cell>
          <cell r="GM66" t="str">
            <v/>
          </cell>
          <cell r="GN66" t="str">
            <v/>
          </cell>
          <cell r="GO66" t="str">
            <v/>
          </cell>
          <cell r="GP66" t="str">
            <v/>
          </cell>
          <cell r="GQ66" t="str">
            <v/>
          </cell>
          <cell r="GR66" t="str">
            <v/>
          </cell>
          <cell r="GS66" t="str">
            <v/>
          </cell>
          <cell r="GT66" t="str">
            <v/>
          </cell>
          <cell r="GU66" t="str">
            <v/>
          </cell>
          <cell r="GV66" t="str">
            <v/>
          </cell>
          <cell r="GW66" t="str">
            <v/>
          </cell>
          <cell r="GX66" t="str">
            <v/>
          </cell>
          <cell r="GY66" t="str">
            <v/>
          </cell>
          <cell r="GZ66" t="str">
            <v/>
          </cell>
          <cell r="HA66" t="str">
            <v/>
          </cell>
          <cell r="HB66" t="str">
            <v/>
          </cell>
          <cell r="HC66" t="str">
            <v/>
          </cell>
          <cell r="HD66" t="str">
            <v/>
          </cell>
          <cell r="HE66" t="str">
            <v/>
          </cell>
          <cell r="HF66" t="str">
            <v/>
          </cell>
          <cell r="HG66" t="str">
            <v/>
          </cell>
          <cell r="HH66" t="str">
            <v/>
          </cell>
          <cell r="HI66" t="str">
            <v/>
          </cell>
          <cell r="HJ66" t="str">
            <v/>
          </cell>
          <cell r="HK66" t="str">
            <v/>
          </cell>
          <cell r="HL66" t="str">
            <v/>
          </cell>
          <cell r="HM66" t="str">
            <v/>
          </cell>
          <cell r="HN66" t="str">
            <v/>
          </cell>
          <cell r="HO66" t="str">
            <v/>
          </cell>
          <cell r="HP66" t="str">
            <v/>
          </cell>
          <cell r="HQ66" t="str">
            <v/>
          </cell>
          <cell r="HR66" t="str">
            <v/>
          </cell>
          <cell r="HS66" t="str">
            <v/>
          </cell>
          <cell r="HT66" t="str">
            <v/>
          </cell>
          <cell r="HU66" t="str">
            <v/>
          </cell>
          <cell r="HV66" t="str">
            <v/>
          </cell>
          <cell r="HW66" t="str">
            <v/>
          </cell>
          <cell r="HX66" t="str">
            <v/>
          </cell>
          <cell r="HY66" t="str">
            <v/>
          </cell>
          <cell r="HZ66" t="str">
            <v/>
          </cell>
          <cell r="IA66" t="str">
            <v/>
          </cell>
          <cell r="IB66" t="str">
            <v/>
          </cell>
          <cell r="IC66" t="str">
            <v/>
          </cell>
          <cell r="ID66" t="str">
            <v/>
          </cell>
          <cell r="IE66" t="str">
            <v/>
          </cell>
          <cell r="IF66" t="str">
            <v/>
          </cell>
          <cell r="IG66" t="str">
            <v/>
          </cell>
          <cell r="IH66" t="str">
            <v/>
          </cell>
          <cell r="II66" t="str">
            <v/>
          </cell>
          <cell r="IJ66" t="str">
            <v/>
          </cell>
          <cell r="IK66" t="str">
            <v/>
          </cell>
          <cell r="IL66" t="str">
            <v/>
          </cell>
          <cell r="IM66" t="str">
            <v/>
          </cell>
          <cell r="IN66" t="str">
            <v/>
          </cell>
          <cell r="IO66" t="str">
            <v/>
          </cell>
          <cell r="IP66" t="str">
            <v/>
          </cell>
          <cell r="IQ66" t="str">
            <v/>
          </cell>
          <cell r="IR66" t="str">
            <v/>
          </cell>
          <cell r="IS66" t="str">
            <v/>
          </cell>
          <cell r="IT66" t="str">
            <v/>
          </cell>
          <cell r="IU66" t="str">
            <v/>
          </cell>
          <cell r="IV66" t="str">
            <v/>
          </cell>
          <cell r="IW66" t="str">
            <v/>
          </cell>
          <cell r="IX66" t="str">
            <v/>
          </cell>
          <cell r="IY66" t="str">
            <v/>
          </cell>
          <cell r="IZ66" t="str">
            <v/>
          </cell>
          <cell r="JA66" t="str">
            <v/>
          </cell>
          <cell r="JB66" t="str">
            <v/>
          </cell>
          <cell r="JC66" t="str">
            <v/>
          </cell>
          <cell r="JD66" t="str">
            <v/>
          </cell>
          <cell r="JE66" t="str">
            <v/>
          </cell>
          <cell r="JF66" t="str">
            <v/>
          </cell>
          <cell r="JG66" t="str">
            <v/>
          </cell>
          <cell r="JH66" t="str">
            <v/>
          </cell>
          <cell r="JI66" t="str">
            <v/>
          </cell>
          <cell r="JJ66" t="str">
            <v/>
          </cell>
          <cell r="JK66" t="str">
            <v/>
          </cell>
          <cell r="JL66" t="str">
            <v/>
          </cell>
          <cell r="JM66" t="str">
            <v/>
          </cell>
          <cell r="JN66" t="str">
            <v/>
          </cell>
          <cell r="JO66" t="str">
            <v/>
          </cell>
          <cell r="JP66" t="str">
            <v/>
          </cell>
          <cell r="JQ66" t="str">
            <v/>
          </cell>
          <cell r="JR66" t="str">
            <v/>
          </cell>
          <cell r="JS66" t="str">
            <v/>
          </cell>
          <cell r="JT66" t="str">
            <v/>
          </cell>
          <cell r="JU66" t="str">
            <v/>
          </cell>
          <cell r="JV66" t="str">
            <v/>
          </cell>
          <cell r="JW66" t="str">
            <v/>
          </cell>
          <cell r="JX66" t="str">
            <v/>
          </cell>
          <cell r="JY66" t="str">
            <v/>
          </cell>
          <cell r="JZ66" t="str">
            <v/>
          </cell>
          <cell r="KA66" t="str">
            <v/>
          </cell>
          <cell r="KB66" t="str">
            <v/>
          </cell>
          <cell r="KC66" t="str">
            <v/>
          </cell>
          <cell r="KD66">
            <v>5</v>
          </cell>
          <cell r="KE66">
            <v>5</v>
          </cell>
          <cell r="KF66">
            <v>5</v>
          </cell>
          <cell r="KG66">
            <v>5</v>
          </cell>
          <cell r="KH66">
            <v>5</v>
          </cell>
          <cell r="KI66">
            <v>5</v>
          </cell>
          <cell r="KJ66">
            <v>0</v>
          </cell>
          <cell r="KM66">
            <v>0</v>
          </cell>
          <cell r="KP66">
            <v>0</v>
          </cell>
          <cell r="KS66">
            <v>0</v>
          </cell>
          <cell r="KV66">
            <v>0</v>
          </cell>
          <cell r="KY66">
            <v>0</v>
          </cell>
          <cell r="LB66">
            <v>0</v>
          </cell>
          <cell r="LE66">
            <v>0</v>
          </cell>
          <cell r="LH66">
            <v>0</v>
          </cell>
          <cell r="LK66">
            <v>0</v>
          </cell>
          <cell r="LO66">
            <v>45727</v>
          </cell>
          <cell r="LP66" t="str">
            <v>COMPLETADO</v>
          </cell>
        </row>
        <row r="67">
          <cell r="A67">
            <v>1668</v>
          </cell>
          <cell r="B67" t="str">
            <v>LUCIANO</v>
          </cell>
          <cell r="C67" t="str">
            <v>BARRACAS CHICA</v>
          </cell>
          <cell r="D67" t="str">
            <v>MARROQUINERIA CHICA</v>
          </cell>
          <cell r="E67">
            <v>36</v>
          </cell>
          <cell r="F67">
            <v>36</v>
          </cell>
          <cell r="G67">
            <v>36</v>
          </cell>
          <cell r="H67">
            <v>45732.731493055559</v>
          </cell>
          <cell r="I67" t="str">
            <v>PORTAVINO TANDIL</v>
          </cell>
          <cell r="J67">
            <v>45708</v>
          </cell>
          <cell r="K67">
            <v>45708</v>
          </cell>
          <cell r="M67">
            <v>35</v>
          </cell>
          <cell r="N67" t="str">
            <v>M165</v>
          </cell>
          <cell r="O67" t="str">
            <v>AV170134014</v>
          </cell>
          <cell r="P67">
            <v>0</v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  <cell r="AJ67" t="str">
            <v/>
          </cell>
          <cell r="AK67" t="str">
            <v/>
          </cell>
          <cell r="AL67" t="str">
            <v/>
          </cell>
          <cell r="AM67" t="str">
            <v/>
          </cell>
          <cell r="AN67" t="str">
            <v/>
          </cell>
          <cell r="AO67" t="str">
            <v/>
          </cell>
          <cell r="AP67" t="str">
            <v/>
          </cell>
          <cell r="AQ67" t="str">
            <v/>
          </cell>
          <cell r="AR67" t="str">
            <v/>
          </cell>
          <cell r="AS67" t="str">
            <v>PEGAR ETIQUETA DE CUERO AL FRENTE HILO AL TONO CON HILO GRUESO N 20</v>
          </cell>
          <cell r="AT67" t="str">
            <v/>
          </cell>
          <cell r="AU67" t="str">
            <v/>
          </cell>
          <cell r="AV67" t="str">
            <v/>
          </cell>
          <cell r="AW67" t="str">
            <v>GRABADO ETIQUETA EN VINTAGE MEDIO  7,5CM X 5,5 CM  "EL LUCERO HIGH QUALITY GOODS"</v>
          </cell>
          <cell r="AX67" t="str">
            <v>CARAMELO</v>
          </cell>
          <cell r="AY67" t="str">
            <v>ARENA-CUERO BRIDGE</v>
          </cell>
          <cell r="AZ67" t="str">
            <v>CUE0000004</v>
          </cell>
          <cell r="BA67">
            <v>0.21</v>
          </cell>
          <cell r="BB67" t="str">
            <v/>
          </cell>
          <cell r="BC67" t="str">
            <v/>
          </cell>
          <cell r="BD67" t="str">
            <v/>
          </cell>
          <cell r="BE67" t="str">
            <v/>
          </cell>
          <cell r="BF67" t="str">
            <v/>
          </cell>
          <cell r="BG67" t="str">
            <v/>
          </cell>
          <cell r="BH67" t="str">
            <v/>
          </cell>
          <cell r="BI67" t="str">
            <v/>
          </cell>
          <cell r="BJ67" t="str">
            <v/>
          </cell>
          <cell r="BK67" t="str">
            <v/>
          </cell>
          <cell r="BL67" t="str">
            <v/>
          </cell>
          <cell r="BM67" t="str">
            <v/>
          </cell>
          <cell r="BN67" t="str">
            <v/>
          </cell>
          <cell r="BO67" t="str">
            <v/>
          </cell>
          <cell r="BP67" t="str">
            <v/>
          </cell>
          <cell r="BQ67" t="str">
            <v/>
          </cell>
          <cell r="BR67" t="str">
            <v>TABACO</v>
          </cell>
          <cell r="BS67" t="str">
            <v>ARENA-CUERO BRIDGE</v>
          </cell>
          <cell r="BT67" t="str">
            <v>CUE0000012</v>
          </cell>
          <cell r="BU67">
            <v>0.21</v>
          </cell>
          <cell r="BV67" t="str">
            <v/>
          </cell>
          <cell r="BW67" t="str">
            <v/>
          </cell>
          <cell r="BX67" t="str">
            <v/>
          </cell>
          <cell r="BY67" t="str">
            <v/>
          </cell>
          <cell r="BZ67" t="str">
            <v/>
          </cell>
          <cell r="CA67" t="str">
            <v/>
          </cell>
          <cell r="CB67" t="str">
            <v/>
          </cell>
          <cell r="CC67" t="str">
            <v/>
          </cell>
          <cell r="CD67" t="str">
            <v/>
          </cell>
          <cell r="CE67" t="str">
            <v/>
          </cell>
          <cell r="CF67" t="str">
            <v/>
          </cell>
          <cell r="CG67" t="str">
            <v/>
          </cell>
          <cell r="CH67" t="str">
            <v/>
          </cell>
          <cell r="CI67" t="str">
            <v/>
          </cell>
          <cell r="CJ67" t="str">
            <v/>
          </cell>
          <cell r="CK67" t="str">
            <v/>
          </cell>
          <cell r="CL67" t="str">
            <v>NEGRO</v>
          </cell>
          <cell r="CM67" t="str">
            <v>ARENA-CUERO BRIDGE</v>
          </cell>
          <cell r="CN67" t="str">
            <v>CUE0000009</v>
          </cell>
          <cell r="CO67">
            <v>0.21</v>
          </cell>
          <cell r="CP67" t="str">
            <v/>
          </cell>
          <cell r="CQ67" t="str">
            <v/>
          </cell>
          <cell r="CR67" t="str">
            <v/>
          </cell>
          <cell r="CS67" t="str">
            <v/>
          </cell>
          <cell r="CT67" t="str">
            <v/>
          </cell>
          <cell r="CU67" t="str">
            <v/>
          </cell>
          <cell r="CV67" t="str">
            <v/>
          </cell>
          <cell r="CW67" t="str">
            <v/>
          </cell>
          <cell r="CX67" t="str">
            <v/>
          </cell>
          <cell r="CY67" t="str">
            <v/>
          </cell>
          <cell r="CZ67" t="str">
            <v/>
          </cell>
          <cell r="DA67" t="str">
            <v/>
          </cell>
          <cell r="DB67" t="str">
            <v/>
          </cell>
          <cell r="DC67" t="str">
            <v/>
          </cell>
          <cell r="DD67" t="str">
            <v/>
          </cell>
          <cell r="DE67" t="str">
            <v/>
          </cell>
          <cell r="DF67" t="str">
            <v/>
          </cell>
          <cell r="DG67" t="str">
            <v/>
          </cell>
          <cell r="DH67" t="str">
            <v/>
          </cell>
          <cell r="DI67" t="str">
            <v/>
          </cell>
          <cell r="DJ67" t="str">
            <v/>
          </cell>
          <cell r="DK67" t="str">
            <v/>
          </cell>
          <cell r="DL67" t="str">
            <v/>
          </cell>
          <cell r="DM67" t="str">
            <v/>
          </cell>
          <cell r="DN67" t="str">
            <v/>
          </cell>
          <cell r="DO67" t="str">
            <v/>
          </cell>
          <cell r="DP67" t="str">
            <v/>
          </cell>
          <cell r="DQ67" t="str">
            <v/>
          </cell>
          <cell r="DR67" t="str">
            <v/>
          </cell>
          <cell r="DS67" t="str">
            <v/>
          </cell>
          <cell r="DT67" t="str">
            <v/>
          </cell>
          <cell r="DU67" t="str">
            <v/>
          </cell>
          <cell r="DV67" t="str">
            <v/>
          </cell>
          <cell r="DW67" t="str">
            <v/>
          </cell>
          <cell r="DX67" t="str">
            <v/>
          </cell>
          <cell r="DY67" t="str">
            <v/>
          </cell>
          <cell r="DZ67" t="str">
            <v/>
          </cell>
          <cell r="EA67" t="str">
            <v/>
          </cell>
          <cell r="EB67" t="str">
            <v/>
          </cell>
          <cell r="EC67" t="str">
            <v/>
          </cell>
          <cell r="ED67" t="str">
            <v/>
          </cell>
          <cell r="EE67" t="str">
            <v/>
          </cell>
          <cell r="EF67" t="str">
            <v/>
          </cell>
          <cell r="EG67" t="str">
            <v/>
          </cell>
          <cell r="EH67" t="str">
            <v/>
          </cell>
          <cell r="EI67" t="str">
            <v/>
          </cell>
          <cell r="EJ67" t="str">
            <v/>
          </cell>
          <cell r="EK67" t="str">
            <v/>
          </cell>
          <cell r="EL67" t="str">
            <v/>
          </cell>
          <cell r="EM67" t="str">
            <v/>
          </cell>
          <cell r="EN67" t="str">
            <v/>
          </cell>
          <cell r="EO67" t="str">
            <v/>
          </cell>
          <cell r="EP67" t="str">
            <v/>
          </cell>
          <cell r="EQ67" t="str">
            <v/>
          </cell>
          <cell r="ER67" t="str">
            <v/>
          </cell>
          <cell r="ES67" t="str">
            <v/>
          </cell>
          <cell r="ET67" t="str">
            <v/>
          </cell>
          <cell r="EU67" t="str">
            <v/>
          </cell>
          <cell r="EV67" t="str">
            <v/>
          </cell>
          <cell r="EW67" t="str">
            <v/>
          </cell>
          <cell r="EX67" t="str">
            <v/>
          </cell>
          <cell r="EY67" t="str">
            <v/>
          </cell>
          <cell r="EZ67" t="str">
            <v/>
          </cell>
          <cell r="FA67" t="str">
            <v/>
          </cell>
          <cell r="FB67" t="str">
            <v/>
          </cell>
          <cell r="FC67" t="str">
            <v/>
          </cell>
          <cell r="FD67" t="str">
            <v/>
          </cell>
          <cell r="FE67" t="str">
            <v/>
          </cell>
          <cell r="FF67" t="str">
            <v/>
          </cell>
          <cell r="FG67" t="str">
            <v/>
          </cell>
          <cell r="FH67" t="str">
            <v/>
          </cell>
          <cell r="FI67" t="str">
            <v/>
          </cell>
          <cell r="FJ67" t="str">
            <v/>
          </cell>
          <cell r="FK67" t="str">
            <v/>
          </cell>
          <cell r="FL67" t="str">
            <v/>
          </cell>
          <cell r="FM67" t="str">
            <v/>
          </cell>
          <cell r="FN67" t="str">
            <v/>
          </cell>
          <cell r="FO67" t="str">
            <v/>
          </cell>
          <cell r="FP67" t="str">
            <v/>
          </cell>
          <cell r="FQ67" t="str">
            <v/>
          </cell>
          <cell r="FR67" t="str">
            <v/>
          </cell>
          <cell r="FS67" t="str">
            <v/>
          </cell>
          <cell r="FT67" t="str">
            <v/>
          </cell>
          <cell r="FU67" t="str">
            <v/>
          </cell>
          <cell r="FV67" t="str">
            <v/>
          </cell>
          <cell r="FW67" t="str">
            <v/>
          </cell>
          <cell r="FX67" t="str">
            <v/>
          </cell>
          <cell r="FY67" t="str">
            <v/>
          </cell>
          <cell r="FZ67" t="str">
            <v/>
          </cell>
          <cell r="GA67" t="str">
            <v/>
          </cell>
          <cell r="GB67" t="str">
            <v/>
          </cell>
          <cell r="GC67" t="str">
            <v/>
          </cell>
          <cell r="GD67" t="str">
            <v/>
          </cell>
          <cell r="GE67" t="str">
            <v/>
          </cell>
          <cell r="GF67" t="str">
            <v/>
          </cell>
          <cell r="GG67" t="str">
            <v/>
          </cell>
          <cell r="GH67" t="str">
            <v/>
          </cell>
          <cell r="GI67" t="str">
            <v/>
          </cell>
          <cell r="GJ67" t="str">
            <v/>
          </cell>
          <cell r="GK67" t="str">
            <v/>
          </cell>
          <cell r="GL67" t="str">
            <v/>
          </cell>
          <cell r="GM67" t="str">
            <v/>
          </cell>
          <cell r="GN67" t="str">
            <v/>
          </cell>
          <cell r="GO67" t="str">
            <v/>
          </cell>
          <cell r="GP67" t="str">
            <v/>
          </cell>
          <cell r="GQ67" t="str">
            <v/>
          </cell>
          <cell r="GR67" t="str">
            <v/>
          </cell>
          <cell r="GS67" t="str">
            <v/>
          </cell>
          <cell r="GT67" t="str">
            <v/>
          </cell>
          <cell r="GU67" t="str">
            <v/>
          </cell>
          <cell r="GV67" t="str">
            <v/>
          </cell>
          <cell r="GW67" t="str">
            <v/>
          </cell>
          <cell r="GX67" t="str">
            <v/>
          </cell>
          <cell r="GY67" t="str">
            <v/>
          </cell>
          <cell r="GZ67" t="str">
            <v/>
          </cell>
          <cell r="HA67" t="str">
            <v/>
          </cell>
          <cell r="HB67" t="str">
            <v/>
          </cell>
          <cell r="HC67" t="str">
            <v/>
          </cell>
          <cell r="HD67" t="str">
            <v/>
          </cell>
          <cell r="HE67" t="str">
            <v/>
          </cell>
          <cell r="HF67" t="str">
            <v/>
          </cell>
          <cell r="HG67" t="str">
            <v/>
          </cell>
          <cell r="HH67" t="str">
            <v/>
          </cell>
          <cell r="HI67" t="str">
            <v/>
          </cell>
          <cell r="HJ67" t="str">
            <v/>
          </cell>
          <cell r="HK67" t="str">
            <v/>
          </cell>
          <cell r="HL67" t="str">
            <v/>
          </cell>
          <cell r="HM67" t="str">
            <v/>
          </cell>
          <cell r="HN67" t="str">
            <v/>
          </cell>
          <cell r="HO67" t="str">
            <v/>
          </cell>
          <cell r="HP67" t="str">
            <v/>
          </cell>
          <cell r="HQ67" t="str">
            <v/>
          </cell>
          <cell r="HR67" t="str">
            <v/>
          </cell>
          <cell r="HS67" t="str">
            <v/>
          </cell>
          <cell r="HT67" t="str">
            <v/>
          </cell>
          <cell r="HU67" t="str">
            <v/>
          </cell>
          <cell r="HV67" t="str">
            <v/>
          </cell>
          <cell r="HW67" t="str">
            <v/>
          </cell>
          <cell r="HX67" t="str">
            <v/>
          </cell>
          <cell r="HY67" t="str">
            <v/>
          </cell>
          <cell r="HZ67" t="str">
            <v/>
          </cell>
          <cell r="IA67" t="str">
            <v/>
          </cell>
          <cell r="IB67" t="str">
            <v/>
          </cell>
          <cell r="IC67" t="str">
            <v/>
          </cell>
          <cell r="ID67" t="str">
            <v/>
          </cell>
          <cell r="IE67" t="str">
            <v/>
          </cell>
          <cell r="IF67" t="str">
            <v/>
          </cell>
          <cell r="IG67" t="str">
            <v/>
          </cell>
          <cell r="IH67" t="str">
            <v/>
          </cell>
          <cell r="II67" t="str">
            <v/>
          </cell>
          <cell r="IJ67" t="str">
            <v/>
          </cell>
          <cell r="IK67" t="str">
            <v/>
          </cell>
          <cell r="IL67" t="str">
            <v/>
          </cell>
          <cell r="IM67" t="str">
            <v/>
          </cell>
          <cell r="IN67" t="str">
            <v/>
          </cell>
          <cell r="IO67" t="str">
            <v/>
          </cell>
          <cell r="IP67" t="str">
            <v/>
          </cell>
          <cell r="IQ67" t="str">
            <v/>
          </cell>
          <cell r="IR67" t="str">
            <v/>
          </cell>
          <cell r="IS67" t="str">
            <v/>
          </cell>
          <cell r="IT67" t="str">
            <v/>
          </cell>
          <cell r="IU67" t="str">
            <v/>
          </cell>
          <cell r="IV67" t="str">
            <v/>
          </cell>
          <cell r="IW67" t="str">
            <v/>
          </cell>
          <cell r="IX67" t="str">
            <v/>
          </cell>
          <cell r="IY67" t="str">
            <v/>
          </cell>
          <cell r="IZ67" t="str">
            <v/>
          </cell>
          <cell r="JA67" t="str">
            <v/>
          </cell>
          <cell r="JB67" t="str">
            <v/>
          </cell>
          <cell r="JC67" t="str">
            <v/>
          </cell>
          <cell r="JD67" t="str">
            <v/>
          </cell>
          <cell r="JE67" t="str">
            <v/>
          </cell>
          <cell r="JF67" t="str">
            <v/>
          </cell>
          <cell r="JG67" t="str">
            <v/>
          </cell>
          <cell r="JH67" t="str">
            <v/>
          </cell>
          <cell r="JI67" t="str">
            <v/>
          </cell>
          <cell r="JJ67" t="str">
            <v/>
          </cell>
          <cell r="JK67" t="str">
            <v/>
          </cell>
          <cell r="JL67" t="str">
            <v/>
          </cell>
          <cell r="JM67" t="str">
            <v/>
          </cell>
          <cell r="JN67" t="str">
            <v/>
          </cell>
          <cell r="JO67" t="str">
            <v/>
          </cell>
          <cell r="JP67" t="str">
            <v/>
          </cell>
          <cell r="JQ67" t="str">
            <v/>
          </cell>
          <cell r="JR67" t="str">
            <v/>
          </cell>
          <cell r="JS67" t="str">
            <v/>
          </cell>
          <cell r="JT67" t="str">
            <v/>
          </cell>
          <cell r="JU67" t="str">
            <v/>
          </cell>
          <cell r="JV67" t="str">
            <v/>
          </cell>
          <cell r="JW67" t="str">
            <v/>
          </cell>
          <cell r="JX67" t="str">
            <v/>
          </cell>
          <cell r="JY67" t="str">
            <v/>
          </cell>
          <cell r="JZ67" t="str">
            <v/>
          </cell>
          <cell r="KA67" t="str">
            <v/>
          </cell>
          <cell r="KB67" t="str">
            <v/>
          </cell>
          <cell r="KC67" t="str">
            <v/>
          </cell>
          <cell r="KD67">
            <v>12</v>
          </cell>
          <cell r="KE67">
            <v>12</v>
          </cell>
          <cell r="KF67">
            <v>12</v>
          </cell>
          <cell r="KG67">
            <v>12</v>
          </cell>
          <cell r="KH67">
            <v>12</v>
          </cell>
          <cell r="KI67">
            <v>12</v>
          </cell>
          <cell r="KJ67">
            <v>12</v>
          </cell>
          <cell r="KK67">
            <v>12</v>
          </cell>
          <cell r="KL67">
            <v>12</v>
          </cell>
          <cell r="KM67">
            <v>0</v>
          </cell>
          <cell r="KP67">
            <v>0</v>
          </cell>
          <cell r="KS67">
            <v>0</v>
          </cell>
          <cell r="KV67">
            <v>0</v>
          </cell>
          <cell r="KY67">
            <v>0</v>
          </cell>
          <cell r="LB67">
            <v>0</v>
          </cell>
          <cell r="LE67">
            <v>0</v>
          </cell>
          <cell r="LH67">
            <v>0</v>
          </cell>
          <cell r="LK67">
            <v>0</v>
          </cell>
          <cell r="LO67">
            <v>45721</v>
          </cell>
          <cell r="LP67" t="str">
            <v>COMPLETADO</v>
          </cell>
        </row>
        <row r="68">
          <cell r="A68">
            <v>1669</v>
          </cell>
          <cell r="B68" t="str">
            <v>LUCIANO</v>
          </cell>
          <cell r="C68" t="str">
            <v>BARRACAS CHICA</v>
          </cell>
          <cell r="D68" t="str">
            <v>MARROQUINERIA CHICA</v>
          </cell>
          <cell r="E68">
            <v>36</v>
          </cell>
          <cell r="F68">
            <v>36</v>
          </cell>
          <cell r="G68">
            <v>36</v>
          </cell>
          <cell r="H68">
            <v>45732.73474537037</v>
          </cell>
          <cell r="I68" t="str">
            <v>PORTAVINO UCO</v>
          </cell>
          <cell r="J68">
            <v>45708</v>
          </cell>
          <cell r="K68">
            <v>45708</v>
          </cell>
          <cell r="M68">
            <v>37</v>
          </cell>
          <cell r="N68" t="str">
            <v>M166</v>
          </cell>
          <cell r="O68" t="str">
            <v>AV170134014</v>
          </cell>
          <cell r="P68">
            <v>0</v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 t="str">
            <v/>
          </cell>
          <cell r="AH68" t="str">
            <v/>
          </cell>
          <cell r="AI68" t="str">
            <v/>
          </cell>
          <cell r="AJ68" t="str">
            <v/>
          </cell>
          <cell r="AK68" t="str">
            <v/>
          </cell>
          <cell r="AL68" t="str">
            <v/>
          </cell>
          <cell r="AM68" t="str">
            <v/>
          </cell>
          <cell r="AN68" t="str">
            <v/>
          </cell>
          <cell r="AO68" t="str">
            <v/>
          </cell>
          <cell r="AP68" t="str">
            <v/>
          </cell>
          <cell r="AQ68" t="str">
            <v/>
          </cell>
          <cell r="AR68" t="str">
            <v/>
          </cell>
          <cell r="AS68" t="str">
            <v>PEGAR ETIQUETA DE CUERO AL FRENTE HILO AL TONO CON HILO GRUESO N 20</v>
          </cell>
          <cell r="AT68" t="str">
            <v/>
          </cell>
          <cell r="AU68" t="str">
            <v/>
          </cell>
          <cell r="AV68" t="str">
            <v/>
          </cell>
          <cell r="AW68" t="str">
            <v>GRABADO ETIQUETA EN VINTAGE MEDIO  7,5CM X 5,5 CM  "EL LUCERO HIGH QUALITY GOODS"</v>
          </cell>
          <cell r="AX68" t="str">
            <v>CARAMELO</v>
          </cell>
          <cell r="AY68" t="str">
            <v>ARENA-CUERO BRIDGE</v>
          </cell>
          <cell r="AZ68" t="str">
            <v>CUE0000004</v>
          </cell>
          <cell r="BA68">
            <v>0.28000000000000003</v>
          </cell>
          <cell r="BB68" t="str">
            <v/>
          </cell>
          <cell r="BC68" t="str">
            <v/>
          </cell>
          <cell r="BD68" t="str">
            <v/>
          </cell>
          <cell r="BE68" t="str">
            <v/>
          </cell>
          <cell r="BF68" t="str">
            <v/>
          </cell>
          <cell r="BG68" t="str">
            <v/>
          </cell>
          <cell r="BH68" t="str">
            <v/>
          </cell>
          <cell r="BI68" t="str">
            <v/>
          </cell>
          <cell r="BJ68" t="str">
            <v/>
          </cell>
          <cell r="BK68" t="str">
            <v/>
          </cell>
          <cell r="BL68" t="str">
            <v/>
          </cell>
          <cell r="BM68" t="str">
            <v/>
          </cell>
          <cell r="BN68" t="str">
            <v/>
          </cell>
          <cell r="BO68" t="str">
            <v/>
          </cell>
          <cell r="BP68" t="str">
            <v/>
          </cell>
          <cell r="BQ68" t="str">
            <v/>
          </cell>
          <cell r="BR68" t="str">
            <v>TABACO</v>
          </cell>
          <cell r="BS68" t="str">
            <v>ARENA-CUERO BRIDGE</v>
          </cell>
          <cell r="BT68" t="str">
            <v>CUE0000012</v>
          </cell>
          <cell r="BU68">
            <v>0.28000000000000003</v>
          </cell>
          <cell r="BV68" t="str">
            <v/>
          </cell>
          <cell r="BW68" t="str">
            <v/>
          </cell>
          <cell r="BX68" t="str">
            <v/>
          </cell>
          <cell r="BY68" t="str">
            <v/>
          </cell>
          <cell r="BZ68" t="str">
            <v/>
          </cell>
          <cell r="CA68" t="str">
            <v/>
          </cell>
          <cell r="CB68" t="str">
            <v/>
          </cell>
          <cell r="CC68" t="str">
            <v/>
          </cell>
          <cell r="CD68" t="str">
            <v/>
          </cell>
          <cell r="CE68" t="str">
            <v/>
          </cell>
          <cell r="CF68" t="str">
            <v/>
          </cell>
          <cell r="CG68" t="str">
            <v/>
          </cell>
          <cell r="CH68" t="str">
            <v/>
          </cell>
          <cell r="CI68" t="str">
            <v/>
          </cell>
          <cell r="CJ68" t="str">
            <v/>
          </cell>
          <cell r="CK68" t="str">
            <v/>
          </cell>
          <cell r="CL68" t="str">
            <v>NEGRO</v>
          </cell>
          <cell r="CM68" t="str">
            <v>ARENA-CUERO BRIDGE</v>
          </cell>
          <cell r="CN68" t="str">
            <v>CUE0000009</v>
          </cell>
          <cell r="CO68">
            <v>0.28000000000000003</v>
          </cell>
          <cell r="CP68" t="str">
            <v/>
          </cell>
          <cell r="CQ68" t="str">
            <v/>
          </cell>
          <cell r="CR68" t="str">
            <v/>
          </cell>
          <cell r="CS68" t="str">
            <v/>
          </cell>
          <cell r="CT68" t="str">
            <v/>
          </cell>
          <cell r="CU68" t="str">
            <v/>
          </cell>
          <cell r="CV68" t="str">
            <v/>
          </cell>
          <cell r="CW68" t="str">
            <v/>
          </cell>
          <cell r="CX68" t="str">
            <v/>
          </cell>
          <cell r="CY68" t="str">
            <v/>
          </cell>
          <cell r="CZ68" t="str">
            <v/>
          </cell>
          <cell r="DA68" t="str">
            <v/>
          </cell>
          <cell r="DB68" t="str">
            <v/>
          </cell>
          <cell r="DC68" t="str">
            <v/>
          </cell>
          <cell r="DD68" t="str">
            <v/>
          </cell>
          <cell r="DE68" t="str">
            <v/>
          </cell>
          <cell r="DF68" t="str">
            <v/>
          </cell>
          <cell r="DG68" t="str">
            <v/>
          </cell>
          <cell r="DH68" t="str">
            <v/>
          </cell>
          <cell r="DI68" t="str">
            <v/>
          </cell>
          <cell r="DJ68" t="str">
            <v/>
          </cell>
          <cell r="DK68" t="str">
            <v/>
          </cell>
          <cell r="DL68" t="str">
            <v/>
          </cell>
          <cell r="DM68" t="str">
            <v/>
          </cell>
          <cell r="DN68" t="str">
            <v/>
          </cell>
          <cell r="DO68" t="str">
            <v/>
          </cell>
          <cell r="DP68" t="str">
            <v/>
          </cell>
          <cell r="DQ68" t="str">
            <v/>
          </cell>
          <cell r="DR68" t="str">
            <v/>
          </cell>
          <cell r="DS68" t="str">
            <v/>
          </cell>
          <cell r="DT68" t="str">
            <v/>
          </cell>
          <cell r="DU68" t="str">
            <v/>
          </cell>
          <cell r="DV68" t="str">
            <v/>
          </cell>
          <cell r="DW68" t="str">
            <v/>
          </cell>
          <cell r="DX68" t="str">
            <v/>
          </cell>
          <cell r="DY68" t="str">
            <v/>
          </cell>
          <cell r="DZ68" t="str">
            <v/>
          </cell>
          <cell r="EA68" t="str">
            <v/>
          </cell>
          <cell r="EB68" t="str">
            <v/>
          </cell>
          <cell r="EC68" t="str">
            <v/>
          </cell>
          <cell r="ED68" t="str">
            <v/>
          </cell>
          <cell r="EE68" t="str">
            <v/>
          </cell>
          <cell r="EF68" t="str">
            <v/>
          </cell>
          <cell r="EG68" t="str">
            <v/>
          </cell>
          <cell r="EH68" t="str">
            <v/>
          </cell>
          <cell r="EI68" t="str">
            <v/>
          </cell>
          <cell r="EJ68" t="str">
            <v/>
          </cell>
          <cell r="EK68" t="str">
            <v/>
          </cell>
          <cell r="EL68" t="str">
            <v/>
          </cell>
          <cell r="EM68" t="str">
            <v/>
          </cell>
          <cell r="EN68" t="str">
            <v/>
          </cell>
          <cell r="EO68" t="str">
            <v/>
          </cell>
          <cell r="EP68" t="str">
            <v/>
          </cell>
          <cell r="EQ68" t="str">
            <v/>
          </cell>
          <cell r="ER68" t="str">
            <v/>
          </cell>
          <cell r="ES68" t="str">
            <v/>
          </cell>
          <cell r="ET68" t="str">
            <v/>
          </cell>
          <cell r="EU68" t="str">
            <v/>
          </cell>
          <cell r="EV68" t="str">
            <v/>
          </cell>
          <cell r="EW68" t="str">
            <v/>
          </cell>
          <cell r="EX68" t="str">
            <v/>
          </cell>
          <cell r="EY68" t="str">
            <v/>
          </cell>
          <cell r="EZ68" t="str">
            <v/>
          </cell>
          <cell r="FA68" t="str">
            <v/>
          </cell>
          <cell r="FB68" t="str">
            <v/>
          </cell>
          <cell r="FC68" t="str">
            <v/>
          </cell>
          <cell r="FD68" t="str">
            <v/>
          </cell>
          <cell r="FE68" t="str">
            <v/>
          </cell>
          <cell r="FF68" t="str">
            <v/>
          </cell>
          <cell r="FG68" t="str">
            <v/>
          </cell>
          <cell r="FH68" t="str">
            <v/>
          </cell>
          <cell r="FI68" t="str">
            <v/>
          </cell>
          <cell r="FJ68" t="str">
            <v/>
          </cell>
          <cell r="FK68" t="str">
            <v/>
          </cell>
          <cell r="FL68" t="str">
            <v/>
          </cell>
          <cell r="FM68" t="str">
            <v/>
          </cell>
          <cell r="FN68" t="str">
            <v/>
          </cell>
          <cell r="FO68" t="str">
            <v/>
          </cell>
          <cell r="FP68" t="str">
            <v/>
          </cell>
          <cell r="FQ68" t="str">
            <v/>
          </cell>
          <cell r="FR68" t="str">
            <v/>
          </cell>
          <cell r="FS68" t="str">
            <v/>
          </cell>
          <cell r="FT68" t="str">
            <v/>
          </cell>
          <cell r="FU68" t="str">
            <v/>
          </cell>
          <cell r="FV68" t="str">
            <v/>
          </cell>
          <cell r="FW68" t="str">
            <v/>
          </cell>
          <cell r="FX68" t="str">
            <v/>
          </cell>
          <cell r="FY68" t="str">
            <v/>
          </cell>
          <cell r="FZ68" t="str">
            <v/>
          </cell>
          <cell r="GA68" t="str">
            <v/>
          </cell>
          <cell r="GB68" t="str">
            <v/>
          </cell>
          <cell r="GC68" t="str">
            <v/>
          </cell>
          <cell r="GD68" t="str">
            <v/>
          </cell>
          <cell r="GE68" t="str">
            <v/>
          </cell>
          <cell r="GF68" t="str">
            <v/>
          </cell>
          <cell r="GG68" t="str">
            <v/>
          </cell>
          <cell r="GH68" t="str">
            <v/>
          </cell>
          <cell r="GI68" t="str">
            <v/>
          </cell>
          <cell r="GJ68" t="str">
            <v/>
          </cell>
          <cell r="GK68" t="str">
            <v/>
          </cell>
          <cell r="GL68" t="str">
            <v/>
          </cell>
          <cell r="GM68" t="str">
            <v/>
          </cell>
          <cell r="GN68" t="str">
            <v/>
          </cell>
          <cell r="GO68" t="str">
            <v/>
          </cell>
          <cell r="GP68" t="str">
            <v/>
          </cell>
          <cell r="GQ68" t="str">
            <v/>
          </cell>
          <cell r="GR68" t="str">
            <v/>
          </cell>
          <cell r="GS68" t="str">
            <v/>
          </cell>
          <cell r="GT68" t="str">
            <v/>
          </cell>
          <cell r="GU68" t="str">
            <v/>
          </cell>
          <cell r="GV68" t="str">
            <v/>
          </cell>
          <cell r="GW68" t="str">
            <v/>
          </cell>
          <cell r="GX68" t="str">
            <v/>
          </cell>
          <cell r="GY68" t="str">
            <v/>
          </cell>
          <cell r="GZ68" t="str">
            <v/>
          </cell>
          <cell r="HA68" t="str">
            <v/>
          </cell>
          <cell r="HB68" t="str">
            <v/>
          </cell>
          <cell r="HC68" t="str">
            <v/>
          </cell>
          <cell r="HD68" t="str">
            <v/>
          </cell>
          <cell r="HE68" t="str">
            <v/>
          </cell>
          <cell r="HF68" t="str">
            <v/>
          </cell>
          <cell r="HG68" t="str">
            <v/>
          </cell>
          <cell r="HH68" t="str">
            <v/>
          </cell>
          <cell r="HI68" t="str">
            <v/>
          </cell>
          <cell r="HJ68" t="str">
            <v/>
          </cell>
          <cell r="HK68" t="str">
            <v/>
          </cell>
          <cell r="HL68" t="str">
            <v/>
          </cell>
          <cell r="HM68" t="str">
            <v/>
          </cell>
          <cell r="HN68" t="str">
            <v/>
          </cell>
          <cell r="HO68" t="str">
            <v/>
          </cell>
          <cell r="HP68" t="str">
            <v/>
          </cell>
          <cell r="HQ68" t="str">
            <v/>
          </cell>
          <cell r="HR68" t="str">
            <v/>
          </cell>
          <cell r="HS68" t="str">
            <v/>
          </cell>
          <cell r="HT68" t="str">
            <v/>
          </cell>
          <cell r="HU68" t="str">
            <v/>
          </cell>
          <cell r="HV68" t="str">
            <v/>
          </cell>
          <cell r="HW68" t="str">
            <v/>
          </cell>
          <cell r="HX68" t="str">
            <v/>
          </cell>
          <cell r="HY68" t="str">
            <v/>
          </cell>
          <cell r="HZ68" t="str">
            <v/>
          </cell>
          <cell r="IA68" t="str">
            <v/>
          </cell>
          <cell r="IB68" t="str">
            <v/>
          </cell>
          <cell r="IC68" t="str">
            <v/>
          </cell>
          <cell r="ID68" t="str">
            <v/>
          </cell>
          <cell r="IE68" t="str">
            <v/>
          </cell>
          <cell r="IF68" t="str">
            <v/>
          </cell>
          <cell r="IG68" t="str">
            <v/>
          </cell>
          <cell r="IH68" t="str">
            <v/>
          </cell>
          <cell r="II68" t="str">
            <v/>
          </cell>
          <cell r="IJ68" t="str">
            <v/>
          </cell>
          <cell r="IK68" t="str">
            <v/>
          </cell>
          <cell r="IL68" t="str">
            <v/>
          </cell>
          <cell r="IM68" t="str">
            <v/>
          </cell>
          <cell r="IN68" t="str">
            <v/>
          </cell>
          <cell r="IO68" t="str">
            <v/>
          </cell>
          <cell r="IP68" t="str">
            <v/>
          </cell>
          <cell r="IQ68" t="str">
            <v/>
          </cell>
          <cell r="IR68" t="str">
            <v/>
          </cell>
          <cell r="IS68" t="str">
            <v/>
          </cell>
          <cell r="IT68" t="str">
            <v/>
          </cell>
          <cell r="IU68" t="str">
            <v/>
          </cell>
          <cell r="IV68" t="str">
            <v/>
          </cell>
          <cell r="IW68" t="str">
            <v/>
          </cell>
          <cell r="IX68" t="str">
            <v/>
          </cell>
          <cell r="IY68" t="str">
            <v/>
          </cell>
          <cell r="IZ68" t="str">
            <v/>
          </cell>
          <cell r="JA68" t="str">
            <v/>
          </cell>
          <cell r="JB68" t="str">
            <v/>
          </cell>
          <cell r="JC68" t="str">
            <v/>
          </cell>
          <cell r="JD68" t="str">
            <v/>
          </cell>
          <cell r="JE68" t="str">
            <v/>
          </cell>
          <cell r="JF68" t="str">
            <v/>
          </cell>
          <cell r="JG68" t="str">
            <v/>
          </cell>
          <cell r="JH68" t="str">
            <v/>
          </cell>
          <cell r="JI68" t="str">
            <v/>
          </cell>
          <cell r="JJ68" t="str">
            <v/>
          </cell>
          <cell r="JK68" t="str">
            <v/>
          </cell>
          <cell r="JL68" t="str">
            <v/>
          </cell>
          <cell r="JM68" t="str">
            <v/>
          </cell>
          <cell r="JN68" t="str">
            <v/>
          </cell>
          <cell r="JO68" t="str">
            <v/>
          </cell>
          <cell r="JP68" t="str">
            <v/>
          </cell>
          <cell r="JQ68" t="str">
            <v/>
          </cell>
          <cell r="JR68" t="str">
            <v/>
          </cell>
          <cell r="JS68" t="str">
            <v/>
          </cell>
          <cell r="JT68" t="str">
            <v/>
          </cell>
          <cell r="JU68" t="str">
            <v/>
          </cell>
          <cell r="JV68" t="str">
            <v/>
          </cell>
          <cell r="JW68" t="str">
            <v/>
          </cell>
          <cell r="JX68" t="str">
            <v/>
          </cell>
          <cell r="JY68" t="str">
            <v/>
          </cell>
          <cell r="JZ68" t="str">
            <v/>
          </cell>
          <cell r="KA68" t="str">
            <v/>
          </cell>
          <cell r="KB68" t="str">
            <v/>
          </cell>
          <cell r="KC68" t="str">
            <v/>
          </cell>
          <cell r="KD68">
            <v>12</v>
          </cell>
          <cell r="KE68">
            <v>12</v>
          </cell>
          <cell r="KF68">
            <v>12</v>
          </cell>
          <cell r="KG68">
            <v>12</v>
          </cell>
          <cell r="KH68">
            <v>12</v>
          </cell>
          <cell r="KI68">
            <v>12</v>
          </cell>
          <cell r="KJ68">
            <v>12</v>
          </cell>
          <cell r="KK68">
            <v>12</v>
          </cell>
          <cell r="KL68">
            <v>12</v>
          </cell>
          <cell r="KM68">
            <v>0</v>
          </cell>
          <cell r="KP68">
            <v>0</v>
          </cell>
          <cell r="KS68">
            <v>0</v>
          </cell>
          <cell r="KV68">
            <v>0</v>
          </cell>
          <cell r="KY68">
            <v>0</v>
          </cell>
          <cell r="LB68">
            <v>0</v>
          </cell>
          <cell r="LE68">
            <v>0</v>
          </cell>
          <cell r="LH68">
            <v>0</v>
          </cell>
          <cell r="LK68">
            <v>0</v>
          </cell>
          <cell r="LO68">
            <v>45727</v>
          </cell>
          <cell r="LP68" t="str">
            <v>COMPLETADO</v>
          </cell>
        </row>
        <row r="69">
          <cell r="A69">
            <v>1675</v>
          </cell>
          <cell r="B69" t="str">
            <v>LUCIANO</v>
          </cell>
          <cell r="C69" t="str">
            <v>BARRACAS CHICA</v>
          </cell>
          <cell r="D69" t="str">
            <v>MARROQUINERIA CHICA</v>
          </cell>
          <cell r="E69">
            <v>26</v>
          </cell>
          <cell r="F69">
            <v>26</v>
          </cell>
          <cell r="G69">
            <v>26</v>
          </cell>
          <cell r="H69">
            <v>45730.785601851851</v>
          </cell>
          <cell r="I69" t="str">
            <v>PORTAVINO TUNUYAN</v>
          </cell>
          <cell r="J69">
            <v>45734</v>
          </cell>
          <cell r="K69">
            <v>45734</v>
          </cell>
          <cell r="M69">
            <v>45</v>
          </cell>
          <cell r="N69" t="str">
            <v>M167</v>
          </cell>
          <cell r="O69" t="str">
            <v>VAR0000030</v>
          </cell>
          <cell r="P69">
            <v>0.03</v>
          </cell>
          <cell r="Q69" t="str">
            <v>AV170134014</v>
          </cell>
          <cell r="R69">
            <v>0</v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 t="str">
            <v/>
          </cell>
          <cell r="AH69" t="str">
            <v/>
          </cell>
          <cell r="AI69" t="str">
            <v/>
          </cell>
          <cell r="AJ69" t="str">
            <v/>
          </cell>
          <cell r="AK69" t="str">
            <v/>
          </cell>
          <cell r="AL69" t="str">
            <v/>
          </cell>
          <cell r="AM69" t="str">
            <v/>
          </cell>
          <cell r="AN69" t="str">
            <v/>
          </cell>
          <cell r="AO69" t="str">
            <v/>
          </cell>
          <cell r="AP69" t="str">
            <v/>
          </cell>
          <cell r="AQ69" t="str">
            <v/>
          </cell>
          <cell r="AR69" t="str">
            <v/>
          </cell>
          <cell r="AS69" t="str">
            <v xml:space="preserve"> PEGAR ETIQUETA DE CUERO AL FRENTE   </v>
          </cell>
          <cell r="AT69" t="str">
            <v>HILO AL TONO CON HILO GRUESO N 20</v>
          </cell>
          <cell r="AU69" t="str">
            <v/>
          </cell>
          <cell r="AV69" t="str">
            <v/>
          </cell>
          <cell r="AW69" t="str">
            <v>GRABADO ETIQUETA 7,5CM X 5,5 CM  "EL LUCERO HIGH QUALITY GOODS"</v>
          </cell>
          <cell r="AX69" t="str">
            <v>AZUL_GAMUZA_TABACO</v>
          </cell>
          <cell r="AY69" t="str">
            <v>NAPOLITANA-CUERO GAMUZA</v>
          </cell>
          <cell r="AZ69" t="str">
            <v>CUE0000038</v>
          </cell>
          <cell r="BA69">
            <v>0.5</v>
          </cell>
          <cell r="BB69" t="str">
            <v>CUE0000012</v>
          </cell>
          <cell r="BC69">
            <v>0.1</v>
          </cell>
          <cell r="BD69" t="str">
            <v>FOR0000021</v>
          </cell>
          <cell r="BE69">
            <v>0.03</v>
          </cell>
          <cell r="BF69" t="str">
            <v>AV1401254360</v>
          </cell>
          <cell r="BG69">
            <v>0</v>
          </cell>
          <cell r="BH69" t="str">
            <v/>
          </cell>
          <cell r="BI69" t="str">
            <v/>
          </cell>
          <cell r="BJ69" t="str">
            <v/>
          </cell>
          <cell r="BK69" t="str">
            <v/>
          </cell>
          <cell r="BL69" t="str">
            <v/>
          </cell>
          <cell r="BM69" t="str">
            <v/>
          </cell>
          <cell r="BN69" t="str">
            <v/>
          </cell>
          <cell r="BO69" t="str">
            <v/>
          </cell>
          <cell r="BP69" t="str">
            <v/>
          </cell>
          <cell r="BQ69" t="str">
            <v/>
          </cell>
          <cell r="BR69" t="str">
            <v>OLIVA_GAMUZA_TABACO</v>
          </cell>
          <cell r="BS69" t="str">
            <v>NAPOLITANA-CUERO GAMUZA</v>
          </cell>
          <cell r="BT69" t="str">
            <v>CUE0000047</v>
          </cell>
          <cell r="BU69">
            <v>0.5</v>
          </cell>
          <cell r="BV69" t="str">
            <v>CUE0000012</v>
          </cell>
          <cell r="BW69">
            <v>0.1</v>
          </cell>
          <cell r="BX69" t="str">
            <v>FOR0000021</v>
          </cell>
          <cell r="BY69">
            <v>0.03</v>
          </cell>
          <cell r="BZ69" t="str">
            <v>HIL0000001</v>
          </cell>
          <cell r="CA69">
            <v>0</v>
          </cell>
          <cell r="CB69" t="str">
            <v/>
          </cell>
          <cell r="CC69" t="str">
            <v/>
          </cell>
          <cell r="CD69" t="str">
            <v/>
          </cell>
          <cell r="CE69" t="str">
            <v/>
          </cell>
          <cell r="CF69" t="str">
            <v/>
          </cell>
          <cell r="CG69" t="str">
            <v/>
          </cell>
          <cell r="CH69" t="str">
            <v/>
          </cell>
          <cell r="CI69" t="str">
            <v/>
          </cell>
          <cell r="CJ69" t="str">
            <v/>
          </cell>
          <cell r="CK69" t="str">
            <v/>
          </cell>
          <cell r="CL69" t="str">
            <v>VESUBIO_GAMUZA_TABACO</v>
          </cell>
          <cell r="CM69" t="str">
            <v>NAPOLITANA-CUERO GAMUZA</v>
          </cell>
          <cell r="CN69" t="str">
            <v>CUE0000053</v>
          </cell>
          <cell r="CO69">
            <v>0.5</v>
          </cell>
          <cell r="CP69" t="str">
            <v>CUE0000012</v>
          </cell>
          <cell r="CQ69">
            <v>0.1</v>
          </cell>
          <cell r="CR69" t="str">
            <v>FOR0000021</v>
          </cell>
          <cell r="CS69">
            <v>0.03</v>
          </cell>
          <cell r="CT69" t="str">
            <v>HIL0000002</v>
          </cell>
          <cell r="CU69">
            <v>0</v>
          </cell>
          <cell r="CV69" t="str">
            <v/>
          </cell>
          <cell r="CW69" t="str">
            <v/>
          </cell>
          <cell r="CX69" t="str">
            <v/>
          </cell>
          <cell r="CY69" t="str">
            <v/>
          </cell>
          <cell r="CZ69" t="str">
            <v/>
          </cell>
          <cell r="DA69" t="str">
            <v/>
          </cell>
          <cell r="DB69" t="str">
            <v/>
          </cell>
          <cell r="DC69" t="str">
            <v/>
          </cell>
          <cell r="DD69" t="str">
            <v/>
          </cell>
          <cell r="DE69" t="str">
            <v/>
          </cell>
          <cell r="DF69" t="str">
            <v/>
          </cell>
          <cell r="DG69" t="str">
            <v/>
          </cell>
          <cell r="DH69" t="str">
            <v/>
          </cell>
          <cell r="DI69" t="str">
            <v/>
          </cell>
          <cell r="DJ69" t="str">
            <v/>
          </cell>
          <cell r="DK69" t="str">
            <v/>
          </cell>
          <cell r="DL69" t="str">
            <v/>
          </cell>
          <cell r="DM69" t="str">
            <v/>
          </cell>
          <cell r="DN69" t="str">
            <v/>
          </cell>
          <cell r="DO69" t="str">
            <v/>
          </cell>
          <cell r="DP69" t="str">
            <v/>
          </cell>
          <cell r="DQ69" t="str">
            <v/>
          </cell>
          <cell r="DR69" t="str">
            <v/>
          </cell>
          <cell r="DS69" t="str">
            <v/>
          </cell>
          <cell r="DT69" t="str">
            <v/>
          </cell>
          <cell r="DU69" t="str">
            <v/>
          </cell>
          <cell r="DV69" t="str">
            <v/>
          </cell>
          <cell r="DW69" t="str">
            <v/>
          </cell>
          <cell r="DX69" t="str">
            <v/>
          </cell>
          <cell r="DY69" t="str">
            <v/>
          </cell>
          <cell r="DZ69" t="str">
            <v/>
          </cell>
          <cell r="EA69" t="str">
            <v/>
          </cell>
          <cell r="EB69" t="str">
            <v/>
          </cell>
          <cell r="EC69" t="str">
            <v/>
          </cell>
          <cell r="ED69" t="str">
            <v/>
          </cell>
          <cell r="EE69" t="str">
            <v/>
          </cell>
          <cell r="EF69" t="str">
            <v/>
          </cell>
          <cell r="EG69" t="str">
            <v/>
          </cell>
          <cell r="EH69" t="str">
            <v/>
          </cell>
          <cell r="EI69" t="str">
            <v/>
          </cell>
          <cell r="EJ69" t="str">
            <v/>
          </cell>
          <cell r="EK69" t="str">
            <v/>
          </cell>
          <cell r="EL69" t="str">
            <v/>
          </cell>
          <cell r="EM69" t="str">
            <v/>
          </cell>
          <cell r="EN69" t="str">
            <v/>
          </cell>
          <cell r="EO69" t="str">
            <v/>
          </cell>
          <cell r="EP69" t="str">
            <v/>
          </cell>
          <cell r="EQ69" t="str">
            <v/>
          </cell>
          <cell r="ER69" t="str">
            <v/>
          </cell>
          <cell r="ES69" t="str">
            <v/>
          </cell>
          <cell r="ET69" t="str">
            <v/>
          </cell>
          <cell r="EU69" t="str">
            <v/>
          </cell>
          <cell r="EV69" t="str">
            <v/>
          </cell>
          <cell r="EW69" t="str">
            <v/>
          </cell>
          <cell r="EX69" t="str">
            <v/>
          </cell>
          <cell r="EY69" t="str">
            <v/>
          </cell>
          <cell r="EZ69" t="str">
            <v/>
          </cell>
          <cell r="FA69" t="str">
            <v/>
          </cell>
          <cell r="FB69" t="str">
            <v/>
          </cell>
          <cell r="FC69" t="str">
            <v/>
          </cell>
          <cell r="FD69" t="str">
            <v/>
          </cell>
          <cell r="FE69" t="str">
            <v/>
          </cell>
          <cell r="FF69" t="str">
            <v/>
          </cell>
          <cell r="FG69" t="str">
            <v/>
          </cell>
          <cell r="FH69" t="str">
            <v/>
          </cell>
          <cell r="FI69" t="str">
            <v/>
          </cell>
          <cell r="FJ69" t="str">
            <v/>
          </cell>
          <cell r="FK69" t="str">
            <v/>
          </cell>
          <cell r="FL69" t="str">
            <v/>
          </cell>
          <cell r="FM69" t="str">
            <v/>
          </cell>
          <cell r="FN69" t="str">
            <v/>
          </cell>
          <cell r="FO69" t="str">
            <v/>
          </cell>
          <cell r="FP69" t="str">
            <v/>
          </cell>
          <cell r="FQ69" t="str">
            <v/>
          </cell>
          <cell r="FR69" t="str">
            <v/>
          </cell>
          <cell r="FS69" t="str">
            <v/>
          </cell>
          <cell r="FT69" t="str">
            <v/>
          </cell>
          <cell r="FU69" t="str">
            <v/>
          </cell>
          <cell r="FV69" t="str">
            <v/>
          </cell>
          <cell r="FW69" t="str">
            <v/>
          </cell>
          <cell r="FX69" t="str">
            <v/>
          </cell>
          <cell r="FY69" t="str">
            <v/>
          </cell>
          <cell r="FZ69" t="str">
            <v/>
          </cell>
          <cell r="GA69" t="str">
            <v/>
          </cell>
          <cell r="GB69" t="str">
            <v/>
          </cell>
          <cell r="GC69" t="str">
            <v/>
          </cell>
          <cell r="GD69" t="str">
            <v/>
          </cell>
          <cell r="GE69" t="str">
            <v/>
          </cell>
          <cell r="GF69" t="str">
            <v/>
          </cell>
          <cell r="GG69" t="str">
            <v/>
          </cell>
          <cell r="GH69" t="str">
            <v/>
          </cell>
          <cell r="GI69" t="str">
            <v/>
          </cell>
          <cell r="GJ69" t="str">
            <v/>
          </cell>
          <cell r="GK69" t="str">
            <v/>
          </cell>
          <cell r="GL69" t="str">
            <v/>
          </cell>
          <cell r="GM69" t="str">
            <v/>
          </cell>
          <cell r="GN69" t="str">
            <v/>
          </cell>
          <cell r="GO69" t="str">
            <v/>
          </cell>
          <cell r="GP69" t="str">
            <v/>
          </cell>
          <cell r="GQ69" t="str">
            <v/>
          </cell>
          <cell r="GR69" t="str">
            <v/>
          </cell>
          <cell r="GS69" t="str">
            <v/>
          </cell>
          <cell r="GT69" t="str">
            <v/>
          </cell>
          <cell r="GU69" t="str">
            <v/>
          </cell>
          <cell r="GV69" t="str">
            <v/>
          </cell>
          <cell r="GW69" t="str">
            <v/>
          </cell>
          <cell r="GX69" t="str">
            <v/>
          </cell>
          <cell r="GY69" t="str">
            <v/>
          </cell>
          <cell r="GZ69" t="str">
            <v/>
          </cell>
          <cell r="HA69" t="str">
            <v/>
          </cell>
          <cell r="HB69" t="str">
            <v/>
          </cell>
          <cell r="HC69" t="str">
            <v/>
          </cell>
          <cell r="HD69" t="str">
            <v/>
          </cell>
          <cell r="HE69" t="str">
            <v/>
          </cell>
          <cell r="HF69" t="str">
            <v/>
          </cell>
          <cell r="HG69" t="str">
            <v/>
          </cell>
          <cell r="HH69" t="str">
            <v/>
          </cell>
          <cell r="HI69" t="str">
            <v/>
          </cell>
          <cell r="HJ69" t="str">
            <v/>
          </cell>
          <cell r="HK69" t="str">
            <v/>
          </cell>
          <cell r="HL69" t="str">
            <v/>
          </cell>
          <cell r="HM69" t="str">
            <v/>
          </cell>
          <cell r="HN69" t="str">
            <v/>
          </cell>
          <cell r="HO69" t="str">
            <v/>
          </cell>
          <cell r="HP69" t="str">
            <v/>
          </cell>
          <cell r="HQ69" t="str">
            <v/>
          </cell>
          <cell r="HR69" t="str">
            <v/>
          </cell>
          <cell r="HS69" t="str">
            <v/>
          </cell>
          <cell r="HT69" t="str">
            <v/>
          </cell>
          <cell r="HU69" t="str">
            <v/>
          </cell>
          <cell r="HV69" t="str">
            <v/>
          </cell>
          <cell r="HW69" t="str">
            <v/>
          </cell>
          <cell r="HX69" t="str">
            <v/>
          </cell>
          <cell r="HY69" t="str">
            <v/>
          </cell>
          <cell r="HZ69" t="str">
            <v/>
          </cell>
          <cell r="IA69" t="str">
            <v/>
          </cell>
          <cell r="IB69" t="str">
            <v/>
          </cell>
          <cell r="IC69" t="str">
            <v/>
          </cell>
          <cell r="ID69" t="str">
            <v/>
          </cell>
          <cell r="IE69" t="str">
            <v/>
          </cell>
          <cell r="IF69" t="str">
            <v/>
          </cell>
          <cell r="IG69" t="str">
            <v/>
          </cell>
          <cell r="IH69" t="str">
            <v/>
          </cell>
          <cell r="II69" t="str">
            <v/>
          </cell>
          <cell r="IJ69" t="str">
            <v/>
          </cell>
          <cell r="IK69" t="str">
            <v/>
          </cell>
          <cell r="IL69" t="str">
            <v/>
          </cell>
          <cell r="IM69" t="str">
            <v/>
          </cell>
          <cell r="IN69" t="str">
            <v/>
          </cell>
          <cell r="IO69" t="str">
            <v/>
          </cell>
          <cell r="IP69" t="str">
            <v/>
          </cell>
          <cell r="IQ69" t="str">
            <v/>
          </cell>
          <cell r="IR69" t="str">
            <v/>
          </cell>
          <cell r="IS69" t="str">
            <v/>
          </cell>
          <cell r="IT69" t="str">
            <v/>
          </cell>
          <cell r="IU69" t="str">
            <v/>
          </cell>
          <cell r="IV69" t="str">
            <v/>
          </cell>
          <cell r="IW69" t="str">
            <v/>
          </cell>
          <cell r="IX69" t="str">
            <v/>
          </cell>
          <cell r="IY69" t="str">
            <v/>
          </cell>
          <cell r="IZ69" t="str">
            <v/>
          </cell>
          <cell r="JA69" t="str">
            <v/>
          </cell>
          <cell r="JB69" t="str">
            <v/>
          </cell>
          <cell r="JC69" t="str">
            <v/>
          </cell>
          <cell r="JD69" t="str">
            <v/>
          </cell>
          <cell r="JE69" t="str">
            <v/>
          </cell>
          <cell r="JF69" t="str">
            <v/>
          </cell>
          <cell r="JG69" t="str">
            <v/>
          </cell>
          <cell r="JH69" t="str">
            <v/>
          </cell>
          <cell r="JI69" t="str">
            <v/>
          </cell>
          <cell r="JJ69" t="str">
            <v/>
          </cell>
          <cell r="JK69" t="str">
            <v/>
          </cell>
          <cell r="JL69" t="str">
            <v/>
          </cell>
          <cell r="JM69" t="str">
            <v/>
          </cell>
          <cell r="JN69" t="str">
            <v/>
          </cell>
          <cell r="JO69" t="str">
            <v/>
          </cell>
          <cell r="JP69" t="str">
            <v/>
          </cell>
          <cell r="JQ69" t="str">
            <v/>
          </cell>
          <cell r="JR69" t="str">
            <v/>
          </cell>
          <cell r="JS69" t="str">
            <v/>
          </cell>
          <cell r="JT69" t="str">
            <v/>
          </cell>
          <cell r="JU69" t="str">
            <v/>
          </cell>
          <cell r="JV69" t="str">
            <v/>
          </cell>
          <cell r="JW69" t="str">
            <v/>
          </cell>
          <cell r="JX69" t="str">
            <v/>
          </cell>
          <cell r="JY69" t="str">
            <v/>
          </cell>
          <cell r="JZ69" t="str">
            <v/>
          </cell>
          <cell r="KA69" t="str">
            <v/>
          </cell>
          <cell r="KB69" t="str">
            <v/>
          </cell>
          <cell r="KC69" t="str">
            <v/>
          </cell>
          <cell r="KD69">
            <v>8</v>
          </cell>
          <cell r="KE69">
            <v>8</v>
          </cell>
          <cell r="KF69">
            <v>8</v>
          </cell>
          <cell r="KG69">
            <v>10</v>
          </cell>
          <cell r="KH69">
            <v>10</v>
          </cell>
          <cell r="KI69">
            <v>10</v>
          </cell>
          <cell r="KJ69">
            <v>8</v>
          </cell>
          <cell r="KK69">
            <v>8</v>
          </cell>
          <cell r="KL69">
            <v>8</v>
          </cell>
          <cell r="KM69">
            <v>0</v>
          </cell>
          <cell r="KP69">
            <v>0</v>
          </cell>
          <cell r="KS69">
            <v>0</v>
          </cell>
          <cell r="KV69">
            <v>0</v>
          </cell>
          <cell r="KY69">
            <v>0</v>
          </cell>
          <cell r="LB69">
            <v>0</v>
          </cell>
          <cell r="LE69">
            <v>0</v>
          </cell>
          <cell r="LH69">
            <v>0</v>
          </cell>
          <cell r="LK69">
            <v>0</v>
          </cell>
          <cell r="LO69">
            <v>45742</v>
          </cell>
          <cell r="LP69" t="str">
            <v>COMPLETADO</v>
          </cell>
        </row>
        <row r="70">
          <cell r="A70">
            <v>1688</v>
          </cell>
          <cell r="B70" t="str">
            <v>RUBEN</v>
          </cell>
          <cell r="C70" t="str">
            <v>BARRACAS GRANDE</v>
          </cell>
          <cell r="D70" t="str">
            <v>MARROQUINERIA GRANDE</v>
          </cell>
          <cell r="E70">
            <v>18</v>
          </cell>
          <cell r="F70">
            <v>0</v>
          </cell>
          <cell r="G70">
            <v>0</v>
          </cell>
          <cell r="H70">
            <v>45734.58662037037</v>
          </cell>
          <cell r="I70" t="str">
            <v>CARTERA AMARILLA C/ CIERRE</v>
          </cell>
          <cell r="M70">
            <v>40</v>
          </cell>
          <cell r="N70" t="str">
            <v>M035</v>
          </cell>
          <cell r="O70" t="str">
            <v>AV0101030201</v>
          </cell>
          <cell r="P70">
            <v>1</v>
          </cell>
          <cell r="Q70" t="str">
            <v>AV1000380101</v>
          </cell>
          <cell r="R70">
            <v>3</v>
          </cell>
          <cell r="S70" t="str">
            <v>AV0600550101</v>
          </cell>
          <cell r="T70">
            <v>1</v>
          </cell>
          <cell r="U70" t="str">
            <v>AV0300400101</v>
          </cell>
          <cell r="V70">
            <v>1</v>
          </cell>
          <cell r="W70" t="str">
            <v>AV0300390101</v>
          </cell>
          <cell r="X70">
            <v>1</v>
          </cell>
          <cell r="Y70" t="str">
            <v>AV170129018</v>
          </cell>
          <cell r="Z70">
            <v>0</v>
          </cell>
          <cell r="AA70" t="str">
            <v/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 t="str">
            <v/>
          </cell>
          <cell r="AH70" t="str">
            <v/>
          </cell>
          <cell r="AI70" t="str">
            <v/>
          </cell>
          <cell r="AJ70" t="str">
            <v/>
          </cell>
          <cell r="AK70" t="str">
            <v/>
          </cell>
          <cell r="AL70" t="str">
            <v/>
          </cell>
          <cell r="AM70" t="str">
            <v/>
          </cell>
          <cell r="AN70" t="str">
            <v/>
          </cell>
          <cell r="AO70" t="str">
            <v/>
          </cell>
          <cell r="AP70" t="str">
            <v/>
          </cell>
          <cell r="AQ70" t="str">
            <v/>
          </cell>
          <cell r="AR70" t="str">
            <v/>
          </cell>
          <cell r="AS70" t="str">
            <v>TIRACIERRE 1 : ARGOLLITA CON TIRA DE CUERO + REMACHE + GRABADO ESTRELLA</v>
          </cell>
          <cell r="AT70" t="str">
            <v/>
          </cell>
          <cell r="AU70" t="str">
            <v/>
          </cell>
          <cell r="AV70" t="str">
            <v/>
          </cell>
          <cell r="AW70" t="str">
            <v xml:space="preserve">GRABADO "EL LUCERO" GRANDE - CENTRADO EN ESPALDA A 3 CM DESDE EL BORDE SUPERIOR  </v>
          </cell>
          <cell r="AX70" t="str">
            <v>PELO_HOLANDO</v>
          </cell>
          <cell r="AY70" t="str">
            <v>LEDER-PELO</v>
          </cell>
          <cell r="AZ70" t="str">
            <v>CUE0000116</v>
          </cell>
          <cell r="BA70">
            <v>0.55000000000000004</v>
          </cell>
          <cell r="BB70" t="str">
            <v>CUE0000009</v>
          </cell>
          <cell r="BC70">
            <v>0.06</v>
          </cell>
          <cell r="BD70" t="str">
            <v>AV1401244040</v>
          </cell>
          <cell r="BE70">
            <v>0</v>
          </cell>
          <cell r="BF70" t="str">
            <v>FOR0000021</v>
          </cell>
          <cell r="BG70">
            <v>0.1</v>
          </cell>
          <cell r="BH70" t="str">
            <v>AV0100010203</v>
          </cell>
          <cell r="BI70">
            <v>0.23</v>
          </cell>
          <cell r="BJ70" t="str">
            <v>AV1801610526</v>
          </cell>
          <cell r="BK70">
            <v>0</v>
          </cell>
          <cell r="BL70" t="str">
            <v/>
          </cell>
          <cell r="BM70" t="str">
            <v/>
          </cell>
          <cell r="BN70" t="str">
            <v/>
          </cell>
          <cell r="BO70" t="str">
            <v/>
          </cell>
          <cell r="BP70" t="str">
            <v/>
          </cell>
          <cell r="BQ70" t="str">
            <v/>
          </cell>
          <cell r="BR70" t="str">
            <v>PELO_HEREFORD</v>
          </cell>
          <cell r="BS70" t="str">
            <v>LEDER-PELO</v>
          </cell>
          <cell r="BT70" t="str">
            <v>CUE0000117</v>
          </cell>
          <cell r="BU70">
            <v>0.55000000000000004</v>
          </cell>
          <cell r="BV70" t="str">
            <v>CUE0000012</v>
          </cell>
          <cell r="BW70">
            <v>0.06</v>
          </cell>
          <cell r="BX70" t="str">
            <v>AV1401240545</v>
          </cell>
          <cell r="BY70">
            <v>0</v>
          </cell>
          <cell r="BZ70" t="str">
            <v>FOR0000020</v>
          </cell>
          <cell r="CA70">
            <v>0.1</v>
          </cell>
          <cell r="CB70" t="str">
            <v>AV0100010214</v>
          </cell>
          <cell r="CC70">
            <v>0.23</v>
          </cell>
          <cell r="CD70" t="str">
            <v>AV1801610538</v>
          </cell>
          <cell r="CE70">
            <v>0</v>
          </cell>
          <cell r="CF70" t="str">
            <v/>
          </cell>
          <cell r="CG70" t="str">
            <v/>
          </cell>
          <cell r="CH70" t="str">
            <v/>
          </cell>
          <cell r="CI70" t="str">
            <v/>
          </cell>
          <cell r="CJ70" t="str">
            <v/>
          </cell>
          <cell r="CK70" t="str">
            <v/>
          </cell>
          <cell r="CL70" t="str">
            <v/>
          </cell>
          <cell r="CM70" t="str">
            <v/>
          </cell>
          <cell r="CN70" t="str">
            <v/>
          </cell>
          <cell r="CO70" t="str">
            <v/>
          </cell>
          <cell r="CP70" t="str">
            <v/>
          </cell>
          <cell r="CQ70" t="str">
            <v/>
          </cell>
          <cell r="CR70" t="str">
            <v/>
          </cell>
          <cell r="CS70" t="str">
            <v/>
          </cell>
          <cell r="CT70" t="str">
            <v/>
          </cell>
          <cell r="CU70" t="str">
            <v/>
          </cell>
          <cell r="CV70" t="str">
            <v/>
          </cell>
          <cell r="CW70" t="str">
            <v/>
          </cell>
          <cell r="CX70" t="str">
            <v/>
          </cell>
          <cell r="CY70" t="str">
            <v/>
          </cell>
          <cell r="CZ70" t="str">
            <v/>
          </cell>
          <cell r="DA70" t="str">
            <v/>
          </cell>
          <cell r="DB70" t="str">
            <v/>
          </cell>
          <cell r="DC70" t="str">
            <v/>
          </cell>
          <cell r="DD70" t="str">
            <v/>
          </cell>
          <cell r="DE70" t="str">
            <v/>
          </cell>
          <cell r="DF70" t="str">
            <v/>
          </cell>
          <cell r="DG70" t="str">
            <v/>
          </cell>
          <cell r="DH70" t="str">
            <v/>
          </cell>
          <cell r="DI70" t="str">
            <v/>
          </cell>
          <cell r="DJ70" t="str">
            <v/>
          </cell>
          <cell r="DK70" t="str">
            <v/>
          </cell>
          <cell r="DL70" t="str">
            <v/>
          </cell>
          <cell r="DM70" t="str">
            <v/>
          </cell>
          <cell r="DN70" t="str">
            <v/>
          </cell>
          <cell r="DO70" t="str">
            <v/>
          </cell>
          <cell r="DP70" t="str">
            <v/>
          </cell>
          <cell r="DQ70" t="str">
            <v/>
          </cell>
          <cell r="DR70" t="str">
            <v/>
          </cell>
          <cell r="DS70" t="str">
            <v/>
          </cell>
          <cell r="DT70" t="str">
            <v/>
          </cell>
          <cell r="DU70" t="str">
            <v/>
          </cell>
          <cell r="DV70" t="str">
            <v/>
          </cell>
          <cell r="DW70" t="str">
            <v/>
          </cell>
          <cell r="DX70" t="str">
            <v/>
          </cell>
          <cell r="DY70" t="str">
            <v/>
          </cell>
          <cell r="DZ70" t="str">
            <v/>
          </cell>
          <cell r="EA70" t="str">
            <v/>
          </cell>
          <cell r="EB70" t="str">
            <v/>
          </cell>
          <cell r="EC70" t="str">
            <v/>
          </cell>
          <cell r="ED70" t="str">
            <v/>
          </cell>
          <cell r="EE70" t="str">
            <v/>
          </cell>
          <cell r="EF70" t="str">
            <v/>
          </cell>
          <cell r="EG70" t="str">
            <v/>
          </cell>
          <cell r="EH70" t="str">
            <v/>
          </cell>
          <cell r="EI70" t="str">
            <v/>
          </cell>
          <cell r="EJ70" t="str">
            <v/>
          </cell>
          <cell r="EK70" t="str">
            <v/>
          </cell>
          <cell r="EL70" t="str">
            <v/>
          </cell>
          <cell r="EM70" t="str">
            <v/>
          </cell>
          <cell r="EN70" t="str">
            <v/>
          </cell>
          <cell r="EO70" t="str">
            <v/>
          </cell>
          <cell r="EP70" t="str">
            <v/>
          </cell>
          <cell r="EQ70" t="str">
            <v/>
          </cell>
          <cell r="ER70" t="str">
            <v/>
          </cell>
          <cell r="ES70" t="str">
            <v/>
          </cell>
          <cell r="ET70" t="str">
            <v/>
          </cell>
          <cell r="EU70" t="str">
            <v/>
          </cell>
          <cell r="EV70" t="str">
            <v/>
          </cell>
          <cell r="EW70" t="str">
            <v/>
          </cell>
          <cell r="EX70" t="str">
            <v/>
          </cell>
          <cell r="EY70" t="str">
            <v/>
          </cell>
          <cell r="EZ70" t="str">
            <v/>
          </cell>
          <cell r="FA70" t="str">
            <v/>
          </cell>
          <cell r="FB70" t="str">
            <v/>
          </cell>
          <cell r="FC70" t="str">
            <v/>
          </cell>
          <cell r="FD70" t="str">
            <v/>
          </cell>
          <cell r="FE70" t="str">
            <v/>
          </cell>
          <cell r="FF70" t="str">
            <v/>
          </cell>
          <cell r="FG70" t="str">
            <v/>
          </cell>
          <cell r="FH70" t="str">
            <v/>
          </cell>
          <cell r="FI70" t="str">
            <v/>
          </cell>
          <cell r="FJ70" t="str">
            <v/>
          </cell>
          <cell r="FK70" t="str">
            <v/>
          </cell>
          <cell r="FL70" t="str">
            <v/>
          </cell>
          <cell r="FM70" t="str">
            <v/>
          </cell>
          <cell r="FN70" t="str">
            <v/>
          </cell>
          <cell r="FO70" t="str">
            <v/>
          </cell>
          <cell r="FP70" t="str">
            <v/>
          </cell>
          <cell r="FQ70" t="str">
            <v/>
          </cell>
          <cell r="FR70" t="str">
            <v/>
          </cell>
          <cell r="FS70" t="str">
            <v/>
          </cell>
          <cell r="FT70" t="str">
            <v/>
          </cell>
          <cell r="FU70" t="str">
            <v/>
          </cell>
          <cell r="FV70" t="str">
            <v/>
          </cell>
          <cell r="FW70" t="str">
            <v/>
          </cell>
          <cell r="FX70" t="str">
            <v/>
          </cell>
          <cell r="FY70" t="str">
            <v/>
          </cell>
          <cell r="FZ70" t="str">
            <v/>
          </cell>
          <cell r="GA70" t="str">
            <v/>
          </cell>
          <cell r="GB70" t="str">
            <v/>
          </cell>
          <cell r="GC70" t="str">
            <v/>
          </cell>
          <cell r="GD70" t="str">
            <v/>
          </cell>
          <cell r="GE70" t="str">
            <v/>
          </cell>
          <cell r="GF70" t="str">
            <v/>
          </cell>
          <cell r="GG70" t="str">
            <v/>
          </cell>
          <cell r="GH70" t="str">
            <v/>
          </cell>
          <cell r="GI70" t="str">
            <v/>
          </cell>
          <cell r="GJ70" t="str">
            <v/>
          </cell>
          <cell r="GK70" t="str">
            <v/>
          </cell>
          <cell r="GL70" t="str">
            <v/>
          </cell>
          <cell r="GM70" t="str">
            <v/>
          </cell>
          <cell r="GN70" t="str">
            <v/>
          </cell>
          <cell r="GO70" t="str">
            <v/>
          </cell>
          <cell r="GP70" t="str">
            <v/>
          </cell>
          <cell r="GQ70" t="str">
            <v/>
          </cell>
          <cell r="GR70" t="str">
            <v/>
          </cell>
          <cell r="GS70" t="str">
            <v/>
          </cell>
          <cell r="GT70" t="str">
            <v/>
          </cell>
          <cell r="GU70" t="str">
            <v/>
          </cell>
          <cell r="GV70" t="str">
            <v/>
          </cell>
          <cell r="GW70" t="str">
            <v/>
          </cell>
          <cell r="GX70" t="str">
            <v/>
          </cell>
          <cell r="GY70" t="str">
            <v/>
          </cell>
          <cell r="GZ70" t="str">
            <v/>
          </cell>
          <cell r="HA70" t="str">
            <v/>
          </cell>
          <cell r="HB70" t="str">
            <v/>
          </cell>
          <cell r="HC70" t="str">
            <v/>
          </cell>
          <cell r="HD70" t="str">
            <v/>
          </cell>
          <cell r="HE70" t="str">
            <v/>
          </cell>
          <cell r="HF70" t="str">
            <v/>
          </cell>
          <cell r="HG70" t="str">
            <v/>
          </cell>
          <cell r="HH70" t="str">
            <v/>
          </cell>
          <cell r="HI70" t="str">
            <v/>
          </cell>
          <cell r="HJ70" t="str">
            <v/>
          </cell>
          <cell r="HK70" t="str">
            <v/>
          </cell>
          <cell r="HL70" t="str">
            <v/>
          </cell>
          <cell r="HM70" t="str">
            <v/>
          </cell>
          <cell r="HN70" t="str">
            <v/>
          </cell>
          <cell r="HO70" t="str">
            <v/>
          </cell>
          <cell r="HP70" t="str">
            <v/>
          </cell>
          <cell r="HQ70" t="str">
            <v/>
          </cell>
          <cell r="HR70" t="str">
            <v/>
          </cell>
          <cell r="HS70" t="str">
            <v/>
          </cell>
          <cell r="HT70" t="str">
            <v/>
          </cell>
          <cell r="HU70" t="str">
            <v/>
          </cell>
          <cell r="HV70" t="str">
            <v/>
          </cell>
          <cell r="HW70" t="str">
            <v/>
          </cell>
          <cell r="HX70" t="str">
            <v/>
          </cell>
          <cell r="HY70" t="str">
            <v/>
          </cell>
          <cell r="HZ70" t="str">
            <v/>
          </cell>
          <cell r="IA70" t="str">
            <v/>
          </cell>
          <cell r="IB70" t="str">
            <v/>
          </cell>
          <cell r="IC70" t="str">
            <v/>
          </cell>
          <cell r="ID70" t="str">
            <v/>
          </cell>
          <cell r="IE70" t="str">
            <v/>
          </cell>
          <cell r="IF70" t="str">
            <v/>
          </cell>
          <cell r="IG70" t="str">
            <v/>
          </cell>
          <cell r="IH70" t="str">
            <v/>
          </cell>
          <cell r="II70" t="str">
            <v/>
          </cell>
          <cell r="IJ70" t="str">
            <v/>
          </cell>
          <cell r="IK70" t="str">
            <v/>
          </cell>
          <cell r="IL70" t="str">
            <v/>
          </cell>
          <cell r="IM70" t="str">
            <v/>
          </cell>
          <cell r="IN70" t="str">
            <v/>
          </cell>
          <cell r="IO70" t="str">
            <v/>
          </cell>
          <cell r="IP70" t="str">
            <v/>
          </cell>
          <cell r="IQ70" t="str">
            <v/>
          </cell>
          <cell r="IR70" t="str">
            <v/>
          </cell>
          <cell r="IS70" t="str">
            <v/>
          </cell>
          <cell r="IT70" t="str">
            <v/>
          </cell>
          <cell r="IU70" t="str">
            <v/>
          </cell>
          <cell r="IV70" t="str">
            <v/>
          </cell>
          <cell r="IW70" t="str">
            <v/>
          </cell>
          <cell r="IX70" t="str">
            <v/>
          </cell>
          <cell r="IY70" t="str">
            <v/>
          </cell>
          <cell r="IZ70" t="str">
            <v/>
          </cell>
          <cell r="JA70" t="str">
            <v/>
          </cell>
          <cell r="JB70" t="str">
            <v/>
          </cell>
          <cell r="JC70" t="str">
            <v/>
          </cell>
          <cell r="JD70" t="str">
            <v/>
          </cell>
          <cell r="JE70" t="str">
            <v/>
          </cell>
          <cell r="JF70" t="str">
            <v/>
          </cell>
          <cell r="JG70" t="str">
            <v/>
          </cell>
          <cell r="JH70" t="str">
            <v/>
          </cell>
          <cell r="JI70" t="str">
            <v/>
          </cell>
          <cell r="JJ70" t="str">
            <v/>
          </cell>
          <cell r="JK70" t="str">
            <v/>
          </cell>
          <cell r="JL70" t="str">
            <v/>
          </cell>
          <cell r="JM70" t="str">
            <v/>
          </cell>
          <cell r="JN70" t="str">
            <v/>
          </cell>
          <cell r="JO70" t="str">
            <v/>
          </cell>
          <cell r="JP70" t="str">
            <v/>
          </cell>
          <cell r="JQ70" t="str">
            <v/>
          </cell>
          <cell r="JR70" t="str">
            <v/>
          </cell>
          <cell r="JS70" t="str">
            <v/>
          </cell>
          <cell r="JT70" t="str">
            <v/>
          </cell>
          <cell r="JU70" t="str">
            <v/>
          </cell>
          <cell r="JV70" t="str">
            <v/>
          </cell>
          <cell r="JW70" t="str">
            <v/>
          </cell>
          <cell r="JX70" t="str">
            <v/>
          </cell>
          <cell r="JY70" t="str">
            <v/>
          </cell>
          <cell r="JZ70" t="str">
            <v/>
          </cell>
          <cell r="KA70" t="str">
            <v/>
          </cell>
          <cell r="KB70" t="str">
            <v/>
          </cell>
          <cell r="KC70" t="str">
            <v/>
          </cell>
          <cell r="KD70">
            <v>9</v>
          </cell>
          <cell r="KG70">
            <v>9</v>
          </cell>
          <cell r="KJ70">
            <v>0</v>
          </cell>
          <cell r="KM70">
            <v>0</v>
          </cell>
          <cell r="KP70">
            <v>0</v>
          </cell>
          <cell r="KS70">
            <v>0</v>
          </cell>
          <cell r="KV70">
            <v>0</v>
          </cell>
          <cell r="KY70">
            <v>0</v>
          </cell>
          <cell r="LB70">
            <v>0</v>
          </cell>
          <cell r="LE70">
            <v>0</v>
          </cell>
          <cell r="LH70">
            <v>0</v>
          </cell>
          <cell r="LK70">
            <v>0</v>
          </cell>
          <cell r="LP70" t="str">
            <v>NO COMENZADO</v>
          </cell>
        </row>
        <row r="71">
          <cell r="A71">
            <v>1691</v>
          </cell>
          <cell r="B71" t="str">
            <v xml:space="preserve"> -----</v>
          </cell>
          <cell r="C71" t="str">
            <v>GABRIEL</v>
          </cell>
          <cell r="D71" t="str">
            <v>MARROQUINERIA CHICA</v>
          </cell>
          <cell r="E71">
            <v>30</v>
          </cell>
          <cell r="F71">
            <v>0</v>
          </cell>
          <cell r="G71">
            <v>0</v>
          </cell>
          <cell r="H71">
            <v>45732.754143518519</v>
          </cell>
          <cell r="I71" t="str">
            <v>TARJETERO HARRY</v>
          </cell>
          <cell r="M71">
            <v>20</v>
          </cell>
          <cell r="N71" t="str">
            <v>M125</v>
          </cell>
          <cell r="O71" t="str">
            <v>AV170134014</v>
          </cell>
          <cell r="P71">
            <v>0</v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 t="str">
            <v/>
          </cell>
          <cell r="AH71" t="str">
            <v/>
          </cell>
          <cell r="AI71" t="str">
            <v/>
          </cell>
          <cell r="AJ71" t="str">
            <v/>
          </cell>
          <cell r="AK71" t="str">
            <v/>
          </cell>
          <cell r="AL71" t="str">
            <v/>
          </cell>
          <cell r="AM71" t="str">
            <v/>
          </cell>
          <cell r="AN71" t="str">
            <v/>
          </cell>
          <cell r="AO71" t="str">
            <v/>
          </cell>
          <cell r="AP71" t="str">
            <v/>
          </cell>
          <cell r="AQ71" t="str">
            <v/>
          </cell>
          <cell r="AR71" t="str">
            <v/>
          </cell>
          <cell r="AS71" t="str">
            <v/>
          </cell>
          <cell r="AT71" t="str">
            <v/>
          </cell>
          <cell r="AU71" t="str">
            <v/>
          </cell>
          <cell r="AV71" t="str">
            <v/>
          </cell>
          <cell r="AW71" t="str">
            <v xml:space="preserve">GRABADO " EL LUCERO ARGENTINA" CHICO ENINTERIOR CENTRADO SOBRE LA DERECHA (VER MUESTRA)   </v>
          </cell>
          <cell r="AX71" t="str">
            <v>CEDRO</v>
          </cell>
          <cell r="AY71" t="str">
            <v>BIANCO-CUERO FIORENTINO</v>
          </cell>
          <cell r="AZ71" t="str">
            <v>CUE0000055</v>
          </cell>
          <cell r="BA71">
            <v>0.05</v>
          </cell>
          <cell r="BB71" t="str">
            <v>FOR0000031</v>
          </cell>
          <cell r="BC71">
            <v>0.02</v>
          </cell>
          <cell r="BD71" t="str">
            <v>FOR0000015</v>
          </cell>
          <cell r="BE71">
            <v>0.05</v>
          </cell>
          <cell r="BF71" t="str">
            <v>AV1401250545</v>
          </cell>
          <cell r="BG71">
            <v>0</v>
          </cell>
          <cell r="BH71" t="str">
            <v/>
          </cell>
          <cell r="BI71" t="str">
            <v/>
          </cell>
          <cell r="BJ71" t="str">
            <v/>
          </cell>
          <cell r="BK71" t="str">
            <v/>
          </cell>
          <cell r="BL71" t="str">
            <v/>
          </cell>
          <cell r="BM71" t="str">
            <v/>
          </cell>
          <cell r="BN71" t="str">
            <v/>
          </cell>
          <cell r="BO71" t="str">
            <v/>
          </cell>
          <cell r="BP71" t="str">
            <v/>
          </cell>
          <cell r="BQ71" t="str">
            <v/>
          </cell>
          <cell r="BR71" t="str">
            <v>VERDE_REVES_VERDE</v>
          </cell>
          <cell r="BS71" t="str">
            <v>BIANCO-CUERO MODENA ESPESOR 1,8</v>
          </cell>
          <cell r="BT71" t="str">
            <v>CUE0000157</v>
          </cell>
          <cell r="BU71">
            <v>0.05</v>
          </cell>
          <cell r="BV71" t="str">
            <v>FOR0000029</v>
          </cell>
          <cell r="BW71">
            <v>0.02</v>
          </cell>
          <cell r="BX71" t="str">
            <v>FOR0000014</v>
          </cell>
          <cell r="BY71">
            <v>0.05</v>
          </cell>
          <cell r="BZ71" t="str">
            <v>AV1401254360</v>
          </cell>
          <cell r="CA71">
            <v>0</v>
          </cell>
          <cell r="CB71" t="str">
            <v/>
          </cell>
          <cell r="CC71" t="str">
            <v/>
          </cell>
          <cell r="CD71" t="str">
            <v/>
          </cell>
          <cell r="CE71" t="str">
            <v/>
          </cell>
          <cell r="CF71" t="str">
            <v/>
          </cell>
          <cell r="CG71" t="str">
            <v/>
          </cell>
          <cell r="CH71" t="str">
            <v/>
          </cell>
          <cell r="CI71" t="str">
            <v/>
          </cell>
          <cell r="CJ71" t="str">
            <v/>
          </cell>
          <cell r="CK71" t="str">
            <v/>
          </cell>
          <cell r="CL71" t="str">
            <v>AZUL_REVES_AZUL</v>
          </cell>
          <cell r="CM71" t="str">
            <v>BIANCO-CUERO MODENA ESPESOR 1,8</v>
          </cell>
          <cell r="CN71" t="str">
            <v>CUE0000156</v>
          </cell>
          <cell r="CO71">
            <v>0.05</v>
          </cell>
          <cell r="CP71" t="str">
            <v>FOR0000029</v>
          </cell>
          <cell r="CQ71">
            <v>0.02</v>
          </cell>
          <cell r="CR71" t="str">
            <v>FOR0000014</v>
          </cell>
          <cell r="CS71">
            <v>0.05</v>
          </cell>
          <cell r="CT71" t="str">
            <v>AV1401254360</v>
          </cell>
          <cell r="CU71">
            <v>0</v>
          </cell>
          <cell r="CV71" t="str">
            <v/>
          </cell>
          <cell r="CW71" t="str">
            <v/>
          </cell>
          <cell r="CX71" t="str">
            <v/>
          </cell>
          <cell r="CY71" t="str">
            <v/>
          </cell>
          <cell r="CZ71" t="str">
            <v/>
          </cell>
          <cell r="DA71" t="str">
            <v/>
          </cell>
          <cell r="DB71" t="str">
            <v/>
          </cell>
          <cell r="DC71" t="str">
            <v/>
          </cell>
          <cell r="DD71" t="str">
            <v/>
          </cell>
          <cell r="DE71" t="str">
            <v/>
          </cell>
          <cell r="DF71" t="str">
            <v/>
          </cell>
          <cell r="DG71" t="str">
            <v/>
          </cell>
          <cell r="DH71" t="str">
            <v/>
          </cell>
          <cell r="DI71" t="str">
            <v/>
          </cell>
          <cell r="DJ71" t="str">
            <v/>
          </cell>
          <cell r="DK71" t="str">
            <v/>
          </cell>
          <cell r="DL71" t="str">
            <v/>
          </cell>
          <cell r="DM71" t="str">
            <v/>
          </cell>
          <cell r="DN71" t="str">
            <v/>
          </cell>
          <cell r="DO71" t="str">
            <v/>
          </cell>
          <cell r="DP71" t="str">
            <v/>
          </cell>
          <cell r="DQ71" t="str">
            <v/>
          </cell>
          <cell r="DR71" t="str">
            <v/>
          </cell>
          <cell r="DS71" t="str">
            <v/>
          </cell>
          <cell r="DT71" t="str">
            <v/>
          </cell>
          <cell r="DU71" t="str">
            <v/>
          </cell>
          <cell r="DV71" t="str">
            <v/>
          </cell>
          <cell r="DW71" t="str">
            <v/>
          </cell>
          <cell r="DX71" t="str">
            <v/>
          </cell>
          <cell r="DY71" t="str">
            <v/>
          </cell>
          <cell r="DZ71" t="str">
            <v/>
          </cell>
          <cell r="EA71" t="str">
            <v/>
          </cell>
          <cell r="EB71" t="str">
            <v/>
          </cell>
          <cell r="EC71" t="str">
            <v/>
          </cell>
          <cell r="ED71" t="str">
            <v/>
          </cell>
          <cell r="EE71" t="str">
            <v/>
          </cell>
          <cell r="EF71" t="str">
            <v/>
          </cell>
          <cell r="EG71" t="str">
            <v/>
          </cell>
          <cell r="EH71" t="str">
            <v/>
          </cell>
          <cell r="EI71" t="str">
            <v/>
          </cell>
          <cell r="EJ71" t="str">
            <v/>
          </cell>
          <cell r="EK71" t="str">
            <v/>
          </cell>
          <cell r="EL71" t="str">
            <v/>
          </cell>
          <cell r="EM71" t="str">
            <v/>
          </cell>
          <cell r="EN71" t="str">
            <v/>
          </cell>
          <cell r="EO71" t="str">
            <v/>
          </cell>
          <cell r="EP71" t="str">
            <v/>
          </cell>
          <cell r="EQ71" t="str">
            <v/>
          </cell>
          <cell r="ER71" t="str">
            <v/>
          </cell>
          <cell r="ES71" t="str">
            <v/>
          </cell>
          <cell r="ET71" t="str">
            <v/>
          </cell>
          <cell r="EU71" t="str">
            <v/>
          </cell>
          <cell r="EV71" t="str">
            <v/>
          </cell>
          <cell r="EW71" t="str">
            <v/>
          </cell>
          <cell r="EX71" t="str">
            <v/>
          </cell>
          <cell r="EY71" t="str">
            <v/>
          </cell>
          <cell r="EZ71" t="str">
            <v/>
          </cell>
          <cell r="FA71" t="str">
            <v/>
          </cell>
          <cell r="FB71" t="str">
            <v/>
          </cell>
          <cell r="FC71" t="str">
            <v/>
          </cell>
          <cell r="FD71" t="str">
            <v/>
          </cell>
          <cell r="FE71" t="str">
            <v/>
          </cell>
          <cell r="FF71" t="str">
            <v/>
          </cell>
          <cell r="FG71" t="str">
            <v/>
          </cell>
          <cell r="FH71" t="str">
            <v/>
          </cell>
          <cell r="FI71" t="str">
            <v/>
          </cell>
          <cell r="FJ71" t="str">
            <v/>
          </cell>
          <cell r="FK71" t="str">
            <v/>
          </cell>
          <cell r="FL71" t="str">
            <v/>
          </cell>
          <cell r="FM71" t="str">
            <v/>
          </cell>
          <cell r="FN71" t="str">
            <v/>
          </cell>
          <cell r="FO71" t="str">
            <v/>
          </cell>
          <cell r="FP71" t="str">
            <v/>
          </cell>
          <cell r="FQ71" t="str">
            <v/>
          </cell>
          <cell r="FR71" t="str">
            <v/>
          </cell>
          <cell r="FS71" t="str">
            <v/>
          </cell>
          <cell r="FT71" t="str">
            <v/>
          </cell>
          <cell r="FU71" t="str">
            <v/>
          </cell>
          <cell r="FV71" t="str">
            <v/>
          </cell>
          <cell r="FW71" t="str">
            <v/>
          </cell>
          <cell r="FX71" t="str">
            <v/>
          </cell>
          <cell r="FY71" t="str">
            <v/>
          </cell>
          <cell r="FZ71" t="str">
            <v/>
          </cell>
          <cell r="GA71" t="str">
            <v/>
          </cell>
          <cell r="GB71" t="str">
            <v/>
          </cell>
          <cell r="GC71" t="str">
            <v/>
          </cell>
          <cell r="GD71" t="str">
            <v/>
          </cell>
          <cell r="GE71" t="str">
            <v/>
          </cell>
          <cell r="GF71" t="str">
            <v/>
          </cell>
          <cell r="GG71" t="str">
            <v/>
          </cell>
          <cell r="GH71" t="str">
            <v/>
          </cell>
          <cell r="GI71" t="str">
            <v/>
          </cell>
          <cell r="GJ71" t="str">
            <v/>
          </cell>
          <cell r="GK71" t="str">
            <v/>
          </cell>
          <cell r="GL71" t="str">
            <v/>
          </cell>
          <cell r="GM71" t="str">
            <v/>
          </cell>
          <cell r="GN71" t="str">
            <v/>
          </cell>
          <cell r="GO71" t="str">
            <v/>
          </cell>
          <cell r="GP71" t="str">
            <v/>
          </cell>
          <cell r="GQ71" t="str">
            <v/>
          </cell>
          <cell r="GR71" t="str">
            <v/>
          </cell>
          <cell r="GS71" t="str">
            <v/>
          </cell>
          <cell r="GT71" t="str">
            <v/>
          </cell>
          <cell r="GU71" t="str">
            <v/>
          </cell>
          <cell r="GV71" t="str">
            <v/>
          </cell>
          <cell r="GW71" t="str">
            <v/>
          </cell>
          <cell r="GX71" t="str">
            <v/>
          </cell>
          <cell r="GY71" t="str">
            <v/>
          </cell>
          <cell r="GZ71" t="str">
            <v/>
          </cell>
          <cell r="HA71" t="str">
            <v/>
          </cell>
          <cell r="HB71" t="str">
            <v/>
          </cell>
          <cell r="HC71" t="str">
            <v/>
          </cell>
          <cell r="HD71" t="str">
            <v/>
          </cell>
          <cell r="HE71" t="str">
            <v/>
          </cell>
          <cell r="HF71" t="str">
            <v/>
          </cell>
          <cell r="HG71" t="str">
            <v/>
          </cell>
          <cell r="HH71" t="str">
            <v/>
          </cell>
          <cell r="HI71" t="str">
            <v/>
          </cell>
          <cell r="HJ71" t="str">
            <v/>
          </cell>
          <cell r="HK71" t="str">
            <v/>
          </cell>
          <cell r="HL71" t="str">
            <v/>
          </cell>
          <cell r="HM71" t="str">
            <v/>
          </cell>
          <cell r="HN71" t="str">
            <v/>
          </cell>
          <cell r="HO71" t="str">
            <v/>
          </cell>
          <cell r="HP71" t="str">
            <v/>
          </cell>
          <cell r="HQ71" t="str">
            <v/>
          </cell>
          <cell r="HR71" t="str">
            <v/>
          </cell>
          <cell r="HS71" t="str">
            <v/>
          </cell>
          <cell r="HT71" t="str">
            <v/>
          </cell>
          <cell r="HU71" t="str">
            <v/>
          </cell>
          <cell r="HV71" t="str">
            <v/>
          </cell>
          <cell r="HW71" t="str">
            <v/>
          </cell>
          <cell r="HX71" t="str">
            <v/>
          </cell>
          <cell r="HY71" t="str">
            <v/>
          </cell>
          <cell r="HZ71" t="str">
            <v/>
          </cell>
          <cell r="IA71" t="str">
            <v/>
          </cell>
          <cell r="IB71" t="str">
            <v/>
          </cell>
          <cell r="IC71" t="str">
            <v/>
          </cell>
          <cell r="ID71" t="str">
            <v/>
          </cell>
          <cell r="IE71" t="str">
            <v/>
          </cell>
          <cell r="IF71" t="str">
            <v/>
          </cell>
          <cell r="IG71" t="str">
            <v/>
          </cell>
          <cell r="IH71" t="str">
            <v/>
          </cell>
          <cell r="II71" t="str">
            <v/>
          </cell>
          <cell r="IJ71" t="str">
            <v/>
          </cell>
          <cell r="IK71" t="str">
            <v/>
          </cell>
          <cell r="IL71" t="str">
            <v/>
          </cell>
          <cell r="IM71" t="str">
            <v/>
          </cell>
          <cell r="IN71" t="str">
            <v/>
          </cell>
          <cell r="IO71" t="str">
            <v/>
          </cell>
          <cell r="IP71" t="str">
            <v/>
          </cell>
          <cell r="IQ71" t="str">
            <v/>
          </cell>
          <cell r="IR71" t="str">
            <v/>
          </cell>
          <cell r="IS71" t="str">
            <v/>
          </cell>
          <cell r="IT71" t="str">
            <v/>
          </cell>
          <cell r="IU71" t="str">
            <v/>
          </cell>
          <cell r="IV71" t="str">
            <v/>
          </cell>
          <cell r="IW71" t="str">
            <v/>
          </cell>
          <cell r="IX71" t="str">
            <v/>
          </cell>
          <cell r="IY71" t="str">
            <v/>
          </cell>
          <cell r="IZ71" t="str">
            <v/>
          </cell>
          <cell r="JA71" t="str">
            <v/>
          </cell>
          <cell r="JB71" t="str">
            <v/>
          </cell>
          <cell r="JC71" t="str">
            <v/>
          </cell>
          <cell r="JD71" t="str">
            <v/>
          </cell>
          <cell r="JE71" t="str">
            <v/>
          </cell>
          <cell r="JF71" t="str">
            <v/>
          </cell>
          <cell r="JG71" t="str">
            <v/>
          </cell>
          <cell r="JH71" t="str">
            <v/>
          </cell>
          <cell r="JI71" t="str">
            <v/>
          </cell>
          <cell r="JJ71" t="str">
            <v/>
          </cell>
          <cell r="JK71" t="str">
            <v/>
          </cell>
          <cell r="JL71" t="str">
            <v/>
          </cell>
          <cell r="JM71" t="str">
            <v/>
          </cell>
          <cell r="JN71" t="str">
            <v/>
          </cell>
          <cell r="JO71" t="str">
            <v/>
          </cell>
          <cell r="JP71" t="str">
            <v/>
          </cell>
          <cell r="JQ71" t="str">
            <v/>
          </cell>
          <cell r="JR71" t="str">
            <v/>
          </cell>
          <cell r="JS71" t="str">
            <v/>
          </cell>
          <cell r="JT71" t="str">
            <v/>
          </cell>
          <cell r="JU71" t="str">
            <v/>
          </cell>
          <cell r="JV71" t="str">
            <v/>
          </cell>
          <cell r="JW71" t="str">
            <v/>
          </cell>
          <cell r="JX71" t="str">
            <v/>
          </cell>
          <cell r="JY71" t="str">
            <v/>
          </cell>
          <cell r="JZ71" t="str">
            <v/>
          </cell>
          <cell r="KA71" t="str">
            <v/>
          </cell>
          <cell r="KB71" t="str">
            <v/>
          </cell>
          <cell r="KC71" t="str">
            <v/>
          </cell>
          <cell r="KD71">
            <v>6</v>
          </cell>
          <cell r="KE71">
            <v>0</v>
          </cell>
          <cell r="KF71">
            <v>0</v>
          </cell>
          <cell r="KG71">
            <v>10</v>
          </cell>
          <cell r="KH71">
            <v>0</v>
          </cell>
          <cell r="KI71">
            <v>0</v>
          </cell>
          <cell r="KJ71">
            <v>14</v>
          </cell>
          <cell r="KK71">
            <v>0</v>
          </cell>
          <cell r="KL71">
            <v>0</v>
          </cell>
          <cell r="KM71">
            <v>0</v>
          </cell>
          <cell r="KP71">
            <v>0</v>
          </cell>
          <cell r="KS71">
            <v>0</v>
          </cell>
          <cell r="KV71">
            <v>0</v>
          </cell>
          <cell r="KY71">
            <v>0</v>
          </cell>
          <cell r="LB71">
            <v>0</v>
          </cell>
          <cell r="LE71">
            <v>0</v>
          </cell>
          <cell r="LH71">
            <v>0</v>
          </cell>
          <cell r="LK71">
            <v>0</v>
          </cell>
          <cell r="LP71" t="str">
            <v>NO COMENZADO</v>
          </cell>
        </row>
        <row r="72">
          <cell r="A72">
            <v>1692</v>
          </cell>
          <cell r="B72" t="str">
            <v xml:space="preserve"> -----</v>
          </cell>
          <cell r="C72" t="str">
            <v>GABRIEL</v>
          </cell>
          <cell r="D72" t="str">
            <v>MARROQUINERIA CHICA</v>
          </cell>
          <cell r="E72">
            <v>18</v>
          </cell>
          <cell r="F72">
            <v>18</v>
          </cell>
          <cell r="G72">
            <v>18</v>
          </cell>
          <cell r="H72">
            <v>45732.763912037037</v>
          </cell>
          <cell r="I72" t="str">
            <v>PORTALENTES ORION</v>
          </cell>
          <cell r="J72">
            <v>45730</v>
          </cell>
          <cell r="K72">
            <v>45730</v>
          </cell>
          <cell r="M72">
            <v>11</v>
          </cell>
          <cell r="N72" t="str">
            <v>M100</v>
          </cell>
          <cell r="O72" t="str">
            <v>AV0101070301</v>
          </cell>
          <cell r="P72">
            <v>1</v>
          </cell>
          <cell r="Q72" t="str">
            <v>AV1001010101</v>
          </cell>
          <cell r="R72">
            <v>1</v>
          </cell>
          <cell r="S72" t="str">
            <v>AV1300130101</v>
          </cell>
          <cell r="T72">
            <v>1</v>
          </cell>
          <cell r="U72" t="str">
            <v>AV170134014</v>
          </cell>
          <cell r="V72">
            <v>0</v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 t="str">
            <v/>
          </cell>
          <cell r="AH72" t="str">
            <v/>
          </cell>
          <cell r="AI72" t="str">
            <v/>
          </cell>
          <cell r="AJ72" t="str">
            <v/>
          </cell>
          <cell r="AK72" t="str">
            <v/>
          </cell>
          <cell r="AL72" t="str">
            <v/>
          </cell>
          <cell r="AM72" t="str">
            <v/>
          </cell>
          <cell r="AN72" t="str">
            <v/>
          </cell>
          <cell r="AO72" t="str">
            <v/>
          </cell>
          <cell r="AP72" t="str">
            <v/>
          </cell>
          <cell r="AQ72" t="str">
            <v/>
          </cell>
          <cell r="AR72" t="str">
            <v/>
          </cell>
          <cell r="AS72" t="str">
            <v>TIRACIERRE N 12 - TIRA FINITA CON REMACHE</v>
          </cell>
          <cell r="AT72" t="str">
            <v/>
          </cell>
          <cell r="AU72" t="str">
            <v/>
          </cell>
          <cell r="AV72" t="str">
            <v/>
          </cell>
          <cell r="AW72" t="str">
            <v xml:space="preserve">GRABADO " EL LUCERO ARG." CHICO EN EL FRENTE CENTRADO, A 1,5 CM DEL BORDE INFERIOR </v>
          </cell>
          <cell r="AX72" t="str">
            <v>CUERO_VINTAGE_MEDIO</v>
          </cell>
          <cell r="AY72" t="str">
            <v>LEDER-CUERO</v>
          </cell>
          <cell r="AZ72" t="str">
            <v>CUE0000100</v>
          </cell>
          <cell r="BA72">
            <v>0.02</v>
          </cell>
          <cell r="BB72" t="str">
            <v>AV0100020305</v>
          </cell>
          <cell r="BC72">
            <v>0.2</v>
          </cell>
          <cell r="BD72" t="str">
            <v>AV1401250545</v>
          </cell>
          <cell r="BE72">
            <v>0</v>
          </cell>
          <cell r="BF72" t="str">
            <v>AV1601300955</v>
          </cell>
          <cell r="BG72">
            <v>0</v>
          </cell>
          <cell r="BH72" t="str">
            <v/>
          </cell>
          <cell r="BI72" t="str">
            <v/>
          </cell>
          <cell r="BJ72" t="str">
            <v/>
          </cell>
          <cell r="BK72" t="str">
            <v/>
          </cell>
          <cell r="BL72" t="str">
            <v/>
          </cell>
          <cell r="BM72" t="str">
            <v/>
          </cell>
          <cell r="BN72" t="str">
            <v/>
          </cell>
          <cell r="BO72" t="str">
            <v/>
          </cell>
          <cell r="BP72" t="str">
            <v/>
          </cell>
          <cell r="BQ72" t="str">
            <v/>
          </cell>
          <cell r="BR72" t="str">
            <v>CUERO_VINTAGE_DARK</v>
          </cell>
          <cell r="BS72" t="str">
            <v>LEDER-CUERO</v>
          </cell>
          <cell r="BT72" t="str">
            <v>CUE0000101</v>
          </cell>
          <cell r="BU72">
            <v>0.02</v>
          </cell>
          <cell r="BV72" t="str">
            <v>AV0100020305</v>
          </cell>
          <cell r="BW72">
            <v>0.2</v>
          </cell>
          <cell r="BX72" t="str">
            <v>AV1401250545</v>
          </cell>
          <cell r="BY72">
            <v>0</v>
          </cell>
          <cell r="BZ72" t="str">
            <v>AV1601300955</v>
          </cell>
          <cell r="CA72">
            <v>0</v>
          </cell>
          <cell r="CB72" t="str">
            <v/>
          </cell>
          <cell r="CC72" t="str">
            <v/>
          </cell>
          <cell r="CD72" t="str">
            <v/>
          </cell>
          <cell r="CE72" t="str">
            <v/>
          </cell>
          <cell r="CF72" t="str">
            <v/>
          </cell>
          <cell r="CG72" t="str">
            <v/>
          </cell>
          <cell r="CH72" t="str">
            <v/>
          </cell>
          <cell r="CI72" t="str">
            <v/>
          </cell>
          <cell r="CJ72" t="str">
            <v/>
          </cell>
          <cell r="CK72" t="str">
            <v/>
          </cell>
          <cell r="CL72" t="str">
            <v/>
          </cell>
          <cell r="CM72" t="str">
            <v/>
          </cell>
          <cell r="CN72" t="str">
            <v/>
          </cell>
          <cell r="CO72" t="str">
            <v/>
          </cell>
          <cell r="CP72" t="str">
            <v/>
          </cell>
          <cell r="CQ72" t="str">
            <v/>
          </cell>
          <cell r="CR72" t="str">
            <v/>
          </cell>
          <cell r="CS72" t="str">
            <v/>
          </cell>
          <cell r="CT72" t="str">
            <v/>
          </cell>
          <cell r="CU72" t="str">
            <v/>
          </cell>
          <cell r="CV72" t="str">
            <v/>
          </cell>
          <cell r="CW72" t="str">
            <v/>
          </cell>
          <cell r="CX72" t="str">
            <v/>
          </cell>
          <cell r="CY72" t="str">
            <v/>
          </cell>
          <cell r="CZ72" t="str">
            <v/>
          </cell>
          <cell r="DA72" t="str">
            <v/>
          </cell>
          <cell r="DB72" t="str">
            <v/>
          </cell>
          <cell r="DC72" t="str">
            <v/>
          </cell>
          <cell r="DD72" t="str">
            <v/>
          </cell>
          <cell r="DE72" t="str">
            <v/>
          </cell>
          <cell r="DF72" t="str">
            <v/>
          </cell>
          <cell r="DG72" t="str">
            <v/>
          </cell>
          <cell r="DH72" t="str">
            <v/>
          </cell>
          <cell r="DI72" t="str">
            <v/>
          </cell>
          <cell r="DJ72" t="str">
            <v/>
          </cell>
          <cell r="DK72" t="str">
            <v/>
          </cell>
          <cell r="DL72" t="str">
            <v/>
          </cell>
          <cell r="DM72" t="str">
            <v/>
          </cell>
          <cell r="DN72" t="str">
            <v/>
          </cell>
          <cell r="DO72" t="str">
            <v/>
          </cell>
          <cell r="DP72" t="str">
            <v/>
          </cell>
          <cell r="DQ72" t="str">
            <v/>
          </cell>
          <cell r="DR72" t="str">
            <v/>
          </cell>
          <cell r="DS72" t="str">
            <v/>
          </cell>
          <cell r="DT72" t="str">
            <v/>
          </cell>
          <cell r="DU72" t="str">
            <v/>
          </cell>
          <cell r="DV72" t="str">
            <v/>
          </cell>
          <cell r="DW72" t="str">
            <v/>
          </cell>
          <cell r="DX72" t="str">
            <v/>
          </cell>
          <cell r="DY72" t="str">
            <v/>
          </cell>
          <cell r="DZ72" t="str">
            <v/>
          </cell>
          <cell r="EA72" t="str">
            <v/>
          </cell>
          <cell r="EB72" t="str">
            <v/>
          </cell>
          <cell r="EC72" t="str">
            <v/>
          </cell>
          <cell r="ED72" t="str">
            <v/>
          </cell>
          <cell r="EE72" t="str">
            <v/>
          </cell>
          <cell r="EF72" t="str">
            <v/>
          </cell>
          <cell r="EG72" t="str">
            <v/>
          </cell>
          <cell r="EH72" t="str">
            <v/>
          </cell>
          <cell r="EI72" t="str">
            <v/>
          </cell>
          <cell r="EJ72" t="str">
            <v/>
          </cell>
          <cell r="EK72" t="str">
            <v/>
          </cell>
          <cell r="EL72" t="str">
            <v/>
          </cell>
          <cell r="EM72" t="str">
            <v/>
          </cell>
          <cell r="EN72" t="str">
            <v/>
          </cell>
          <cell r="EO72" t="str">
            <v/>
          </cell>
          <cell r="EP72" t="str">
            <v/>
          </cell>
          <cell r="EQ72" t="str">
            <v/>
          </cell>
          <cell r="ER72" t="str">
            <v/>
          </cell>
          <cell r="ES72" t="str">
            <v/>
          </cell>
          <cell r="ET72" t="str">
            <v/>
          </cell>
          <cell r="EU72" t="str">
            <v/>
          </cell>
          <cell r="EV72" t="str">
            <v/>
          </cell>
          <cell r="EW72" t="str">
            <v/>
          </cell>
          <cell r="EX72" t="str">
            <v/>
          </cell>
          <cell r="EY72" t="str">
            <v/>
          </cell>
          <cell r="EZ72" t="str">
            <v/>
          </cell>
          <cell r="FA72" t="str">
            <v/>
          </cell>
          <cell r="FB72" t="str">
            <v/>
          </cell>
          <cell r="FC72" t="str">
            <v/>
          </cell>
          <cell r="FD72" t="str">
            <v/>
          </cell>
          <cell r="FE72" t="str">
            <v/>
          </cell>
          <cell r="FF72" t="str">
            <v/>
          </cell>
          <cell r="FG72" t="str">
            <v/>
          </cell>
          <cell r="FH72" t="str">
            <v/>
          </cell>
          <cell r="FI72" t="str">
            <v/>
          </cell>
          <cell r="FJ72" t="str">
            <v/>
          </cell>
          <cell r="FK72" t="str">
            <v/>
          </cell>
          <cell r="FL72" t="str">
            <v/>
          </cell>
          <cell r="FM72" t="str">
            <v/>
          </cell>
          <cell r="FN72" t="str">
            <v/>
          </cell>
          <cell r="FO72" t="str">
            <v/>
          </cell>
          <cell r="FP72" t="str">
            <v/>
          </cell>
          <cell r="FQ72" t="str">
            <v/>
          </cell>
          <cell r="FR72" t="str">
            <v/>
          </cell>
          <cell r="FS72" t="str">
            <v/>
          </cell>
          <cell r="FT72" t="str">
            <v/>
          </cell>
          <cell r="FU72" t="str">
            <v/>
          </cell>
          <cell r="FV72" t="str">
            <v/>
          </cell>
          <cell r="FW72" t="str">
            <v/>
          </cell>
          <cell r="FX72" t="str">
            <v/>
          </cell>
          <cell r="FY72" t="str">
            <v/>
          </cell>
          <cell r="FZ72" t="str">
            <v/>
          </cell>
          <cell r="GA72" t="str">
            <v/>
          </cell>
          <cell r="GB72" t="str">
            <v/>
          </cell>
          <cell r="GC72" t="str">
            <v/>
          </cell>
          <cell r="GD72" t="str">
            <v/>
          </cell>
          <cell r="GE72" t="str">
            <v/>
          </cell>
          <cell r="GF72" t="str">
            <v/>
          </cell>
          <cell r="GG72" t="str">
            <v/>
          </cell>
          <cell r="GH72" t="str">
            <v/>
          </cell>
          <cell r="GI72" t="str">
            <v/>
          </cell>
          <cell r="GJ72" t="str">
            <v/>
          </cell>
          <cell r="GK72" t="str">
            <v/>
          </cell>
          <cell r="GL72" t="str">
            <v/>
          </cell>
          <cell r="GM72" t="str">
            <v/>
          </cell>
          <cell r="GN72" t="str">
            <v/>
          </cell>
          <cell r="GO72" t="str">
            <v/>
          </cell>
          <cell r="GP72" t="str">
            <v/>
          </cell>
          <cell r="GQ72" t="str">
            <v/>
          </cell>
          <cell r="GR72" t="str">
            <v/>
          </cell>
          <cell r="GS72" t="str">
            <v/>
          </cell>
          <cell r="GT72" t="str">
            <v/>
          </cell>
          <cell r="GU72" t="str">
            <v/>
          </cell>
          <cell r="GV72" t="str">
            <v/>
          </cell>
          <cell r="GW72" t="str">
            <v/>
          </cell>
          <cell r="GX72" t="str">
            <v/>
          </cell>
          <cell r="GY72" t="str">
            <v/>
          </cell>
          <cell r="GZ72" t="str">
            <v/>
          </cell>
          <cell r="HA72" t="str">
            <v/>
          </cell>
          <cell r="HB72" t="str">
            <v/>
          </cell>
          <cell r="HC72" t="str">
            <v/>
          </cell>
          <cell r="HD72" t="str">
            <v/>
          </cell>
          <cell r="HE72" t="str">
            <v/>
          </cell>
          <cell r="HF72" t="str">
            <v/>
          </cell>
          <cell r="HG72" t="str">
            <v/>
          </cell>
          <cell r="HH72" t="str">
            <v/>
          </cell>
          <cell r="HI72" t="str">
            <v/>
          </cell>
          <cell r="HJ72" t="str">
            <v/>
          </cell>
          <cell r="HK72" t="str">
            <v/>
          </cell>
          <cell r="HL72" t="str">
            <v/>
          </cell>
          <cell r="HM72" t="str">
            <v/>
          </cell>
          <cell r="HN72" t="str">
            <v/>
          </cell>
          <cell r="HO72" t="str">
            <v/>
          </cell>
          <cell r="HP72" t="str">
            <v/>
          </cell>
          <cell r="HQ72" t="str">
            <v/>
          </cell>
          <cell r="HR72" t="str">
            <v/>
          </cell>
          <cell r="HS72" t="str">
            <v/>
          </cell>
          <cell r="HT72" t="str">
            <v/>
          </cell>
          <cell r="HU72" t="str">
            <v/>
          </cell>
          <cell r="HV72" t="str">
            <v/>
          </cell>
          <cell r="HW72" t="str">
            <v/>
          </cell>
          <cell r="HX72" t="str">
            <v/>
          </cell>
          <cell r="HY72" t="str">
            <v/>
          </cell>
          <cell r="HZ72" t="str">
            <v/>
          </cell>
          <cell r="IA72" t="str">
            <v/>
          </cell>
          <cell r="IB72" t="str">
            <v/>
          </cell>
          <cell r="IC72" t="str">
            <v/>
          </cell>
          <cell r="ID72" t="str">
            <v/>
          </cell>
          <cell r="IE72" t="str">
            <v/>
          </cell>
          <cell r="IF72" t="str">
            <v/>
          </cell>
          <cell r="IG72" t="str">
            <v/>
          </cell>
          <cell r="IH72" t="str">
            <v/>
          </cell>
          <cell r="II72" t="str">
            <v/>
          </cell>
          <cell r="IJ72" t="str">
            <v/>
          </cell>
          <cell r="IK72" t="str">
            <v/>
          </cell>
          <cell r="IL72" t="str">
            <v/>
          </cell>
          <cell r="IM72" t="str">
            <v/>
          </cell>
          <cell r="IN72" t="str">
            <v/>
          </cell>
          <cell r="IO72" t="str">
            <v/>
          </cell>
          <cell r="IP72" t="str">
            <v/>
          </cell>
          <cell r="IQ72" t="str">
            <v/>
          </cell>
          <cell r="IR72" t="str">
            <v/>
          </cell>
          <cell r="IS72" t="str">
            <v/>
          </cell>
          <cell r="IT72" t="str">
            <v/>
          </cell>
          <cell r="IU72" t="str">
            <v/>
          </cell>
          <cell r="IV72" t="str">
            <v/>
          </cell>
          <cell r="IW72" t="str">
            <v/>
          </cell>
          <cell r="IX72" t="str">
            <v/>
          </cell>
          <cell r="IY72" t="str">
            <v/>
          </cell>
          <cell r="IZ72" t="str">
            <v/>
          </cell>
          <cell r="JA72" t="str">
            <v/>
          </cell>
          <cell r="JB72" t="str">
            <v/>
          </cell>
          <cell r="JC72" t="str">
            <v/>
          </cell>
          <cell r="JD72" t="str">
            <v/>
          </cell>
          <cell r="JE72" t="str">
            <v/>
          </cell>
          <cell r="JF72" t="str">
            <v/>
          </cell>
          <cell r="JG72" t="str">
            <v/>
          </cell>
          <cell r="JH72" t="str">
            <v/>
          </cell>
          <cell r="JI72" t="str">
            <v/>
          </cell>
          <cell r="JJ72" t="str">
            <v/>
          </cell>
          <cell r="JK72" t="str">
            <v/>
          </cell>
          <cell r="JL72" t="str">
            <v/>
          </cell>
          <cell r="JM72" t="str">
            <v/>
          </cell>
          <cell r="JN72" t="str">
            <v/>
          </cell>
          <cell r="JO72" t="str">
            <v/>
          </cell>
          <cell r="JP72" t="str">
            <v/>
          </cell>
          <cell r="JQ72" t="str">
            <v/>
          </cell>
          <cell r="JR72" t="str">
            <v/>
          </cell>
          <cell r="JS72" t="str">
            <v/>
          </cell>
          <cell r="JT72" t="str">
            <v/>
          </cell>
          <cell r="JU72" t="str">
            <v/>
          </cell>
          <cell r="JV72" t="str">
            <v/>
          </cell>
          <cell r="JW72" t="str">
            <v/>
          </cell>
          <cell r="JX72" t="str">
            <v/>
          </cell>
          <cell r="JY72" t="str">
            <v/>
          </cell>
          <cell r="JZ72" t="str">
            <v/>
          </cell>
          <cell r="KA72" t="str">
            <v/>
          </cell>
          <cell r="KB72" t="str">
            <v/>
          </cell>
          <cell r="KC72" t="str">
            <v/>
          </cell>
          <cell r="KD72">
            <v>9</v>
          </cell>
          <cell r="KE72">
            <v>9</v>
          </cell>
          <cell r="KF72">
            <v>9</v>
          </cell>
          <cell r="KG72">
            <v>9</v>
          </cell>
          <cell r="KH72">
            <v>9</v>
          </cell>
          <cell r="KI72">
            <v>9</v>
          </cell>
          <cell r="KJ72">
            <v>0</v>
          </cell>
          <cell r="KM72">
            <v>0</v>
          </cell>
          <cell r="KP72">
            <v>0</v>
          </cell>
          <cell r="KS72">
            <v>0</v>
          </cell>
          <cell r="KV72">
            <v>0</v>
          </cell>
          <cell r="KY72">
            <v>0</v>
          </cell>
          <cell r="LB72">
            <v>0</v>
          </cell>
          <cell r="LE72">
            <v>0</v>
          </cell>
          <cell r="LH72">
            <v>0</v>
          </cell>
          <cell r="LK72">
            <v>0</v>
          </cell>
          <cell r="LO72">
            <v>45733</v>
          </cell>
          <cell r="LP72" t="str">
            <v>COMPLETADO</v>
          </cell>
        </row>
        <row r="73">
          <cell r="A73">
            <v>1693</v>
          </cell>
          <cell r="B73" t="str">
            <v>LUCIANO</v>
          </cell>
          <cell r="C73" t="str">
            <v>BARRACAS CHICA</v>
          </cell>
          <cell r="D73" t="str">
            <v>MARROQUINERIA CHICA</v>
          </cell>
          <cell r="E73">
            <v>36</v>
          </cell>
          <cell r="F73">
            <v>36</v>
          </cell>
          <cell r="G73">
            <v>36</v>
          </cell>
          <cell r="H73">
            <v>45734.180023148147</v>
          </cell>
          <cell r="I73" t="str">
            <v>LLAVERO ABC</v>
          </cell>
          <cell r="J73">
            <v>45728</v>
          </cell>
          <cell r="K73">
            <v>45728</v>
          </cell>
          <cell r="M73">
            <v>10</v>
          </cell>
          <cell r="N73" t="str">
            <v>M168</v>
          </cell>
          <cell r="O73" t="str">
            <v>AV0701570101</v>
          </cell>
          <cell r="P73">
            <v>1</v>
          </cell>
          <cell r="Q73" t="str">
            <v>VAR0000040</v>
          </cell>
          <cell r="R73">
            <v>1</v>
          </cell>
          <cell r="S73" t="str">
            <v>AV0400770101</v>
          </cell>
          <cell r="T73">
            <v>1</v>
          </cell>
          <cell r="U73" t="str">
            <v>VAR0000009</v>
          </cell>
          <cell r="V73">
            <v>1</v>
          </cell>
          <cell r="W73" t="str">
            <v>VAR0000041</v>
          </cell>
          <cell r="X73">
            <v>0.02</v>
          </cell>
          <cell r="Y73" t="str">
            <v>BAC1300020827</v>
          </cell>
          <cell r="Z73">
            <v>0.02</v>
          </cell>
          <cell r="AA73" t="str">
            <v/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 t="str">
            <v/>
          </cell>
          <cell r="AH73" t="str">
            <v/>
          </cell>
          <cell r="AI73" t="str">
            <v/>
          </cell>
          <cell r="AJ73" t="str">
            <v/>
          </cell>
          <cell r="AK73" t="str">
            <v/>
          </cell>
          <cell r="AL73" t="str">
            <v/>
          </cell>
          <cell r="AM73" t="str">
            <v/>
          </cell>
          <cell r="AN73" t="str">
            <v/>
          </cell>
          <cell r="AO73" t="str">
            <v/>
          </cell>
          <cell r="AP73" t="str">
            <v/>
          </cell>
          <cell r="AQ73" t="str">
            <v/>
          </cell>
          <cell r="AR73" t="str">
            <v/>
          </cell>
          <cell r="AS73" t="str">
            <v xml:space="preserve"> CON TROQUEL</v>
          </cell>
          <cell r="AT73" t="str">
            <v>CUERO DE RETAZOS</v>
          </cell>
          <cell r="AU73" t="str">
            <v/>
          </cell>
          <cell r="AV73" t="str">
            <v/>
          </cell>
          <cell r="AW73" t="str">
            <v/>
          </cell>
          <cell r="AX73" t="str">
            <v>AZUL_GAMUZA_MALBEC</v>
          </cell>
          <cell r="AY73" t="str">
            <v>NAPOLITANA-CUERO GAMUZA</v>
          </cell>
          <cell r="AZ73" t="str">
            <v>CUE0000038</v>
          </cell>
          <cell r="BA73">
            <v>0.02</v>
          </cell>
          <cell r="BB73" t="str">
            <v>CUE0000008</v>
          </cell>
          <cell r="BC73">
            <v>0.02</v>
          </cell>
          <cell r="BD73" t="str">
            <v/>
          </cell>
          <cell r="BE73" t="str">
            <v/>
          </cell>
          <cell r="BF73" t="str">
            <v/>
          </cell>
          <cell r="BG73" t="str">
            <v/>
          </cell>
          <cell r="BH73" t="str">
            <v/>
          </cell>
          <cell r="BI73" t="str">
            <v/>
          </cell>
          <cell r="BJ73" t="str">
            <v/>
          </cell>
          <cell r="BK73" t="str">
            <v/>
          </cell>
          <cell r="BL73" t="str">
            <v/>
          </cell>
          <cell r="BM73" t="str">
            <v/>
          </cell>
          <cell r="BN73" t="str">
            <v/>
          </cell>
          <cell r="BO73" t="str">
            <v/>
          </cell>
          <cell r="BP73" t="str">
            <v/>
          </cell>
          <cell r="BQ73" t="str">
            <v/>
          </cell>
          <cell r="BR73" t="str">
            <v>AZUL_GAMUZA_MALBEC</v>
          </cell>
          <cell r="BS73" t="str">
            <v>NAPOLITANA-CUERO GAMUZA</v>
          </cell>
          <cell r="BT73" t="str">
            <v>CUE0000038</v>
          </cell>
          <cell r="BU73">
            <v>0.02</v>
          </cell>
          <cell r="BV73" t="str">
            <v>CUE0000008</v>
          </cell>
          <cell r="BW73">
            <v>0.02</v>
          </cell>
          <cell r="BX73" t="str">
            <v/>
          </cell>
          <cell r="BY73" t="str">
            <v/>
          </cell>
          <cell r="BZ73" t="str">
            <v/>
          </cell>
          <cell r="CA73" t="str">
            <v/>
          </cell>
          <cell r="CB73" t="str">
            <v/>
          </cell>
          <cell r="CC73" t="str">
            <v/>
          </cell>
          <cell r="CD73" t="str">
            <v/>
          </cell>
          <cell r="CE73" t="str">
            <v/>
          </cell>
          <cell r="CF73" t="str">
            <v/>
          </cell>
          <cell r="CG73" t="str">
            <v/>
          </cell>
          <cell r="CH73" t="str">
            <v/>
          </cell>
          <cell r="CI73" t="str">
            <v/>
          </cell>
          <cell r="CJ73" t="str">
            <v/>
          </cell>
          <cell r="CK73" t="str">
            <v/>
          </cell>
          <cell r="CL73" t="str">
            <v>SUELA_GAMUZA_OLIVA</v>
          </cell>
          <cell r="CM73" t="str">
            <v>ARENA-CUERO BRIDGE</v>
          </cell>
          <cell r="CN73" t="str">
            <v>CUE0000011</v>
          </cell>
          <cell r="CO73">
            <v>0.02</v>
          </cell>
          <cell r="CP73" t="str">
            <v>CUE0000011</v>
          </cell>
          <cell r="CQ73">
            <v>0.02</v>
          </cell>
          <cell r="CR73" t="str">
            <v/>
          </cell>
          <cell r="CS73" t="str">
            <v/>
          </cell>
          <cell r="CT73" t="str">
            <v/>
          </cell>
          <cell r="CU73" t="str">
            <v/>
          </cell>
          <cell r="CV73" t="str">
            <v/>
          </cell>
          <cell r="CW73" t="str">
            <v/>
          </cell>
          <cell r="CX73" t="str">
            <v/>
          </cell>
          <cell r="CY73" t="str">
            <v/>
          </cell>
          <cell r="CZ73" t="str">
            <v/>
          </cell>
          <cell r="DA73" t="str">
            <v/>
          </cell>
          <cell r="DB73" t="str">
            <v/>
          </cell>
          <cell r="DC73" t="str">
            <v/>
          </cell>
          <cell r="DD73" t="str">
            <v/>
          </cell>
          <cell r="DE73" t="str">
            <v/>
          </cell>
          <cell r="DF73" t="str">
            <v>OXIDO_GAMUZA_NEGRO</v>
          </cell>
          <cell r="DG73" t="str">
            <v>NAPOLITANA-CUERO GAMUZA</v>
          </cell>
          <cell r="DH73" t="str">
            <v>CUE0000048</v>
          </cell>
          <cell r="DI73">
            <v>0.02</v>
          </cell>
          <cell r="DJ73" t="str">
            <v>CUE0000009</v>
          </cell>
          <cell r="DK73">
            <v>0.02</v>
          </cell>
          <cell r="DL73" t="str">
            <v/>
          </cell>
          <cell r="DM73" t="str">
            <v/>
          </cell>
          <cell r="DN73" t="str">
            <v/>
          </cell>
          <cell r="DO73" t="str">
            <v/>
          </cell>
          <cell r="DP73" t="str">
            <v/>
          </cell>
          <cell r="DQ73" t="str">
            <v/>
          </cell>
          <cell r="DR73" t="str">
            <v/>
          </cell>
          <cell r="DS73" t="str">
            <v/>
          </cell>
          <cell r="DT73" t="str">
            <v/>
          </cell>
          <cell r="DU73" t="str">
            <v/>
          </cell>
          <cell r="DV73" t="str">
            <v/>
          </cell>
          <cell r="DW73" t="str">
            <v/>
          </cell>
          <cell r="DX73" t="str">
            <v/>
          </cell>
          <cell r="DY73" t="str">
            <v/>
          </cell>
          <cell r="DZ73" t="str">
            <v>SUELA_GAMUZA_OLIVA</v>
          </cell>
          <cell r="EA73" t="str">
            <v>ARENA-CUERO BRIDGE</v>
          </cell>
          <cell r="EB73" t="str">
            <v>CUE0000011</v>
          </cell>
          <cell r="EC73">
            <v>0.02</v>
          </cell>
          <cell r="ED73" t="str">
            <v>CUE0000011</v>
          </cell>
          <cell r="EE73">
            <v>0.02</v>
          </cell>
          <cell r="EF73" t="str">
            <v/>
          </cell>
          <cell r="EG73" t="str">
            <v/>
          </cell>
          <cell r="EH73" t="str">
            <v/>
          </cell>
          <cell r="EI73" t="str">
            <v/>
          </cell>
          <cell r="EJ73" t="str">
            <v/>
          </cell>
          <cell r="EK73" t="str">
            <v/>
          </cell>
          <cell r="EL73" t="str">
            <v/>
          </cell>
          <cell r="EM73" t="str">
            <v/>
          </cell>
          <cell r="EN73" t="str">
            <v/>
          </cell>
          <cell r="EO73" t="str">
            <v/>
          </cell>
          <cell r="EP73" t="str">
            <v/>
          </cell>
          <cell r="EQ73" t="str">
            <v/>
          </cell>
          <cell r="ER73" t="str">
            <v/>
          </cell>
          <cell r="ES73" t="str">
            <v/>
          </cell>
          <cell r="ET73" t="str">
            <v/>
          </cell>
          <cell r="EU73" t="str">
            <v/>
          </cell>
          <cell r="EV73" t="str">
            <v/>
          </cell>
          <cell r="EW73" t="str">
            <v/>
          </cell>
          <cell r="EX73" t="str">
            <v/>
          </cell>
          <cell r="EY73" t="str">
            <v/>
          </cell>
          <cell r="EZ73" t="str">
            <v/>
          </cell>
          <cell r="FA73" t="str">
            <v/>
          </cell>
          <cell r="FB73" t="str">
            <v/>
          </cell>
          <cell r="FC73" t="str">
            <v/>
          </cell>
          <cell r="FD73" t="str">
            <v/>
          </cell>
          <cell r="FE73" t="str">
            <v/>
          </cell>
          <cell r="FF73" t="str">
            <v/>
          </cell>
          <cell r="FG73" t="str">
            <v/>
          </cell>
          <cell r="FH73" t="str">
            <v/>
          </cell>
          <cell r="FI73" t="str">
            <v/>
          </cell>
          <cell r="FJ73" t="str">
            <v/>
          </cell>
          <cell r="FK73" t="str">
            <v/>
          </cell>
          <cell r="FL73" t="str">
            <v/>
          </cell>
          <cell r="FM73" t="str">
            <v/>
          </cell>
          <cell r="FN73" t="str">
            <v/>
          </cell>
          <cell r="FO73" t="str">
            <v/>
          </cell>
          <cell r="FP73" t="str">
            <v/>
          </cell>
          <cell r="FQ73" t="str">
            <v/>
          </cell>
          <cell r="FR73" t="str">
            <v/>
          </cell>
          <cell r="FS73" t="str">
            <v/>
          </cell>
          <cell r="FT73" t="str">
            <v/>
          </cell>
          <cell r="FU73" t="str">
            <v/>
          </cell>
          <cell r="FV73" t="str">
            <v/>
          </cell>
          <cell r="FW73" t="str">
            <v/>
          </cell>
          <cell r="FX73" t="str">
            <v/>
          </cell>
          <cell r="FY73" t="str">
            <v/>
          </cell>
          <cell r="FZ73" t="str">
            <v/>
          </cell>
          <cell r="GA73" t="str">
            <v/>
          </cell>
          <cell r="GB73" t="str">
            <v/>
          </cell>
          <cell r="GC73" t="str">
            <v/>
          </cell>
          <cell r="GD73" t="str">
            <v/>
          </cell>
          <cell r="GE73" t="str">
            <v/>
          </cell>
          <cell r="GF73" t="str">
            <v/>
          </cell>
          <cell r="GG73" t="str">
            <v/>
          </cell>
          <cell r="GH73" t="str">
            <v/>
          </cell>
          <cell r="GI73" t="str">
            <v/>
          </cell>
          <cell r="GJ73" t="str">
            <v/>
          </cell>
          <cell r="GK73" t="str">
            <v/>
          </cell>
          <cell r="GL73" t="str">
            <v/>
          </cell>
          <cell r="GM73" t="str">
            <v/>
          </cell>
          <cell r="GN73" t="str">
            <v/>
          </cell>
          <cell r="GO73" t="str">
            <v/>
          </cell>
          <cell r="GP73" t="str">
            <v/>
          </cell>
          <cell r="GQ73" t="str">
            <v/>
          </cell>
          <cell r="GR73" t="str">
            <v/>
          </cell>
          <cell r="GS73" t="str">
            <v/>
          </cell>
          <cell r="GT73" t="str">
            <v/>
          </cell>
          <cell r="GU73" t="str">
            <v/>
          </cell>
          <cell r="GV73" t="str">
            <v/>
          </cell>
          <cell r="GW73" t="str">
            <v/>
          </cell>
          <cell r="GX73" t="str">
            <v/>
          </cell>
          <cell r="GY73" t="str">
            <v/>
          </cell>
          <cell r="GZ73" t="str">
            <v/>
          </cell>
          <cell r="HA73" t="str">
            <v/>
          </cell>
          <cell r="HB73" t="str">
            <v/>
          </cell>
          <cell r="HC73" t="str">
            <v/>
          </cell>
          <cell r="HD73" t="str">
            <v/>
          </cell>
          <cell r="HE73" t="str">
            <v/>
          </cell>
          <cell r="HF73" t="str">
            <v/>
          </cell>
          <cell r="HG73" t="str">
            <v/>
          </cell>
          <cell r="HH73" t="str">
            <v/>
          </cell>
          <cell r="HI73" t="str">
            <v/>
          </cell>
          <cell r="HJ73" t="str">
            <v/>
          </cell>
          <cell r="HK73" t="str">
            <v/>
          </cell>
          <cell r="HL73" t="str">
            <v/>
          </cell>
          <cell r="HM73" t="str">
            <v/>
          </cell>
          <cell r="HN73" t="str">
            <v/>
          </cell>
          <cell r="HO73" t="str">
            <v/>
          </cell>
          <cell r="HP73" t="str">
            <v/>
          </cell>
          <cell r="HQ73" t="str">
            <v/>
          </cell>
          <cell r="HR73" t="str">
            <v/>
          </cell>
          <cell r="HS73" t="str">
            <v/>
          </cell>
          <cell r="HT73" t="str">
            <v/>
          </cell>
          <cell r="HU73" t="str">
            <v/>
          </cell>
          <cell r="HV73" t="str">
            <v/>
          </cell>
          <cell r="HW73" t="str">
            <v/>
          </cell>
          <cell r="HX73" t="str">
            <v/>
          </cell>
          <cell r="HY73" t="str">
            <v/>
          </cell>
          <cell r="HZ73" t="str">
            <v/>
          </cell>
          <cell r="IA73" t="str">
            <v/>
          </cell>
          <cell r="IB73" t="str">
            <v/>
          </cell>
          <cell r="IC73" t="str">
            <v/>
          </cell>
          <cell r="ID73" t="str">
            <v/>
          </cell>
          <cell r="IE73" t="str">
            <v/>
          </cell>
          <cell r="IF73" t="str">
            <v/>
          </cell>
          <cell r="IG73" t="str">
            <v/>
          </cell>
          <cell r="IH73" t="str">
            <v/>
          </cell>
          <cell r="II73" t="str">
            <v/>
          </cell>
          <cell r="IJ73" t="str">
            <v/>
          </cell>
          <cell r="IK73" t="str">
            <v/>
          </cell>
          <cell r="IL73" t="str">
            <v/>
          </cell>
          <cell r="IM73" t="str">
            <v/>
          </cell>
          <cell r="IN73" t="str">
            <v/>
          </cell>
          <cell r="IO73" t="str">
            <v/>
          </cell>
          <cell r="IP73" t="str">
            <v/>
          </cell>
          <cell r="IQ73" t="str">
            <v/>
          </cell>
          <cell r="IR73" t="str">
            <v/>
          </cell>
          <cell r="IS73" t="str">
            <v/>
          </cell>
          <cell r="IT73" t="str">
            <v/>
          </cell>
          <cell r="IU73" t="str">
            <v/>
          </cell>
          <cell r="IV73" t="str">
            <v/>
          </cell>
          <cell r="IW73" t="str">
            <v/>
          </cell>
          <cell r="IX73" t="str">
            <v/>
          </cell>
          <cell r="IY73" t="str">
            <v/>
          </cell>
          <cell r="IZ73" t="str">
            <v/>
          </cell>
          <cell r="JA73" t="str">
            <v/>
          </cell>
          <cell r="JB73" t="str">
            <v/>
          </cell>
          <cell r="JC73" t="str">
            <v/>
          </cell>
          <cell r="JD73" t="str">
            <v/>
          </cell>
          <cell r="JE73" t="str">
            <v/>
          </cell>
          <cell r="JF73" t="str">
            <v/>
          </cell>
          <cell r="JG73" t="str">
            <v/>
          </cell>
          <cell r="JH73" t="str">
            <v/>
          </cell>
          <cell r="JI73" t="str">
            <v/>
          </cell>
          <cell r="JJ73" t="str">
            <v/>
          </cell>
          <cell r="JK73" t="str">
            <v/>
          </cell>
          <cell r="JL73" t="str">
            <v/>
          </cell>
          <cell r="JM73" t="str">
            <v/>
          </cell>
          <cell r="JN73" t="str">
            <v/>
          </cell>
          <cell r="JO73" t="str">
            <v/>
          </cell>
          <cell r="JP73" t="str">
            <v/>
          </cell>
          <cell r="JQ73" t="str">
            <v/>
          </cell>
          <cell r="JR73" t="str">
            <v/>
          </cell>
          <cell r="JS73" t="str">
            <v/>
          </cell>
          <cell r="JT73" t="str">
            <v/>
          </cell>
          <cell r="JU73" t="str">
            <v/>
          </cell>
          <cell r="JV73" t="str">
            <v/>
          </cell>
          <cell r="JW73" t="str">
            <v/>
          </cell>
          <cell r="JX73" t="str">
            <v/>
          </cell>
          <cell r="JY73" t="str">
            <v/>
          </cell>
          <cell r="JZ73" t="str">
            <v/>
          </cell>
          <cell r="KA73" t="str">
            <v/>
          </cell>
          <cell r="KB73" t="str">
            <v/>
          </cell>
          <cell r="KC73" t="str">
            <v/>
          </cell>
          <cell r="KD73">
            <v>6</v>
          </cell>
          <cell r="KE73">
            <v>6</v>
          </cell>
          <cell r="KF73">
            <v>6</v>
          </cell>
          <cell r="KG73">
            <v>8</v>
          </cell>
          <cell r="KH73">
            <v>8</v>
          </cell>
          <cell r="KI73">
            <v>8</v>
          </cell>
          <cell r="KJ73">
            <v>10</v>
          </cell>
          <cell r="KK73">
            <v>10</v>
          </cell>
          <cell r="KL73">
            <v>10</v>
          </cell>
          <cell r="KM73">
            <v>6</v>
          </cell>
          <cell r="KN73">
            <v>6</v>
          </cell>
          <cell r="KO73">
            <v>6</v>
          </cell>
          <cell r="KP73">
            <v>6</v>
          </cell>
          <cell r="KQ73">
            <v>6</v>
          </cell>
          <cell r="KR73">
            <v>6</v>
          </cell>
          <cell r="KS73">
            <v>0</v>
          </cell>
          <cell r="KV73">
            <v>0</v>
          </cell>
          <cell r="KY73">
            <v>0</v>
          </cell>
          <cell r="LB73">
            <v>0</v>
          </cell>
          <cell r="LE73">
            <v>0</v>
          </cell>
          <cell r="LH73">
            <v>0</v>
          </cell>
          <cell r="LK73">
            <v>0</v>
          </cell>
          <cell r="LO73">
            <v>45751</v>
          </cell>
          <cell r="LP73" t="str">
            <v>COMPLETADO</v>
          </cell>
        </row>
        <row r="74">
          <cell r="A74">
            <v>1707</v>
          </cell>
          <cell r="B74" t="str">
            <v>INTERNO</v>
          </cell>
          <cell r="C74" t="str">
            <v>JAVI</v>
          </cell>
          <cell r="D74" t="str">
            <v>MARROQUINERIA GRANDE</v>
          </cell>
          <cell r="E74">
            <v>78</v>
          </cell>
          <cell r="F74">
            <v>54</v>
          </cell>
          <cell r="G74">
            <v>54</v>
          </cell>
          <cell r="H74">
            <v>45741.589594907404</v>
          </cell>
          <cell r="I74" t="str">
            <v>TOTE IRUYA</v>
          </cell>
          <cell r="J74">
            <v>45741</v>
          </cell>
          <cell r="K74">
            <v>45741</v>
          </cell>
          <cell r="L74">
            <v>45741</v>
          </cell>
          <cell r="M74">
            <v>30</v>
          </cell>
          <cell r="N74" t="str">
            <v>M154</v>
          </cell>
          <cell r="O74" t="str">
            <v>AV170129018</v>
          </cell>
          <cell r="P74">
            <v>0</v>
          </cell>
          <cell r="Q74" t="str">
            <v/>
          </cell>
          <cell r="R74" t="str">
            <v/>
          </cell>
          <cell r="S74" t="str">
            <v/>
          </cell>
          <cell r="T74" t="str">
            <v/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 t="str">
            <v/>
          </cell>
          <cell r="AH74" t="str">
            <v/>
          </cell>
          <cell r="AI74" t="str">
            <v/>
          </cell>
          <cell r="AJ74" t="str">
            <v/>
          </cell>
          <cell r="AK74" t="str">
            <v/>
          </cell>
          <cell r="AL74" t="str">
            <v/>
          </cell>
          <cell r="AM74" t="str">
            <v/>
          </cell>
          <cell r="AN74" t="str">
            <v/>
          </cell>
          <cell r="AO74" t="str">
            <v/>
          </cell>
          <cell r="AP74" t="str">
            <v/>
          </cell>
          <cell r="AQ74" t="str">
            <v/>
          </cell>
          <cell r="AR74" t="str">
            <v/>
          </cell>
          <cell r="AS74" t="str">
            <v>CORREA 2,5CM / SIN PINTURA</v>
          </cell>
          <cell r="AT74" t="str">
            <v>PEGAR ETIQUETA DE CUERO AL FRENTE HILO AL TONO CON HILO GRUESO N 20</v>
          </cell>
          <cell r="AU74" t="str">
            <v/>
          </cell>
          <cell r="AV74" t="str">
            <v/>
          </cell>
          <cell r="AW74" t="str">
            <v>GRABADO ETIQUETA EN BRIDGE AL TONO  7,5CM X 5,5 CM "EL LUCERO HIGH QUALITY GOODS</v>
          </cell>
          <cell r="AX74" t="str">
            <v>PELO_HOLANDO</v>
          </cell>
          <cell r="AY74" t="str">
            <v>LEDER-PELO</v>
          </cell>
          <cell r="AZ74" t="str">
            <v>CUE0000116</v>
          </cell>
          <cell r="BA74">
            <v>0.37</v>
          </cell>
          <cell r="BB74" t="str">
            <v>CUE0000009</v>
          </cell>
          <cell r="BC74">
            <v>0.1</v>
          </cell>
          <cell r="BD74" t="str">
            <v/>
          </cell>
          <cell r="BE74" t="str">
            <v/>
          </cell>
          <cell r="BF74" t="str">
            <v/>
          </cell>
          <cell r="BG74" t="str">
            <v/>
          </cell>
          <cell r="BH74" t="str">
            <v/>
          </cell>
          <cell r="BI74" t="str">
            <v/>
          </cell>
          <cell r="BJ74" t="str">
            <v/>
          </cell>
          <cell r="BK74" t="str">
            <v/>
          </cell>
          <cell r="BL74" t="str">
            <v/>
          </cell>
          <cell r="BM74" t="str">
            <v/>
          </cell>
          <cell r="BN74" t="str">
            <v/>
          </cell>
          <cell r="BO74" t="str">
            <v/>
          </cell>
          <cell r="BP74" t="str">
            <v/>
          </cell>
          <cell r="BQ74" t="str">
            <v/>
          </cell>
          <cell r="BR74" t="str">
            <v>PELO_HEREFORD</v>
          </cell>
          <cell r="BS74" t="str">
            <v>LEDER-PELO</v>
          </cell>
          <cell r="BT74" t="str">
            <v>CUE0000117</v>
          </cell>
          <cell r="BU74">
            <v>0.37</v>
          </cell>
          <cell r="BV74" t="str">
            <v>CUE0000012</v>
          </cell>
          <cell r="BW74">
            <v>0.1</v>
          </cell>
          <cell r="BX74" t="str">
            <v/>
          </cell>
          <cell r="BY74" t="str">
            <v/>
          </cell>
          <cell r="BZ74" t="str">
            <v/>
          </cell>
          <cell r="CA74" t="str">
            <v/>
          </cell>
          <cell r="CB74" t="str">
            <v/>
          </cell>
          <cell r="CC74" t="str">
            <v/>
          </cell>
          <cell r="CD74" t="str">
            <v/>
          </cell>
          <cell r="CE74" t="str">
            <v/>
          </cell>
          <cell r="CF74" t="str">
            <v/>
          </cell>
          <cell r="CG74" t="str">
            <v/>
          </cell>
          <cell r="CH74" t="str">
            <v/>
          </cell>
          <cell r="CI74" t="str">
            <v/>
          </cell>
          <cell r="CJ74" t="str">
            <v/>
          </cell>
          <cell r="CK74" t="str">
            <v/>
          </cell>
          <cell r="CL74" t="str">
            <v>SUELA</v>
          </cell>
          <cell r="CM74" t="str">
            <v>ARENA-CUERO NAPADO</v>
          </cell>
          <cell r="CN74" t="str">
            <v>CUE0000028</v>
          </cell>
          <cell r="CO74">
            <v>0.45</v>
          </cell>
          <cell r="CP74" t="str">
            <v/>
          </cell>
          <cell r="CQ74" t="str">
            <v/>
          </cell>
          <cell r="CR74" t="str">
            <v/>
          </cell>
          <cell r="CS74" t="str">
            <v/>
          </cell>
          <cell r="CT74" t="str">
            <v/>
          </cell>
          <cell r="CU74" t="str">
            <v/>
          </cell>
          <cell r="CV74" t="str">
            <v/>
          </cell>
          <cell r="CW74" t="str">
            <v/>
          </cell>
          <cell r="CX74" t="str">
            <v/>
          </cell>
          <cell r="CY74" t="str">
            <v/>
          </cell>
          <cell r="CZ74" t="str">
            <v/>
          </cell>
          <cell r="DA74" t="str">
            <v/>
          </cell>
          <cell r="DB74" t="str">
            <v/>
          </cell>
          <cell r="DC74" t="str">
            <v/>
          </cell>
          <cell r="DD74" t="str">
            <v/>
          </cell>
          <cell r="DE74" t="str">
            <v/>
          </cell>
          <cell r="DF74" t="str">
            <v>NEGRO</v>
          </cell>
          <cell r="DG74" t="str">
            <v>ARENA-CUERO NAPADO</v>
          </cell>
          <cell r="DH74" t="str">
            <v>CUE0000026</v>
          </cell>
          <cell r="DI74">
            <v>0.45</v>
          </cell>
          <cell r="DJ74" t="str">
            <v/>
          </cell>
          <cell r="DK74" t="str">
            <v/>
          </cell>
          <cell r="DL74" t="str">
            <v/>
          </cell>
          <cell r="DM74" t="str">
            <v/>
          </cell>
          <cell r="DN74" t="str">
            <v/>
          </cell>
          <cell r="DO74" t="str">
            <v/>
          </cell>
          <cell r="DP74" t="str">
            <v/>
          </cell>
          <cell r="DQ74" t="str">
            <v/>
          </cell>
          <cell r="DR74" t="str">
            <v/>
          </cell>
          <cell r="DS74" t="str">
            <v/>
          </cell>
          <cell r="DT74" t="str">
            <v/>
          </cell>
          <cell r="DU74" t="str">
            <v/>
          </cell>
          <cell r="DV74" t="str">
            <v/>
          </cell>
          <cell r="DW74" t="str">
            <v/>
          </cell>
          <cell r="DX74" t="str">
            <v/>
          </cell>
          <cell r="DY74" t="str">
            <v/>
          </cell>
          <cell r="DZ74" t="str">
            <v>PELO_BEIGE</v>
          </cell>
          <cell r="EA74" t="str">
            <v>LEDER-PELO</v>
          </cell>
          <cell r="EB74" t="str">
            <v>CUE0000125</v>
          </cell>
          <cell r="EC74">
            <v>0.37</v>
          </cell>
          <cell r="ED74" t="str">
            <v/>
          </cell>
          <cell r="EE74">
            <v>0.1</v>
          </cell>
          <cell r="EF74" t="str">
            <v/>
          </cell>
          <cell r="EG74" t="str">
            <v/>
          </cell>
          <cell r="EH74" t="str">
            <v/>
          </cell>
          <cell r="EI74" t="str">
            <v/>
          </cell>
          <cell r="EJ74" t="str">
            <v/>
          </cell>
          <cell r="EK74" t="str">
            <v/>
          </cell>
          <cell r="EL74" t="str">
            <v/>
          </cell>
          <cell r="EM74" t="str">
            <v/>
          </cell>
          <cell r="EN74" t="str">
            <v/>
          </cell>
          <cell r="EO74" t="str">
            <v/>
          </cell>
          <cell r="EP74" t="str">
            <v/>
          </cell>
          <cell r="EQ74" t="str">
            <v/>
          </cell>
          <cell r="ER74" t="str">
            <v/>
          </cell>
          <cell r="ES74" t="str">
            <v/>
          </cell>
          <cell r="ET74" t="str">
            <v>CARAMELO</v>
          </cell>
          <cell r="EU74" t="str">
            <v>ARENA-CUERO NAPADO</v>
          </cell>
          <cell r="EV74" t="str">
            <v>CUE0000022</v>
          </cell>
          <cell r="EW74">
            <v>0.45</v>
          </cell>
          <cell r="EX74" t="str">
            <v/>
          </cell>
          <cell r="EY74" t="str">
            <v/>
          </cell>
          <cell r="EZ74" t="str">
            <v/>
          </cell>
          <cell r="FA74" t="str">
            <v/>
          </cell>
          <cell r="FB74" t="str">
            <v/>
          </cell>
          <cell r="FC74" t="str">
            <v/>
          </cell>
          <cell r="FD74" t="str">
            <v/>
          </cell>
          <cell r="FE74" t="str">
            <v/>
          </cell>
          <cell r="FF74" t="str">
            <v/>
          </cell>
          <cell r="FG74" t="str">
            <v/>
          </cell>
          <cell r="FH74" t="str">
            <v/>
          </cell>
          <cell r="FI74" t="str">
            <v/>
          </cell>
          <cell r="FJ74" t="str">
            <v/>
          </cell>
          <cell r="FK74" t="str">
            <v/>
          </cell>
          <cell r="FL74" t="str">
            <v/>
          </cell>
          <cell r="FM74" t="str">
            <v/>
          </cell>
          <cell r="FN74" t="str">
            <v>MALBEC</v>
          </cell>
          <cell r="FO74" t="str">
            <v>ARENA-CUERO NAPADO</v>
          </cell>
          <cell r="FP74" t="str">
            <v>CUE0000025</v>
          </cell>
          <cell r="FQ74">
            <v>0.45</v>
          </cell>
          <cell r="FR74" t="str">
            <v/>
          </cell>
          <cell r="FS74" t="str">
            <v/>
          </cell>
          <cell r="FT74" t="str">
            <v/>
          </cell>
          <cell r="FU74" t="str">
            <v/>
          </cell>
          <cell r="FV74" t="str">
            <v/>
          </cell>
          <cell r="FW74" t="str">
            <v/>
          </cell>
          <cell r="FX74" t="str">
            <v/>
          </cell>
          <cell r="FY74" t="str">
            <v/>
          </cell>
          <cell r="FZ74" t="str">
            <v/>
          </cell>
          <cell r="GA74" t="str">
            <v/>
          </cell>
          <cell r="GB74" t="str">
            <v/>
          </cell>
          <cell r="GC74" t="str">
            <v/>
          </cell>
          <cell r="GD74" t="str">
            <v/>
          </cell>
          <cell r="GE74" t="str">
            <v/>
          </cell>
          <cell r="GF74" t="str">
            <v/>
          </cell>
          <cell r="GG74" t="str">
            <v/>
          </cell>
          <cell r="GH74" t="str">
            <v/>
          </cell>
          <cell r="GI74" t="str">
            <v/>
          </cell>
          <cell r="GJ74" t="str">
            <v/>
          </cell>
          <cell r="GK74" t="str">
            <v/>
          </cell>
          <cell r="GL74" t="str">
            <v/>
          </cell>
          <cell r="GM74" t="str">
            <v/>
          </cell>
          <cell r="GN74" t="str">
            <v/>
          </cell>
          <cell r="GO74" t="str">
            <v/>
          </cell>
          <cell r="GP74" t="str">
            <v/>
          </cell>
          <cell r="GQ74" t="str">
            <v/>
          </cell>
          <cell r="GR74" t="str">
            <v/>
          </cell>
          <cell r="GS74" t="str">
            <v/>
          </cell>
          <cell r="GT74" t="str">
            <v/>
          </cell>
          <cell r="GU74" t="str">
            <v/>
          </cell>
          <cell r="GV74" t="str">
            <v/>
          </cell>
          <cell r="GW74" t="str">
            <v/>
          </cell>
          <cell r="GX74" t="str">
            <v/>
          </cell>
          <cell r="GY74" t="str">
            <v/>
          </cell>
          <cell r="GZ74" t="str">
            <v/>
          </cell>
          <cell r="HA74" t="str">
            <v/>
          </cell>
          <cell r="HB74" t="str">
            <v/>
          </cell>
          <cell r="HC74" t="str">
            <v/>
          </cell>
          <cell r="HD74" t="str">
            <v/>
          </cell>
          <cell r="HE74" t="str">
            <v/>
          </cell>
          <cell r="HF74" t="str">
            <v/>
          </cell>
          <cell r="HG74" t="str">
            <v/>
          </cell>
          <cell r="HH74" t="str">
            <v/>
          </cell>
          <cell r="HI74" t="str">
            <v/>
          </cell>
          <cell r="HJ74" t="str">
            <v/>
          </cell>
          <cell r="HK74" t="str">
            <v/>
          </cell>
          <cell r="HL74" t="str">
            <v/>
          </cell>
          <cell r="HM74" t="str">
            <v/>
          </cell>
          <cell r="HN74" t="str">
            <v/>
          </cell>
          <cell r="HO74" t="str">
            <v/>
          </cell>
          <cell r="HP74" t="str">
            <v/>
          </cell>
          <cell r="HQ74" t="str">
            <v/>
          </cell>
          <cell r="HR74" t="str">
            <v/>
          </cell>
          <cell r="HS74" t="str">
            <v/>
          </cell>
          <cell r="HT74" t="str">
            <v/>
          </cell>
          <cell r="HU74" t="str">
            <v/>
          </cell>
          <cell r="HV74" t="str">
            <v/>
          </cell>
          <cell r="HW74" t="str">
            <v/>
          </cell>
          <cell r="HX74" t="str">
            <v/>
          </cell>
          <cell r="HY74" t="str">
            <v/>
          </cell>
          <cell r="HZ74" t="str">
            <v/>
          </cell>
          <cell r="IA74" t="str">
            <v/>
          </cell>
          <cell r="IB74" t="str">
            <v/>
          </cell>
          <cell r="IC74" t="str">
            <v/>
          </cell>
          <cell r="ID74" t="str">
            <v/>
          </cell>
          <cell r="IE74" t="str">
            <v/>
          </cell>
          <cell r="IF74" t="str">
            <v/>
          </cell>
          <cell r="IG74" t="str">
            <v/>
          </cell>
          <cell r="IH74" t="str">
            <v/>
          </cell>
          <cell r="II74" t="str">
            <v/>
          </cell>
          <cell r="IJ74" t="str">
            <v/>
          </cell>
          <cell r="IK74" t="str">
            <v/>
          </cell>
          <cell r="IL74" t="str">
            <v/>
          </cell>
          <cell r="IM74" t="str">
            <v/>
          </cell>
          <cell r="IN74" t="str">
            <v/>
          </cell>
          <cell r="IO74" t="str">
            <v/>
          </cell>
          <cell r="IP74" t="str">
            <v/>
          </cell>
          <cell r="IQ74" t="str">
            <v/>
          </cell>
          <cell r="IR74" t="str">
            <v/>
          </cell>
          <cell r="IS74" t="str">
            <v/>
          </cell>
          <cell r="IT74" t="str">
            <v/>
          </cell>
          <cell r="IU74" t="str">
            <v/>
          </cell>
          <cell r="IV74" t="str">
            <v/>
          </cell>
          <cell r="IW74" t="str">
            <v/>
          </cell>
          <cell r="IX74" t="str">
            <v/>
          </cell>
          <cell r="IY74" t="str">
            <v/>
          </cell>
          <cell r="IZ74" t="str">
            <v/>
          </cell>
          <cell r="JA74" t="str">
            <v/>
          </cell>
          <cell r="JB74" t="str">
            <v/>
          </cell>
          <cell r="JC74" t="str">
            <v/>
          </cell>
          <cell r="JD74" t="str">
            <v/>
          </cell>
          <cell r="JE74" t="str">
            <v/>
          </cell>
          <cell r="JF74" t="str">
            <v/>
          </cell>
          <cell r="JG74" t="str">
            <v/>
          </cell>
          <cell r="JH74" t="str">
            <v/>
          </cell>
          <cell r="JI74" t="str">
            <v/>
          </cell>
          <cell r="JJ74" t="str">
            <v/>
          </cell>
          <cell r="JK74" t="str">
            <v/>
          </cell>
          <cell r="JL74" t="str">
            <v/>
          </cell>
          <cell r="JM74" t="str">
            <v/>
          </cell>
          <cell r="JN74" t="str">
            <v/>
          </cell>
          <cell r="JO74" t="str">
            <v/>
          </cell>
          <cell r="JP74" t="str">
            <v/>
          </cell>
          <cell r="JQ74" t="str">
            <v/>
          </cell>
          <cell r="JR74" t="str">
            <v/>
          </cell>
          <cell r="JS74" t="str">
            <v/>
          </cell>
          <cell r="JT74" t="str">
            <v/>
          </cell>
          <cell r="JU74" t="str">
            <v/>
          </cell>
          <cell r="JV74" t="str">
            <v/>
          </cell>
          <cell r="JW74" t="str">
            <v/>
          </cell>
          <cell r="JX74" t="str">
            <v/>
          </cell>
          <cell r="JY74" t="str">
            <v/>
          </cell>
          <cell r="JZ74" t="str">
            <v/>
          </cell>
          <cell r="KA74" t="str">
            <v/>
          </cell>
          <cell r="KB74" t="str">
            <v/>
          </cell>
          <cell r="KC74" t="str">
            <v/>
          </cell>
          <cell r="KD74">
            <v>12</v>
          </cell>
          <cell r="KE74">
            <v>0</v>
          </cell>
          <cell r="KF74">
            <v>0</v>
          </cell>
          <cell r="KG74">
            <v>12</v>
          </cell>
          <cell r="KH74">
            <v>0</v>
          </cell>
          <cell r="KI74">
            <v>0</v>
          </cell>
          <cell r="KJ74">
            <v>12</v>
          </cell>
          <cell r="KK74">
            <v>12</v>
          </cell>
          <cell r="KL74">
            <v>12</v>
          </cell>
          <cell r="KM74">
            <v>12</v>
          </cell>
          <cell r="KN74">
            <v>12</v>
          </cell>
          <cell r="KO74">
            <v>12</v>
          </cell>
          <cell r="KP74">
            <v>6</v>
          </cell>
          <cell r="KQ74">
            <v>6</v>
          </cell>
          <cell r="KR74">
            <v>6</v>
          </cell>
          <cell r="KS74">
            <v>18</v>
          </cell>
          <cell r="KT74">
            <v>18</v>
          </cell>
          <cell r="KU74">
            <v>18</v>
          </cell>
          <cell r="KV74">
            <v>6</v>
          </cell>
          <cell r="KW74">
            <v>6</v>
          </cell>
          <cell r="KX74">
            <v>6</v>
          </cell>
          <cell r="KY74">
            <v>0</v>
          </cell>
          <cell r="LB74">
            <v>0</v>
          </cell>
          <cell r="LE74">
            <v>0</v>
          </cell>
          <cell r="LH74">
            <v>0</v>
          </cell>
          <cell r="LK74">
            <v>0</v>
          </cell>
          <cell r="LN74">
            <v>45741</v>
          </cell>
          <cell r="LO74">
            <v>45916</v>
          </cell>
          <cell r="LP74" t="str">
            <v>COMPLETADO</v>
          </cell>
        </row>
        <row r="75">
          <cell r="A75">
            <v>1708</v>
          </cell>
          <cell r="B75" t="str">
            <v>LUCIANO</v>
          </cell>
          <cell r="C75" t="str">
            <v>BARRACAS CHICA</v>
          </cell>
          <cell r="D75" t="str">
            <v>MARROQUINERIA CHICA</v>
          </cell>
          <cell r="E75">
            <v>30</v>
          </cell>
          <cell r="F75">
            <v>30</v>
          </cell>
          <cell r="G75">
            <v>39</v>
          </cell>
          <cell r="H75">
            <v>45743.546990740739</v>
          </cell>
          <cell r="I75" t="str">
            <v>PORTAVINO CAFAYATE</v>
          </cell>
          <cell r="J75">
            <v>45742</v>
          </cell>
          <cell r="K75">
            <v>45742</v>
          </cell>
          <cell r="M75">
            <v>15</v>
          </cell>
          <cell r="N75" t="str">
            <v>M156</v>
          </cell>
          <cell r="O75" t="str">
            <v>AV0700420101</v>
          </cell>
          <cell r="P75">
            <v>1</v>
          </cell>
          <cell r="Q75" t="str">
            <v>AV170134014</v>
          </cell>
          <cell r="R75">
            <v>0</v>
          </cell>
          <cell r="S75" t="str">
            <v/>
          </cell>
          <cell r="T75" t="str">
            <v/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AH75" t="str">
            <v/>
          </cell>
          <cell r="AI75" t="str">
            <v/>
          </cell>
          <cell r="AJ75" t="str">
            <v/>
          </cell>
          <cell r="AK75" t="str">
            <v/>
          </cell>
          <cell r="AL75" t="str">
            <v/>
          </cell>
          <cell r="AM75" t="str">
            <v/>
          </cell>
          <cell r="AN75" t="str">
            <v/>
          </cell>
          <cell r="AO75" t="str">
            <v/>
          </cell>
          <cell r="AP75" t="str">
            <v/>
          </cell>
          <cell r="AQ75" t="str">
            <v/>
          </cell>
          <cell r="AR75" t="str">
            <v/>
          </cell>
          <cell r="AS75" t="str">
            <v/>
          </cell>
          <cell r="AT75" t="str">
            <v/>
          </cell>
          <cell r="AU75" t="str">
            <v/>
          </cell>
          <cell r="AV75" t="str">
            <v/>
          </cell>
          <cell r="AW75" t="str">
            <v>GRABADO "EL LUCERO ARGENTINA " EN LA PARTE DE ATRAS A 2 CM DESDE BASE CENTRADO</v>
          </cell>
          <cell r="AX75" t="str">
            <v>SUELA</v>
          </cell>
          <cell r="AY75" t="str">
            <v>LA HERMIDA-CUERO VACHETTA LADO COLOR</v>
          </cell>
          <cell r="AZ75" t="str">
            <v>CUE0000065</v>
          </cell>
          <cell r="BA75">
            <v>0.14000000000000001</v>
          </cell>
          <cell r="BB75" t="str">
            <v/>
          </cell>
          <cell r="BC75" t="str">
            <v/>
          </cell>
          <cell r="BD75" t="str">
            <v/>
          </cell>
          <cell r="BE75" t="str">
            <v/>
          </cell>
          <cell r="BF75" t="str">
            <v/>
          </cell>
          <cell r="BG75" t="str">
            <v/>
          </cell>
          <cell r="BH75" t="str">
            <v/>
          </cell>
          <cell r="BI75" t="str">
            <v/>
          </cell>
          <cell r="BJ75" t="str">
            <v/>
          </cell>
          <cell r="BK75" t="str">
            <v/>
          </cell>
          <cell r="BL75" t="str">
            <v/>
          </cell>
          <cell r="BM75" t="str">
            <v/>
          </cell>
          <cell r="BN75" t="str">
            <v/>
          </cell>
          <cell r="BO75" t="str">
            <v/>
          </cell>
          <cell r="BP75" t="str">
            <v/>
          </cell>
          <cell r="BQ75" t="str">
            <v/>
          </cell>
          <cell r="BR75" t="str">
            <v>NATURAL</v>
          </cell>
          <cell r="BS75" t="str">
            <v>LA HERMIDA-CUERO VACHETTA LADO NATURAL</v>
          </cell>
          <cell r="BT75" t="str">
            <v>CUE0000066</v>
          </cell>
          <cell r="BU75">
            <v>0.14000000000000001</v>
          </cell>
          <cell r="BV75" t="str">
            <v/>
          </cell>
          <cell r="BW75" t="str">
            <v/>
          </cell>
          <cell r="BX75" t="str">
            <v/>
          </cell>
          <cell r="BY75" t="str">
            <v/>
          </cell>
          <cell r="BZ75" t="str">
            <v/>
          </cell>
          <cell r="CA75" t="str">
            <v/>
          </cell>
          <cell r="CB75" t="str">
            <v/>
          </cell>
          <cell r="CC75" t="str">
            <v/>
          </cell>
          <cell r="CD75" t="str">
            <v/>
          </cell>
          <cell r="CE75" t="str">
            <v/>
          </cell>
          <cell r="CF75" t="str">
            <v/>
          </cell>
          <cell r="CG75" t="str">
            <v/>
          </cell>
          <cell r="CH75" t="str">
            <v/>
          </cell>
          <cell r="CI75" t="str">
            <v/>
          </cell>
          <cell r="CJ75" t="str">
            <v/>
          </cell>
          <cell r="CK75" t="str">
            <v/>
          </cell>
          <cell r="CL75" t="str">
            <v/>
          </cell>
          <cell r="CM75" t="str">
            <v/>
          </cell>
          <cell r="CN75" t="str">
            <v/>
          </cell>
          <cell r="CO75" t="str">
            <v/>
          </cell>
          <cell r="CP75" t="str">
            <v/>
          </cell>
          <cell r="CQ75" t="str">
            <v/>
          </cell>
          <cell r="CR75" t="str">
            <v/>
          </cell>
          <cell r="CS75" t="str">
            <v/>
          </cell>
          <cell r="CT75" t="str">
            <v/>
          </cell>
          <cell r="CU75" t="str">
            <v/>
          </cell>
          <cell r="CV75" t="str">
            <v/>
          </cell>
          <cell r="CW75" t="str">
            <v/>
          </cell>
          <cell r="CX75" t="str">
            <v/>
          </cell>
          <cell r="CY75" t="str">
            <v/>
          </cell>
          <cell r="CZ75" t="str">
            <v/>
          </cell>
          <cell r="DA75" t="str">
            <v/>
          </cell>
          <cell r="DB75" t="str">
            <v/>
          </cell>
          <cell r="DC75" t="str">
            <v/>
          </cell>
          <cell r="DD75" t="str">
            <v/>
          </cell>
          <cell r="DE75" t="str">
            <v/>
          </cell>
          <cell r="DF75" t="str">
            <v/>
          </cell>
          <cell r="DG75" t="str">
            <v/>
          </cell>
          <cell r="DH75" t="str">
            <v/>
          </cell>
          <cell r="DI75" t="str">
            <v/>
          </cell>
          <cell r="DJ75" t="str">
            <v/>
          </cell>
          <cell r="DK75" t="str">
            <v/>
          </cell>
          <cell r="DL75" t="str">
            <v/>
          </cell>
          <cell r="DM75" t="str">
            <v/>
          </cell>
          <cell r="DN75" t="str">
            <v/>
          </cell>
          <cell r="DO75" t="str">
            <v/>
          </cell>
          <cell r="DP75" t="str">
            <v/>
          </cell>
          <cell r="DQ75" t="str">
            <v/>
          </cell>
          <cell r="DR75" t="str">
            <v/>
          </cell>
          <cell r="DS75" t="str">
            <v/>
          </cell>
          <cell r="DT75" t="str">
            <v/>
          </cell>
          <cell r="DU75" t="str">
            <v/>
          </cell>
          <cell r="DV75" t="str">
            <v/>
          </cell>
          <cell r="DW75" t="str">
            <v/>
          </cell>
          <cell r="DX75" t="str">
            <v/>
          </cell>
          <cell r="DY75" t="str">
            <v/>
          </cell>
          <cell r="DZ75" t="str">
            <v/>
          </cell>
          <cell r="EA75" t="str">
            <v/>
          </cell>
          <cell r="EB75" t="str">
            <v/>
          </cell>
          <cell r="EC75" t="str">
            <v/>
          </cell>
          <cell r="ED75" t="str">
            <v/>
          </cell>
          <cell r="EE75" t="str">
            <v/>
          </cell>
          <cell r="EF75" t="str">
            <v/>
          </cell>
          <cell r="EG75" t="str">
            <v/>
          </cell>
          <cell r="EH75" t="str">
            <v/>
          </cell>
          <cell r="EI75" t="str">
            <v/>
          </cell>
          <cell r="EJ75" t="str">
            <v/>
          </cell>
          <cell r="EK75" t="str">
            <v/>
          </cell>
          <cell r="EL75" t="str">
            <v/>
          </cell>
          <cell r="EM75" t="str">
            <v/>
          </cell>
          <cell r="EN75" t="str">
            <v/>
          </cell>
          <cell r="EO75" t="str">
            <v/>
          </cell>
          <cell r="EP75" t="str">
            <v/>
          </cell>
          <cell r="EQ75" t="str">
            <v/>
          </cell>
          <cell r="ER75" t="str">
            <v/>
          </cell>
          <cell r="ES75" t="str">
            <v/>
          </cell>
          <cell r="ET75" t="str">
            <v/>
          </cell>
          <cell r="EU75" t="str">
            <v/>
          </cell>
          <cell r="EV75" t="str">
            <v/>
          </cell>
          <cell r="EW75" t="str">
            <v/>
          </cell>
          <cell r="EX75" t="str">
            <v/>
          </cell>
          <cell r="EY75" t="str">
            <v/>
          </cell>
          <cell r="EZ75" t="str">
            <v/>
          </cell>
          <cell r="FA75" t="str">
            <v/>
          </cell>
          <cell r="FB75" t="str">
            <v/>
          </cell>
          <cell r="FC75" t="str">
            <v/>
          </cell>
          <cell r="FD75" t="str">
            <v/>
          </cell>
          <cell r="FE75" t="str">
            <v/>
          </cell>
          <cell r="FF75" t="str">
            <v/>
          </cell>
          <cell r="FG75" t="str">
            <v/>
          </cell>
          <cell r="FH75" t="str">
            <v/>
          </cell>
          <cell r="FI75" t="str">
            <v/>
          </cell>
          <cell r="FJ75" t="str">
            <v/>
          </cell>
          <cell r="FK75" t="str">
            <v/>
          </cell>
          <cell r="FL75" t="str">
            <v/>
          </cell>
          <cell r="FM75" t="str">
            <v/>
          </cell>
          <cell r="FN75" t="str">
            <v/>
          </cell>
          <cell r="FO75" t="str">
            <v/>
          </cell>
          <cell r="FP75" t="str">
            <v/>
          </cell>
          <cell r="FQ75" t="str">
            <v/>
          </cell>
          <cell r="FR75" t="str">
            <v/>
          </cell>
          <cell r="FS75" t="str">
            <v/>
          </cell>
          <cell r="FT75" t="str">
            <v/>
          </cell>
          <cell r="FU75" t="str">
            <v/>
          </cell>
          <cell r="FV75" t="str">
            <v/>
          </cell>
          <cell r="FW75" t="str">
            <v/>
          </cell>
          <cell r="FX75" t="str">
            <v/>
          </cell>
          <cell r="FY75" t="str">
            <v/>
          </cell>
          <cell r="FZ75" t="str">
            <v/>
          </cell>
          <cell r="GA75" t="str">
            <v/>
          </cell>
          <cell r="GB75" t="str">
            <v/>
          </cell>
          <cell r="GC75" t="str">
            <v/>
          </cell>
          <cell r="GD75" t="str">
            <v/>
          </cell>
          <cell r="GE75" t="str">
            <v/>
          </cell>
          <cell r="GF75" t="str">
            <v/>
          </cell>
          <cell r="GG75" t="str">
            <v/>
          </cell>
          <cell r="GH75" t="str">
            <v/>
          </cell>
          <cell r="GI75" t="str">
            <v/>
          </cell>
          <cell r="GJ75" t="str">
            <v/>
          </cell>
          <cell r="GK75" t="str">
            <v/>
          </cell>
          <cell r="GL75" t="str">
            <v/>
          </cell>
          <cell r="GM75" t="str">
            <v/>
          </cell>
          <cell r="GN75" t="str">
            <v/>
          </cell>
          <cell r="GO75" t="str">
            <v/>
          </cell>
          <cell r="GP75" t="str">
            <v/>
          </cell>
          <cell r="GQ75" t="str">
            <v/>
          </cell>
          <cell r="GR75" t="str">
            <v/>
          </cell>
          <cell r="GS75" t="str">
            <v/>
          </cell>
          <cell r="GT75" t="str">
            <v/>
          </cell>
          <cell r="GU75" t="str">
            <v/>
          </cell>
          <cell r="GV75" t="str">
            <v/>
          </cell>
          <cell r="GW75" t="str">
            <v/>
          </cell>
          <cell r="GX75" t="str">
            <v/>
          </cell>
          <cell r="GY75" t="str">
            <v/>
          </cell>
          <cell r="GZ75" t="str">
            <v/>
          </cell>
          <cell r="HA75" t="str">
            <v/>
          </cell>
          <cell r="HB75" t="str">
            <v/>
          </cell>
          <cell r="HC75" t="str">
            <v/>
          </cell>
          <cell r="HD75" t="str">
            <v/>
          </cell>
          <cell r="HE75" t="str">
            <v/>
          </cell>
          <cell r="HF75" t="str">
            <v/>
          </cell>
          <cell r="HG75" t="str">
            <v/>
          </cell>
          <cell r="HH75" t="str">
            <v/>
          </cell>
          <cell r="HI75" t="str">
            <v/>
          </cell>
          <cell r="HJ75" t="str">
            <v/>
          </cell>
          <cell r="HK75" t="str">
            <v/>
          </cell>
          <cell r="HL75" t="str">
            <v/>
          </cell>
          <cell r="HM75" t="str">
            <v/>
          </cell>
          <cell r="HN75" t="str">
            <v/>
          </cell>
          <cell r="HO75" t="str">
            <v/>
          </cell>
          <cell r="HP75" t="str">
            <v/>
          </cell>
          <cell r="HQ75" t="str">
            <v/>
          </cell>
          <cell r="HR75" t="str">
            <v/>
          </cell>
          <cell r="HS75" t="str">
            <v/>
          </cell>
          <cell r="HT75" t="str">
            <v/>
          </cell>
          <cell r="HU75" t="str">
            <v/>
          </cell>
          <cell r="HV75" t="str">
            <v/>
          </cell>
          <cell r="HW75" t="str">
            <v/>
          </cell>
          <cell r="HX75" t="str">
            <v/>
          </cell>
          <cell r="HY75" t="str">
            <v/>
          </cell>
          <cell r="HZ75" t="str">
            <v/>
          </cell>
          <cell r="IA75" t="str">
            <v/>
          </cell>
          <cell r="IB75" t="str">
            <v/>
          </cell>
          <cell r="IC75" t="str">
            <v/>
          </cell>
          <cell r="ID75" t="str">
            <v/>
          </cell>
          <cell r="IE75" t="str">
            <v/>
          </cell>
          <cell r="IF75" t="str">
            <v/>
          </cell>
          <cell r="IG75" t="str">
            <v/>
          </cell>
          <cell r="IH75" t="str">
            <v/>
          </cell>
          <cell r="II75" t="str">
            <v/>
          </cell>
          <cell r="IJ75" t="str">
            <v/>
          </cell>
          <cell r="IK75" t="str">
            <v/>
          </cell>
          <cell r="IL75" t="str">
            <v/>
          </cell>
          <cell r="IM75" t="str">
            <v/>
          </cell>
          <cell r="IN75" t="str">
            <v/>
          </cell>
          <cell r="IO75" t="str">
            <v/>
          </cell>
          <cell r="IP75" t="str">
            <v/>
          </cell>
          <cell r="IQ75" t="str">
            <v/>
          </cell>
          <cell r="IR75" t="str">
            <v/>
          </cell>
          <cell r="IS75" t="str">
            <v/>
          </cell>
          <cell r="IT75" t="str">
            <v/>
          </cell>
          <cell r="IU75" t="str">
            <v/>
          </cell>
          <cell r="IV75" t="str">
            <v/>
          </cell>
          <cell r="IW75" t="str">
            <v/>
          </cell>
          <cell r="IX75" t="str">
            <v/>
          </cell>
          <cell r="IY75" t="str">
            <v/>
          </cell>
          <cell r="IZ75" t="str">
            <v/>
          </cell>
          <cell r="JA75" t="str">
            <v/>
          </cell>
          <cell r="JB75" t="str">
            <v/>
          </cell>
          <cell r="JC75" t="str">
            <v/>
          </cell>
          <cell r="JD75" t="str">
            <v/>
          </cell>
          <cell r="JE75" t="str">
            <v/>
          </cell>
          <cell r="JF75" t="str">
            <v/>
          </cell>
          <cell r="JG75" t="str">
            <v/>
          </cell>
          <cell r="JH75" t="str">
            <v/>
          </cell>
          <cell r="JI75" t="str">
            <v/>
          </cell>
          <cell r="JJ75" t="str">
            <v/>
          </cell>
          <cell r="JK75" t="str">
            <v/>
          </cell>
          <cell r="JL75" t="str">
            <v/>
          </cell>
          <cell r="JM75" t="str">
            <v/>
          </cell>
          <cell r="JN75" t="str">
            <v/>
          </cell>
          <cell r="JO75" t="str">
            <v/>
          </cell>
          <cell r="JP75" t="str">
            <v/>
          </cell>
          <cell r="JQ75" t="str">
            <v/>
          </cell>
          <cell r="JR75" t="str">
            <v/>
          </cell>
          <cell r="JS75" t="str">
            <v/>
          </cell>
          <cell r="JT75" t="str">
            <v/>
          </cell>
          <cell r="JU75" t="str">
            <v/>
          </cell>
          <cell r="JV75" t="str">
            <v/>
          </cell>
          <cell r="JW75" t="str">
            <v/>
          </cell>
          <cell r="JX75" t="str">
            <v/>
          </cell>
          <cell r="JY75" t="str">
            <v/>
          </cell>
          <cell r="JZ75" t="str">
            <v/>
          </cell>
          <cell r="KA75" t="str">
            <v/>
          </cell>
          <cell r="KB75" t="str">
            <v/>
          </cell>
          <cell r="KC75" t="str">
            <v/>
          </cell>
          <cell r="KD75">
            <v>20</v>
          </cell>
          <cell r="KE75">
            <v>20</v>
          </cell>
          <cell r="KF75">
            <v>30</v>
          </cell>
          <cell r="KG75">
            <v>10</v>
          </cell>
          <cell r="KH75">
            <v>10</v>
          </cell>
          <cell r="KI75">
            <v>9</v>
          </cell>
          <cell r="KJ75">
            <v>0</v>
          </cell>
          <cell r="KM75">
            <v>0</v>
          </cell>
          <cell r="KP75">
            <v>0</v>
          </cell>
          <cell r="KS75">
            <v>0</v>
          </cell>
          <cell r="KV75">
            <v>0</v>
          </cell>
          <cell r="KY75">
            <v>0</v>
          </cell>
          <cell r="LB75">
            <v>0</v>
          </cell>
          <cell r="LE75">
            <v>0</v>
          </cell>
          <cell r="LH75">
            <v>0</v>
          </cell>
          <cell r="LK75">
            <v>0</v>
          </cell>
          <cell r="LO75">
            <v>45762</v>
          </cell>
          <cell r="LP75" t="str">
            <v>COMPLETADO</v>
          </cell>
        </row>
        <row r="76">
          <cell r="A76">
            <v>1709</v>
          </cell>
          <cell r="B76" t="str">
            <v>LUCIANO</v>
          </cell>
          <cell r="C76" t="str">
            <v>BARRACAS CHICA</v>
          </cell>
          <cell r="D76" t="str">
            <v>MARROQUINERIA CHICA</v>
          </cell>
          <cell r="E76">
            <v>30</v>
          </cell>
          <cell r="F76">
            <v>30</v>
          </cell>
          <cell r="G76">
            <v>30</v>
          </cell>
          <cell r="H76">
            <v>45743.548483796294</v>
          </cell>
          <cell r="I76" t="str">
            <v>PORTAVINO RIOJA</v>
          </cell>
          <cell r="J76">
            <v>45742</v>
          </cell>
          <cell r="K76">
            <v>45742</v>
          </cell>
          <cell r="M76">
            <v>15</v>
          </cell>
          <cell r="N76" t="str">
            <v>M155</v>
          </cell>
          <cell r="O76" t="str">
            <v>AV170134014</v>
          </cell>
          <cell r="P76">
            <v>0</v>
          </cell>
          <cell r="Q76" t="str">
            <v/>
          </cell>
          <cell r="R76" t="str">
            <v/>
          </cell>
          <cell r="S76" t="str">
            <v/>
          </cell>
          <cell r="T76" t="str">
            <v/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 t="str">
            <v/>
          </cell>
          <cell r="AH76" t="str">
            <v/>
          </cell>
          <cell r="AI76" t="str">
            <v/>
          </cell>
          <cell r="AJ76" t="str">
            <v/>
          </cell>
          <cell r="AK76" t="str">
            <v/>
          </cell>
          <cell r="AL76" t="str">
            <v/>
          </cell>
          <cell r="AM76" t="str">
            <v/>
          </cell>
          <cell r="AN76" t="str">
            <v/>
          </cell>
          <cell r="AO76" t="str">
            <v/>
          </cell>
          <cell r="AP76" t="str">
            <v/>
          </cell>
          <cell r="AQ76" t="str">
            <v/>
          </cell>
          <cell r="AR76" t="str">
            <v/>
          </cell>
          <cell r="AS76" t="str">
            <v/>
          </cell>
          <cell r="AT76" t="str">
            <v/>
          </cell>
          <cell r="AU76" t="str">
            <v/>
          </cell>
          <cell r="AV76" t="str">
            <v/>
          </cell>
          <cell r="AW76" t="str">
            <v>GRABADO "EL LUCERO ARGENTINA " EN LA PARTE DE ATRAS A 2 CM DE LA COSTURA DE LA MANIJA</v>
          </cell>
          <cell r="AX76" t="str">
            <v>NATURAL</v>
          </cell>
          <cell r="AY76" t="str">
            <v>LA HERMIDA-CUERO VACHETTA LADO NATURAL</v>
          </cell>
          <cell r="AZ76" t="str">
            <v>CUE0000066</v>
          </cell>
          <cell r="BA76">
            <v>0.14000000000000001</v>
          </cell>
          <cell r="BB76" t="str">
            <v/>
          </cell>
          <cell r="BC76" t="str">
            <v/>
          </cell>
          <cell r="BD76" t="str">
            <v/>
          </cell>
          <cell r="BE76" t="str">
            <v/>
          </cell>
          <cell r="BF76" t="str">
            <v/>
          </cell>
          <cell r="BG76" t="str">
            <v/>
          </cell>
          <cell r="BH76" t="str">
            <v/>
          </cell>
          <cell r="BI76" t="str">
            <v/>
          </cell>
          <cell r="BJ76" t="str">
            <v/>
          </cell>
          <cell r="BK76" t="str">
            <v/>
          </cell>
          <cell r="BL76" t="str">
            <v/>
          </cell>
          <cell r="BM76" t="str">
            <v/>
          </cell>
          <cell r="BN76" t="str">
            <v/>
          </cell>
          <cell r="BO76" t="str">
            <v/>
          </cell>
          <cell r="BP76" t="str">
            <v/>
          </cell>
          <cell r="BQ76" t="str">
            <v/>
          </cell>
          <cell r="BR76" t="str">
            <v>SUELA</v>
          </cell>
          <cell r="BS76" t="str">
            <v>LA HERMIDA-CUERO VACHETTA LADO COLOR</v>
          </cell>
          <cell r="BT76" t="str">
            <v>CUE0000065</v>
          </cell>
          <cell r="BU76">
            <v>0.14000000000000001</v>
          </cell>
          <cell r="BV76" t="str">
            <v/>
          </cell>
          <cell r="BW76" t="str">
            <v/>
          </cell>
          <cell r="BX76" t="str">
            <v/>
          </cell>
          <cell r="BY76" t="str">
            <v/>
          </cell>
          <cell r="BZ76" t="str">
            <v/>
          </cell>
          <cell r="CA76" t="str">
            <v/>
          </cell>
          <cell r="CB76" t="str">
            <v/>
          </cell>
          <cell r="CC76" t="str">
            <v/>
          </cell>
          <cell r="CD76" t="str">
            <v/>
          </cell>
          <cell r="CE76" t="str">
            <v/>
          </cell>
          <cell r="CF76" t="str">
            <v/>
          </cell>
          <cell r="CG76" t="str">
            <v/>
          </cell>
          <cell r="CH76" t="str">
            <v/>
          </cell>
          <cell r="CI76" t="str">
            <v/>
          </cell>
          <cell r="CJ76" t="str">
            <v/>
          </cell>
          <cell r="CK76" t="str">
            <v/>
          </cell>
          <cell r="CL76" t="str">
            <v/>
          </cell>
          <cell r="CM76" t="str">
            <v/>
          </cell>
          <cell r="CN76" t="str">
            <v/>
          </cell>
          <cell r="CO76" t="str">
            <v/>
          </cell>
          <cell r="CP76" t="str">
            <v/>
          </cell>
          <cell r="CQ76" t="str">
            <v/>
          </cell>
          <cell r="CR76" t="str">
            <v/>
          </cell>
          <cell r="CS76" t="str">
            <v/>
          </cell>
          <cell r="CT76" t="str">
            <v/>
          </cell>
          <cell r="CU76" t="str">
            <v/>
          </cell>
          <cell r="CV76" t="str">
            <v/>
          </cell>
          <cell r="CW76" t="str">
            <v/>
          </cell>
          <cell r="CX76" t="str">
            <v/>
          </cell>
          <cell r="CY76" t="str">
            <v/>
          </cell>
          <cell r="CZ76" t="str">
            <v/>
          </cell>
          <cell r="DA76" t="str">
            <v/>
          </cell>
          <cell r="DB76" t="str">
            <v/>
          </cell>
          <cell r="DC76" t="str">
            <v/>
          </cell>
          <cell r="DD76" t="str">
            <v/>
          </cell>
          <cell r="DE76" t="str">
            <v/>
          </cell>
          <cell r="DF76" t="str">
            <v/>
          </cell>
          <cell r="DG76" t="str">
            <v/>
          </cell>
          <cell r="DH76" t="str">
            <v/>
          </cell>
          <cell r="DI76" t="str">
            <v/>
          </cell>
          <cell r="DJ76" t="str">
            <v/>
          </cell>
          <cell r="DK76" t="str">
            <v/>
          </cell>
          <cell r="DL76" t="str">
            <v/>
          </cell>
          <cell r="DM76" t="str">
            <v/>
          </cell>
          <cell r="DN76" t="str">
            <v/>
          </cell>
          <cell r="DO76" t="str">
            <v/>
          </cell>
          <cell r="DP76" t="str">
            <v/>
          </cell>
          <cell r="DQ76" t="str">
            <v/>
          </cell>
          <cell r="DR76" t="str">
            <v/>
          </cell>
          <cell r="DS76" t="str">
            <v/>
          </cell>
          <cell r="DT76" t="str">
            <v/>
          </cell>
          <cell r="DU76" t="str">
            <v/>
          </cell>
          <cell r="DV76" t="str">
            <v/>
          </cell>
          <cell r="DW76" t="str">
            <v/>
          </cell>
          <cell r="DX76" t="str">
            <v/>
          </cell>
          <cell r="DY76" t="str">
            <v/>
          </cell>
          <cell r="DZ76" t="str">
            <v/>
          </cell>
          <cell r="EA76" t="str">
            <v/>
          </cell>
          <cell r="EB76" t="str">
            <v/>
          </cell>
          <cell r="EC76" t="str">
            <v/>
          </cell>
          <cell r="ED76" t="str">
            <v/>
          </cell>
          <cell r="EE76" t="str">
            <v/>
          </cell>
          <cell r="EF76" t="str">
            <v/>
          </cell>
          <cell r="EG76" t="str">
            <v/>
          </cell>
          <cell r="EH76" t="str">
            <v/>
          </cell>
          <cell r="EI76" t="str">
            <v/>
          </cell>
          <cell r="EJ76" t="str">
            <v/>
          </cell>
          <cell r="EK76" t="str">
            <v/>
          </cell>
          <cell r="EL76" t="str">
            <v/>
          </cell>
          <cell r="EM76" t="str">
            <v/>
          </cell>
          <cell r="EN76" t="str">
            <v/>
          </cell>
          <cell r="EO76" t="str">
            <v/>
          </cell>
          <cell r="EP76" t="str">
            <v/>
          </cell>
          <cell r="EQ76" t="str">
            <v/>
          </cell>
          <cell r="ER76" t="str">
            <v/>
          </cell>
          <cell r="ES76" t="str">
            <v/>
          </cell>
          <cell r="ET76" t="str">
            <v/>
          </cell>
          <cell r="EU76" t="str">
            <v/>
          </cell>
          <cell r="EV76" t="str">
            <v/>
          </cell>
          <cell r="EW76" t="str">
            <v/>
          </cell>
          <cell r="EX76" t="str">
            <v/>
          </cell>
          <cell r="EY76" t="str">
            <v/>
          </cell>
          <cell r="EZ76" t="str">
            <v/>
          </cell>
          <cell r="FA76" t="str">
            <v/>
          </cell>
          <cell r="FB76" t="str">
            <v/>
          </cell>
          <cell r="FC76" t="str">
            <v/>
          </cell>
          <cell r="FD76" t="str">
            <v/>
          </cell>
          <cell r="FE76" t="str">
            <v/>
          </cell>
          <cell r="FF76" t="str">
            <v/>
          </cell>
          <cell r="FG76" t="str">
            <v/>
          </cell>
          <cell r="FH76" t="str">
            <v/>
          </cell>
          <cell r="FI76" t="str">
            <v/>
          </cell>
          <cell r="FJ76" t="str">
            <v/>
          </cell>
          <cell r="FK76" t="str">
            <v/>
          </cell>
          <cell r="FL76" t="str">
            <v/>
          </cell>
          <cell r="FM76" t="str">
            <v/>
          </cell>
          <cell r="FN76" t="str">
            <v/>
          </cell>
          <cell r="FO76" t="str">
            <v/>
          </cell>
          <cell r="FP76" t="str">
            <v/>
          </cell>
          <cell r="FQ76" t="str">
            <v/>
          </cell>
          <cell r="FR76" t="str">
            <v/>
          </cell>
          <cell r="FS76" t="str">
            <v/>
          </cell>
          <cell r="FT76" t="str">
            <v/>
          </cell>
          <cell r="FU76" t="str">
            <v/>
          </cell>
          <cell r="FV76" t="str">
            <v/>
          </cell>
          <cell r="FW76" t="str">
            <v/>
          </cell>
          <cell r="FX76" t="str">
            <v/>
          </cell>
          <cell r="FY76" t="str">
            <v/>
          </cell>
          <cell r="FZ76" t="str">
            <v/>
          </cell>
          <cell r="GA76" t="str">
            <v/>
          </cell>
          <cell r="GB76" t="str">
            <v/>
          </cell>
          <cell r="GC76" t="str">
            <v/>
          </cell>
          <cell r="GD76" t="str">
            <v/>
          </cell>
          <cell r="GE76" t="str">
            <v/>
          </cell>
          <cell r="GF76" t="str">
            <v/>
          </cell>
          <cell r="GG76" t="str">
            <v/>
          </cell>
          <cell r="GH76" t="str">
            <v/>
          </cell>
          <cell r="GI76" t="str">
            <v/>
          </cell>
          <cell r="GJ76" t="str">
            <v/>
          </cell>
          <cell r="GK76" t="str">
            <v/>
          </cell>
          <cell r="GL76" t="str">
            <v/>
          </cell>
          <cell r="GM76" t="str">
            <v/>
          </cell>
          <cell r="GN76" t="str">
            <v/>
          </cell>
          <cell r="GO76" t="str">
            <v/>
          </cell>
          <cell r="GP76" t="str">
            <v/>
          </cell>
          <cell r="GQ76" t="str">
            <v/>
          </cell>
          <cell r="GR76" t="str">
            <v/>
          </cell>
          <cell r="GS76" t="str">
            <v/>
          </cell>
          <cell r="GT76" t="str">
            <v/>
          </cell>
          <cell r="GU76" t="str">
            <v/>
          </cell>
          <cell r="GV76" t="str">
            <v/>
          </cell>
          <cell r="GW76" t="str">
            <v/>
          </cell>
          <cell r="GX76" t="str">
            <v/>
          </cell>
          <cell r="GY76" t="str">
            <v/>
          </cell>
          <cell r="GZ76" t="str">
            <v/>
          </cell>
          <cell r="HA76" t="str">
            <v/>
          </cell>
          <cell r="HB76" t="str">
            <v/>
          </cell>
          <cell r="HC76" t="str">
            <v/>
          </cell>
          <cell r="HD76" t="str">
            <v/>
          </cell>
          <cell r="HE76" t="str">
            <v/>
          </cell>
          <cell r="HF76" t="str">
            <v/>
          </cell>
          <cell r="HG76" t="str">
            <v/>
          </cell>
          <cell r="HH76" t="str">
            <v/>
          </cell>
          <cell r="HI76" t="str">
            <v/>
          </cell>
          <cell r="HJ76" t="str">
            <v/>
          </cell>
          <cell r="HK76" t="str">
            <v/>
          </cell>
          <cell r="HL76" t="str">
            <v/>
          </cell>
          <cell r="HM76" t="str">
            <v/>
          </cell>
          <cell r="HN76" t="str">
            <v/>
          </cell>
          <cell r="HO76" t="str">
            <v/>
          </cell>
          <cell r="HP76" t="str">
            <v/>
          </cell>
          <cell r="HQ76" t="str">
            <v/>
          </cell>
          <cell r="HR76" t="str">
            <v/>
          </cell>
          <cell r="HS76" t="str">
            <v/>
          </cell>
          <cell r="HT76" t="str">
            <v/>
          </cell>
          <cell r="HU76" t="str">
            <v/>
          </cell>
          <cell r="HV76" t="str">
            <v/>
          </cell>
          <cell r="HW76" t="str">
            <v/>
          </cell>
          <cell r="HX76" t="str">
            <v/>
          </cell>
          <cell r="HY76" t="str">
            <v/>
          </cell>
          <cell r="HZ76" t="str">
            <v/>
          </cell>
          <cell r="IA76" t="str">
            <v/>
          </cell>
          <cell r="IB76" t="str">
            <v/>
          </cell>
          <cell r="IC76" t="str">
            <v/>
          </cell>
          <cell r="ID76" t="str">
            <v/>
          </cell>
          <cell r="IE76" t="str">
            <v/>
          </cell>
          <cell r="IF76" t="str">
            <v/>
          </cell>
          <cell r="IG76" t="str">
            <v/>
          </cell>
          <cell r="IH76" t="str">
            <v/>
          </cell>
          <cell r="II76" t="str">
            <v/>
          </cell>
          <cell r="IJ76" t="str">
            <v/>
          </cell>
          <cell r="IK76" t="str">
            <v/>
          </cell>
          <cell r="IL76" t="str">
            <v/>
          </cell>
          <cell r="IM76" t="str">
            <v/>
          </cell>
          <cell r="IN76" t="str">
            <v/>
          </cell>
          <cell r="IO76" t="str">
            <v/>
          </cell>
          <cell r="IP76" t="str">
            <v/>
          </cell>
          <cell r="IQ76" t="str">
            <v/>
          </cell>
          <cell r="IR76" t="str">
            <v/>
          </cell>
          <cell r="IS76" t="str">
            <v/>
          </cell>
          <cell r="IT76" t="str">
            <v/>
          </cell>
          <cell r="IU76" t="str">
            <v/>
          </cell>
          <cell r="IV76" t="str">
            <v/>
          </cell>
          <cell r="IW76" t="str">
            <v/>
          </cell>
          <cell r="IX76" t="str">
            <v/>
          </cell>
          <cell r="IY76" t="str">
            <v/>
          </cell>
          <cell r="IZ76" t="str">
            <v/>
          </cell>
          <cell r="JA76" t="str">
            <v/>
          </cell>
          <cell r="JB76" t="str">
            <v/>
          </cell>
          <cell r="JC76" t="str">
            <v/>
          </cell>
          <cell r="JD76" t="str">
            <v/>
          </cell>
          <cell r="JE76" t="str">
            <v/>
          </cell>
          <cell r="JF76" t="str">
            <v/>
          </cell>
          <cell r="JG76" t="str">
            <v/>
          </cell>
          <cell r="JH76" t="str">
            <v/>
          </cell>
          <cell r="JI76" t="str">
            <v/>
          </cell>
          <cell r="JJ76" t="str">
            <v/>
          </cell>
          <cell r="JK76" t="str">
            <v/>
          </cell>
          <cell r="JL76" t="str">
            <v/>
          </cell>
          <cell r="JM76" t="str">
            <v/>
          </cell>
          <cell r="JN76" t="str">
            <v/>
          </cell>
          <cell r="JO76" t="str">
            <v/>
          </cell>
          <cell r="JP76" t="str">
            <v/>
          </cell>
          <cell r="JQ76" t="str">
            <v/>
          </cell>
          <cell r="JR76" t="str">
            <v/>
          </cell>
          <cell r="JS76" t="str">
            <v/>
          </cell>
          <cell r="JT76" t="str">
            <v/>
          </cell>
          <cell r="JU76" t="str">
            <v/>
          </cell>
          <cell r="JV76" t="str">
            <v/>
          </cell>
          <cell r="JW76" t="str">
            <v/>
          </cell>
          <cell r="JX76" t="str">
            <v/>
          </cell>
          <cell r="JY76" t="str">
            <v/>
          </cell>
          <cell r="JZ76" t="str">
            <v/>
          </cell>
          <cell r="KA76" t="str">
            <v/>
          </cell>
          <cell r="KB76" t="str">
            <v/>
          </cell>
          <cell r="KC76" t="str">
            <v/>
          </cell>
          <cell r="KD76">
            <v>10</v>
          </cell>
          <cell r="KE76">
            <v>10</v>
          </cell>
          <cell r="KF76">
            <v>10</v>
          </cell>
          <cell r="KG76">
            <v>20</v>
          </cell>
          <cell r="KH76">
            <v>20</v>
          </cell>
          <cell r="KI76">
            <v>20</v>
          </cell>
          <cell r="KJ76">
            <v>0</v>
          </cell>
          <cell r="KM76">
            <v>0</v>
          </cell>
          <cell r="KP76">
            <v>0</v>
          </cell>
          <cell r="KS76">
            <v>0</v>
          </cell>
          <cell r="KV76">
            <v>0</v>
          </cell>
          <cell r="KY76">
            <v>0</v>
          </cell>
          <cell r="LB76">
            <v>0</v>
          </cell>
          <cell r="LE76">
            <v>0</v>
          </cell>
          <cell r="LH76">
            <v>0</v>
          </cell>
          <cell r="LK76">
            <v>0</v>
          </cell>
          <cell r="LO76">
            <v>45755</v>
          </cell>
          <cell r="LP76" t="str">
            <v>COMPLETADO</v>
          </cell>
        </row>
        <row r="77">
          <cell r="A77">
            <v>1710</v>
          </cell>
          <cell r="B77" t="str">
            <v>RUBEN</v>
          </cell>
          <cell r="C77" t="str">
            <v>BARRACAS GRANDE</v>
          </cell>
          <cell r="D77" t="str">
            <v>MARROQUINERIA CHICA</v>
          </cell>
          <cell r="E77">
            <v>20</v>
          </cell>
          <cell r="F77">
            <v>20</v>
          </cell>
          <cell r="G77">
            <v>20</v>
          </cell>
          <cell r="H77">
            <v>45743.552233796298</v>
          </cell>
          <cell r="I77" t="str">
            <v>PORTAVINO TANDIL</v>
          </cell>
          <cell r="J77">
            <v>45741</v>
          </cell>
          <cell r="K77">
            <v>45741</v>
          </cell>
          <cell r="M77">
            <v>35</v>
          </cell>
          <cell r="N77" t="str">
            <v>M165</v>
          </cell>
          <cell r="O77" t="str">
            <v>AV170134014</v>
          </cell>
          <cell r="P77">
            <v>0</v>
          </cell>
          <cell r="Q77" t="str">
            <v/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 t="str">
            <v/>
          </cell>
          <cell r="AH77" t="str">
            <v/>
          </cell>
          <cell r="AI77" t="str">
            <v/>
          </cell>
          <cell r="AJ77" t="str">
            <v/>
          </cell>
          <cell r="AK77" t="str">
            <v/>
          </cell>
          <cell r="AL77" t="str">
            <v/>
          </cell>
          <cell r="AM77" t="str">
            <v/>
          </cell>
          <cell r="AN77" t="str">
            <v/>
          </cell>
          <cell r="AO77" t="str">
            <v/>
          </cell>
          <cell r="AP77" t="str">
            <v/>
          </cell>
          <cell r="AQ77" t="str">
            <v/>
          </cell>
          <cell r="AR77" t="str">
            <v/>
          </cell>
          <cell r="AS77" t="str">
            <v>PEGAR ETIQUETA DE CUERO AL FRENTE HILO AL TONO CON HILO GRUESO N 20</v>
          </cell>
          <cell r="AT77" t="str">
            <v/>
          </cell>
          <cell r="AU77" t="str">
            <v/>
          </cell>
          <cell r="AV77" t="str">
            <v/>
          </cell>
          <cell r="AW77" t="str">
            <v>GRABADO ETIQUETA EN BRIDGE AL TONO 7.5CM X 5.5CM "EL LUCERO HIGH QUALITY GOODS"</v>
          </cell>
          <cell r="AX77" t="str">
            <v>CARAMELO</v>
          </cell>
          <cell r="AY77" t="str">
            <v>ARENA-CUERO BRIDGE</v>
          </cell>
          <cell r="AZ77" t="str">
            <v>CUE0000004</v>
          </cell>
          <cell r="BA77">
            <v>0.21</v>
          </cell>
          <cell r="BB77" t="str">
            <v/>
          </cell>
          <cell r="BC77" t="str">
            <v/>
          </cell>
          <cell r="BD77" t="str">
            <v/>
          </cell>
          <cell r="BE77" t="str">
            <v/>
          </cell>
          <cell r="BF77" t="str">
            <v/>
          </cell>
          <cell r="BG77" t="str">
            <v/>
          </cell>
          <cell r="BH77" t="str">
            <v/>
          </cell>
          <cell r="BI77" t="str">
            <v/>
          </cell>
          <cell r="BJ77" t="str">
            <v/>
          </cell>
          <cell r="BK77" t="str">
            <v/>
          </cell>
          <cell r="BL77" t="str">
            <v/>
          </cell>
          <cell r="BM77" t="str">
            <v/>
          </cell>
          <cell r="BN77" t="str">
            <v/>
          </cell>
          <cell r="BO77" t="str">
            <v/>
          </cell>
          <cell r="BP77" t="str">
            <v/>
          </cell>
          <cell r="BQ77" t="str">
            <v/>
          </cell>
          <cell r="BR77" t="str">
            <v>TABACO</v>
          </cell>
          <cell r="BS77" t="str">
            <v>ARENA-CUERO BRIDGE</v>
          </cell>
          <cell r="BT77" t="str">
            <v>CUE0000012</v>
          </cell>
          <cell r="BU77">
            <v>0.21</v>
          </cell>
          <cell r="BV77" t="str">
            <v/>
          </cell>
          <cell r="BW77" t="str">
            <v/>
          </cell>
          <cell r="BX77" t="str">
            <v/>
          </cell>
          <cell r="BY77" t="str">
            <v/>
          </cell>
          <cell r="BZ77" t="str">
            <v/>
          </cell>
          <cell r="CA77" t="str">
            <v/>
          </cell>
          <cell r="CB77" t="str">
            <v/>
          </cell>
          <cell r="CC77" t="str">
            <v/>
          </cell>
          <cell r="CD77" t="str">
            <v/>
          </cell>
          <cell r="CE77" t="str">
            <v/>
          </cell>
          <cell r="CF77" t="str">
            <v/>
          </cell>
          <cell r="CG77" t="str">
            <v/>
          </cell>
          <cell r="CH77" t="str">
            <v/>
          </cell>
          <cell r="CI77" t="str">
            <v/>
          </cell>
          <cell r="CJ77" t="str">
            <v/>
          </cell>
          <cell r="CK77" t="str">
            <v/>
          </cell>
          <cell r="CL77" t="str">
            <v>NEGRO</v>
          </cell>
          <cell r="CM77" t="str">
            <v>ARENA-CUERO BRIDGE</v>
          </cell>
          <cell r="CN77" t="str">
            <v>CUE0000009</v>
          </cell>
          <cell r="CO77">
            <v>0.21</v>
          </cell>
          <cell r="CP77" t="str">
            <v/>
          </cell>
          <cell r="CQ77" t="str">
            <v/>
          </cell>
          <cell r="CR77" t="str">
            <v/>
          </cell>
          <cell r="CS77" t="str">
            <v/>
          </cell>
          <cell r="CT77" t="str">
            <v/>
          </cell>
          <cell r="CU77" t="str">
            <v/>
          </cell>
          <cell r="CV77" t="str">
            <v/>
          </cell>
          <cell r="CW77" t="str">
            <v/>
          </cell>
          <cell r="CX77" t="str">
            <v/>
          </cell>
          <cell r="CY77" t="str">
            <v/>
          </cell>
          <cell r="CZ77" t="str">
            <v/>
          </cell>
          <cell r="DA77" t="str">
            <v/>
          </cell>
          <cell r="DB77" t="str">
            <v/>
          </cell>
          <cell r="DC77" t="str">
            <v/>
          </cell>
          <cell r="DD77" t="str">
            <v/>
          </cell>
          <cell r="DE77" t="str">
            <v/>
          </cell>
          <cell r="DF77" t="str">
            <v>MALBEC</v>
          </cell>
          <cell r="DG77" t="str">
            <v>ARENA-CUERO BRIDGE</v>
          </cell>
          <cell r="DH77" t="str">
            <v>CUE0000008</v>
          </cell>
          <cell r="DI77">
            <v>0.21</v>
          </cell>
          <cell r="DJ77" t="str">
            <v/>
          </cell>
          <cell r="DK77" t="str">
            <v/>
          </cell>
          <cell r="DL77" t="str">
            <v/>
          </cell>
          <cell r="DM77" t="str">
            <v/>
          </cell>
          <cell r="DN77" t="str">
            <v/>
          </cell>
          <cell r="DO77" t="str">
            <v/>
          </cell>
          <cell r="DP77" t="str">
            <v/>
          </cell>
          <cell r="DQ77" t="str">
            <v/>
          </cell>
          <cell r="DR77" t="str">
            <v/>
          </cell>
          <cell r="DS77" t="str">
            <v/>
          </cell>
          <cell r="DT77" t="str">
            <v/>
          </cell>
          <cell r="DU77" t="str">
            <v/>
          </cell>
          <cell r="DV77" t="str">
            <v/>
          </cell>
          <cell r="DW77" t="str">
            <v/>
          </cell>
          <cell r="DX77" t="str">
            <v/>
          </cell>
          <cell r="DY77" t="str">
            <v/>
          </cell>
          <cell r="DZ77" t="str">
            <v/>
          </cell>
          <cell r="EA77" t="str">
            <v/>
          </cell>
          <cell r="EB77" t="str">
            <v/>
          </cell>
          <cell r="EC77" t="str">
            <v/>
          </cell>
          <cell r="ED77" t="str">
            <v/>
          </cell>
          <cell r="EE77" t="str">
            <v/>
          </cell>
          <cell r="EF77" t="str">
            <v/>
          </cell>
          <cell r="EG77" t="str">
            <v/>
          </cell>
          <cell r="EH77" t="str">
            <v/>
          </cell>
          <cell r="EI77" t="str">
            <v/>
          </cell>
          <cell r="EJ77" t="str">
            <v/>
          </cell>
          <cell r="EK77" t="str">
            <v/>
          </cell>
          <cell r="EL77" t="str">
            <v/>
          </cell>
          <cell r="EM77" t="str">
            <v/>
          </cell>
          <cell r="EN77" t="str">
            <v/>
          </cell>
          <cell r="EO77" t="str">
            <v/>
          </cell>
          <cell r="EP77" t="str">
            <v/>
          </cell>
          <cell r="EQ77" t="str">
            <v/>
          </cell>
          <cell r="ER77" t="str">
            <v/>
          </cell>
          <cell r="ES77" t="str">
            <v/>
          </cell>
          <cell r="ET77" t="str">
            <v/>
          </cell>
          <cell r="EU77" t="str">
            <v/>
          </cell>
          <cell r="EV77" t="str">
            <v/>
          </cell>
          <cell r="EW77" t="str">
            <v/>
          </cell>
          <cell r="EX77" t="str">
            <v/>
          </cell>
          <cell r="EY77" t="str">
            <v/>
          </cell>
          <cell r="EZ77" t="str">
            <v/>
          </cell>
          <cell r="FA77" t="str">
            <v/>
          </cell>
          <cell r="FB77" t="str">
            <v/>
          </cell>
          <cell r="FC77" t="str">
            <v/>
          </cell>
          <cell r="FD77" t="str">
            <v/>
          </cell>
          <cell r="FE77" t="str">
            <v/>
          </cell>
          <cell r="FF77" t="str">
            <v/>
          </cell>
          <cell r="FG77" t="str">
            <v/>
          </cell>
          <cell r="FH77" t="str">
            <v/>
          </cell>
          <cell r="FI77" t="str">
            <v/>
          </cell>
          <cell r="FJ77" t="str">
            <v/>
          </cell>
          <cell r="FK77" t="str">
            <v/>
          </cell>
          <cell r="FL77" t="str">
            <v/>
          </cell>
          <cell r="FM77" t="str">
            <v/>
          </cell>
          <cell r="FN77" t="str">
            <v/>
          </cell>
          <cell r="FO77" t="str">
            <v/>
          </cell>
          <cell r="FP77" t="str">
            <v/>
          </cell>
          <cell r="FQ77" t="str">
            <v/>
          </cell>
          <cell r="FR77" t="str">
            <v/>
          </cell>
          <cell r="FS77" t="str">
            <v/>
          </cell>
          <cell r="FT77" t="str">
            <v/>
          </cell>
          <cell r="FU77" t="str">
            <v/>
          </cell>
          <cell r="FV77" t="str">
            <v/>
          </cell>
          <cell r="FW77" t="str">
            <v/>
          </cell>
          <cell r="FX77" t="str">
            <v/>
          </cell>
          <cell r="FY77" t="str">
            <v/>
          </cell>
          <cell r="FZ77" t="str">
            <v/>
          </cell>
          <cell r="GA77" t="str">
            <v/>
          </cell>
          <cell r="GB77" t="str">
            <v/>
          </cell>
          <cell r="GC77" t="str">
            <v/>
          </cell>
          <cell r="GD77" t="str">
            <v/>
          </cell>
          <cell r="GE77" t="str">
            <v/>
          </cell>
          <cell r="GF77" t="str">
            <v/>
          </cell>
          <cell r="GG77" t="str">
            <v/>
          </cell>
          <cell r="GH77" t="str">
            <v/>
          </cell>
          <cell r="GI77" t="str">
            <v/>
          </cell>
          <cell r="GJ77" t="str">
            <v/>
          </cell>
          <cell r="GK77" t="str">
            <v/>
          </cell>
          <cell r="GL77" t="str">
            <v/>
          </cell>
          <cell r="GM77" t="str">
            <v/>
          </cell>
          <cell r="GN77" t="str">
            <v/>
          </cell>
          <cell r="GO77" t="str">
            <v/>
          </cell>
          <cell r="GP77" t="str">
            <v/>
          </cell>
          <cell r="GQ77" t="str">
            <v/>
          </cell>
          <cell r="GR77" t="str">
            <v/>
          </cell>
          <cell r="GS77" t="str">
            <v/>
          </cell>
          <cell r="GT77" t="str">
            <v/>
          </cell>
          <cell r="GU77" t="str">
            <v/>
          </cell>
          <cell r="GV77" t="str">
            <v/>
          </cell>
          <cell r="GW77" t="str">
            <v/>
          </cell>
          <cell r="GX77" t="str">
            <v/>
          </cell>
          <cell r="GY77" t="str">
            <v/>
          </cell>
          <cell r="GZ77" t="str">
            <v/>
          </cell>
          <cell r="HA77" t="str">
            <v/>
          </cell>
          <cell r="HB77" t="str">
            <v/>
          </cell>
          <cell r="HC77" t="str">
            <v/>
          </cell>
          <cell r="HD77" t="str">
            <v/>
          </cell>
          <cell r="HE77" t="str">
            <v/>
          </cell>
          <cell r="HF77" t="str">
            <v/>
          </cell>
          <cell r="HG77" t="str">
            <v/>
          </cell>
          <cell r="HH77" t="str">
            <v/>
          </cell>
          <cell r="HI77" t="str">
            <v/>
          </cell>
          <cell r="HJ77" t="str">
            <v/>
          </cell>
          <cell r="HK77" t="str">
            <v/>
          </cell>
          <cell r="HL77" t="str">
            <v/>
          </cell>
          <cell r="HM77" t="str">
            <v/>
          </cell>
          <cell r="HN77" t="str">
            <v/>
          </cell>
          <cell r="HO77" t="str">
            <v/>
          </cell>
          <cell r="HP77" t="str">
            <v/>
          </cell>
          <cell r="HQ77" t="str">
            <v/>
          </cell>
          <cell r="HR77" t="str">
            <v/>
          </cell>
          <cell r="HS77" t="str">
            <v/>
          </cell>
          <cell r="HT77" t="str">
            <v/>
          </cell>
          <cell r="HU77" t="str">
            <v/>
          </cell>
          <cell r="HV77" t="str">
            <v/>
          </cell>
          <cell r="HW77" t="str">
            <v/>
          </cell>
          <cell r="HX77" t="str">
            <v/>
          </cell>
          <cell r="HY77" t="str">
            <v/>
          </cell>
          <cell r="HZ77" t="str">
            <v/>
          </cell>
          <cell r="IA77" t="str">
            <v/>
          </cell>
          <cell r="IB77" t="str">
            <v/>
          </cell>
          <cell r="IC77" t="str">
            <v/>
          </cell>
          <cell r="ID77" t="str">
            <v/>
          </cell>
          <cell r="IE77" t="str">
            <v/>
          </cell>
          <cell r="IF77" t="str">
            <v/>
          </cell>
          <cell r="IG77" t="str">
            <v/>
          </cell>
          <cell r="IH77" t="str">
            <v/>
          </cell>
          <cell r="II77" t="str">
            <v/>
          </cell>
          <cell r="IJ77" t="str">
            <v/>
          </cell>
          <cell r="IK77" t="str">
            <v/>
          </cell>
          <cell r="IL77" t="str">
            <v/>
          </cell>
          <cell r="IM77" t="str">
            <v/>
          </cell>
          <cell r="IN77" t="str">
            <v/>
          </cell>
          <cell r="IO77" t="str">
            <v/>
          </cell>
          <cell r="IP77" t="str">
            <v/>
          </cell>
          <cell r="IQ77" t="str">
            <v/>
          </cell>
          <cell r="IR77" t="str">
            <v/>
          </cell>
          <cell r="IS77" t="str">
            <v/>
          </cell>
          <cell r="IT77" t="str">
            <v/>
          </cell>
          <cell r="IU77" t="str">
            <v/>
          </cell>
          <cell r="IV77" t="str">
            <v/>
          </cell>
          <cell r="IW77" t="str">
            <v/>
          </cell>
          <cell r="IX77" t="str">
            <v/>
          </cell>
          <cell r="IY77" t="str">
            <v/>
          </cell>
          <cell r="IZ77" t="str">
            <v/>
          </cell>
          <cell r="JA77" t="str">
            <v/>
          </cell>
          <cell r="JB77" t="str">
            <v/>
          </cell>
          <cell r="JC77" t="str">
            <v/>
          </cell>
          <cell r="JD77" t="str">
            <v/>
          </cell>
          <cell r="JE77" t="str">
            <v/>
          </cell>
          <cell r="JF77" t="str">
            <v/>
          </cell>
          <cell r="JG77" t="str">
            <v/>
          </cell>
          <cell r="JH77" t="str">
            <v/>
          </cell>
          <cell r="JI77" t="str">
            <v/>
          </cell>
          <cell r="JJ77" t="str">
            <v/>
          </cell>
          <cell r="JK77" t="str">
            <v/>
          </cell>
          <cell r="JL77" t="str">
            <v/>
          </cell>
          <cell r="JM77" t="str">
            <v/>
          </cell>
          <cell r="JN77" t="str">
            <v/>
          </cell>
          <cell r="JO77" t="str">
            <v/>
          </cell>
          <cell r="JP77" t="str">
            <v/>
          </cell>
          <cell r="JQ77" t="str">
            <v/>
          </cell>
          <cell r="JR77" t="str">
            <v/>
          </cell>
          <cell r="JS77" t="str">
            <v/>
          </cell>
          <cell r="JT77" t="str">
            <v/>
          </cell>
          <cell r="JU77" t="str">
            <v/>
          </cell>
          <cell r="JV77" t="str">
            <v/>
          </cell>
          <cell r="JW77" t="str">
            <v/>
          </cell>
          <cell r="JX77" t="str">
            <v/>
          </cell>
          <cell r="JY77" t="str">
            <v/>
          </cell>
          <cell r="JZ77" t="str">
            <v/>
          </cell>
          <cell r="KA77" t="str">
            <v/>
          </cell>
          <cell r="KB77" t="str">
            <v/>
          </cell>
          <cell r="KC77" t="str">
            <v/>
          </cell>
          <cell r="KD77">
            <v>4</v>
          </cell>
          <cell r="KE77">
            <v>4</v>
          </cell>
          <cell r="KF77">
            <v>4</v>
          </cell>
          <cell r="KG77">
            <v>4</v>
          </cell>
          <cell r="KH77">
            <v>4</v>
          </cell>
          <cell r="KI77">
            <v>4</v>
          </cell>
          <cell r="KJ77">
            <v>4</v>
          </cell>
          <cell r="KK77">
            <v>4</v>
          </cell>
          <cell r="KL77">
            <v>4</v>
          </cell>
          <cell r="KM77">
            <v>8</v>
          </cell>
          <cell r="KN77">
            <v>8</v>
          </cell>
          <cell r="KO77">
            <v>8</v>
          </cell>
          <cell r="KP77">
            <v>0</v>
          </cell>
          <cell r="KS77">
            <v>0</v>
          </cell>
          <cell r="KV77">
            <v>0</v>
          </cell>
          <cell r="KY77">
            <v>0</v>
          </cell>
          <cell r="LB77">
            <v>0</v>
          </cell>
          <cell r="LE77">
            <v>0</v>
          </cell>
          <cell r="LH77">
            <v>0</v>
          </cell>
          <cell r="LK77">
            <v>0</v>
          </cell>
          <cell r="LO77">
            <v>45750</v>
          </cell>
          <cell r="LP77" t="str">
            <v>COMPLETADO</v>
          </cell>
        </row>
        <row r="78">
          <cell r="A78">
            <v>1711</v>
          </cell>
          <cell r="B78" t="str">
            <v>RUBEN</v>
          </cell>
          <cell r="C78" t="str">
            <v>BARRACAS GRANDE</v>
          </cell>
          <cell r="D78" t="str">
            <v>MARROQUINERIA CHICA</v>
          </cell>
          <cell r="E78">
            <v>20</v>
          </cell>
          <cell r="F78">
            <v>20</v>
          </cell>
          <cell r="G78">
            <v>20</v>
          </cell>
          <cell r="H78">
            <v>45743.564166666663</v>
          </cell>
          <cell r="I78" t="str">
            <v>PORTAVINO UCO</v>
          </cell>
          <cell r="J78">
            <v>45741</v>
          </cell>
          <cell r="K78">
            <v>45741</v>
          </cell>
          <cell r="M78">
            <v>37</v>
          </cell>
          <cell r="N78" t="str">
            <v>M166</v>
          </cell>
          <cell r="O78" t="str">
            <v>AV170134014</v>
          </cell>
          <cell r="P78">
            <v>0</v>
          </cell>
          <cell r="Q78" t="str">
            <v/>
          </cell>
          <cell r="R78" t="str">
            <v/>
          </cell>
          <cell r="S78" t="str">
            <v/>
          </cell>
          <cell r="T78" t="str">
            <v/>
          </cell>
          <cell r="U78" t="str">
            <v/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J78" t="str">
            <v/>
          </cell>
          <cell r="AK78" t="str">
            <v/>
          </cell>
          <cell r="AL78" t="str">
            <v/>
          </cell>
          <cell r="AM78" t="str">
            <v/>
          </cell>
          <cell r="AN78" t="str">
            <v/>
          </cell>
          <cell r="AO78" t="str">
            <v/>
          </cell>
          <cell r="AP78" t="str">
            <v/>
          </cell>
          <cell r="AQ78" t="str">
            <v/>
          </cell>
          <cell r="AR78" t="str">
            <v/>
          </cell>
          <cell r="AS78" t="str">
            <v>PEGAR ETIQUETA DE CUERO AL FRENTE HILO AL TONO CON HILO GRUESO N 20</v>
          </cell>
          <cell r="AT78" t="str">
            <v/>
          </cell>
          <cell r="AU78" t="str">
            <v/>
          </cell>
          <cell r="AV78" t="str">
            <v/>
          </cell>
          <cell r="AW78" t="str">
            <v>GRABADO ETIQUETA EN BRIDGE AL TONO 7,5CM X 5,5CM "EL LUCERO HIGH QUALITY GOODS"</v>
          </cell>
          <cell r="AX78" t="str">
            <v>CARAMELO</v>
          </cell>
          <cell r="AY78" t="str">
            <v>ARENA-CUERO BRIDGE</v>
          </cell>
          <cell r="AZ78" t="str">
            <v>CUE0000004</v>
          </cell>
          <cell r="BA78">
            <v>0.28000000000000003</v>
          </cell>
          <cell r="BB78" t="str">
            <v/>
          </cell>
          <cell r="BC78" t="str">
            <v/>
          </cell>
          <cell r="BD78" t="str">
            <v/>
          </cell>
          <cell r="BE78" t="str">
            <v/>
          </cell>
          <cell r="BF78" t="str">
            <v/>
          </cell>
          <cell r="BG78" t="str">
            <v/>
          </cell>
          <cell r="BH78" t="str">
            <v/>
          </cell>
          <cell r="BI78" t="str">
            <v/>
          </cell>
          <cell r="BJ78" t="str">
            <v/>
          </cell>
          <cell r="BK78" t="str">
            <v/>
          </cell>
          <cell r="BL78" t="str">
            <v/>
          </cell>
          <cell r="BM78" t="str">
            <v/>
          </cell>
          <cell r="BN78" t="str">
            <v/>
          </cell>
          <cell r="BO78" t="str">
            <v/>
          </cell>
          <cell r="BP78" t="str">
            <v/>
          </cell>
          <cell r="BQ78" t="str">
            <v/>
          </cell>
          <cell r="BR78" t="str">
            <v>TABACO</v>
          </cell>
          <cell r="BS78" t="str">
            <v>ARENA-CUERO BRIDGE</v>
          </cell>
          <cell r="BT78" t="str">
            <v>CUE0000012</v>
          </cell>
          <cell r="BU78">
            <v>0.28000000000000003</v>
          </cell>
          <cell r="BV78" t="str">
            <v/>
          </cell>
          <cell r="BW78" t="str">
            <v/>
          </cell>
          <cell r="BX78" t="str">
            <v/>
          </cell>
          <cell r="BY78" t="str">
            <v/>
          </cell>
          <cell r="BZ78" t="str">
            <v/>
          </cell>
          <cell r="CA78" t="str">
            <v/>
          </cell>
          <cell r="CB78" t="str">
            <v/>
          </cell>
          <cell r="CC78" t="str">
            <v/>
          </cell>
          <cell r="CD78" t="str">
            <v/>
          </cell>
          <cell r="CE78" t="str">
            <v/>
          </cell>
          <cell r="CF78" t="str">
            <v/>
          </cell>
          <cell r="CG78" t="str">
            <v/>
          </cell>
          <cell r="CH78" t="str">
            <v/>
          </cell>
          <cell r="CI78" t="str">
            <v/>
          </cell>
          <cell r="CJ78" t="str">
            <v/>
          </cell>
          <cell r="CK78" t="str">
            <v/>
          </cell>
          <cell r="CL78" t="str">
            <v>NEGRO</v>
          </cell>
          <cell r="CM78" t="str">
            <v>ARENA-CUERO BRIDGE</v>
          </cell>
          <cell r="CN78" t="str">
            <v>CUE0000009</v>
          </cell>
          <cell r="CO78">
            <v>0.28000000000000003</v>
          </cell>
          <cell r="CP78" t="str">
            <v/>
          </cell>
          <cell r="CQ78" t="str">
            <v/>
          </cell>
          <cell r="CR78" t="str">
            <v/>
          </cell>
          <cell r="CS78" t="str">
            <v/>
          </cell>
          <cell r="CT78" t="str">
            <v/>
          </cell>
          <cell r="CU78" t="str">
            <v/>
          </cell>
          <cell r="CV78" t="str">
            <v/>
          </cell>
          <cell r="CW78" t="str">
            <v/>
          </cell>
          <cell r="CX78" t="str">
            <v/>
          </cell>
          <cell r="CY78" t="str">
            <v/>
          </cell>
          <cell r="CZ78" t="str">
            <v/>
          </cell>
          <cell r="DA78" t="str">
            <v/>
          </cell>
          <cell r="DB78" t="str">
            <v/>
          </cell>
          <cell r="DC78" t="str">
            <v/>
          </cell>
          <cell r="DD78" t="str">
            <v/>
          </cell>
          <cell r="DE78" t="str">
            <v/>
          </cell>
          <cell r="DF78" t="str">
            <v>MALBEC</v>
          </cell>
          <cell r="DG78" t="str">
            <v>ARENA-CUERO BRIDGE</v>
          </cell>
          <cell r="DH78" t="str">
            <v>CUE0000008</v>
          </cell>
          <cell r="DI78">
            <v>0.28000000000000003</v>
          </cell>
          <cell r="DJ78" t="str">
            <v/>
          </cell>
          <cell r="DK78" t="str">
            <v/>
          </cell>
          <cell r="DL78" t="str">
            <v/>
          </cell>
          <cell r="DM78" t="str">
            <v/>
          </cell>
          <cell r="DN78" t="str">
            <v/>
          </cell>
          <cell r="DO78" t="str">
            <v/>
          </cell>
          <cell r="DP78" t="str">
            <v/>
          </cell>
          <cell r="DQ78" t="str">
            <v/>
          </cell>
          <cell r="DR78" t="str">
            <v/>
          </cell>
          <cell r="DS78" t="str">
            <v/>
          </cell>
          <cell r="DT78" t="str">
            <v/>
          </cell>
          <cell r="DU78" t="str">
            <v/>
          </cell>
          <cell r="DV78" t="str">
            <v/>
          </cell>
          <cell r="DW78" t="str">
            <v/>
          </cell>
          <cell r="DX78" t="str">
            <v/>
          </cell>
          <cell r="DY78" t="str">
            <v/>
          </cell>
          <cell r="DZ78" t="str">
            <v/>
          </cell>
          <cell r="EA78" t="str">
            <v/>
          </cell>
          <cell r="EB78" t="str">
            <v/>
          </cell>
          <cell r="EC78" t="str">
            <v/>
          </cell>
          <cell r="ED78" t="str">
            <v/>
          </cell>
          <cell r="EE78" t="str">
            <v/>
          </cell>
          <cell r="EF78" t="str">
            <v/>
          </cell>
          <cell r="EG78" t="str">
            <v/>
          </cell>
          <cell r="EH78" t="str">
            <v/>
          </cell>
          <cell r="EI78" t="str">
            <v/>
          </cell>
          <cell r="EJ78" t="str">
            <v/>
          </cell>
          <cell r="EK78" t="str">
            <v/>
          </cell>
          <cell r="EL78" t="str">
            <v/>
          </cell>
          <cell r="EM78" t="str">
            <v/>
          </cell>
          <cell r="EN78" t="str">
            <v/>
          </cell>
          <cell r="EO78" t="str">
            <v/>
          </cell>
          <cell r="EP78" t="str">
            <v/>
          </cell>
          <cell r="EQ78" t="str">
            <v/>
          </cell>
          <cell r="ER78" t="str">
            <v/>
          </cell>
          <cell r="ES78" t="str">
            <v/>
          </cell>
          <cell r="ET78" t="str">
            <v/>
          </cell>
          <cell r="EU78" t="str">
            <v/>
          </cell>
          <cell r="EV78" t="str">
            <v/>
          </cell>
          <cell r="EW78" t="str">
            <v/>
          </cell>
          <cell r="EX78" t="str">
            <v/>
          </cell>
          <cell r="EY78" t="str">
            <v/>
          </cell>
          <cell r="EZ78" t="str">
            <v/>
          </cell>
          <cell r="FA78" t="str">
            <v/>
          </cell>
          <cell r="FB78" t="str">
            <v/>
          </cell>
          <cell r="FC78" t="str">
            <v/>
          </cell>
          <cell r="FD78" t="str">
            <v/>
          </cell>
          <cell r="FE78" t="str">
            <v/>
          </cell>
          <cell r="FF78" t="str">
            <v/>
          </cell>
          <cell r="FG78" t="str">
            <v/>
          </cell>
          <cell r="FH78" t="str">
            <v/>
          </cell>
          <cell r="FI78" t="str">
            <v/>
          </cell>
          <cell r="FJ78" t="str">
            <v/>
          </cell>
          <cell r="FK78" t="str">
            <v/>
          </cell>
          <cell r="FL78" t="str">
            <v/>
          </cell>
          <cell r="FM78" t="str">
            <v/>
          </cell>
          <cell r="FN78" t="str">
            <v/>
          </cell>
          <cell r="FO78" t="str">
            <v/>
          </cell>
          <cell r="FP78" t="str">
            <v/>
          </cell>
          <cell r="FQ78" t="str">
            <v/>
          </cell>
          <cell r="FR78" t="str">
            <v/>
          </cell>
          <cell r="FS78" t="str">
            <v/>
          </cell>
          <cell r="FT78" t="str">
            <v/>
          </cell>
          <cell r="FU78" t="str">
            <v/>
          </cell>
          <cell r="FV78" t="str">
            <v/>
          </cell>
          <cell r="FW78" t="str">
            <v/>
          </cell>
          <cell r="FX78" t="str">
            <v/>
          </cell>
          <cell r="FY78" t="str">
            <v/>
          </cell>
          <cell r="FZ78" t="str">
            <v/>
          </cell>
          <cell r="GA78" t="str">
            <v/>
          </cell>
          <cell r="GB78" t="str">
            <v/>
          </cell>
          <cell r="GC78" t="str">
            <v/>
          </cell>
          <cell r="GD78" t="str">
            <v/>
          </cell>
          <cell r="GE78" t="str">
            <v/>
          </cell>
          <cell r="GF78" t="str">
            <v/>
          </cell>
          <cell r="GG78" t="str">
            <v/>
          </cell>
          <cell r="GH78" t="str">
            <v/>
          </cell>
          <cell r="GI78" t="str">
            <v/>
          </cell>
          <cell r="GJ78" t="str">
            <v/>
          </cell>
          <cell r="GK78" t="str">
            <v/>
          </cell>
          <cell r="GL78" t="str">
            <v/>
          </cell>
          <cell r="GM78" t="str">
            <v/>
          </cell>
          <cell r="GN78" t="str">
            <v/>
          </cell>
          <cell r="GO78" t="str">
            <v/>
          </cell>
          <cell r="GP78" t="str">
            <v/>
          </cell>
          <cell r="GQ78" t="str">
            <v/>
          </cell>
          <cell r="GR78" t="str">
            <v/>
          </cell>
          <cell r="GS78" t="str">
            <v/>
          </cell>
          <cell r="GT78" t="str">
            <v/>
          </cell>
          <cell r="GU78" t="str">
            <v/>
          </cell>
          <cell r="GV78" t="str">
            <v/>
          </cell>
          <cell r="GW78" t="str">
            <v/>
          </cell>
          <cell r="GX78" t="str">
            <v/>
          </cell>
          <cell r="GY78" t="str">
            <v/>
          </cell>
          <cell r="GZ78" t="str">
            <v/>
          </cell>
          <cell r="HA78" t="str">
            <v/>
          </cell>
          <cell r="HB78" t="str">
            <v/>
          </cell>
          <cell r="HC78" t="str">
            <v/>
          </cell>
          <cell r="HD78" t="str">
            <v/>
          </cell>
          <cell r="HE78" t="str">
            <v/>
          </cell>
          <cell r="HF78" t="str">
            <v/>
          </cell>
          <cell r="HG78" t="str">
            <v/>
          </cell>
          <cell r="HH78" t="str">
            <v/>
          </cell>
          <cell r="HI78" t="str">
            <v/>
          </cell>
          <cell r="HJ78" t="str">
            <v/>
          </cell>
          <cell r="HK78" t="str">
            <v/>
          </cell>
          <cell r="HL78" t="str">
            <v/>
          </cell>
          <cell r="HM78" t="str">
            <v/>
          </cell>
          <cell r="HN78" t="str">
            <v/>
          </cell>
          <cell r="HO78" t="str">
            <v/>
          </cell>
          <cell r="HP78" t="str">
            <v/>
          </cell>
          <cell r="HQ78" t="str">
            <v/>
          </cell>
          <cell r="HR78" t="str">
            <v/>
          </cell>
          <cell r="HS78" t="str">
            <v/>
          </cell>
          <cell r="HT78" t="str">
            <v/>
          </cell>
          <cell r="HU78" t="str">
            <v/>
          </cell>
          <cell r="HV78" t="str">
            <v/>
          </cell>
          <cell r="HW78" t="str">
            <v/>
          </cell>
          <cell r="HX78" t="str">
            <v/>
          </cell>
          <cell r="HY78" t="str">
            <v/>
          </cell>
          <cell r="HZ78" t="str">
            <v/>
          </cell>
          <cell r="IA78" t="str">
            <v/>
          </cell>
          <cell r="IB78" t="str">
            <v/>
          </cell>
          <cell r="IC78" t="str">
            <v/>
          </cell>
          <cell r="ID78" t="str">
            <v/>
          </cell>
          <cell r="IE78" t="str">
            <v/>
          </cell>
          <cell r="IF78" t="str">
            <v/>
          </cell>
          <cell r="IG78" t="str">
            <v/>
          </cell>
          <cell r="IH78" t="str">
            <v/>
          </cell>
          <cell r="II78" t="str">
            <v/>
          </cell>
          <cell r="IJ78" t="str">
            <v/>
          </cell>
          <cell r="IK78" t="str">
            <v/>
          </cell>
          <cell r="IL78" t="str">
            <v/>
          </cell>
          <cell r="IM78" t="str">
            <v/>
          </cell>
          <cell r="IN78" t="str">
            <v/>
          </cell>
          <cell r="IO78" t="str">
            <v/>
          </cell>
          <cell r="IP78" t="str">
            <v/>
          </cell>
          <cell r="IQ78" t="str">
            <v/>
          </cell>
          <cell r="IR78" t="str">
            <v/>
          </cell>
          <cell r="IS78" t="str">
            <v/>
          </cell>
          <cell r="IT78" t="str">
            <v/>
          </cell>
          <cell r="IU78" t="str">
            <v/>
          </cell>
          <cell r="IV78" t="str">
            <v/>
          </cell>
          <cell r="IW78" t="str">
            <v/>
          </cell>
          <cell r="IX78" t="str">
            <v/>
          </cell>
          <cell r="IY78" t="str">
            <v/>
          </cell>
          <cell r="IZ78" t="str">
            <v/>
          </cell>
          <cell r="JA78" t="str">
            <v/>
          </cell>
          <cell r="JB78" t="str">
            <v/>
          </cell>
          <cell r="JC78" t="str">
            <v/>
          </cell>
          <cell r="JD78" t="str">
            <v/>
          </cell>
          <cell r="JE78" t="str">
            <v/>
          </cell>
          <cell r="JF78" t="str">
            <v/>
          </cell>
          <cell r="JG78" t="str">
            <v/>
          </cell>
          <cell r="JH78" t="str">
            <v/>
          </cell>
          <cell r="JI78" t="str">
            <v/>
          </cell>
          <cell r="JJ78" t="str">
            <v/>
          </cell>
          <cell r="JK78" t="str">
            <v/>
          </cell>
          <cell r="JL78" t="str">
            <v/>
          </cell>
          <cell r="JM78" t="str">
            <v/>
          </cell>
          <cell r="JN78" t="str">
            <v/>
          </cell>
          <cell r="JO78" t="str">
            <v/>
          </cell>
          <cell r="JP78" t="str">
            <v/>
          </cell>
          <cell r="JQ78" t="str">
            <v/>
          </cell>
          <cell r="JR78" t="str">
            <v/>
          </cell>
          <cell r="JS78" t="str">
            <v/>
          </cell>
          <cell r="JT78" t="str">
            <v/>
          </cell>
          <cell r="JU78" t="str">
            <v/>
          </cell>
          <cell r="JV78" t="str">
            <v/>
          </cell>
          <cell r="JW78" t="str">
            <v/>
          </cell>
          <cell r="JX78" t="str">
            <v/>
          </cell>
          <cell r="JY78" t="str">
            <v/>
          </cell>
          <cell r="JZ78" t="str">
            <v/>
          </cell>
          <cell r="KA78" t="str">
            <v/>
          </cell>
          <cell r="KB78" t="str">
            <v/>
          </cell>
          <cell r="KC78" t="str">
            <v/>
          </cell>
          <cell r="KD78">
            <v>4</v>
          </cell>
          <cell r="KE78">
            <v>4</v>
          </cell>
          <cell r="KF78">
            <v>4</v>
          </cell>
          <cell r="KG78">
            <v>4</v>
          </cell>
          <cell r="KH78">
            <v>4</v>
          </cell>
          <cell r="KI78">
            <v>4</v>
          </cell>
          <cell r="KJ78">
            <v>4</v>
          </cell>
          <cell r="KK78">
            <v>4</v>
          </cell>
          <cell r="KL78">
            <v>4</v>
          </cell>
          <cell r="KM78">
            <v>8</v>
          </cell>
          <cell r="KN78">
            <v>8</v>
          </cell>
          <cell r="KO78">
            <v>8</v>
          </cell>
          <cell r="KP78">
            <v>0</v>
          </cell>
          <cell r="KS78">
            <v>0</v>
          </cell>
          <cell r="KV78">
            <v>0</v>
          </cell>
          <cell r="KY78">
            <v>0</v>
          </cell>
          <cell r="LB78">
            <v>0</v>
          </cell>
          <cell r="LE78">
            <v>0</v>
          </cell>
          <cell r="LH78">
            <v>0</v>
          </cell>
          <cell r="LK78">
            <v>0</v>
          </cell>
          <cell r="LO78">
            <v>45755</v>
          </cell>
          <cell r="LP78" t="str">
            <v>COMPLETADO</v>
          </cell>
        </row>
        <row r="79">
          <cell r="A79">
            <v>1712</v>
          </cell>
          <cell r="B79" t="str">
            <v>LUCIANO</v>
          </cell>
          <cell r="C79" t="str">
            <v>BARRACAS CHICA</v>
          </cell>
          <cell r="D79" t="str">
            <v>MARROQUINERIA CHICA</v>
          </cell>
          <cell r="E79">
            <v>22</v>
          </cell>
          <cell r="F79">
            <v>22</v>
          </cell>
          <cell r="G79">
            <v>22</v>
          </cell>
          <cell r="H79">
            <v>45743.568622685183</v>
          </cell>
          <cell r="I79" t="str">
            <v>BILLETERA ARLO</v>
          </cell>
          <cell r="J79">
            <v>45741</v>
          </cell>
          <cell r="K79">
            <v>45741</v>
          </cell>
          <cell r="M79">
            <v>50</v>
          </cell>
          <cell r="N79" t="str">
            <v>M162</v>
          </cell>
          <cell r="O79" t="str">
            <v>BAC0900100161</v>
          </cell>
          <cell r="P79">
            <v>0.1</v>
          </cell>
          <cell r="Q79" t="str">
            <v>AV170134014</v>
          </cell>
          <cell r="R79">
            <v>0</v>
          </cell>
          <cell r="S79" t="str">
            <v/>
          </cell>
          <cell r="T79" t="str">
            <v/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 t="str">
            <v/>
          </cell>
          <cell r="AH79" t="str">
            <v/>
          </cell>
          <cell r="AI79" t="str">
            <v/>
          </cell>
          <cell r="AJ79" t="str">
            <v/>
          </cell>
          <cell r="AK79" t="str">
            <v/>
          </cell>
          <cell r="AL79" t="str">
            <v/>
          </cell>
          <cell r="AM79" t="str">
            <v/>
          </cell>
          <cell r="AN79" t="str">
            <v/>
          </cell>
          <cell r="AO79" t="str">
            <v/>
          </cell>
          <cell r="AP79" t="str">
            <v/>
          </cell>
          <cell r="AQ79" t="str">
            <v/>
          </cell>
          <cell r="AR79" t="str">
            <v/>
          </cell>
          <cell r="AS79" t="str">
            <v>GRABADO EN TARJETERO "EL LUCERO ARGENTINA" CHICO 
ATRAS CENTRADO A 1 CM DESDE EL BORDE INFERIOR</v>
          </cell>
          <cell r="AT79" t="str">
            <v>LLEVA 2 GRABADOS</v>
          </cell>
          <cell r="AU79" t="str">
            <v/>
          </cell>
          <cell r="AV79" t="str">
            <v/>
          </cell>
          <cell r="AW79" t="str">
            <v>GRABADO EN INTERIOR  
"EL LUCERO 
ARGENTINA" CHICO - 
CENTRADO A 1 CM 
DESDE EL BORDE 
INFERIOR</v>
          </cell>
          <cell r="AX79" t="str">
            <v>TABACO</v>
          </cell>
          <cell r="AY79" t="str">
            <v>ARENA-CUERO BRIDGE</v>
          </cell>
          <cell r="AZ79" t="str">
            <v>CUE0000012</v>
          </cell>
          <cell r="BA79">
            <v>0.11</v>
          </cell>
          <cell r="BB79" t="str">
            <v>FOR0000015</v>
          </cell>
          <cell r="BC79">
            <v>0.1</v>
          </cell>
          <cell r="BD79" t="str">
            <v/>
          </cell>
          <cell r="BE79" t="str">
            <v/>
          </cell>
          <cell r="BF79" t="str">
            <v/>
          </cell>
          <cell r="BG79" t="str">
            <v/>
          </cell>
          <cell r="BH79" t="str">
            <v/>
          </cell>
          <cell r="BI79" t="str">
            <v/>
          </cell>
          <cell r="BJ79" t="str">
            <v/>
          </cell>
          <cell r="BK79" t="str">
            <v/>
          </cell>
          <cell r="BL79" t="str">
            <v/>
          </cell>
          <cell r="BM79" t="str">
            <v/>
          </cell>
          <cell r="BN79" t="str">
            <v/>
          </cell>
          <cell r="BO79" t="str">
            <v/>
          </cell>
          <cell r="BP79" t="str">
            <v/>
          </cell>
          <cell r="BQ79" t="str">
            <v/>
          </cell>
          <cell r="BR79" t="str">
            <v>CHOCOLATE</v>
          </cell>
          <cell r="BS79" t="str">
            <v>ARENA-CUERO BRIDGE</v>
          </cell>
          <cell r="BT79" t="str">
            <v>CUE0000005</v>
          </cell>
          <cell r="BU79">
            <v>0.11</v>
          </cell>
          <cell r="BV79" t="str">
            <v>FOR0000015</v>
          </cell>
          <cell r="BW79">
            <v>0.1</v>
          </cell>
          <cell r="BX79" t="str">
            <v/>
          </cell>
          <cell r="BY79" t="str">
            <v/>
          </cell>
          <cell r="BZ79" t="str">
            <v/>
          </cell>
          <cell r="CA79" t="str">
            <v/>
          </cell>
          <cell r="CB79" t="str">
            <v/>
          </cell>
          <cell r="CC79" t="str">
            <v/>
          </cell>
          <cell r="CD79" t="str">
            <v/>
          </cell>
          <cell r="CE79" t="str">
            <v/>
          </cell>
          <cell r="CF79" t="str">
            <v/>
          </cell>
          <cell r="CG79" t="str">
            <v/>
          </cell>
          <cell r="CH79" t="str">
            <v/>
          </cell>
          <cell r="CI79" t="str">
            <v/>
          </cell>
          <cell r="CJ79" t="str">
            <v/>
          </cell>
          <cell r="CK79" t="str">
            <v/>
          </cell>
          <cell r="CL79" t="str">
            <v/>
          </cell>
          <cell r="CM79" t="str">
            <v/>
          </cell>
          <cell r="CN79" t="str">
            <v/>
          </cell>
          <cell r="CO79" t="str">
            <v/>
          </cell>
          <cell r="CP79" t="str">
            <v/>
          </cell>
          <cell r="CQ79" t="str">
            <v/>
          </cell>
          <cell r="CR79" t="str">
            <v/>
          </cell>
          <cell r="CS79" t="str">
            <v/>
          </cell>
          <cell r="CT79" t="str">
            <v/>
          </cell>
          <cell r="CU79" t="str">
            <v/>
          </cell>
          <cell r="CV79" t="str">
            <v/>
          </cell>
          <cell r="CW79" t="str">
            <v/>
          </cell>
          <cell r="CX79" t="str">
            <v/>
          </cell>
          <cell r="CY79" t="str">
            <v/>
          </cell>
          <cell r="CZ79" t="str">
            <v/>
          </cell>
          <cell r="DA79" t="str">
            <v/>
          </cell>
          <cell r="DB79" t="str">
            <v/>
          </cell>
          <cell r="DC79" t="str">
            <v/>
          </cell>
          <cell r="DD79" t="str">
            <v/>
          </cell>
          <cell r="DE79" t="str">
            <v/>
          </cell>
          <cell r="DF79" t="str">
            <v/>
          </cell>
          <cell r="DG79" t="str">
            <v/>
          </cell>
          <cell r="DH79" t="str">
            <v/>
          </cell>
          <cell r="DI79" t="str">
            <v/>
          </cell>
          <cell r="DJ79" t="str">
            <v/>
          </cell>
          <cell r="DK79" t="str">
            <v/>
          </cell>
          <cell r="DL79" t="str">
            <v/>
          </cell>
          <cell r="DM79" t="str">
            <v/>
          </cell>
          <cell r="DN79" t="str">
            <v/>
          </cell>
          <cell r="DO79" t="str">
            <v/>
          </cell>
          <cell r="DP79" t="str">
            <v/>
          </cell>
          <cell r="DQ79" t="str">
            <v/>
          </cell>
          <cell r="DR79" t="str">
            <v/>
          </cell>
          <cell r="DS79" t="str">
            <v/>
          </cell>
          <cell r="DT79" t="str">
            <v/>
          </cell>
          <cell r="DU79" t="str">
            <v/>
          </cell>
          <cell r="DV79" t="str">
            <v/>
          </cell>
          <cell r="DW79" t="str">
            <v/>
          </cell>
          <cell r="DX79" t="str">
            <v/>
          </cell>
          <cell r="DY79" t="str">
            <v/>
          </cell>
          <cell r="DZ79" t="str">
            <v/>
          </cell>
          <cell r="EA79" t="str">
            <v/>
          </cell>
          <cell r="EB79" t="str">
            <v/>
          </cell>
          <cell r="EC79" t="str">
            <v/>
          </cell>
          <cell r="ED79" t="str">
            <v/>
          </cell>
          <cell r="EE79" t="str">
            <v/>
          </cell>
          <cell r="EF79" t="str">
            <v/>
          </cell>
          <cell r="EG79" t="str">
            <v/>
          </cell>
          <cell r="EH79" t="str">
            <v/>
          </cell>
          <cell r="EI79" t="str">
            <v/>
          </cell>
          <cell r="EJ79" t="str">
            <v/>
          </cell>
          <cell r="EK79" t="str">
            <v/>
          </cell>
          <cell r="EL79" t="str">
            <v/>
          </cell>
          <cell r="EM79" t="str">
            <v/>
          </cell>
          <cell r="EN79" t="str">
            <v/>
          </cell>
          <cell r="EO79" t="str">
            <v/>
          </cell>
          <cell r="EP79" t="str">
            <v/>
          </cell>
          <cell r="EQ79" t="str">
            <v/>
          </cell>
          <cell r="ER79" t="str">
            <v/>
          </cell>
          <cell r="ES79" t="str">
            <v/>
          </cell>
          <cell r="ET79" t="str">
            <v/>
          </cell>
          <cell r="EU79" t="str">
            <v/>
          </cell>
          <cell r="EV79" t="str">
            <v/>
          </cell>
          <cell r="EW79" t="str">
            <v/>
          </cell>
          <cell r="EX79" t="str">
            <v/>
          </cell>
          <cell r="EY79" t="str">
            <v/>
          </cell>
          <cell r="EZ79" t="str">
            <v/>
          </cell>
          <cell r="FA79" t="str">
            <v/>
          </cell>
          <cell r="FB79" t="str">
            <v/>
          </cell>
          <cell r="FC79" t="str">
            <v/>
          </cell>
          <cell r="FD79" t="str">
            <v/>
          </cell>
          <cell r="FE79" t="str">
            <v/>
          </cell>
          <cell r="FF79" t="str">
            <v/>
          </cell>
          <cell r="FG79" t="str">
            <v/>
          </cell>
          <cell r="FH79" t="str">
            <v/>
          </cell>
          <cell r="FI79" t="str">
            <v/>
          </cell>
          <cell r="FJ79" t="str">
            <v/>
          </cell>
          <cell r="FK79" t="str">
            <v/>
          </cell>
          <cell r="FL79" t="str">
            <v/>
          </cell>
          <cell r="FM79" t="str">
            <v/>
          </cell>
          <cell r="FN79" t="str">
            <v/>
          </cell>
          <cell r="FO79" t="str">
            <v/>
          </cell>
          <cell r="FP79" t="str">
            <v/>
          </cell>
          <cell r="FQ79" t="str">
            <v/>
          </cell>
          <cell r="FR79" t="str">
            <v/>
          </cell>
          <cell r="FS79" t="str">
            <v/>
          </cell>
          <cell r="FT79" t="str">
            <v/>
          </cell>
          <cell r="FU79" t="str">
            <v/>
          </cell>
          <cell r="FV79" t="str">
            <v/>
          </cell>
          <cell r="FW79" t="str">
            <v/>
          </cell>
          <cell r="FX79" t="str">
            <v/>
          </cell>
          <cell r="FY79" t="str">
            <v/>
          </cell>
          <cell r="FZ79" t="str">
            <v/>
          </cell>
          <cell r="GA79" t="str">
            <v/>
          </cell>
          <cell r="GB79" t="str">
            <v/>
          </cell>
          <cell r="GC79" t="str">
            <v/>
          </cell>
          <cell r="GD79" t="str">
            <v/>
          </cell>
          <cell r="GE79" t="str">
            <v/>
          </cell>
          <cell r="GF79" t="str">
            <v/>
          </cell>
          <cell r="GG79" t="str">
            <v/>
          </cell>
          <cell r="GH79" t="str">
            <v/>
          </cell>
          <cell r="GI79" t="str">
            <v/>
          </cell>
          <cell r="GJ79" t="str">
            <v/>
          </cell>
          <cell r="GK79" t="str">
            <v/>
          </cell>
          <cell r="GL79" t="str">
            <v/>
          </cell>
          <cell r="GM79" t="str">
            <v/>
          </cell>
          <cell r="GN79" t="str">
            <v/>
          </cell>
          <cell r="GO79" t="str">
            <v/>
          </cell>
          <cell r="GP79" t="str">
            <v/>
          </cell>
          <cell r="GQ79" t="str">
            <v/>
          </cell>
          <cell r="GR79" t="str">
            <v/>
          </cell>
          <cell r="GS79" t="str">
            <v/>
          </cell>
          <cell r="GT79" t="str">
            <v/>
          </cell>
          <cell r="GU79" t="str">
            <v/>
          </cell>
          <cell r="GV79" t="str">
            <v/>
          </cell>
          <cell r="GW79" t="str">
            <v/>
          </cell>
          <cell r="GX79" t="str">
            <v/>
          </cell>
          <cell r="GY79" t="str">
            <v/>
          </cell>
          <cell r="GZ79" t="str">
            <v/>
          </cell>
          <cell r="HA79" t="str">
            <v/>
          </cell>
          <cell r="HB79" t="str">
            <v/>
          </cell>
          <cell r="HC79" t="str">
            <v/>
          </cell>
          <cell r="HD79" t="str">
            <v/>
          </cell>
          <cell r="HE79" t="str">
            <v/>
          </cell>
          <cell r="HF79" t="str">
            <v/>
          </cell>
          <cell r="HG79" t="str">
            <v/>
          </cell>
          <cell r="HH79" t="str">
            <v/>
          </cell>
          <cell r="HI79" t="str">
            <v/>
          </cell>
          <cell r="HJ79" t="str">
            <v/>
          </cell>
          <cell r="HK79" t="str">
            <v/>
          </cell>
          <cell r="HL79" t="str">
            <v/>
          </cell>
          <cell r="HM79" t="str">
            <v/>
          </cell>
          <cell r="HN79" t="str">
            <v/>
          </cell>
          <cell r="HO79" t="str">
            <v/>
          </cell>
          <cell r="HP79" t="str">
            <v/>
          </cell>
          <cell r="HQ79" t="str">
            <v/>
          </cell>
          <cell r="HR79" t="str">
            <v/>
          </cell>
          <cell r="HS79" t="str">
            <v/>
          </cell>
          <cell r="HT79" t="str">
            <v/>
          </cell>
          <cell r="HU79" t="str">
            <v/>
          </cell>
          <cell r="HV79" t="str">
            <v/>
          </cell>
          <cell r="HW79" t="str">
            <v/>
          </cell>
          <cell r="HX79" t="str">
            <v/>
          </cell>
          <cell r="HY79" t="str">
            <v/>
          </cell>
          <cell r="HZ79" t="str">
            <v/>
          </cell>
          <cell r="IA79" t="str">
            <v/>
          </cell>
          <cell r="IB79" t="str">
            <v/>
          </cell>
          <cell r="IC79" t="str">
            <v/>
          </cell>
          <cell r="ID79" t="str">
            <v/>
          </cell>
          <cell r="IE79" t="str">
            <v/>
          </cell>
          <cell r="IF79" t="str">
            <v/>
          </cell>
          <cell r="IG79" t="str">
            <v/>
          </cell>
          <cell r="IH79" t="str">
            <v/>
          </cell>
          <cell r="II79" t="str">
            <v/>
          </cell>
          <cell r="IJ79" t="str">
            <v/>
          </cell>
          <cell r="IK79" t="str">
            <v/>
          </cell>
          <cell r="IL79" t="str">
            <v/>
          </cell>
          <cell r="IM79" t="str">
            <v/>
          </cell>
          <cell r="IN79" t="str">
            <v/>
          </cell>
          <cell r="IO79" t="str">
            <v/>
          </cell>
          <cell r="IP79" t="str">
            <v/>
          </cell>
          <cell r="IQ79" t="str">
            <v/>
          </cell>
          <cell r="IR79" t="str">
            <v/>
          </cell>
          <cell r="IS79" t="str">
            <v/>
          </cell>
          <cell r="IT79" t="str">
            <v/>
          </cell>
          <cell r="IU79" t="str">
            <v/>
          </cell>
          <cell r="IV79" t="str">
            <v/>
          </cell>
          <cell r="IW79" t="str">
            <v/>
          </cell>
          <cell r="IX79" t="str">
            <v/>
          </cell>
          <cell r="IY79" t="str">
            <v/>
          </cell>
          <cell r="IZ79" t="str">
            <v/>
          </cell>
          <cell r="JA79" t="str">
            <v/>
          </cell>
          <cell r="JB79" t="str">
            <v/>
          </cell>
          <cell r="JC79" t="str">
            <v/>
          </cell>
          <cell r="JD79" t="str">
            <v/>
          </cell>
          <cell r="JE79" t="str">
            <v/>
          </cell>
          <cell r="JF79" t="str">
            <v/>
          </cell>
          <cell r="JG79" t="str">
            <v/>
          </cell>
          <cell r="JH79" t="str">
            <v/>
          </cell>
          <cell r="JI79" t="str">
            <v/>
          </cell>
          <cell r="JJ79" t="str">
            <v/>
          </cell>
          <cell r="JK79" t="str">
            <v/>
          </cell>
          <cell r="JL79" t="str">
            <v/>
          </cell>
          <cell r="JM79" t="str">
            <v/>
          </cell>
          <cell r="JN79" t="str">
            <v/>
          </cell>
          <cell r="JO79" t="str">
            <v/>
          </cell>
          <cell r="JP79" t="str">
            <v/>
          </cell>
          <cell r="JQ79" t="str">
            <v/>
          </cell>
          <cell r="JR79" t="str">
            <v/>
          </cell>
          <cell r="JS79" t="str">
            <v/>
          </cell>
          <cell r="JT79" t="str">
            <v/>
          </cell>
          <cell r="JU79" t="str">
            <v/>
          </cell>
          <cell r="JV79" t="str">
            <v/>
          </cell>
          <cell r="JW79" t="str">
            <v/>
          </cell>
          <cell r="JX79" t="str">
            <v/>
          </cell>
          <cell r="JY79" t="str">
            <v/>
          </cell>
          <cell r="JZ79" t="str">
            <v/>
          </cell>
          <cell r="KA79" t="str">
            <v/>
          </cell>
          <cell r="KB79" t="str">
            <v/>
          </cell>
          <cell r="KC79" t="str">
            <v/>
          </cell>
          <cell r="KD79">
            <v>10</v>
          </cell>
          <cell r="KE79">
            <v>10</v>
          </cell>
          <cell r="KF79">
            <v>10</v>
          </cell>
          <cell r="KG79">
            <v>12</v>
          </cell>
          <cell r="KH79">
            <v>12</v>
          </cell>
          <cell r="KI79">
            <v>12</v>
          </cell>
          <cell r="KJ79">
            <v>0</v>
          </cell>
          <cell r="KM79">
            <v>0</v>
          </cell>
          <cell r="KP79">
            <v>0</v>
          </cell>
          <cell r="KS79">
            <v>0</v>
          </cell>
          <cell r="KV79">
            <v>0</v>
          </cell>
          <cell r="KY79">
            <v>0</v>
          </cell>
          <cell r="LB79">
            <v>0</v>
          </cell>
          <cell r="LE79">
            <v>0</v>
          </cell>
          <cell r="LH79">
            <v>0</v>
          </cell>
          <cell r="LK79">
            <v>0</v>
          </cell>
          <cell r="LO79">
            <v>45710</v>
          </cell>
          <cell r="LP79" t="str">
            <v>COMPLETADO</v>
          </cell>
        </row>
        <row r="80">
          <cell r="A80">
            <v>1713</v>
          </cell>
          <cell r="B80" t="str">
            <v>LUCIANO</v>
          </cell>
          <cell r="C80" t="str">
            <v>BARRACAS CHICA</v>
          </cell>
          <cell r="D80" t="str">
            <v>MARROQUINERIA CHICA</v>
          </cell>
          <cell r="E80">
            <v>16</v>
          </cell>
          <cell r="F80">
            <v>16</v>
          </cell>
          <cell r="G80">
            <v>16</v>
          </cell>
          <cell r="H80">
            <v>45743.571527777778</v>
          </cell>
          <cell r="I80" t="str">
            <v>FUNDA CUADERNO A5</v>
          </cell>
          <cell r="J80">
            <v>45742</v>
          </cell>
          <cell r="K80">
            <v>45742</v>
          </cell>
          <cell r="M80">
            <v>25</v>
          </cell>
          <cell r="N80" t="str">
            <v>M148</v>
          </cell>
          <cell r="O80" t="str">
            <v>CUA0000002</v>
          </cell>
          <cell r="P80">
            <v>1</v>
          </cell>
          <cell r="Q80" t="str">
            <v>AV170134014</v>
          </cell>
          <cell r="R80">
            <v>0</v>
          </cell>
          <cell r="S80" t="str">
            <v/>
          </cell>
          <cell r="T80" t="str">
            <v/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J80" t="str">
            <v/>
          </cell>
          <cell r="AK80" t="str">
            <v/>
          </cell>
          <cell r="AL80" t="str">
            <v/>
          </cell>
          <cell r="AM80" t="str">
            <v/>
          </cell>
          <cell r="AN80" t="str">
            <v/>
          </cell>
          <cell r="AO80" t="str">
            <v/>
          </cell>
          <cell r="AP80" t="str">
            <v/>
          </cell>
          <cell r="AQ80" t="str">
            <v/>
          </cell>
          <cell r="AR80" t="str">
            <v/>
          </cell>
          <cell r="AS80" t="str">
            <v>MODIFICAR EL MOLDE</v>
          </cell>
          <cell r="AT80" t="str">
            <v>VA PUNTA REDONDEDA (HUEVO)</v>
          </cell>
          <cell r="AU80" t="str">
            <v/>
          </cell>
          <cell r="AV80" t="str">
            <v/>
          </cell>
          <cell r="AW80" t="str">
            <v>GRABADO LUCERO ARGENTINA CHICO, CENTRADO EN PIEZA INTERNA IZQUIERA 1 CM DEL BORDE INFERIOR</v>
          </cell>
          <cell r="AX80" t="str">
            <v>CEDRO</v>
          </cell>
          <cell r="AY80" t="str">
            <v>BIANCO-CUERO FIORENTINO</v>
          </cell>
          <cell r="AZ80" t="str">
            <v>CUE0000055</v>
          </cell>
          <cell r="BA80">
            <v>0.17</v>
          </cell>
          <cell r="BB80" t="str">
            <v/>
          </cell>
          <cell r="BC80" t="str">
            <v/>
          </cell>
          <cell r="BD80" t="str">
            <v/>
          </cell>
          <cell r="BE80" t="str">
            <v/>
          </cell>
          <cell r="BF80" t="str">
            <v/>
          </cell>
          <cell r="BG80" t="str">
            <v/>
          </cell>
          <cell r="BH80" t="str">
            <v/>
          </cell>
          <cell r="BI80" t="str">
            <v/>
          </cell>
          <cell r="BJ80" t="str">
            <v/>
          </cell>
          <cell r="BK80" t="str">
            <v/>
          </cell>
          <cell r="BL80" t="str">
            <v/>
          </cell>
          <cell r="BM80" t="str">
            <v/>
          </cell>
          <cell r="BN80" t="str">
            <v/>
          </cell>
          <cell r="BO80" t="str">
            <v/>
          </cell>
          <cell r="BP80" t="str">
            <v/>
          </cell>
          <cell r="BQ80" t="str">
            <v/>
          </cell>
          <cell r="BR80" t="str">
            <v>NEGRO</v>
          </cell>
          <cell r="BS80" t="str">
            <v>BIANCO-CUERO FIORENTINO</v>
          </cell>
          <cell r="BT80" t="str">
            <v>CUE0000056</v>
          </cell>
          <cell r="BU80">
            <v>0.17</v>
          </cell>
          <cell r="BV80" t="str">
            <v/>
          </cell>
          <cell r="BW80" t="str">
            <v/>
          </cell>
          <cell r="BX80" t="str">
            <v/>
          </cell>
          <cell r="BY80" t="str">
            <v/>
          </cell>
          <cell r="BZ80" t="str">
            <v/>
          </cell>
          <cell r="CA80" t="str">
            <v/>
          </cell>
          <cell r="CB80" t="str">
            <v/>
          </cell>
          <cell r="CC80" t="str">
            <v/>
          </cell>
          <cell r="CD80" t="str">
            <v/>
          </cell>
          <cell r="CE80" t="str">
            <v/>
          </cell>
          <cell r="CF80" t="str">
            <v/>
          </cell>
          <cell r="CG80" t="str">
            <v/>
          </cell>
          <cell r="CH80" t="str">
            <v/>
          </cell>
          <cell r="CI80" t="str">
            <v/>
          </cell>
          <cell r="CJ80" t="str">
            <v/>
          </cell>
          <cell r="CK80" t="str">
            <v/>
          </cell>
          <cell r="CL80" t="str">
            <v/>
          </cell>
          <cell r="CM80" t="str">
            <v/>
          </cell>
          <cell r="CN80" t="str">
            <v/>
          </cell>
          <cell r="CO80" t="str">
            <v/>
          </cell>
          <cell r="CP80" t="str">
            <v/>
          </cell>
          <cell r="CQ80" t="str">
            <v/>
          </cell>
          <cell r="CR80" t="str">
            <v/>
          </cell>
          <cell r="CS80" t="str">
            <v/>
          </cell>
          <cell r="CT80" t="str">
            <v/>
          </cell>
          <cell r="CU80" t="str">
            <v/>
          </cell>
          <cell r="CV80" t="str">
            <v/>
          </cell>
          <cell r="CW80" t="str">
            <v/>
          </cell>
          <cell r="CX80" t="str">
            <v/>
          </cell>
          <cell r="CY80" t="str">
            <v/>
          </cell>
          <cell r="CZ80" t="str">
            <v/>
          </cell>
          <cell r="DA80" t="str">
            <v/>
          </cell>
          <cell r="DB80" t="str">
            <v/>
          </cell>
          <cell r="DC80" t="str">
            <v/>
          </cell>
          <cell r="DD80" t="str">
            <v/>
          </cell>
          <cell r="DE80" t="str">
            <v/>
          </cell>
          <cell r="DF80" t="str">
            <v/>
          </cell>
          <cell r="DG80" t="str">
            <v/>
          </cell>
          <cell r="DH80" t="str">
            <v/>
          </cell>
          <cell r="DI80" t="str">
            <v/>
          </cell>
          <cell r="DJ80" t="str">
            <v/>
          </cell>
          <cell r="DK80" t="str">
            <v/>
          </cell>
          <cell r="DL80" t="str">
            <v/>
          </cell>
          <cell r="DM80" t="str">
            <v/>
          </cell>
          <cell r="DN80" t="str">
            <v/>
          </cell>
          <cell r="DO80" t="str">
            <v/>
          </cell>
          <cell r="DP80" t="str">
            <v/>
          </cell>
          <cell r="DQ80" t="str">
            <v/>
          </cell>
          <cell r="DR80" t="str">
            <v/>
          </cell>
          <cell r="DS80" t="str">
            <v/>
          </cell>
          <cell r="DT80" t="str">
            <v/>
          </cell>
          <cell r="DU80" t="str">
            <v/>
          </cell>
          <cell r="DV80" t="str">
            <v/>
          </cell>
          <cell r="DW80" t="str">
            <v/>
          </cell>
          <cell r="DX80" t="str">
            <v/>
          </cell>
          <cell r="DY80" t="str">
            <v/>
          </cell>
          <cell r="DZ80" t="str">
            <v/>
          </cell>
          <cell r="EA80" t="str">
            <v/>
          </cell>
          <cell r="EB80" t="str">
            <v/>
          </cell>
          <cell r="EC80" t="str">
            <v/>
          </cell>
          <cell r="ED80" t="str">
            <v/>
          </cell>
          <cell r="EE80" t="str">
            <v/>
          </cell>
          <cell r="EF80" t="str">
            <v/>
          </cell>
          <cell r="EG80" t="str">
            <v/>
          </cell>
          <cell r="EH80" t="str">
            <v/>
          </cell>
          <cell r="EI80" t="str">
            <v/>
          </cell>
          <cell r="EJ80" t="str">
            <v/>
          </cell>
          <cell r="EK80" t="str">
            <v/>
          </cell>
          <cell r="EL80" t="str">
            <v/>
          </cell>
          <cell r="EM80" t="str">
            <v/>
          </cell>
          <cell r="EN80" t="str">
            <v/>
          </cell>
          <cell r="EO80" t="str">
            <v/>
          </cell>
          <cell r="EP80" t="str">
            <v/>
          </cell>
          <cell r="EQ80" t="str">
            <v/>
          </cell>
          <cell r="ER80" t="str">
            <v/>
          </cell>
          <cell r="ES80" t="str">
            <v/>
          </cell>
          <cell r="ET80" t="str">
            <v/>
          </cell>
          <cell r="EU80" t="str">
            <v/>
          </cell>
          <cell r="EV80" t="str">
            <v/>
          </cell>
          <cell r="EW80" t="str">
            <v/>
          </cell>
          <cell r="EX80" t="str">
            <v/>
          </cell>
          <cell r="EY80" t="str">
            <v/>
          </cell>
          <cell r="EZ80" t="str">
            <v/>
          </cell>
          <cell r="FA80" t="str">
            <v/>
          </cell>
          <cell r="FB80" t="str">
            <v/>
          </cell>
          <cell r="FC80" t="str">
            <v/>
          </cell>
          <cell r="FD80" t="str">
            <v/>
          </cell>
          <cell r="FE80" t="str">
            <v/>
          </cell>
          <cell r="FF80" t="str">
            <v/>
          </cell>
          <cell r="FG80" t="str">
            <v/>
          </cell>
          <cell r="FH80" t="str">
            <v/>
          </cell>
          <cell r="FI80" t="str">
            <v/>
          </cell>
          <cell r="FJ80" t="str">
            <v/>
          </cell>
          <cell r="FK80" t="str">
            <v/>
          </cell>
          <cell r="FL80" t="str">
            <v/>
          </cell>
          <cell r="FM80" t="str">
            <v/>
          </cell>
          <cell r="FN80" t="str">
            <v/>
          </cell>
          <cell r="FO80" t="str">
            <v/>
          </cell>
          <cell r="FP80" t="str">
            <v/>
          </cell>
          <cell r="FQ80" t="str">
            <v/>
          </cell>
          <cell r="FR80" t="str">
            <v/>
          </cell>
          <cell r="FS80" t="str">
            <v/>
          </cell>
          <cell r="FT80" t="str">
            <v/>
          </cell>
          <cell r="FU80" t="str">
            <v/>
          </cell>
          <cell r="FV80" t="str">
            <v/>
          </cell>
          <cell r="FW80" t="str">
            <v/>
          </cell>
          <cell r="FX80" t="str">
            <v/>
          </cell>
          <cell r="FY80" t="str">
            <v/>
          </cell>
          <cell r="FZ80" t="str">
            <v/>
          </cell>
          <cell r="GA80" t="str">
            <v/>
          </cell>
          <cell r="GB80" t="str">
            <v/>
          </cell>
          <cell r="GC80" t="str">
            <v/>
          </cell>
          <cell r="GD80" t="str">
            <v/>
          </cell>
          <cell r="GE80" t="str">
            <v/>
          </cell>
          <cell r="GF80" t="str">
            <v/>
          </cell>
          <cell r="GG80" t="str">
            <v/>
          </cell>
          <cell r="GH80" t="str">
            <v/>
          </cell>
          <cell r="GI80" t="str">
            <v/>
          </cell>
          <cell r="GJ80" t="str">
            <v/>
          </cell>
          <cell r="GK80" t="str">
            <v/>
          </cell>
          <cell r="GL80" t="str">
            <v/>
          </cell>
          <cell r="GM80" t="str">
            <v/>
          </cell>
          <cell r="GN80" t="str">
            <v/>
          </cell>
          <cell r="GO80" t="str">
            <v/>
          </cell>
          <cell r="GP80" t="str">
            <v/>
          </cell>
          <cell r="GQ80" t="str">
            <v/>
          </cell>
          <cell r="GR80" t="str">
            <v/>
          </cell>
          <cell r="GS80" t="str">
            <v/>
          </cell>
          <cell r="GT80" t="str">
            <v/>
          </cell>
          <cell r="GU80" t="str">
            <v/>
          </cell>
          <cell r="GV80" t="str">
            <v/>
          </cell>
          <cell r="GW80" t="str">
            <v/>
          </cell>
          <cell r="GX80" t="str">
            <v/>
          </cell>
          <cell r="GY80" t="str">
            <v/>
          </cell>
          <cell r="GZ80" t="str">
            <v/>
          </cell>
          <cell r="HA80" t="str">
            <v/>
          </cell>
          <cell r="HB80" t="str">
            <v/>
          </cell>
          <cell r="HC80" t="str">
            <v/>
          </cell>
          <cell r="HD80" t="str">
            <v/>
          </cell>
          <cell r="HE80" t="str">
            <v/>
          </cell>
          <cell r="HF80" t="str">
            <v/>
          </cell>
          <cell r="HG80" t="str">
            <v/>
          </cell>
          <cell r="HH80" t="str">
            <v/>
          </cell>
          <cell r="HI80" t="str">
            <v/>
          </cell>
          <cell r="HJ80" t="str">
            <v/>
          </cell>
          <cell r="HK80" t="str">
            <v/>
          </cell>
          <cell r="HL80" t="str">
            <v/>
          </cell>
          <cell r="HM80" t="str">
            <v/>
          </cell>
          <cell r="HN80" t="str">
            <v/>
          </cell>
          <cell r="HO80" t="str">
            <v/>
          </cell>
          <cell r="HP80" t="str">
            <v/>
          </cell>
          <cell r="HQ80" t="str">
            <v/>
          </cell>
          <cell r="HR80" t="str">
            <v/>
          </cell>
          <cell r="HS80" t="str">
            <v/>
          </cell>
          <cell r="HT80" t="str">
            <v/>
          </cell>
          <cell r="HU80" t="str">
            <v/>
          </cell>
          <cell r="HV80" t="str">
            <v/>
          </cell>
          <cell r="HW80" t="str">
            <v/>
          </cell>
          <cell r="HX80" t="str">
            <v/>
          </cell>
          <cell r="HY80" t="str">
            <v/>
          </cell>
          <cell r="HZ80" t="str">
            <v/>
          </cell>
          <cell r="IA80" t="str">
            <v/>
          </cell>
          <cell r="IB80" t="str">
            <v/>
          </cell>
          <cell r="IC80" t="str">
            <v/>
          </cell>
          <cell r="ID80" t="str">
            <v/>
          </cell>
          <cell r="IE80" t="str">
            <v/>
          </cell>
          <cell r="IF80" t="str">
            <v/>
          </cell>
          <cell r="IG80" t="str">
            <v/>
          </cell>
          <cell r="IH80" t="str">
            <v/>
          </cell>
          <cell r="II80" t="str">
            <v/>
          </cell>
          <cell r="IJ80" t="str">
            <v/>
          </cell>
          <cell r="IK80" t="str">
            <v/>
          </cell>
          <cell r="IL80" t="str">
            <v/>
          </cell>
          <cell r="IM80" t="str">
            <v/>
          </cell>
          <cell r="IN80" t="str">
            <v/>
          </cell>
          <cell r="IO80" t="str">
            <v/>
          </cell>
          <cell r="IP80" t="str">
            <v/>
          </cell>
          <cell r="IQ80" t="str">
            <v/>
          </cell>
          <cell r="IR80" t="str">
            <v/>
          </cell>
          <cell r="IS80" t="str">
            <v/>
          </cell>
          <cell r="IT80" t="str">
            <v/>
          </cell>
          <cell r="IU80" t="str">
            <v/>
          </cell>
          <cell r="IV80" t="str">
            <v/>
          </cell>
          <cell r="IW80" t="str">
            <v/>
          </cell>
          <cell r="IX80" t="str">
            <v/>
          </cell>
          <cell r="IY80" t="str">
            <v/>
          </cell>
          <cell r="IZ80" t="str">
            <v/>
          </cell>
          <cell r="JA80" t="str">
            <v/>
          </cell>
          <cell r="JB80" t="str">
            <v/>
          </cell>
          <cell r="JC80" t="str">
            <v/>
          </cell>
          <cell r="JD80" t="str">
            <v/>
          </cell>
          <cell r="JE80" t="str">
            <v/>
          </cell>
          <cell r="JF80" t="str">
            <v/>
          </cell>
          <cell r="JG80" t="str">
            <v/>
          </cell>
          <cell r="JH80" t="str">
            <v/>
          </cell>
          <cell r="JI80" t="str">
            <v/>
          </cell>
          <cell r="JJ80" t="str">
            <v/>
          </cell>
          <cell r="JK80" t="str">
            <v/>
          </cell>
          <cell r="JL80" t="str">
            <v/>
          </cell>
          <cell r="JM80" t="str">
            <v/>
          </cell>
          <cell r="JN80" t="str">
            <v/>
          </cell>
          <cell r="JO80" t="str">
            <v/>
          </cell>
          <cell r="JP80" t="str">
            <v/>
          </cell>
          <cell r="JQ80" t="str">
            <v/>
          </cell>
          <cell r="JR80" t="str">
            <v/>
          </cell>
          <cell r="JS80" t="str">
            <v/>
          </cell>
          <cell r="JT80" t="str">
            <v/>
          </cell>
          <cell r="JU80" t="str">
            <v/>
          </cell>
          <cell r="JV80" t="str">
            <v/>
          </cell>
          <cell r="JW80" t="str">
            <v/>
          </cell>
          <cell r="JX80" t="str">
            <v/>
          </cell>
          <cell r="JY80" t="str">
            <v/>
          </cell>
          <cell r="JZ80" t="str">
            <v/>
          </cell>
          <cell r="KA80" t="str">
            <v/>
          </cell>
          <cell r="KB80" t="str">
            <v/>
          </cell>
          <cell r="KC80" t="str">
            <v/>
          </cell>
          <cell r="KD80">
            <v>10</v>
          </cell>
          <cell r="KE80">
            <v>10</v>
          </cell>
          <cell r="KF80">
            <v>10</v>
          </cell>
          <cell r="KG80">
            <v>6</v>
          </cell>
          <cell r="KH80">
            <v>6</v>
          </cell>
          <cell r="KI80">
            <v>6</v>
          </cell>
          <cell r="KJ80">
            <v>0</v>
          </cell>
          <cell r="KM80">
            <v>0</v>
          </cell>
          <cell r="KP80">
            <v>0</v>
          </cell>
          <cell r="KS80">
            <v>0</v>
          </cell>
          <cell r="KV80">
            <v>0</v>
          </cell>
          <cell r="KY80">
            <v>0</v>
          </cell>
          <cell r="LB80">
            <v>0</v>
          </cell>
          <cell r="LE80">
            <v>0</v>
          </cell>
          <cell r="LH80">
            <v>0</v>
          </cell>
          <cell r="LK80">
            <v>0</v>
          </cell>
          <cell r="LO80">
            <v>45762</v>
          </cell>
          <cell r="LP80" t="str">
            <v>COMPLETADO</v>
          </cell>
        </row>
        <row r="81">
          <cell r="A81">
            <v>1714</v>
          </cell>
          <cell r="B81" t="str">
            <v>LUCIANO</v>
          </cell>
          <cell r="C81" t="str">
            <v>BARRACAS CHICA</v>
          </cell>
          <cell r="D81" t="str">
            <v>MARROQUINERIA CHICA</v>
          </cell>
          <cell r="E81">
            <v>14</v>
          </cell>
          <cell r="F81">
            <v>14</v>
          </cell>
          <cell r="G81">
            <v>14</v>
          </cell>
          <cell r="H81">
            <v>45743.583831018521</v>
          </cell>
          <cell r="I81" t="str">
            <v>FUNDA CUADERNO A6 (POCKET)</v>
          </cell>
          <cell r="J81">
            <v>45742</v>
          </cell>
          <cell r="K81">
            <v>45742</v>
          </cell>
          <cell r="M81">
            <v>25</v>
          </cell>
          <cell r="N81" t="str">
            <v>M149</v>
          </cell>
          <cell r="O81" t="str">
            <v>CUA0000003</v>
          </cell>
          <cell r="P81">
            <v>1</v>
          </cell>
          <cell r="Q81" t="str">
            <v>AV170134014</v>
          </cell>
          <cell r="R81">
            <v>0</v>
          </cell>
          <cell r="S81" t="str">
            <v/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AH81" t="str">
            <v/>
          </cell>
          <cell r="AI81" t="str">
            <v/>
          </cell>
          <cell r="AJ81" t="str">
            <v/>
          </cell>
          <cell r="AK81" t="str">
            <v/>
          </cell>
          <cell r="AL81" t="str">
            <v/>
          </cell>
          <cell r="AM81" t="str">
            <v/>
          </cell>
          <cell r="AN81" t="str">
            <v/>
          </cell>
          <cell r="AO81" t="str">
            <v/>
          </cell>
          <cell r="AP81" t="str">
            <v/>
          </cell>
          <cell r="AQ81" t="str">
            <v/>
          </cell>
          <cell r="AR81" t="str">
            <v/>
          </cell>
          <cell r="AS81" t="str">
            <v>MODIFICAR EL MOLDE</v>
          </cell>
          <cell r="AT81" t="str">
            <v>VA PUNTA REDONDEDA (HUEVO)</v>
          </cell>
          <cell r="AU81" t="str">
            <v/>
          </cell>
          <cell r="AV81" t="str">
            <v/>
          </cell>
          <cell r="AW81" t="str">
            <v>GRABADO LUCERO ARGENTINA CHICO, CENTRADO EN PIEZA INTERNA IZQUIERA 1 CM DEL BORDE INFERIOR</v>
          </cell>
          <cell r="AX81" t="str">
            <v>NEGRO</v>
          </cell>
          <cell r="AY81" t="str">
            <v>BIANCO-CUERO FIORENTINO</v>
          </cell>
          <cell r="AZ81" t="str">
            <v>CUE0000056</v>
          </cell>
          <cell r="BA81">
            <v>0.09</v>
          </cell>
          <cell r="BB81" t="str">
            <v/>
          </cell>
          <cell r="BC81" t="str">
            <v/>
          </cell>
          <cell r="BD81" t="str">
            <v/>
          </cell>
          <cell r="BE81" t="str">
            <v/>
          </cell>
          <cell r="BF81" t="str">
            <v/>
          </cell>
          <cell r="BG81" t="str">
            <v/>
          </cell>
          <cell r="BH81" t="str">
            <v/>
          </cell>
          <cell r="BI81" t="str">
            <v/>
          </cell>
          <cell r="BJ81" t="str">
            <v/>
          </cell>
          <cell r="BK81" t="str">
            <v/>
          </cell>
          <cell r="BL81" t="str">
            <v/>
          </cell>
          <cell r="BM81" t="str">
            <v/>
          </cell>
          <cell r="BN81" t="str">
            <v/>
          </cell>
          <cell r="BO81" t="str">
            <v/>
          </cell>
          <cell r="BP81" t="str">
            <v/>
          </cell>
          <cell r="BQ81" t="str">
            <v/>
          </cell>
          <cell r="BR81" t="str">
            <v>CEDRO</v>
          </cell>
          <cell r="BS81" t="str">
            <v>BIANCO-CUERO FIORENTINO</v>
          </cell>
          <cell r="BT81" t="str">
            <v>CUE0000055</v>
          </cell>
          <cell r="BU81">
            <v>0.09</v>
          </cell>
          <cell r="BV81" t="str">
            <v/>
          </cell>
          <cell r="BW81" t="str">
            <v/>
          </cell>
          <cell r="BX81" t="str">
            <v/>
          </cell>
          <cell r="BY81" t="str">
            <v/>
          </cell>
          <cell r="BZ81" t="str">
            <v/>
          </cell>
          <cell r="CA81" t="str">
            <v/>
          </cell>
          <cell r="CB81" t="str">
            <v/>
          </cell>
          <cell r="CC81" t="str">
            <v/>
          </cell>
          <cell r="CD81" t="str">
            <v/>
          </cell>
          <cell r="CE81" t="str">
            <v/>
          </cell>
          <cell r="CF81" t="str">
            <v/>
          </cell>
          <cell r="CG81" t="str">
            <v/>
          </cell>
          <cell r="CH81" t="str">
            <v/>
          </cell>
          <cell r="CI81" t="str">
            <v/>
          </cell>
          <cell r="CJ81" t="str">
            <v/>
          </cell>
          <cell r="CK81" t="str">
            <v/>
          </cell>
          <cell r="CL81" t="str">
            <v>MALBEC</v>
          </cell>
          <cell r="CM81" t="str">
            <v>ARENA-CUERO BRIDGE</v>
          </cell>
          <cell r="CN81" t="str">
            <v>CUE0000008</v>
          </cell>
          <cell r="CO81">
            <v>0.09</v>
          </cell>
          <cell r="CP81" t="str">
            <v/>
          </cell>
          <cell r="CQ81" t="str">
            <v/>
          </cell>
          <cell r="CR81" t="str">
            <v/>
          </cell>
          <cell r="CS81" t="str">
            <v/>
          </cell>
          <cell r="CT81" t="str">
            <v/>
          </cell>
          <cell r="CU81" t="str">
            <v/>
          </cell>
          <cell r="CV81" t="str">
            <v/>
          </cell>
          <cell r="CW81" t="str">
            <v/>
          </cell>
          <cell r="CX81" t="str">
            <v/>
          </cell>
          <cell r="CY81" t="str">
            <v/>
          </cell>
          <cell r="CZ81" t="str">
            <v/>
          </cell>
          <cell r="DA81" t="str">
            <v/>
          </cell>
          <cell r="DB81" t="str">
            <v/>
          </cell>
          <cell r="DC81" t="str">
            <v/>
          </cell>
          <cell r="DD81" t="str">
            <v/>
          </cell>
          <cell r="DE81" t="str">
            <v/>
          </cell>
          <cell r="DF81" t="str">
            <v/>
          </cell>
          <cell r="DG81" t="str">
            <v/>
          </cell>
          <cell r="DH81" t="str">
            <v/>
          </cell>
          <cell r="DI81" t="str">
            <v/>
          </cell>
          <cell r="DJ81" t="str">
            <v/>
          </cell>
          <cell r="DK81" t="str">
            <v/>
          </cell>
          <cell r="DL81" t="str">
            <v/>
          </cell>
          <cell r="DM81" t="str">
            <v/>
          </cell>
          <cell r="DN81" t="str">
            <v/>
          </cell>
          <cell r="DO81" t="str">
            <v/>
          </cell>
          <cell r="DP81" t="str">
            <v/>
          </cell>
          <cell r="DQ81" t="str">
            <v/>
          </cell>
          <cell r="DR81" t="str">
            <v/>
          </cell>
          <cell r="DS81" t="str">
            <v/>
          </cell>
          <cell r="DT81" t="str">
            <v/>
          </cell>
          <cell r="DU81" t="str">
            <v/>
          </cell>
          <cell r="DV81" t="str">
            <v/>
          </cell>
          <cell r="DW81" t="str">
            <v/>
          </cell>
          <cell r="DX81" t="str">
            <v/>
          </cell>
          <cell r="DY81" t="str">
            <v/>
          </cell>
          <cell r="DZ81" t="str">
            <v/>
          </cell>
          <cell r="EA81" t="str">
            <v/>
          </cell>
          <cell r="EB81" t="str">
            <v/>
          </cell>
          <cell r="EC81" t="str">
            <v/>
          </cell>
          <cell r="ED81" t="str">
            <v/>
          </cell>
          <cell r="EE81" t="str">
            <v/>
          </cell>
          <cell r="EF81" t="str">
            <v/>
          </cell>
          <cell r="EG81" t="str">
            <v/>
          </cell>
          <cell r="EH81" t="str">
            <v/>
          </cell>
          <cell r="EI81" t="str">
            <v/>
          </cell>
          <cell r="EJ81" t="str">
            <v/>
          </cell>
          <cell r="EK81" t="str">
            <v/>
          </cell>
          <cell r="EL81" t="str">
            <v/>
          </cell>
          <cell r="EM81" t="str">
            <v/>
          </cell>
          <cell r="EN81" t="str">
            <v/>
          </cell>
          <cell r="EO81" t="str">
            <v/>
          </cell>
          <cell r="EP81" t="str">
            <v/>
          </cell>
          <cell r="EQ81" t="str">
            <v/>
          </cell>
          <cell r="ER81" t="str">
            <v/>
          </cell>
          <cell r="ES81" t="str">
            <v/>
          </cell>
          <cell r="ET81" t="str">
            <v/>
          </cell>
          <cell r="EU81" t="str">
            <v/>
          </cell>
          <cell r="EV81" t="str">
            <v/>
          </cell>
          <cell r="EW81" t="str">
            <v/>
          </cell>
          <cell r="EX81" t="str">
            <v/>
          </cell>
          <cell r="EY81" t="str">
            <v/>
          </cell>
          <cell r="EZ81" t="str">
            <v/>
          </cell>
          <cell r="FA81" t="str">
            <v/>
          </cell>
          <cell r="FB81" t="str">
            <v/>
          </cell>
          <cell r="FC81" t="str">
            <v/>
          </cell>
          <cell r="FD81" t="str">
            <v/>
          </cell>
          <cell r="FE81" t="str">
            <v/>
          </cell>
          <cell r="FF81" t="str">
            <v/>
          </cell>
          <cell r="FG81" t="str">
            <v/>
          </cell>
          <cell r="FH81" t="str">
            <v/>
          </cell>
          <cell r="FI81" t="str">
            <v/>
          </cell>
          <cell r="FJ81" t="str">
            <v/>
          </cell>
          <cell r="FK81" t="str">
            <v/>
          </cell>
          <cell r="FL81" t="str">
            <v/>
          </cell>
          <cell r="FM81" t="str">
            <v/>
          </cell>
          <cell r="FN81" t="str">
            <v/>
          </cell>
          <cell r="FO81" t="str">
            <v/>
          </cell>
          <cell r="FP81" t="str">
            <v/>
          </cell>
          <cell r="FQ81" t="str">
            <v/>
          </cell>
          <cell r="FR81" t="str">
            <v/>
          </cell>
          <cell r="FS81" t="str">
            <v/>
          </cell>
          <cell r="FT81" t="str">
            <v/>
          </cell>
          <cell r="FU81" t="str">
            <v/>
          </cell>
          <cell r="FV81" t="str">
            <v/>
          </cell>
          <cell r="FW81" t="str">
            <v/>
          </cell>
          <cell r="FX81" t="str">
            <v/>
          </cell>
          <cell r="FY81" t="str">
            <v/>
          </cell>
          <cell r="FZ81" t="str">
            <v/>
          </cell>
          <cell r="GA81" t="str">
            <v/>
          </cell>
          <cell r="GB81" t="str">
            <v/>
          </cell>
          <cell r="GC81" t="str">
            <v/>
          </cell>
          <cell r="GD81" t="str">
            <v/>
          </cell>
          <cell r="GE81" t="str">
            <v/>
          </cell>
          <cell r="GF81" t="str">
            <v/>
          </cell>
          <cell r="GG81" t="str">
            <v/>
          </cell>
          <cell r="GH81" t="str">
            <v/>
          </cell>
          <cell r="GI81" t="str">
            <v/>
          </cell>
          <cell r="GJ81" t="str">
            <v/>
          </cell>
          <cell r="GK81" t="str">
            <v/>
          </cell>
          <cell r="GL81" t="str">
            <v/>
          </cell>
          <cell r="GM81" t="str">
            <v/>
          </cell>
          <cell r="GN81" t="str">
            <v/>
          </cell>
          <cell r="GO81" t="str">
            <v/>
          </cell>
          <cell r="GP81" t="str">
            <v/>
          </cell>
          <cell r="GQ81" t="str">
            <v/>
          </cell>
          <cell r="GR81" t="str">
            <v/>
          </cell>
          <cell r="GS81" t="str">
            <v/>
          </cell>
          <cell r="GT81" t="str">
            <v/>
          </cell>
          <cell r="GU81" t="str">
            <v/>
          </cell>
          <cell r="GV81" t="str">
            <v/>
          </cell>
          <cell r="GW81" t="str">
            <v/>
          </cell>
          <cell r="GX81" t="str">
            <v/>
          </cell>
          <cell r="GY81" t="str">
            <v/>
          </cell>
          <cell r="GZ81" t="str">
            <v/>
          </cell>
          <cell r="HA81" t="str">
            <v/>
          </cell>
          <cell r="HB81" t="str">
            <v/>
          </cell>
          <cell r="HC81" t="str">
            <v/>
          </cell>
          <cell r="HD81" t="str">
            <v/>
          </cell>
          <cell r="HE81" t="str">
            <v/>
          </cell>
          <cell r="HF81" t="str">
            <v/>
          </cell>
          <cell r="HG81" t="str">
            <v/>
          </cell>
          <cell r="HH81" t="str">
            <v/>
          </cell>
          <cell r="HI81" t="str">
            <v/>
          </cell>
          <cell r="HJ81" t="str">
            <v/>
          </cell>
          <cell r="HK81" t="str">
            <v/>
          </cell>
          <cell r="HL81" t="str">
            <v/>
          </cell>
          <cell r="HM81" t="str">
            <v/>
          </cell>
          <cell r="HN81" t="str">
            <v/>
          </cell>
          <cell r="HO81" t="str">
            <v/>
          </cell>
          <cell r="HP81" t="str">
            <v/>
          </cell>
          <cell r="HQ81" t="str">
            <v/>
          </cell>
          <cell r="HR81" t="str">
            <v/>
          </cell>
          <cell r="HS81" t="str">
            <v/>
          </cell>
          <cell r="HT81" t="str">
            <v/>
          </cell>
          <cell r="HU81" t="str">
            <v/>
          </cell>
          <cell r="HV81" t="str">
            <v/>
          </cell>
          <cell r="HW81" t="str">
            <v/>
          </cell>
          <cell r="HX81" t="str">
            <v/>
          </cell>
          <cell r="HY81" t="str">
            <v/>
          </cell>
          <cell r="HZ81" t="str">
            <v/>
          </cell>
          <cell r="IA81" t="str">
            <v/>
          </cell>
          <cell r="IB81" t="str">
            <v/>
          </cell>
          <cell r="IC81" t="str">
            <v/>
          </cell>
          <cell r="ID81" t="str">
            <v/>
          </cell>
          <cell r="IE81" t="str">
            <v/>
          </cell>
          <cell r="IF81" t="str">
            <v/>
          </cell>
          <cell r="IG81" t="str">
            <v/>
          </cell>
          <cell r="IH81" t="str">
            <v/>
          </cell>
          <cell r="II81" t="str">
            <v/>
          </cell>
          <cell r="IJ81" t="str">
            <v/>
          </cell>
          <cell r="IK81" t="str">
            <v/>
          </cell>
          <cell r="IL81" t="str">
            <v/>
          </cell>
          <cell r="IM81" t="str">
            <v/>
          </cell>
          <cell r="IN81" t="str">
            <v/>
          </cell>
          <cell r="IO81" t="str">
            <v/>
          </cell>
          <cell r="IP81" t="str">
            <v/>
          </cell>
          <cell r="IQ81" t="str">
            <v/>
          </cell>
          <cell r="IR81" t="str">
            <v/>
          </cell>
          <cell r="IS81" t="str">
            <v/>
          </cell>
          <cell r="IT81" t="str">
            <v/>
          </cell>
          <cell r="IU81" t="str">
            <v/>
          </cell>
          <cell r="IV81" t="str">
            <v/>
          </cell>
          <cell r="IW81" t="str">
            <v/>
          </cell>
          <cell r="IX81" t="str">
            <v/>
          </cell>
          <cell r="IY81" t="str">
            <v/>
          </cell>
          <cell r="IZ81" t="str">
            <v/>
          </cell>
          <cell r="JA81" t="str">
            <v/>
          </cell>
          <cell r="JB81" t="str">
            <v/>
          </cell>
          <cell r="JC81" t="str">
            <v/>
          </cell>
          <cell r="JD81" t="str">
            <v/>
          </cell>
          <cell r="JE81" t="str">
            <v/>
          </cell>
          <cell r="JF81" t="str">
            <v/>
          </cell>
          <cell r="JG81" t="str">
            <v/>
          </cell>
          <cell r="JH81" t="str">
            <v/>
          </cell>
          <cell r="JI81" t="str">
            <v/>
          </cell>
          <cell r="JJ81" t="str">
            <v/>
          </cell>
          <cell r="JK81" t="str">
            <v/>
          </cell>
          <cell r="JL81" t="str">
            <v/>
          </cell>
          <cell r="JM81" t="str">
            <v/>
          </cell>
          <cell r="JN81" t="str">
            <v/>
          </cell>
          <cell r="JO81" t="str">
            <v/>
          </cell>
          <cell r="JP81" t="str">
            <v/>
          </cell>
          <cell r="JQ81" t="str">
            <v/>
          </cell>
          <cell r="JR81" t="str">
            <v/>
          </cell>
          <cell r="JS81" t="str">
            <v/>
          </cell>
          <cell r="JT81" t="str">
            <v/>
          </cell>
          <cell r="JU81" t="str">
            <v/>
          </cell>
          <cell r="JV81" t="str">
            <v/>
          </cell>
          <cell r="JW81" t="str">
            <v/>
          </cell>
          <cell r="JX81" t="str">
            <v/>
          </cell>
          <cell r="JY81" t="str">
            <v/>
          </cell>
          <cell r="JZ81" t="str">
            <v/>
          </cell>
          <cell r="KA81" t="str">
            <v/>
          </cell>
          <cell r="KB81" t="str">
            <v/>
          </cell>
          <cell r="KC81" t="str">
            <v/>
          </cell>
          <cell r="KD81">
            <v>4</v>
          </cell>
          <cell r="KE81">
            <v>4</v>
          </cell>
          <cell r="KF81">
            <v>4</v>
          </cell>
          <cell r="KG81">
            <v>4</v>
          </cell>
          <cell r="KH81">
            <v>4</v>
          </cell>
          <cell r="KI81">
            <v>4</v>
          </cell>
          <cell r="KJ81">
            <v>6</v>
          </cell>
          <cell r="KK81">
            <v>6</v>
          </cell>
          <cell r="KL81">
            <v>6</v>
          </cell>
          <cell r="KM81">
            <v>0</v>
          </cell>
          <cell r="KP81">
            <v>0</v>
          </cell>
          <cell r="KS81">
            <v>0</v>
          </cell>
          <cell r="KV81">
            <v>0</v>
          </cell>
          <cell r="KY81">
            <v>0</v>
          </cell>
          <cell r="LB81">
            <v>0</v>
          </cell>
          <cell r="LE81">
            <v>0</v>
          </cell>
          <cell r="LH81">
            <v>0</v>
          </cell>
          <cell r="LK81">
            <v>0</v>
          </cell>
          <cell r="LO81">
            <v>45769</v>
          </cell>
          <cell r="LP81" t="str">
            <v>COMPLETADO</v>
          </cell>
        </row>
        <row r="82">
          <cell r="A82">
            <v>1715</v>
          </cell>
          <cell r="B82" t="str">
            <v>LUCIANO</v>
          </cell>
          <cell r="C82" t="str">
            <v>GABRIEL</v>
          </cell>
          <cell r="D82" t="str">
            <v>MARROQUINERIA CHICA</v>
          </cell>
          <cell r="E82">
            <v>20</v>
          </cell>
          <cell r="F82">
            <v>20</v>
          </cell>
          <cell r="G82">
            <v>20</v>
          </cell>
          <cell r="H82">
            <v>45741.571064814816</v>
          </cell>
          <cell r="I82" t="str">
            <v>PORTALENTES LUZ</v>
          </cell>
          <cell r="J82">
            <v>45741</v>
          </cell>
          <cell r="K82">
            <v>45741</v>
          </cell>
          <cell r="L82">
            <v>45747</v>
          </cell>
          <cell r="M82">
            <v>10</v>
          </cell>
          <cell r="N82" t="str">
            <v>M098</v>
          </cell>
          <cell r="O82" t="str">
            <v>AV170134014</v>
          </cell>
          <cell r="P82">
            <v>0</v>
          </cell>
          <cell r="Q82" t="str">
            <v/>
          </cell>
          <cell r="R82" t="str">
            <v/>
          </cell>
          <cell r="S82" t="str">
            <v/>
          </cell>
          <cell r="T82" t="str">
            <v/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H82" t="str">
            <v/>
          </cell>
          <cell r="AI82" t="str">
            <v/>
          </cell>
          <cell r="AJ82" t="str">
            <v/>
          </cell>
          <cell r="AK82" t="str">
            <v/>
          </cell>
          <cell r="AL82" t="str">
            <v/>
          </cell>
          <cell r="AM82" t="str">
            <v/>
          </cell>
          <cell r="AN82" t="str">
            <v/>
          </cell>
          <cell r="AO82" t="str">
            <v/>
          </cell>
          <cell r="AP82" t="str">
            <v/>
          </cell>
          <cell r="AQ82" t="str">
            <v/>
          </cell>
          <cell r="AR82" t="str">
            <v/>
          </cell>
          <cell r="AS82" t="str">
            <v/>
          </cell>
          <cell r="AT82" t="str">
            <v/>
          </cell>
          <cell r="AU82" t="str">
            <v/>
          </cell>
          <cell r="AV82" t="str">
            <v/>
          </cell>
          <cell r="AW82" t="str">
            <v xml:space="preserve">GRABADO EL LUCERO ARGENTINA CHICO, EN ELFRENTE, A 1.5CM DEL BORDE INFERIOR Y A 1.5 CM DEL BORDE DERECHO. </v>
          </cell>
          <cell r="AX82" t="str">
            <v>AZUL_REVES_AZUL</v>
          </cell>
          <cell r="AY82" t="str">
            <v>BIANCO-CUERO MODENA ESPESOR 1,4</v>
          </cell>
          <cell r="AZ82" t="str">
            <v>CUE0000119</v>
          </cell>
          <cell r="BA82">
            <v>0.03</v>
          </cell>
          <cell r="BB82" t="str">
            <v>FOR0000027</v>
          </cell>
          <cell r="BC82">
            <v>0.03</v>
          </cell>
          <cell r="BD82" t="str">
            <v>AV1401254360</v>
          </cell>
          <cell r="BE82">
            <v>0</v>
          </cell>
          <cell r="BF82" t="str">
            <v>AV1601300956</v>
          </cell>
          <cell r="BG82">
            <v>0</v>
          </cell>
          <cell r="BH82" t="str">
            <v/>
          </cell>
          <cell r="BI82" t="str">
            <v/>
          </cell>
          <cell r="BJ82" t="str">
            <v/>
          </cell>
          <cell r="BK82" t="str">
            <v/>
          </cell>
          <cell r="BL82" t="str">
            <v/>
          </cell>
          <cell r="BM82" t="str">
            <v/>
          </cell>
          <cell r="BN82" t="str">
            <v/>
          </cell>
          <cell r="BO82" t="str">
            <v/>
          </cell>
          <cell r="BP82" t="str">
            <v/>
          </cell>
          <cell r="BQ82" t="str">
            <v/>
          </cell>
          <cell r="BR82" t="str">
            <v>VERDE_REVES_VERDE</v>
          </cell>
          <cell r="BS82" t="str">
            <v>BIANCO-CUERO MODENA ESPESOR 1,4</v>
          </cell>
          <cell r="BT82" t="str">
            <v>CUE0000118</v>
          </cell>
          <cell r="BU82">
            <v>0.03</v>
          </cell>
          <cell r="BV82" t="str">
            <v>FOR0000027</v>
          </cell>
          <cell r="BW82">
            <v>0.03</v>
          </cell>
          <cell r="BX82" t="str">
            <v>AV1401254260</v>
          </cell>
          <cell r="BY82">
            <v>0</v>
          </cell>
          <cell r="BZ82" t="str">
            <v>AV1601300957</v>
          </cell>
          <cell r="CA82">
            <v>0</v>
          </cell>
          <cell r="CB82" t="str">
            <v/>
          </cell>
          <cell r="CC82" t="str">
            <v/>
          </cell>
          <cell r="CD82" t="str">
            <v/>
          </cell>
          <cell r="CE82" t="str">
            <v/>
          </cell>
          <cell r="CF82" t="str">
            <v/>
          </cell>
          <cell r="CG82" t="str">
            <v/>
          </cell>
          <cell r="CH82" t="str">
            <v/>
          </cell>
          <cell r="CI82" t="str">
            <v/>
          </cell>
          <cell r="CJ82" t="str">
            <v/>
          </cell>
          <cell r="CK82" t="str">
            <v/>
          </cell>
          <cell r="CL82" t="str">
            <v/>
          </cell>
          <cell r="CM82" t="str">
            <v/>
          </cell>
          <cell r="CN82" t="str">
            <v/>
          </cell>
          <cell r="CO82" t="str">
            <v/>
          </cell>
          <cell r="CP82" t="str">
            <v/>
          </cell>
          <cell r="CQ82" t="str">
            <v/>
          </cell>
          <cell r="CR82" t="str">
            <v/>
          </cell>
          <cell r="CS82" t="str">
            <v/>
          </cell>
          <cell r="CT82" t="str">
            <v/>
          </cell>
          <cell r="CU82" t="str">
            <v/>
          </cell>
          <cell r="CV82" t="str">
            <v/>
          </cell>
          <cell r="CW82" t="str">
            <v/>
          </cell>
          <cell r="CX82" t="str">
            <v/>
          </cell>
          <cell r="CY82" t="str">
            <v/>
          </cell>
          <cell r="CZ82" t="str">
            <v/>
          </cell>
          <cell r="DA82" t="str">
            <v/>
          </cell>
          <cell r="DB82" t="str">
            <v/>
          </cell>
          <cell r="DC82" t="str">
            <v/>
          </cell>
          <cell r="DD82" t="str">
            <v/>
          </cell>
          <cell r="DE82" t="str">
            <v/>
          </cell>
          <cell r="DF82" t="str">
            <v/>
          </cell>
          <cell r="DG82" t="str">
            <v/>
          </cell>
          <cell r="DH82" t="str">
            <v/>
          </cell>
          <cell r="DI82" t="str">
            <v/>
          </cell>
          <cell r="DJ82" t="str">
            <v/>
          </cell>
          <cell r="DK82" t="str">
            <v/>
          </cell>
          <cell r="DL82" t="str">
            <v/>
          </cell>
          <cell r="DM82" t="str">
            <v/>
          </cell>
          <cell r="DN82" t="str">
            <v/>
          </cell>
          <cell r="DO82" t="str">
            <v/>
          </cell>
          <cell r="DP82" t="str">
            <v/>
          </cell>
          <cell r="DQ82" t="str">
            <v/>
          </cell>
          <cell r="DR82" t="str">
            <v/>
          </cell>
          <cell r="DS82" t="str">
            <v/>
          </cell>
          <cell r="DT82" t="str">
            <v/>
          </cell>
          <cell r="DU82" t="str">
            <v/>
          </cell>
          <cell r="DV82" t="str">
            <v/>
          </cell>
          <cell r="DW82" t="str">
            <v/>
          </cell>
          <cell r="DX82" t="str">
            <v/>
          </cell>
          <cell r="DY82" t="str">
            <v/>
          </cell>
          <cell r="DZ82" t="str">
            <v/>
          </cell>
          <cell r="EA82" t="str">
            <v/>
          </cell>
          <cell r="EB82" t="str">
            <v/>
          </cell>
          <cell r="EC82" t="str">
            <v/>
          </cell>
          <cell r="ED82" t="str">
            <v/>
          </cell>
          <cell r="EE82" t="str">
            <v/>
          </cell>
          <cell r="EF82" t="str">
            <v/>
          </cell>
          <cell r="EG82" t="str">
            <v/>
          </cell>
          <cell r="EH82" t="str">
            <v/>
          </cell>
          <cell r="EI82" t="str">
            <v/>
          </cell>
          <cell r="EJ82" t="str">
            <v/>
          </cell>
          <cell r="EK82" t="str">
            <v/>
          </cell>
          <cell r="EL82" t="str">
            <v/>
          </cell>
          <cell r="EM82" t="str">
            <v/>
          </cell>
          <cell r="EN82" t="str">
            <v/>
          </cell>
          <cell r="EO82" t="str">
            <v/>
          </cell>
          <cell r="EP82" t="str">
            <v/>
          </cell>
          <cell r="EQ82" t="str">
            <v/>
          </cell>
          <cell r="ER82" t="str">
            <v/>
          </cell>
          <cell r="ES82" t="str">
            <v/>
          </cell>
          <cell r="ET82" t="str">
            <v/>
          </cell>
          <cell r="EU82" t="str">
            <v/>
          </cell>
          <cell r="EV82" t="str">
            <v/>
          </cell>
          <cell r="EW82" t="str">
            <v/>
          </cell>
          <cell r="EX82" t="str">
            <v/>
          </cell>
          <cell r="EY82" t="str">
            <v/>
          </cell>
          <cell r="EZ82" t="str">
            <v/>
          </cell>
          <cell r="FA82" t="str">
            <v/>
          </cell>
          <cell r="FB82" t="str">
            <v/>
          </cell>
          <cell r="FC82" t="str">
            <v/>
          </cell>
          <cell r="FD82" t="str">
            <v/>
          </cell>
          <cell r="FE82" t="str">
            <v/>
          </cell>
          <cell r="FF82" t="str">
            <v/>
          </cell>
          <cell r="FG82" t="str">
            <v/>
          </cell>
          <cell r="FH82" t="str">
            <v/>
          </cell>
          <cell r="FI82" t="str">
            <v/>
          </cell>
          <cell r="FJ82" t="str">
            <v/>
          </cell>
          <cell r="FK82" t="str">
            <v/>
          </cell>
          <cell r="FL82" t="str">
            <v/>
          </cell>
          <cell r="FM82" t="str">
            <v/>
          </cell>
          <cell r="FN82" t="str">
            <v/>
          </cell>
          <cell r="FO82" t="str">
            <v/>
          </cell>
          <cell r="FP82" t="str">
            <v/>
          </cell>
          <cell r="FQ82" t="str">
            <v/>
          </cell>
          <cell r="FR82" t="str">
            <v/>
          </cell>
          <cell r="FS82" t="str">
            <v/>
          </cell>
          <cell r="FT82" t="str">
            <v/>
          </cell>
          <cell r="FU82" t="str">
            <v/>
          </cell>
          <cell r="FV82" t="str">
            <v/>
          </cell>
          <cell r="FW82" t="str">
            <v/>
          </cell>
          <cell r="FX82" t="str">
            <v/>
          </cell>
          <cell r="FY82" t="str">
            <v/>
          </cell>
          <cell r="FZ82" t="str">
            <v/>
          </cell>
          <cell r="GA82" t="str">
            <v/>
          </cell>
          <cell r="GB82" t="str">
            <v/>
          </cell>
          <cell r="GC82" t="str">
            <v/>
          </cell>
          <cell r="GD82" t="str">
            <v/>
          </cell>
          <cell r="GE82" t="str">
            <v/>
          </cell>
          <cell r="GF82" t="str">
            <v/>
          </cell>
          <cell r="GG82" t="str">
            <v/>
          </cell>
          <cell r="GH82" t="str">
            <v/>
          </cell>
          <cell r="GI82" t="str">
            <v/>
          </cell>
          <cell r="GJ82" t="str">
            <v/>
          </cell>
          <cell r="GK82" t="str">
            <v/>
          </cell>
          <cell r="GL82" t="str">
            <v/>
          </cell>
          <cell r="GM82" t="str">
            <v/>
          </cell>
          <cell r="GN82" t="str">
            <v/>
          </cell>
          <cell r="GO82" t="str">
            <v/>
          </cell>
          <cell r="GP82" t="str">
            <v/>
          </cell>
          <cell r="GQ82" t="str">
            <v/>
          </cell>
          <cell r="GR82" t="str">
            <v/>
          </cell>
          <cell r="GS82" t="str">
            <v/>
          </cell>
          <cell r="GT82" t="str">
            <v/>
          </cell>
          <cell r="GU82" t="str">
            <v/>
          </cell>
          <cell r="GV82" t="str">
            <v/>
          </cell>
          <cell r="GW82" t="str">
            <v/>
          </cell>
          <cell r="GX82" t="str">
            <v/>
          </cell>
          <cell r="GY82" t="str">
            <v/>
          </cell>
          <cell r="GZ82" t="str">
            <v/>
          </cell>
          <cell r="HA82" t="str">
            <v/>
          </cell>
          <cell r="HB82" t="str">
            <v/>
          </cell>
          <cell r="HC82" t="str">
            <v/>
          </cell>
          <cell r="HD82" t="str">
            <v/>
          </cell>
          <cell r="HE82" t="str">
            <v/>
          </cell>
          <cell r="HF82" t="str">
            <v/>
          </cell>
          <cell r="HG82" t="str">
            <v/>
          </cell>
          <cell r="HH82" t="str">
            <v/>
          </cell>
          <cell r="HI82" t="str">
            <v/>
          </cell>
          <cell r="HJ82" t="str">
            <v/>
          </cell>
          <cell r="HK82" t="str">
            <v/>
          </cell>
          <cell r="HL82" t="str">
            <v/>
          </cell>
          <cell r="HM82" t="str">
            <v/>
          </cell>
          <cell r="HN82" t="str">
            <v/>
          </cell>
          <cell r="HO82" t="str">
            <v/>
          </cell>
          <cell r="HP82" t="str">
            <v/>
          </cell>
          <cell r="HQ82" t="str">
            <v/>
          </cell>
          <cell r="HR82" t="str">
            <v/>
          </cell>
          <cell r="HS82" t="str">
            <v/>
          </cell>
          <cell r="HT82" t="str">
            <v/>
          </cell>
          <cell r="HU82" t="str">
            <v/>
          </cell>
          <cell r="HV82" t="str">
            <v/>
          </cell>
          <cell r="HW82" t="str">
            <v/>
          </cell>
          <cell r="HX82" t="str">
            <v/>
          </cell>
          <cell r="HY82" t="str">
            <v/>
          </cell>
          <cell r="HZ82" t="str">
            <v/>
          </cell>
          <cell r="IA82" t="str">
            <v/>
          </cell>
          <cell r="IB82" t="str">
            <v/>
          </cell>
          <cell r="IC82" t="str">
            <v/>
          </cell>
          <cell r="ID82" t="str">
            <v/>
          </cell>
          <cell r="IE82" t="str">
            <v/>
          </cell>
          <cell r="IF82" t="str">
            <v/>
          </cell>
          <cell r="IG82" t="str">
            <v/>
          </cell>
          <cell r="IH82" t="str">
            <v/>
          </cell>
          <cell r="II82" t="str">
            <v/>
          </cell>
          <cell r="IJ82" t="str">
            <v/>
          </cell>
          <cell r="IK82" t="str">
            <v/>
          </cell>
          <cell r="IL82" t="str">
            <v/>
          </cell>
          <cell r="IM82" t="str">
            <v/>
          </cell>
          <cell r="IN82" t="str">
            <v/>
          </cell>
          <cell r="IO82" t="str">
            <v/>
          </cell>
          <cell r="IP82" t="str">
            <v/>
          </cell>
          <cell r="IQ82" t="str">
            <v/>
          </cell>
          <cell r="IR82" t="str">
            <v/>
          </cell>
          <cell r="IS82" t="str">
            <v/>
          </cell>
          <cell r="IT82" t="str">
            <v/>
          </cell>
          <cell r="IU82" t="str">
            <v/>
          </cell>
          <cell r="IV82" t="str">
            <v/>
          </cell>
          <cell r="IW82" t="str">
            <v/>
          </cell>
          <cell r="IX82" t="str">
            <v/>
          </cell>
          <cell r="IY82" t="str">
            <v/>
          </cell>
          <cell r="IZ82" t="str">
            <v/>
          </cell>
          <cell r="JA82" t="str">
            <v/>
          </cell>
          <cell r="JB82" t="str">
            <v/>
          </cell>
          <cell r="JC82" t="str">
            <v/>
          </cell>
          <cell r="JD82" t="str">
            <v/>
          </cell>
          <cell r="JE82" t="str">
            <v/>
          </cell>
          <cell r="JF82" t="str">
            <v/>
          </cell>
          <cell r="JG82" t="str">
            <v/>
          </cell>
          <cell r="JH82" t="str">
            <v/>
          </cell>
          <cell r="JI82" t="str">
            <v/>
          </cell>
          <cell r="JJ82" t="str">
            <v/>
          </cell>
          <cell r="JK82" t="str">
            <v/>
          </cell>
          <cell r="JL82" t="str">
            <v/>
          </cell>
          <cell r="JM82" t="str">
            <v/>
          </cell>
          <cell r="JN82" t="str">
            <v/>
          </cell>
          <cell r="JO82" t="str">
            <v/>
          </cell>
          <cell r="JP82" t="str">
            <v/>
          </cell>
          <cell r="JQ82" t="str">
            <v/>
          </cell>
          <cell r="JR82" t="str">
            <v/>
          </cell>
          <cell r="JS82" t="str">
            <v/>
          </cell>
          <cell r="JT82" t="str">
            <v/>
          </cell>
          <cell r="JU82" t="str">
            <v/>
          </cell>
          <cell r="JV82" t="str">
            <v/>
          </cell>
          <cell r="JW82" t="str">
            <v/>
          </cell>
          <cell r="JX82" t="str">
            <v/>
          </cell>
          <cell r="JY82" t="str">
            <v/>
          </cell>
          <cell r="JZ82" t="str">
            <v/>
          </cell>
          <cell r="KA82" t="str">
            <v/>
          </cell>
          <cell r="KB82" t="str">
            <v/>
          </cell>
          <cell r="KC82" t="str">
            <v/>
          </cell>
          <cell r="KD82">
            <v>8</v>
          </cell>
          <cell r="KE82">
            <v>8</v>
          </cell>
          <cell r="KF82">
            <v>8</v>
          </cell>
          <cell r="KG82">
            <v>12</v>
          </cell>
          <cell r="KH82">
            <v>12</v>
          </cell>
          <cell r="KI82">
            <v>12</v>
          </cell>
          <cell r="KJ82">
            <v>0</v>
          </cell>
          <cell r="KM82">
            <v>0</v>
          </cell>
          <cell r="KP82">
            <v>0</v>
          </cell>
          <cell r="KS82">
            <v>0</v>
          </cell>
          <cell r="KV82">
            <v>0</v>
          </cell>
          <cell r="KY82">
            <v>0</v>
          </cell>
          <cell r="LB82">
            <v>0</v>
          </cell>
          <cell r="LE82">
            <v>0</v>
          </cell>
          <cell r="LH82">
            <v>0</v>
          </cell>
          <cell r="LK82">
            <v>0</v>
          </cell>
          <cell r="LN82">
            <v>45741</v>
          </cell>
          <cell r="LO82">
            <v>45747</v>
          </cell>
          <cell r="LP82" t="str">
            <v>COMPLETADO</v>
          </cell>
        </row>
        <row r="83">
          <cell r="A83">
            <v>1716</v>
          </cell>
          <cell r="B83" t="str">
            <v>LUCIANO</v>
          </cell>
          <cell r="C83" t="str">
            <v>EXT GABRIEL</v>
          </cell>
          <cell r="D83" t="str">
            <v>MARROQUINERIA CHICA</v>
          </cell>
          <cell r="E83">
            <v>26</v>
          </cell>
          <cell r="F83">
            <v>26</v>
          </cell>
          <cell r="G83">
            <v>26</v>
          </cell>
          <cell r="H83">
            <v>45741.576643518521</v>
          </cell>
          <cell r="I83" t="str">
            <v>PORTALENTES MANU</v>
          </cell>
          <cell r="J83">
            <v>45741</v>
          </cell>
          <cell r="K83">
            <v>45741</v>
          </cell>
          <cell r="M83">
            <v>7</v>
          </cell>
          <cell r="N83" t="str">
            <v>M099</v>
          </cell>
          <cell r="O83" t="str">
            <v>AV0700420101</v>
          </cell>
          <cell r="P83">
            <v>1</v>
          </cell>
          <cell r="Q83" t="str">
            <v>AV0600550101</v>
          </cell>
          <cell r="R83">
            <v>1</v>
          </cell>
          <cell r="S83" t="str">
            <v>AV0300400101</v>
          </cell>
          <cell r="T83">
            <v>1</v>
          </cell>
          <cell r="U83" t="str">
            <v>VAR0000004</v>
          </cell>
          <cell r="V83">
            <v>1</v>
          </cell>
          <cell r="W83" t="str">
            <v>AV170134014</v>
          </cell>
          <cell r="X83">
            <v>0</v>
          </cell>
          <cell r="Y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H83" t="str">
            <v/>
          </cell>
          <cell r="AI83" t="str">
            <v/>
          </cell>
          <cell r="AJ83" t="str">
            <v/>
          </cell>
          <cell r="AK83" t="str">
            <v/>
          </cell>
          <cell r="AL83" t="str">
            <v/>
          </cell>
          <cell r="AM83" t="str">
            <v/>
          </cell>
          <cell r="AN83" t="str">
            <v/>
          </cell>
          <cell r="AO83" t="str">
            <v/>
          </cell>
          <cell r="AP83" t="str">
            <v/>
          </cell>
          <cell r="AQ83" t="str">
            <v/>
          </cell>
          <cell r="AR83" t="str">
            <v/>
          </cell>
          <cell r="AS83" t="str">
            <v/>
          </cell>
          <cell r="AT83" t="str">
            <v/>
          </cell>
          <cell r="AU83" t="str">
            <v/>
          </cell>
          <cell r="AV83" t="str">
            <v/>
          </cell>
          <cell r="AW83" t="str">
            <v/>
          </cell>
          <cell r="AX83" t="str">
            <v>MALBEC</v>
          </cell>
          <cell r="AY83" t="str">
            <v>ARENA-CUERO BRIDGE</v>
          </cell>
          <cell r="AZ83" t="str">
            <v>CUE0000008</v>
          </cell>
          <cell r="BA83">
            <v>0.03</v>
          </cell>
          <cell r="BB83" t="str">
            <v>AV1401250545</v>
          </cell>
          <cell r="BC83">
            <v>0</v>
          </cell>
          <cell r="BD83" t="str">
            <v/>
          </cell>
          <cell r="BE83" t="str">
            <v/>
          </cell>
          <cell r="BF83" t="str">
            <v/>
          </cell>
          <cell r="BG83" t="str">
            <v/>
          </cell>
          <cell r="BH83" t="str">
            <v/>
          </cell>
          <cell r="BI83" t="str">
            <v/>
          </cell>
          <cell r="BJ83" t="str">
            <v/>
          </cell>
          <cell r="BK83" t="str">
            <v/>
          </cell>
          <cell r="BL83" t="str">
            <v/>
          </cell>
          <cell r="BM83" t="str">
            <v/>
          </cell>
          <cell r="BN83" t="str">
            <v/>
          </cell>
          <cell r="BO83" t="str">
            <v/>
          </cell>
          <cell r="BP83" t="str">
            <v/>
          </cell>
          <cell r="BQ83" t="str">
            <v/>
          </cell>
          <cell r="BR83" t="str">
            <v>ROJO</v>
          </cell>
          <cell r="BS83" t="str">
            <v>ARENA-CUERO BRIDGE</v>
          </cell>
          <cell r="BT83" t="str">
            <v>CUE0000010</v>
          </cell>
          <cell r="BU83">
            <v>0.03</v>
          </cell>
          <cell r="BV83" t="str">
            <v>AV1401254460</v>
          </cell>
          <cell r="BW83">
            <v>0</v>
          </cell>
          <cell r="BX83" t="str">
            <v/>
          </cell>
          <cell r="BY83" t="str">
            <v/>
          </cell>
          <cell r="BZ83" t="str">
            <v/>
          </cell>
          <cell r="CA83" t="str">
            <v/>
          </cell>
          <cell r="CB83" t="str">
            <v/>
          </cell>
          <cell r="CC83" t="str">
            <v/>
          </cell>
          <cell r="CD83" t="str">
            <v/>
          </cell>
          <cell r="CE83" t="str">
            <v/>
          </cell>
          <cell r="CF83" t="str">
            <v/>
          </cell>
          <cell r="CG83" t="str">
            <v/>
          </cell>
          <cell r="CH83" t="str">
            <v/>
          </cell>
          <cell r="CI83" t="str">
            <v/>
          </cell>
          <cell r="CJ83" t="str">
            <v/>
          </cell>
          <cell r="CK83" t="str">
            <v/>
          </cell>
          <cell r="CL83" t="str">
            <v/>
          </cell>
          <cell r="CM83" t="str">
            <v/>
          </cell>
          <cell r="CN83" t="str">
            <v/>
          </cell>
          <cell r="CO83" t="str">
            <v/>
          </cell>
          <cell r="CP83" t="str">
            <v/>
          </cell>
          <cell r="CQ83" t="str">
            <v/>
          </cell>
          <cell r="CR83" t="str">
            <v/>
          </cell>
          <cell r="CS83" t="str">
            <v/>
          </cell>
          <cell r="CT83" t="str">
            <v/>
          </cell>
          <cell r="CU83" t="str">
            <v/>
          </cell>
          <cell r="CV83" t="str">
            <v/>
          </cell>
          <cell r="CW83" t="str">
            <v/>
          </cell>
          <cell r="CX83" t="str">
            <v/>
          </cell>
          <cell r="CY83" t="str">
            <v/>
          </cell>
          <cell r="CZ83" t="str">
            <v/>
          </cell>
          <cell r="DA83" t="str">
            <v/>
          </cell>
          <cell r="DB83" t="str">
            <v/>
          </cell>
          <cell r="DC83" t="str">
            <v/>
          </cell>
          <cell r="DD83" t="str">
            <v/>
          </cell>
          <cell r="DE83" t="str">
            <v/>
          </cell>
          <cell r="DF83" t="str">
            <v/>
          </cell>
          <cell r="DG83" t="str">
            <v/>
          </cell>
          <cell r="DH83" t="str">
            <v/>
          </cell>
          <cell r="DI83" t="str">
            <v/>
          </cell>
          <cell r="DJ83" t="str">
            <v/>
          </cell>
          <cell r="DK83" t="str">
            <v/>
          </cell>
          <cell r="DL83" t="str">
            <v/>
          </cell>
          <cell r="DM83" t="str">
            <v/>
          </cell>
          <cell r="DN83" t="str">
            <v/>
          </cell>
          <cell r="DO83" t="str">
            <v/>
          </cell>
          <cell r="DP83" t="str">
            <v/>
          </cell>
          <cell r="DQ83" t="str">
            <v/>
          </cell>
          <cell r="DR83" t="str">
            <v/>
          </cell>
          <cell r="DS83" t="str">
            <v/>
          </cell>
          <cell r="DT83" t="str">
            <v/>
          </cell>
          <cell r="DU83" t="str">
            <v/>
          </cell>
          <cell r="DV83" t="str">
            <v/>
          </cell>
          <cell r="DW83" t="str">
            <v/>
          </cell>
          <cell r="DX83" t="str">
            <v/>
          </cell>
          <cell r="DY83" t="str">
            <v/>
          </cell>
          <cell r="DZ83" t="str">
            <v/>
          </cell>
          <cell r="EA83" t="str">
            <v/>
          </cell>
          <cell r="EB83" t="str">
            <v/>
          </cell>
          <cell r="EC83" t="str">
            <v/>
          </cell>
          <cell r="ED83" t="str">
            <v/>
          </cell>
          <cell r="EE83" t="str">
            <v/>
          </cell>
          <cell r="EF83" t="str">
            <v/>
          </cell>
          <cell r="EG83" t="str">
            <v/>
          </cell>
          <cell r="EH83" t="str">
            <v/>
          </cell>
          <cell r="EI83" t="str">
            <v/>
          </cell>
          <cell r="EJ83" t="str">
            <v/>
          </cell>
          <cell r="EK83" t="str">
            <v/>
          </cell>
          <cell r="EL83" t="str">
            <v/>
          </cell>
          <cell r="EM83" t="str">
            <v/>
          </cell>
          <cell r="EN83" t="str">
            <v/>
          </cell>
          <cell r="EO83" t="str">
            <v/>
          </cell>
          <cell r="EP83" t="str">
            <v/>
          </cell>
          <cell r="EQ83" t="str">
            <v/>
          </cell>
          <cell r="ER83" t="str">
            <v/>
          </cell>
          <cell r="ES83" t="str">
            <v/>
          </cell>
          <cell r="ET83" t="str">
            <v/>
          </cell>
          <cell r="EU83" t="str">
            <v/>
          </cell>
          <cell r="EV83" t="str">
            <v/>
          </cell>
          <cell r="EW83" t="str">
            <v/>
          </cell>
          <cell r="EX83" t="str">
            <v/>
          </cell>
          <cell r="EY83" t="str">
            <v/>
          </cell>
          <cell r="EZ83" t="str">
            <v/>
          </cell>
          <cell r="FA83" t="str">
            <v/>
          </cell>
          <cell r="FB83" t="str">
            <v/>
          </cell>
          <cell r="FC83" t="str">
            <v/>
          </cell>
          <cell r="FD83" t="str">
            <v/>
          </cell>
          <cell r="FE83" t="str">
            <v/>
          </cell>
          <cell r="FF83" t="str">
            <v/>
          </cell>
          <cell r="FG83" t="str">
            <v/>
          </cell>
          <cell r="FH83" t="str">
            <v/>
          </cell>
          <cell r="FI83" t="str">
            <v/>
          </cell>
          <cell r="FJ83" t="str">
            <v/>
          </cell>
          <cell r="FK83" t="str">
            <v/>
          </cell>
          <cell r="FL83" t="str">
            <v/>
          </cell>
          <cell r="FM83" t="str">
            <v/>
          </cell>
          <cell r="FN83" t="str">
            <v/>
          </cell>
          <cell r="FO83" t="str">
            <v/>
          </cell>
          <cell r="FP83" t="str">
            <v/>
          </cell>
          <cell r="FQ83" t="str">
            <v/>
          </cell>
          <cell r="FR83" t="str">
            <v/>
          </cell>
          <cell r="FS83" t="str">
            <v/>
          </cell>
          <cell r="FT83" t="str">
            <v/>
          </cell>
          <cell r="FU83" t="str">
            <v/>
          </cell>
          <cell r="FV83" t="str">
            <v/>
          </cell>
          <cell r="FW83" t="str">
            <v/>
          </cell>
          <cell r="FX83" t="str">
            <v/>
          </cell>
          <cell r="FY83" t="str">
            <v/>
          </cell>
          <cell r="FZ83" t="str">
            <v/>
          </cell>
          <cell r="GA83" t="str">
            <v/>
          </cell>
          <cell r="GB83" t="str">
            <v/>
          </cell>
          <cell r="GC83" t="str">
            <v/>
          </cell>
          <cell r="GD83" t="str">
            <v/>
          </cell>
          <cell r="GE83" t="str">
            <v/>
          </cell>
          <cell r="GF83" t="str">
            <v/>
          </cell>
          <cell r="GG83" t="str">
            <v/>
          </cell>
          <cell r="GH83" t="str">
            <v/>
          </cell>
          <cell r="GI83" t="str">
            <v/>
          </cell>
          <cell r="GJ83" t="str">
            <v/>
          </cell>
          <cell r="GK83" t="str">
            <v/>
          </cell>
          <cell r="GL83" t="str">
            <v/>
          </cell>
          <cell r="GM83" t="str">
            <v/>
          </cell>
          <cell r="GN83" t="str">
            <v/>
          </cell>
          <cell r="GO83" t="str">
            <v/>
          </cell>
          <cell r="GP83" t="str">
            <v/>
          </cell>
          <cell r="GQ83" t="str">
            <v/>
          </cell>
          <cell r="GR83" t="str">
            <v/>
          </cell>
          <cell r="GS83" t="str">
            <v/>
          </cell>
          <cell r="GT83" t="str">
            <v/>
          </cell>
          <cell r="GU83" t="str">
            <v/>
          </cell>
          <cell r="GV83" t="str">
            <v/>
          </cell>
          <cell r="GW83" t="str">
            <v/>
          </cell>
          <cell r="GX83" t="str">
            <v/>
          </cell>
          <cell r="GY83" t="str">
            <v/>
          </cell>
          <cell r="GZ83" t="str">
            <v/>
          </cell>
          <cell r="HA83" t="str">
            <v/>
          </cell>
          <cell r="HB83" t="str">
            <v/>
          </cell>
          <cell r="HC83" t="str">
            <v/>
          </cell>
          <cell r="HD83" t="str">
            <v/>
          </cell>
          <cell r="HE83" t="str">
            <v/>
          </cell>
          <cell r="HF83" t="str">
            <v/>
          </cell>
          <cell r="HG83" t="str">
            <v/>
          </cell>
          <cell r="HH83" t="str">
            <v/>
          </cell>
          <cell r="HI83" t="str">
            <v/>
          </cell>
          <cell r="HJ83" t="str">
            <v/>
          </cell>
          <cell r="HK83" t="str">
            <v/>
          </cell>
          <cell r="HL83" t="str">
            <v/>
          </cell>
          <cell r="HM83" t="str">
            <v/>
          </cell>
          <cell r="HN83" t="str">
            <v/>
          </cell>
          <cell r="HO83" t="str">
            <v/>
          </cell>
          <cell r="HP83" t="str">
            <v/>
          </cell>
          <cell r="HQ83" t="str">
            <v/>
          </cell>
          <cell r="HR83" t="str">
            <v/>
          </cell>
          <cell r="HS83" t="str">
            <v/>
          </cell>
          <cell r="HT83" t="str">
            <v/>
          </cell>
          <cell r="HU83" t="str">
            <v/>
          </cell>
          <cell r="HV83" t="str">
            <v/>
          </cell>
          <cell r="HW83" t="str">
            <v/>
          </cell>
          <cell r="HX83" t="str">
            <v/>
          </cell>
          <cell r="HY83" t="str">
            <v/>
          </cell>
          <cell r="HZ83" t="str">
            <v/>
          </cell>
          <cell r="IA83" t="str">
            <v/>
          </cell>
          <cell r="IB83" t="str">
            <v/>
          </cell>
          <cell r="IC83" t="str">
            <v/>
          </cell>
          <cell r="ID83" t="str">
            <v/>
          </cell>
          <cell r="IE83" t="str">
            <v/>
          </cell>
          <cell r="IF83" t="str">
            <v/>
          </cell>
          <cell r="IG83" t="str">
            <v/>
          </cell>
          <cell r="IH83" t="str">
            <v/>
          </cell>
          <cell r="II83" t="str">
            <v/>
          </cell>
          <cell r="IJ83" t="str">
            <v/>
          </cell>
          <cell r="IK83" t="str">
            <v/>
          </cell>
          <cell r="IL83" t="str">
            <v/>
          </cell>
          <cell r="IM83" t="str">
            <v/>
          </cell>
          <cell r="IN83" t="str">
            <v/>
          </cell>
          <cell r="IO83" t="str">
            <v/>
          </cell>
          <cell r="IP83" t="str">
            <v/>
          </cell>
          <cell r="IQ83" t="str">
            <v/>
          </cell>
          <cell r="IR83" t="str">
            <v/>
          </cell>
          <cell r="IS83" t="str">
            <v/>
          </cell>
          <cell r="IT83" t="str">
            <v/>
          </cell>
          <cell r="IU83" t="str">
            <v/>
          </cell>
          <cell r="IV83" t="str">
            <v/>
          </cell>
          <cell r="IW83" t="str">
            <v/>
          </cell>
          <cell r="IX83" t="str">
            <v/>
          </cell>
          <cell r="IY83" t="str">
            <v/>
          </cell>
          <cell r="IZ83" t="str">
            <v/>
          </cell>
          <cell r="JA83" t="str">
            <v/>
          </cell>
          <cell r="JB83" t="str">
            <v/>
          </cell>
          <cell r="JC83" t="str">
            <v/>
          </cell>
          <cell r="JD83" t="str">
            <v/>
          </cell>
          <cell r="JE83" t="str">
            <v/>
          </cell>
          <cell r="JF83" t="str">
            <v/>
          </cell>
          <cell r="JG83" t="str">
            <v/>
          </cell>
          <cell r="JH83" t="str">
            <v/>
          </cell>
          <cell r="JI83" t="str">
            <v/>
          </cell>
          <cell r="JJ83" t="str">
            <v/>
          </cell>
          <cell r="JK83" t="str">
            <v/>
          </cell>
          <cell r="JL83" t="str">
            <v/>
          </cell>
          <cell r="JM83" t="str">
            <v/>
          </cell>
          <cell r="JN83" t="str">
            <v/>
          </cell>
          <cell r="JO83" t="str">
            <v/>
          </cell>
          <cell r="JP83" t="str">
            <v/>
          </cell>
          <cell r="JQ83" t="str">
            <v/>
          </cell>
          <cell r="JR83" t="str">
            <v/>
          </cell>
          <cell r="JS83" t="str">
            <v/>
          </cell>
          <cell r="JT83" t="str">
            <v/>
          </cell>
          <cell r="JU83" t="str">
            <v/>
          </cell>
          <cell r="JV83" t="str">
            <v/>
          </cell>
          <cell r="JW83" t="str">
            <v/>
          </cell>
          <cell r="JX83" t="str">
            <v/>
          </cell>
          <cell r="JY83" t="str">
            <v/>
          </cell>
          <cell r="JZ83" t="str">
            <v/>
          </cell>
          <cell r="KA83" t="str">
            <v/>
          </cell>
          <cell r="KB83" t="str">
            <v/>
          </cell>
          <cell r="KC83" t="str">
            <v/>
          </cell>
          <cell r="KD83">
            <v>14</v>
          </cell>
          <cell r="KE83">
            <v>14</v>
          </cell>
          <cell r="KF83">
            <v>14</v>
          </cell>
          <cell r="KG83">
            <v>12</v>
          </cell>
          <cell r="KH83">
            <v>12</v>
          </cell>
          <cell r="KI83">
            <v>12</v>
          </cell>
          <cell r="KJ83">
            <v>0</v>
          </cell>
          <cell r="KM83">
            <v>0</v>
          </cell>
          <cell r="KP83">
            <v>0</v>
          </cell>
          <cell r="KS83">
            <v>0</v>
          </cell>
          <cell r="KV83">
            <v>0</v>
          </cell>
          <cell r="KY83">
            <v>0</v>
          </cell>
          <cell r="LB83">
            <v>0</v>
          </cell>
          <cell r="LE83">
            <v>0</v>
          </cell>
          <cell r="LH83">
            <v>0</v>
          </cell>
          <cell r="LK83">
            <v>0</v>
          </cell>
          <cell r="LO83">
            <v>45743</v>
          </cell>
          <cell r="LP83" t="str">
            <v>COMPLETADO</v>
          </cell>
        </row>
        <row r="84">
          <cell r="A84">
            <v>1717</v>
          </cell>
          <cell r="B84" t="str">
            <v>LUCIANO</v>
          </cell>
          <cell r="C84" t="str">
            <v>EXT GABRIEL</v>
          </cell>
          <cell r="D84" t="str">
            <v>MARROQUINERIA CHICA</v>
          </cell>
          <cell r="E84">
            <v>42</v>
          </cell>
          <cell r="F84">
            <v>42</v>
          </cell>
          <cell r="G84">
            <v>42</v>
          </cell>
          <cell r="H84">
            <v>45760.619004629632</v>
          </cell>
          <cell r="I84" t="str">
            <v>TARJETERO ARIES</v>
          </cell>
          <cell r="J84">
            <v>45741</v>
          </cell>
          <cell r="K84">
            <v>45741</v>
          </cell>
          <cell r="M84">
            <v>10</v>
          </cell>
          <cell r="N84" t="str">
            <v>M123</v>
          </cell>
          <cell r="O84" t="str">
            <v>AV170134014</v>
          </cell>
          <cell r="P84">
            <v>0</v>
          </cell>
          <cell r="Q84" t="str">
            <v/>
          </cell>
          <cell r="R84" t="str">
            <v/>
          </cell>
          <cell r="S84" t="str">
            <v/>
          </cell>
          <cell r="T84" t="str">
            <v/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/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H84" t="str">
            <v/>
          </cell>
          <cell r="AI84" t="str">
            <v/>
          </cell>
          <cell r="AJ84" t="str">
            <v/>
          </cell>
          <cell r="AK84" t="str">
            <v/>
          </cell>
          <cell r="AL84" t="str">
            <v/>
          </cell>
          <cell r="AM84" t="str">
            <v/>
          </cell>
          <cell r="AN84" t="str">
            <v/>
          </cell>
          <cell r="AO84" t="str">
            <v/>
          </cell>
          <cell r="AP84" t="str">
            <v/>
          </cell>
          <cell r="AQ84" t="str">
            <v/>
          </cell>
          <cell r="AR84" t="str">
            <v/>
          </cell>
          <cell r="AS84" t="str">
            <v/>
          </cell>
          <cell r="AT84" t="str">
            <v/>
          </cell>
          <cell r="AU84" t="str">
            <v/>
          </cell>
          <cell r="AV84" t="str">
            <v/>
          </cell>
          <cell r="AW84" t="str">
            <v xml:space="preserve">GRABADO " EL LUCERO ARGENTINA" CHICO EN TIRA DEL FRENTE, CENTRADO   </v>
          </cell>
          <cell r="AX84" t="str">
            <v>MALBEC</v>
          </cell>
          <cell r="AY84" t="str">
            <v>ARENA-CUERO BRIDGE</v>
          </cell>
          <cell r="AZ84" t="str">
            <v>CUE0000008</v>
          </cell>
          <cell r="BA84">
            <v>0.02</v>
          </cell>
          <cell r="BB84" t="str">
            <v>AV1401250545</v>
          </cell>
          <cell r="BC84">
            <v>0</v>
          </cell>
          <cell r="BD84" t="str">
            <v>PIN00000001</v>
          </cell>
          <cell r="BE84">
            <v>0</v>
          </cell>
          <cell r="BF84" t="str">
            <v/>
          </cell>
          <cell r="BG84" t="str">
            <v/>
          </cell>
          <cell r="BH84" t="str">
            <v/>
          </cell>
          <cell r="BI84" t="str">
            <v/>
          </cell>
          <cell r="BJ84" t="str">
            <v/>
          </cell>
          <cell r="BK84" t="str">
            <v/>
          </cell>
          <cell r="BL84" t="str">
            <v/>
          </cell>
          <cell r="BM84" t="str">
            <v/>
          </cell>
          <cell r="BN84" t="str">
            <v/>
          </cell>
          <cell r="BO84" t="str">
            <v/>
          </cell>
          <cell r="BP84" t="str">
            <v/>
          </cell>
          <cell r="BQ84" t="str">
            <v/>
          </cell>
          <cell r="BR84" t="str">
            <v>NEGRO</v>
          </cell>
          <cell r="BS84" t="str">
            <v>ARENA-CUERO BRIDGE</v>
          </cell>
          <cell r="BT84" t="str">
            <v>CUE0000009</v>
          </cell>
          <cell r="BU84">
            <v>0.02</v>
          </cell>
          <cell r="BV84" t="str">
            <v>AV1401254060</v>
          </cell>
          <cell r="BW84">
            <v>0</v>
          </cell>
          <cell r="BX84" t="str">
            <v>AV1601300926</v>
          </cell>
          <cell r="BY84">
            <v>0</v>
          </cell>
          <cell r="BZ84" t="str">
            <v/>
          </cell>
          <cell r="CA84" t="str">
            <v/>
          </cell>
          <cell r="CB84" t="str">
            <v/>
          </cell>
          <cell r="CC84" t="str">
            <v/>
          </cell>
          <cell r="CD84" t="str">
            <v/>
          </cell>
          <cell r="CE84" t="str">
            <v/>
          </cell>
          <cell r="CF84" t="str">
            <v/>
          </cell>
          <cell r="CG84" t="str">
            <v/>
          </cell>
          <cell r="CH84" t="str">
            <v/>
          </cell>
          <cell r="CI84" t="str">
            <v/>
          </cell>
          <cell r="CJ84" t="str">
            <v/>
          </cell>
          <cell r="CK84" t="str">
            <v/>
          </cell>
          <cell r="CL84" t="str">
            <v>VERDE_REVES_VERDE</v>
          </cell>
          <cell r="CM84" t="str">
            <v>BIANCO-CUERO MODENA ESPESOR 1,4</v>
          </cell>
          <cell r="CN84" t="str">
            <v>CUE0000118</v>
          </cell>
          <cell r="CO84">
            <v>0.02</v>
          </cell>
          <cell r="CP84" t="str">
            <v>AV1401254260</v>
          </cell>
          <cell r="CQ84">
            <v>0</v>
          </cell>
          <cell r="CR84" t="str">
            <v>AV1601300957</v>
          </cell>
          <cell r="CS84">
            <v>0</v>
          </cell>
          <cell r="CT84" t="str">
            <v/>
          </cell>
          <cell r="CU84" t="str">
            <v/>
          </cell>
          <cell r="CV84" t="str">
            <v/>
          </cell>
          <cell r="CW84" t="str">
            <v/>
          </cell>
          <cell r="CX84" t="str">
            <v/>
          </cell>
          <cell r="CY84" t="str">
            <v/>
          </cell>
          <cell r="CZ84" t="str">
            <v/>
          </cell>
          <cell r="DA84" t="str">
            <v/>
          </cell>
          <cell r="DB84" t="str">
            <v/>
          </cell>
          <cell r="DC84" t="str">
            <v/>
          </cell>
          <cell r="DD84" t="str">
            <v/>
          </cell>
          <cell r="DE84" t="str">
            <v/>
          </cell>
          <cell r="DF84" t="str">
            <v/>
          </cell>
          <cell r="DG84" t="str">
            <v/>
          </cell>
          <cell r="DH84" t="str">
            <v/>
          </cell>
          <cell r="DI84" t="str">
            <v/>
          </cell>
          <cell r="DJ84" t="str">
            <v/>
          </cell>
          <cell r="DK84" t="str">
            <v/>
          </cell>
          <cell r="DL84" t="str">
            <v/>
          </cell>
          <cell r="DM84" t="str">
            <v/>
          </cell>
          <cell r="DN84" t="str">
            <v/>
          </cell>
          <cell r="DO84" t="str">
            <v/>
          </cell>
          <cell r="DP84" t="str">
            <v/>
          </cell>
          <cell r="DQ84" t="str">
            <v/>
          </cell>
          <cell r="DR84" t="str">
            <v/>
          </cell>
          <cell r="DS84" t="str">
            <v/>
          </cell>
          <cell r="DT84" t="str">
            <v/>
          </cell>
          <cell r="DU84" t="str">
            <v/>
          </cell>
          <cell r="DV84" t="str">
            <v/>
          </cell>
          <cell r="DW84" t="str">
            <v/>
          </cell>
          <cell r="DX84" t="str">
            <v/>
          </cell>
          <cell r="DY84" t="str">
            <v/>
          </cell>
          <cell r="DZ84" t="str">
            <v/>
          </cell>
          <cell r="EA84" t="str">
            <v/>
          </cell>
          <cell r="EB84" t="str">
            <v/>
          </cell>
          <cell r="EC84" t="str">
            <v/>
          </cell>
          <cell r="ED84" t="str">
            <v/>
          </cell>
          <cell r="EE84" t="str">
            <v/>
          </cell>
          <cell r="EF84" t="str">
            <v/>
          </cell>
          <cell r="EG84" t="str">
            <v/>
          </cell>
          <cell r="EH84" t="str">
            <v/>
          </cell>
          <cell r="EI84" t="str">
            <v/>
          </cell>
          <cell r="EJ84" t="str">
            <v/>
          </cell>
          <cell r="EK84" t="str">
            <v/>
          </cell>
          <cell r="EL84" t="str">
            <v/>
          </cell>
          <cell r="EM84" t="str">
            <v/>
          </cell>
          <cell r="EN84" t="str">
            <v/>
          </cell>
          <cell r="EO84" t="str">
            <v/>
          </cell>
          <cell r="EP84" t="str">
            <v/>
          </cell>
          <cell r="EQ84" t="str">
            <v/>
          </cell>
          <cell r="ER84" t="str">
            <v/>
          </cell>
          <cell r="ES84" t="str">
            <v/>
          </cell>
          <cell r="ET84" t="str">
            <v/>
          </cell>
          <cell r="EU84" t="str">
            <v/>
          </cell>
          <cell r="EV84" t="str">
            <v/>
          </cell>
          <cell r="EW84" t="str">
            <v/>
          </cell>
          <cell r="EX84" t="str">
            <v/>
          </cell>
          <cell r="EY84" t="str">
            <v/>
          </cell>
          <cell r="EZ84" t="str">
            <v/>
          </cell>
          <cell r="FA84" t="str">
            <v/>
          </cell>
          <cell r="FB84" t="str">
            <v/>
          </cell>
          <cell r="FC84" t="str">
            <v/>
          </cell>
          <cell r="FD84" t="str">
            <v/>
          </cell>
          <cell r="FE84" t="str">
            <v/>
          </cell>
          <cell r="FF84" t="str">
            <v/>
          </cell>
          <cell r="FG84" t="str">
            <v/>
          </cell>
          <cell r="FH84" t="str">
            <v/>
          </cell>
          <cell r="FI84" t="str">
            <v/>
          </cell>
          <cell r="FJ84" t="str">
            <v/>
          </cell>
          <cell r="FK84" t="str">
            <v/>
          </cell>
          <cell r="FL84" t="str">
            <v/>
          </cell>
          <cell r="FM84" t="str">
            <v/>
          </cell>
          <cell r="FN84" t="str">
            <v/>
          </cell>
          <cell r="FO84" t="str">
            <v/>
          </cell>
          <cell r="FP84" t="str">
            <v/>
          </cell>
          <cell r="FQ84" t="str">
            <v/>
          </cell>
          <cell r="FR84" t="str">
            <v/>
          </cell>
          <cell r="FS84" t="str">
            <v/>
          </cell>
          <cell r="FT84" t="str">
            <v/>
          </cell>
          <cell r="FU84" t="str">
            <v/>
          </cell>
          <cell r="FV84" t="str">
            <v/>
          </cell>
          <cell r="FW84" t="str">
            <v/>
          </cell>
          <cell r="FX84" t="str">
            <v/>
          </cell>
          <cell r="FY84" t="str">
            <v/>
          </cell>
          <cell r="FZ84" t="str">
            <v/>
          </cell>
          <cell r="GA84" t="str">
            <v/>
          </cell>
          <cell r="GB84" t="str">
            <v/>
          </cell>
          <cell r="GC84" t="str">
            <v/>
          </cell>
          <cell r="GD84" t="str">
            <v/>
          </cell>
          <cell r="GE84" t="str">
            <v/>
          </cell>
          <cell r="GF84" t="str">
            <v/>
          </cell>
          <cell r="GG84" t="str">
            <v/>
          </cell>
          <cell r="GH84" t="str">
            <v/>
          </cell>
          <cell r="GI84" t="str">
            <v/>
          </cell>
          <cell r="GJ84" t="str">
            <v/>
          </cell>
          <cell r="GK84" t="str">
            <v/>
          </cell>
          <cell r="GL84" t="str">
            <v/>
          </cell>
          <cell r="GM84" t="str">
            <v/>
          </cell>
          <cell r="GN84" t="str">
            <v/>
          </cell>
          <cell r="GO84" t="str">
            <v/>
          </cell>
          <cell r="GP84" t="str">
            <v/>
          </cell>
          <cell r="GQ84" t="str">
            <v/>
          </cell>
          <cell r="GR84" t="str">
            <v/>
          </cell>
          <cell r="GS84" t="str">
            <v/>
          </cell>
          <cell r="GT84" t="str">
            <v/>
          </cell>
          <cell r="GU84" t="str">
            <v/>
          </cell>
          <cell r="GV84" t="str">
            <v/>
          </cell>
          <cell r="GW84" t="str">
            <v/>
          </cell>
          <cell r="GX84" t="str">
            <v/>
          </cell>
          <cell r="GY84" t="str">
            <v/>
          </cell>
          <cell r="GZ84" t="str">
            <v/>
          </cell>
          <cell r="HA84" t="str">
            <v/>
          </cell>
          <cell r="HB84" t="str">
            <v/>
          </cell>
          <cell r="HC84" t="str">
            <v/>
          </cell>
          <cell r="HD84" t="str">
            <v/>
          </cell>
          <cell r="HE84" t="str">
            <v/>
          </cell>
          <cell r="HF84" t="str">
            <v/>
          </cell>
          <cell r="HG84" t="str">
            <v/>
          </cell>
          <cell r="HH84" t="str">
            <v/>
          </cell>
          <cell r="HI84" t="str">
            <v/>
          </cell>
          <cell r="HJ84" t="str">
            <v/>
          </cell>
          <cell r="HK84" t="str">
            <v/>
          </cell>
          <cell r="HL84" t="str">
            <v/>
          </cell>
          <cell r="HM84" t="str">
            <v/>
          </cell>
          <cell r="HN84" t="str">
            <v/>
          </cell>
          <cell r="HO84" t="str">
            <v/>
          </cell>
          <cell r="HP84" t="str">
            <v/>
          </cell>
          <cell r="HQ84" t="str">
            <v/>
          </cell>
          <cell r="HR84" t="str">
            <v/>
          </cell>
          <cell r="HS84" t="str">
            <v/>
          </cell>
          <cell r="HT84" t="str">
            <v/>
          </cell>
          <cell r="HU84" t="str">
            <v/>
          </cell>
          <cell r="HV84" t="str">
            <v/>
          </cell>
          <cell r="HW84" t="str">
            <v/>
          </cell>
          <cell r="HX84" t="str">
            <v/>
          </cell>
          <cell r="HY84" t="str">
            <v/>
          </cell>
          <cell r="HZ84" t="str">
            <v/>
          </cell>
          <cell r="IA84" t="str">
            <v/>
          </cell>
          <cell r="IB84" t="str">
            <v/>
          </cell>
          <cell r="IC84" t="str">
            <v/>
          </cell>
          <cell r="ID84" t="str">
            <v/>
          </cell>
          <cell r="IE84" t="str">
            <v/>
          </cell>
          <cell r="IF84" t="str">
            <v/>
          </cell>
          <cell r="IG84" t="str">
            <v/>
          </cell>
          <cell r="IH84" t="str">
            <v/>
          </cell>
          <cell r="II84" t="str">
            <v/>
          </cell>
          <cell r="IJ84" t="str">
            <v/>
          </cell>
          <cell r="IK84" t="str">
            <v/>
          </cell>
          <cell r="IL84" t="str">
            <v/>
          </cell>
          <cell r="IM84" t="str">
            <v/>
          </cell>
          <cell r="IN84" t="str">
            <v/>
          </cell>
          <cell r="IO84" t="str">
            <v/>
          </cell>
          <cell r="IP84" t="str">
            <v/>
          </cell>
          <cell r="IQ84" t="str">
            <v/>
          </cell>
          <cell r="IR84" t="str">
            <v/>
          </cell>
          <cell r="IS84" t="str">
            <v/>
          </cell>
          <cell r="IT84" t="str">
            <v/>
          </cell>
          <cell r="IU84" t="str">
            <v/>
          </cell>
          <cell r="IV84" t="str">
            <v/>
          </cell>
          <cell r="IW84" t="str">
            <v/>
          </cell>
          <cell r="IX84" t="str">
            <v/>
          </cell>
          <cell r="IY84" t="str">
            <v/>
          </cell>
          <cell r="IZ84" t="str">
            <v/>
          </cell>
          <cell r="JA84" t="str">
            <v/>
          </cell>
          <cell r="JB84" t="str">
            <v/>
          </cell>
          <cell r="JC84" t="str">
            <v/>
          </cell>
          <cell r="JD84" t="str">
            <v/>
          </cell>
          <cell r="JE84" t="str">
            <v/>
          </cell>
          <cell r="JF84" t="str">
            <v/>
          </cell>
          <cell r="JG84" t="str">
            <v/>
          </cell>
          <cell r="JH84" t="str">
            <v/>
          </cell>
          <cell r="JI84" t="str">
            <v/>
          </cell>
          <cell r="JJ84" t="str">
            <v/>
          </cell>
          <cell r="JK84" t="str">
            <v/>
          </cell>
          <cell r="JL84" t="str">
            <v/>
          </cell>
          <cell r="JM84" t="str">
            <v/>
          </cell>
          <cell r="JN84" t="str">
            <v/>
          </cell>
          <cell r="JO84" t="str">
            <v/>
          </cell>
          <cell r="JP84" t="str">
            <v/>
          </cell>
          <cell r="JQ84" t="str">
            <v/>
          </cell>
          <cell r="JR84" t="str">
            <v/>
          </cell>
          <cell r="JS84" t="str">
            <v/>
          </cell>
          <cell r="JT84" t="str">
            <v/>
          </cell>
          <cell r="JU84" t="str">
            <v/>
          </cell>
          <cell r="JV84" t="str">
            <v/>
          </cell>
          <cell r="JW84" t="str">
            <v/>
          </cell>
          <cell r="JX84" t="str">
            <v/>
          </cell>
          <cell r="JY84" t="str">
            <v/>
          </cell>
          <cell r="JZ84" t="str">
            <v/>
          </cell>
          <cell r="KA84" t="str">
            <v/>
          </cell>
          <cell r="KB84" t="str">
            <v/>
          </cell>
          <cell r="KC84" t="str">
            <v/>
          </cell>
          <cell r="KD84">
            <v>14</v>
          </cell>
          <cell r="KE84">
            <v>14</v>
          </cell>
          <cell r="KF84">
            <v>14</v>
          </cell>
          <cell r="KG84">
            <v>8</v>
          </cell>
          <cell r="KH84">
            <v>8</v>
          </cell>
          <cell r="KI84">
            <v>8</v>
          </cell>
          <cell r="KJ84">
            <v>20</v>
          </cell>
          <cell r="KK84">
            <v>20</v>
          </cell>
          <cell r="KL84">
            <v>20</v>
          </cell>
          <cell r="KM84">
            <v>0</v>
          </cell>
          <cell r="KP84">
            <v>0</v>
          </cell>
          <cell r="KS84">
            <v>0</v>
          </cell>
          <cell r="KV84">
            <v>0</v>
          </cell>
          <cell r="KY84">
            <v>0</v>
          </cell>
          <cell r="LB84">
            <v>0</v>
          </cell>
          <cell r="LE84">
            <v>0</v>
          </cell>
          <cell r="LH84">
            <v>0</v>
          </cell>
          <cell r="LK84">
            <v>0</v>
          </cell>
          <cell r="LO84">
            <v>45743</v>
          </cell>
          <cell r="LP84" t="str">
            <v>COMPLETADO</v>
          </cell>
        </row>
        <row r="85">
          <cell r="A85">
            <v>1718</v>
          </cell>
          <cell r="B85" t="str">
            <v>LUCIANO</v>
          </cell>
          <cell r="C85" t="str">
            <v>BARRACAS CHICA</v>
          </cell>
          <cell r="D85" t="str">
            <v>MARROQUINERIA CHICA</v>
          </cell>
          <cell r="E85">
            <v>22</v>
          </cell>
          <cell r="F85">
            <v>16</v>
          </cell>
          <cell r="G85">
            <v>16</v>
          </cell>
          <cell r="H85">
            <v>45744.595937500002</v>
          </cell>
          <cell r="I85" t="str">
            <v>TARJETERO JUAN</v>
          </cell>
          <cell r="J85">
            <v>45744</v>
          </cell>
          <cell r="K85">
            <v>45744</v>
          </cell>
          <cell r="M85">
            <v>22</v>
          </cell>
          <cell r="N85" t="str">
            <v>M126</v>
          </cell>
          <cell r="O85" t="str">
            <v>AV170134014</v>
          </cell>
          <cell r="P85">
            <v>0</v>
          </cell>
          <cell r="Q85" t="str">
            <v/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H85" t="str">
            <v/>
          </cell>
          <cell r="AI85" t="str">
            <v/>
          </cell>
          <cell r="AJ85" t="str">
            <v/>
          </cell>
          <cell r="AK85" t="str">
            <v/>
          </cell>
          <cell r="AL85" t="str">
            <v/>
          </cell>
          <cell r="AM85" t="str">
            <v/>
          </cell>
          <cell r="AN85" t="str">
            <v/>
          </cell>
          <cell r="AO85" t="str">
            <v/>
          </cell>
          <cell r="AP85" t="str">
            <v/>
          </cell>
          <cell r="AQ85" t="str">
            <v/>
          </cell>
          <cell r="AR85" t="str">
            <v/>
          </cell>
          <cell r="AS85" t="str">
            <v/>
          </cell>
          <cell r="AT85" t="str">
            <v/>
          </cell>
          <cell r="AU85" t="str">
            <v/>
          </cell>
          <cell r="AV85" t="str">
            <v/>
          </cell>
          <cell r="AW85" t="str">
            <v xml:space="preserve">GRABADO "EL LUCERO ARG." EN FRENTE CENTRADO   </v>
          </cell>
          <cell r="AX85" t="str">
            <v>MALBEC</v>
          </cell>
          <cell r="AY85" t="str">
            <v>ARENA-CUERO BRIDGE</v>
          </cell>
          <cell r="AZ85" t="str">
            <v>CUE0000008</v>
          </cell>
          <cell r="BA85">
            <v>0.06</v>
          </cell>
          <cell r="BB85" t="str">
            <v>AV1401250545</v>
          </cell>
          <cell r="BC85">
            <v>0</v>
          </cell>
          <cell r="BD85" t="str">
            <v/>
          </cell>
          <cell r="BE85" t="str">
            <v/>
          </cell>
          <cell r="BF85" t="str">
            <v/>
          </cell>
          <cell r="BG85" t="str">
            <v/>
          </cell>
          <cell r="BH85" t="str">
            <v/>
          </cell>
          <cell r="BI85" t="str">
            <v/>
          </cell>
          <cell r="BJ85" t="str">
            <v/>
          </cell>
          <cell r="BK85" t="str">
            <v/>
          </cell>
          <cell r="BL85" t="str">
            <v/>
          </cell>
          <cell r="BM85" t="str">
            <v/>
          </cell>
          <cell r="BN85" t="str">
            <v/>
          </cell>
          <cell r="BO85" t="str">
            <v/>
          </cell>
          <cell r="BP85" t="str">
            <v/>
          </cell>
          <cell r="BQ85" t="str">
            <v/>
          </cell>
          <cell r="BR85" t="str">
            <v>NEGRO</v>
          </cell>
          <cell r="BS85" t="str">
            <v>ARENA-CUERO BRIDGE</v>
          </cell>
          <cell r="BT85" t="str">
            <v>CUE0000009</v>
          </cell>
          <cell r="BU85">
            <v>0.06</v>
          </cell>
          <cell r="BV85" t="str">
            <v>AV1401254060</v>
          </cell>
          <cell r="BW85">
            <v>0</v>
          </cell>
          <cell r="BX85" t="str">
            <v/>
          </cell>
          <cell r="BY85" t="str">
            <v/>
          </cell>
          <cell r="BZ85" t="str">
            <v/>
          </cell>
          <cell r="CA85" t="str">
            <v/>
          </cell>
          <cell r="CB85" t="str">
            <v/>
          </cell>
          <cell r="CC85" t="str">
            <v/>
          </cell>
          <cell r="CD85" t="str">
            <v/>
          </cell>
          <cell r="CE85" t="str">
            <v/>
          </cell>
          <cell r="CF85" t="str">
            <v/>
          </cell>
          <cell r="CG85" t="str">
            <v/>
          </cell>
          <cell r="CH85" t="str">
            <v/>
          </cell>
          <cell r="CI85" t="str">
            <v/>
          </cell>
          <cell r="CJ85" t="str">
            <v/>
          </cell>
          <cell r="CK85" t="str">
            <v/>
          </cell>
          <cell r="CL85" t="str">
            <v>VERDE_REVES_VERDE</v>
          </cell>
          <cell r="CM85" t="str">
            <v>BIANCO-CUERO MODENA ESPESOR 1,4</v>
          </cell>
          <cell r="CN85" t="str">
            <v>CUE0000118</v>
          </cell>
          <cell r="CO85">
            <v>0.06</v>
          </cell>
          <cell r="CP85" t="str">
            <v>AV1401254260</v>
          </cell>
          <cell r="CQ85">
            <v>0</v>
          </cell>
          <cell r="CR85" t="str">
            <v/>
          </cell>
          <cell r="CS85" t="str">
            <v/>
          </cell>
          <cell r="CT85" t="str">
            <v/>
          </cell>
          <cell r="CU85" t="str">
            <v/>
          </cell>
          <cell r="CV85" t="str">
            <v/>
          </cell>
          <cell r="CW85" t="str">
            <v/>
          </cell>
          <cell r="CX85" t="str">
            <v/>
          </cell>
          <cell r="CY85" t="str">
            <v/>
          </cell>
          <cell r="CZ85" t="str">
            <v/>
          </cell>
          <cell r="DA85" t="str">
            <v/>
          </cell>
          <cell r="DB85" t="str">
            <v/>
          </cell>
          <cell r="DC85" t="str">
            <v/>
          </cell>
          <cell r="DD85" t="str">
            <v/>
          </cell>
          <cell r="DE85" t="str">
            <v/>
          </cell>
          <cell r="DF85" t="str">
            <v/>
          </cell>
          <cell r="DG85" t="str">
            <v/>
          </cell>
          <cell r="DH85" t="str">
            <v/>
          </cell>
          <cell r="DI85" t="str">
            <v/>
          </cell>
          <cell r="DJ85" t="str">
            <v/>
          </cell>
          <cell r="DK85" t="str">
            <v/>
          </cell>
          <cell r="DL85" t="str">
            <v/>
          </cell>
          <cell r="DM85" t="str">
            <v/>
          </cell>
          <cell r="DN85" t="str">
            <v/>
          </cell>
          <cell r="DO85" t="str">
            <v/>
          </cell>
          <cell r="DP85" t="str">
            <v/>
          </cell>
          <cell r="DQ85" t="str">
            <v/>
          </cell>
          <cell r="DR85" t="str">
            <v/>
          </cell>
          <cell r="DS85" t="str">
            <v/>
          </cell>
          <cell r="DT85" t="str">
            <v/>
          </cell>
          <cell r="DU85" t="str">
            <v/>
          </cell>
          <cell r="DV85" t="str">
            <v/>
          </cell>
          <cell r="DW85" t="str">
            <v/>
          </cell>
          <cell r="DX85" t="str">
            <v/>
          </cell>
          <cell r="DY85" t="str">
            <v/>
          </cell>
          <cell r="DZ85" t="str">
            <v/>
          </cell>
          <cell r="EA85" t="str">
            <v/>
          </cell>
          <cell r="EB85" t="str">
            <v/>
          </cell>
          <cell r="EC85" t="str">
            <v/>
          </cell>
          <cell r="ED85" t="str">
            <v/>
          </cell>
          <cell r="EE85" t="str">
            <v/>
          </cell>
          <cell r="EF85" t="str">
            <v/>
          </cell>
          <cell r="EG85" t="str">
            <v/>
          </cell>
          <cell r="EH85" t="str">
            <v/>
          </cell>
          <cell r="EI85" t="str">
            <v/>
          </cell>
          <cell r="EJ85" t="str">
            <v/>
          </cell>
          <cell r="EK85" t="str">
            <v/>
          </cell>
          <cell r="EL85" t="str">
            <v/>
          </cell>
          <cell r="EM85" t="str">
            <v/>
          </cell>
          <cell r="EN85" t="str">
            <v/>
          </cell>
          <cell r="EO85" t="str">
            <v/>
          </cell>
          <cell r="EP85" t="str">
            <v/>
          </cell>
          <cell r="EQ85" t="str">
            <v/>
          </cell>
          <cell r="ER85" t="str">
            <v/>
          </cell>
          <cell r="ES85" t="str">
            <v/>
          </cell>
          <cell r="ET85" t="str">
            <v/>
          </cell>
          <cell r="EU85" t="str">
            <v/>
          </cell>
          <cell r="EV85" t="str">
            <v/>
          </cell>
          <cell r="EW85" t="str">
            <v/>
          </cell>
          <cell r="EX85" t="str">
            <v/>
          </cell>
          <cell r="EY85" t="str">
            <v/>
          </cell>
          <cell r="EZ85" t="str">
            <v/>
          </cell>
          <cell r="FA85" t="str">
            <v/>
          </cell>
          <cell r="FB85" t="str">
            <v/>
          </cell>
          <cell r="FC85" t="str">
            <v/>
          </cell>
          <cell r="FD85" t="str">
            <v/>
          </cell>
          <cell r="FE85" t="str">
            <v/>
          </cell>
          <cell r="FF85" t="str">
            <v/>
          </cell>
          <cell r="FG85" t="str">
            <v/>
          </cell>
          <cell r="FH85" t="str">
            <v/>
          </cell>
          <cell r="FI85" t="str">
            <v/>
          </cell>
          <cell r="FJ85" t="str">
            <v/>
          </cell>
          <cell r="FK85" t="str">
            <v/>
          </cell>
          <cell r="FL85" t="str">
            <v/>
          </cell>
          <cell r="FM85" t="str">
            <v/>
          </cell>
          <cell r="FN85" t="str">
            <v/>
          </cell>
          <cell r="FO85" t="str">
            <v/>
          </cell>
          <cell r="FP85" t="str">
            <v/>
          </cell>
          <cell r="FQ85" t="str">
            <v/>
          </cell>
          <cell r="FR85" t="str">
            <v/>
          </cell>
          <cell r="FS85" t="str">
            <v/>
          </cell>
          <cell r="FT85" t="str">
            <v/>
          </cell>
          <cell r="FU85" t="str">
            <v/>
          </cell>
          <cell r="FV85" t="str">
            <v/>
          </cell>
          <cell r="FW85" t="str">
            <v/>
          </cell>
          <cell r="FX85" t="str">
            <v/>
          </cell>
          <cell r="FY85" t="str">
            <v/>
          </cell>
          <cell r="FZ85" t="str">
            <v/>
          </cell>
          <cell r="GA85" t="str">
            <v/>
          </cell>
          <cell r="GB85" t="str">
            <v/>
          </cell>
          <cell r="GC85" t="str">
            <v/>
          </cell>
          <cell r="GD85" t="str">
            <v/>
          </cell>
          <cell r="GE85" t="str">
            <v/>
          </cell>
          <cell r="GF85" t="str">
            <v/>
          </cell>
          <cell r="GG85" t="str">
            <v/>
          </cell>
          <cell r="GH85" t="str">
            <v/>
          </cell>
          <cell r="GI85" t="str">
            <v/>
          </cell>
          <cell r="GJ85" t="str">
            <v/>
          </cell>
          <cell r="GK85" t="str">
            <v/>
          </cell>
          <cell r="GL85" t="str">
            <v/>
          </cell>
          <cell r="GM85" t="str">
            <v/>
          </cell>
          <cell r="GN85" t="str">
            <v/>
          </cell>
          <cell r="GO85" t="str">
            <v/>
          </cell>
          <cell r="GP85" t="str">
            <v/>
          </cell>
          <cell r="GQ85" t="str">
            <v/>
          </cell>
          <cell r="GR85" t="str">
            <v/>
          </cell>
          <cell r="GS85" t="str">
            <v/>
          </cell>
          <cell r="GT85" t="str">
            <v/>
          </cell>
          <cell r="GU85" t="str">
            <v/>
          </cell>
          <cell r="GV85" t="str">
            <v/>
          </cell>
          <cell r="GW85" t="str">
            <v/>
          </cell>
          <cell r="GX85" t="str">
            <v/>
          </cell>
          <cell r="GY85" t="str">
            <v/>
          </cell>
          <cell r="GZ85" t="str">
            <v/>
          </cell>
          <cell r="HA85" t="str">
            <v/>
          </cell>
          <cell r="HB85" t="str">
            <v/>
          </cell>
          <cell r="HC85" t="str">
            <v/>
          </cell>
          <cell r="HD85" t="str">
            <v/>
          </cell>
          <cell r="HE85" t="str">
            <v/>
          </cell>
          <cell r="HF85" t="str">
            <v/>
          </cell>
          <cell r="HG85" t="str">
            <v/>
          </cell>
          <cell r="HH85" t="str">
            <v/>
          </cell>
          <cell r="HI85" t="str">
            <v/>
          </cell>
          <cell r="HJ85" t="str">
            <v/>
          </cell>
          <cell r="HK85" t="str">
            <v/>
          </cell>
          <cell r="HL85" t="str">
            <v/>
          </cell>
          <cell r="HM85" t="str">
            <v/>
          </cell>
          <cell r="HN85" t="str">
            <v/>
          </cell>
          <cell r="HO85" t="str">
            <v/>
          </cell>
          <cell r="HP85" t="str">
            <v/>
          </cell>
          <cell r="HQ85" t="str">
            <v/>
          </cell>
          <cell r="HR85" t="str">
            <v/>
          </cell>
          <cell r="HS85" t="str">
            <v/>
          </cell>
          <cell r="HT85" t="str">
            <v/>
          </cell>
          <cell r="HU85" t="str">
            <v/>
          </cell>
          <cell r="HV85" t="str">
            <v/>
          </cell>
          <cell r="HW85" t="str">
            <v/>
          </cell>
          <cell r="HX85" t="str">
            <v/>
          </cell>
          <cell r="HY85" t="str">
            <v/>
          </cell>
          <cell r="HZ85" t="str">
            <v/>
          </cell>
          <cell r="IA85" t="str">
            <v/>
          </cell>
          <cell r="IB85" t="str">
            <v/>
          </cell>
          <cell r="IC85" t="str">
            <v/>
          </cell>
          <cell r="ID85" t="str">
            <v/>
          </cell>
          <cell r="IE85" t="str">
            <v/>
          </cell>
          <cell r="IF85" t="str">
            <v/>
          </cell>
          <cell r="IG85" t="str">
            <v/>
          </cell>
          <cell r="IH85" t="str">
            <v/>
          </cell>
          <cell r="II85" t="str">
            <v/>
          </cell>
          <cell r="IJ85" t="str">
            <v/>
          </cell>
          <cell r="IK85" t="str">
            <v/>
          </cell>
          <cell r="IL85" t="str">
            <v/>
          </cell>
          <cell r="IM85" t="str">
            <v/>
          </cell>
          <cell r="IN85" t="str">
            <v/>
          </cell>
          <cell r="IO85" t="str">
            <v/>
          </cell>
          <cell r="IP85" t="str">
            <v/>
          </cell>
          <cell r="IQ85" t="str">
            <v/>
          </cell>
          <cell r="IR85" t="str">
            <v/>
          </cell>
          <cell r="IS85" t="str">
            <v/>
          </cell>
          <cell r="IT85" t="str">
            <v/>
          </cell>
          <cell r="IU85" t="str">
            <v/>
          </cell>
          <cell r="IV85" t="str">
            <v/>
          </cell>
          <cell r="IW85" t="str">
            <v/>
          </cell>
          <cell r="IX85" t="str">
            <v/>
          </cell>
          <cell r="IY85" t="str">
            <v/>
          </cell>
          <cell r="IZ85" t="str">
            <v/>
          </cell>
          <cell r="JA85" t="str">
            <v/>
          </cell>
          <cell r="JB85" t="str">
            <v/>
          </cell>
          <cell r="JC85" t="str">
            <v/>
          </cell>
          <cell r="JD85" t="str">
            <v/>
          </cell>
          <cell r="JE85" t="str">
            <v/>
          </cell>
          <cell r="JF85" t="str">
            <v/>
          </cell>
          <cell r="JG85" t="str">
            <v/>
          </cell>
          <cell r="JH85" t="str">
            <v/>
          </cell>
          <cell r="JI85" t="str">
            <v/>
          </cell>
          <cell r="JJ85" t="str">
            <v/>
          </cell>
          <cell r="JK85" t="str">
            <v/>
          </cell>
          <cell r="JL85" t="str">
            <v/>
          </cell>
          <cell r="JM85" t="str">
            <v/>
          </cell>
          <cell r="JN85" t="str">
            <v/>
          </cell>
          <cell r="JO85" t="str">
            <v/>
          </cell>
          <cell r="JP85" t="str">
            <v/>
          </cell>
          <cell r="JQ85" t="str">
            <v/>
          </cell>
          <cell r="JR85" t="str">
            <v/>
          </cell>
          <cell r="JS85" t="str">
            <v/>
          </cell>
          <cell r="JT85" t="str">
            <v/>
          </cell>
          <cell r="JU85" t="str">
            <v/>
          </cell>
          <cell r="JV85" t="str">
            <v/>
          </cell>
          <cell r="JW85" t="str">
            <v/>
          </cell>
          <cell r="JX85" t="str">
            <v/>
          </cell>
          <cell r="JY85" t="str">
            <v/>
          </cell>
          <cell r="JZ85" t="str">
            <v/>
          </cell>
          <cell r="KA85" t="str">
            <v/>
          </cell>
          <cell r="KB85" t="str">
            <v/>
          </cell>
          <cell r="KC85" t="str">
            <v/>
          </cell>
          <cell r="KD85">
            <v>4</v>
          </cell>
          <cell r="KE85">
            <v>4</v>
          </cell>
          <cell r="KF85">
            <v>4</v>
          </cell>
          <cell r="KG85">
            <v>4</v>
          </cell>
          <cell r="KH85">
            <v>4</v>
          </cell>
          <cell r="KI85">
            <v>4</v>
          </cell>
          <cell r="KJ85">
            <v>14</v>
          </cell>
          <cell r="KK85">
            <v>8</v>
          </cell>
          <cell r="KL85">
            <v>8</v>
          </cell>
          <cell r="KM85">
            <v>0</v>
          </cell>
          <cell r="KP85">
            <v>0</v>
          </cell>
          <cell r="KS85">
            <v>0</v>
          </cell>
          <cell r="KV85">
            <v>0</v>
          </cell>
          <cell r="KY85">
            <v>0</v>
          </cell>
          <cell r="LB85">
            <v>0</v>
          </cell>
          <cell r="LE85">
            <v>0</v>
          </cell>
          <cell r="LH85">
            <v>0</v>
          </cell>
          <cell r="LK85">
            <v>0</v>
          </cell>
          <cell r="LO85">
            <v>45747</v>
          </cell>
          <cell r="LP85" t="str">
            <v>COMPLETADO</v>
          </cell>
        </row>
        <row r="86">
          <cell r="A86">
            <v>1719</v>
          </cell>
          <cell r="B86" t="str">
            <v>RUBEN</v>
          </cell>
          <cell r="C86" t="str">
            <v>BARRACAS GRANDE</v>
          </cell>
          <cell r="D86" t="str">
            <v>MARROQUINERIA GRANDE</v>
          </cell>
          <cell r="E86">
            <v>48</v>
          </cell>
          <cell r="F86">
            <v>38</v>
          </cell>
          <cell r="G86">
            <v>38</v>
          </cell>
          <cell r="H86">
            <v>45758.502106481479</v>
          </cell>
          <cell r="I86" t="str">
            <v>TOTE IRUYA</v>
          </cell>
          <cell r="J86">
            <v>45747</v>
          </cell>
          <cell r="K86">
            <v>45747</v>
          </cell>
          <cell r="L86">
            <v>45959</v>
          </cell>
          <cell r="M86">
            <v>30</v>
          </cell>
          <cell r="N86" t="str">
            <v>M154</v>
          </cell>
          <cell r="O86" t="str">
            <v>AV170129018</v>
          </cell>
          <cell r="P86">
            <v>0</v>
          </cell>
          <cell r="Q86" t="str">
            <v/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AH86" t="str">
            <v/>
          </cell>
          <cell r="AI86" t="str">
            <v/>
          </cell>
          <cell r="AJ86" t="str">
            <v/>
          </cell>
          <cell r="AK86" t="str">
            <v/>
          </cell>
          <cell r="AL86" t="str">
            <v/>
          </cell>
          <cell r="AM86" t="str">
            <v/>
          </cell>
          <cell r="AN86" t="str">
            <v/>
          </cell>
          <cell r="AO86" t="str">
            <v/>
          </cell>
          <cell r="AP86" t="str">
            <v/>
          </cell>
          <cell r="AQ86" t="str">
            <v/>
          </cell>
          <cell r="AR86" t="str">
            <v/>
          </cell>
          <cell r="AS86" t="str">
            <v>CORREA 2,5CM / SIN PINTURA</v>
          </cell>
          <cell r="AT86" t="str">
            <v>PEGAR ETIQUETA DE CUERO AL FRENTE HILO AL TONO CON HILO GRUESO N 20</v>
          </cell>
          <cell r="AU86" t="str">
            <v/>
          </cell>
          <cell r="AV86" t="str">
            <v/>
          </cell>
          <cell r="AW86" t="str">
            <v>GRABADO ETIQUETA EN NAPADO 7,5CM X 5,5 CM "EL LUCERO HIGH QUALITY GOODS</v>
          </cell>
          <cell r="AX86" t="str">
            <v>PELO_HOLANDO</v>
          </cell>
          <cell r="AY86" t="str">
            <v>LEDER-PELO</v>
          </cell>
          <cell r="AZ86" t="str">
            <v>CUE0000116</v>
          </cell>
          <cell r="BA86">
            <v>0.37</v>
          </cell>
          <cell r="BB86" t="str">
            <v>CUE0000009</v>
          </cell>
          <cell r="BC86">
            <v>0.1</v>
          </cell>
          <cell r="BD86" t="str">
            <v/>
          </cell>
          <cell r="BE86" t="str">
            <v/>
          </cell>
          <cell r="BF86" t="str">
            <v/>
          </cell>
          <cell r="BG86" t="str">
            <v/>
          </cell>
          <cell r="BH86" t="str">
            <v/>
          </cell>
          <cell r="BI86" t="str">
            <v/>
          </cell>
          <cell r="BJ86" t="str">
            <v/>
          </cell>
          <cell r="BK86" t="str">
            <v/>
          </cell>
          <cell r="BL86" t="str">
            <v/>
          </cell>
          <cell r="BM86" t="str">
            <v/>
          </cell>
          <cell r="BN86" t="str">
            <v/>
          </cell>
          <cell r="BO86" t="str">
            <v/>
          </cell>
          <cell r="BP86" t="str">
            <v/>
          </cell>
          <cell r="BQ86" t="str">
            <v/>
          </cell>
          <cell r="BR86" t="str">
            <v>PELO_HEREFORD</v>
          </cell>
          <cell r="BS86" t="str">
            <v>LEDER-PELO</v>
          </cell>
          <cell r="BT86" t="str">
            <v>CUE0000117</v>
          </cell>
          <cell r="BU86">
            <v>0.37</v>
          </cell>
          <cell r="BV86" t="str">
            <v>CUE0000012</v>
          </cell>
          <cell r="BW86">
            <v>0.1</v>
          </cell>
          <cell r="BX86" t="str">
            <v/>
          </cell>
          <cell r="BY86" t="str">
            <v/>
          </cell>
          <cell r="BZ86" t="str">
            <v/>
          </cell>
          <cell r="CA86" t="str">
            <v/>
          </cell>
          <cell r="CB86" t="str">
            <v/>
          </cell>
          <cell r="CC86" t="str">
            <v/>
          </cell>
          <cell r="CD86" t="str">
            <v/>
          </cell>
          <cell r="CE86" t="str">
            <v/>
          </cell>
          <cell r="CF86" t="str">
            <v/>
          </cell>
          <cell r="CG86" t="str">
            <v/>
          </cell>
          <cell r="CH86" t="str">
            <v/>
          </cell>
          <cell r="CI86" t="str">
            <v/>
          </cell>
          <cell r="CJ86" t="str">
            <v/>
          </cell>
          <cell r="CK86" t="str">
            <v/>
          </cell>
          <cell r="CL86" t="str">
            <v>SUELA</v>
          </cell>
          <cell r="CM86" t="str">
            <v>ARENA-CUERO NAPADO</v>
          </cell>
          <cell r="CN86" t="str">
            <v>CUE0000028</v>
          </cell>
          <cell r="CO86">
            <v>0.47</v>
          </cell>
          <cell r="CP86" t="str">
            <v/>
          </cell>
          <cell r="CQ86" t="str">
            <v/>
          </cell>
          <cell r="CR86" t="str">
            <v/>
          </cell>
          <cell r="CS86" t="str">
            <v/>
          </cell>
          <cell r="CT86" t="str">
            <v/>
          </cell>
          <cell r="CU86" t="str">
            <v/>
          </cell>
          <cell r="CV86" t="str">
            <v/>
          </cell>
          <cell r="CW86" t="str">
            <v/>
          </cell>
          <cell r="CX86" t="str">
            <v/>
          </cell>
          <cell r="CY86" t="str">
            <v/>
          </cell>
          <cell r="CZ86" t="str">
            <v/>
          </cell>
          <cell r="DA86" t="str">
            <v/>
          </cell>
          <cell r="DB86" t="str">
            <v/>
          </cell>
          <cell r="DC86" t="str">
            <v/>
          </cell>
          <cell r="DD86" t="str">
            <v/>
          </cell>
          <cell r="DE86" t="str">
            <v/>
          </cell>
          <cell r="DF86" t="str">
            <v>NEGRO</v>
          </cell>
          <cell r="DG86" t="str">
            <v>ARENA-CUERO NAPADO</v>
          </cell>
          <cell r="DH86" t="str">
            <v>CUE0000026</v>
          </cell>
          <cell r="DI86">
            <v>0.47</v>
          </cell>
          <cell r="DJ86" t="str">
            <v/>
          </cell>
          <cell r="DK86" t="str">
            <v/>
          </cell>
          <cell r="DL86" t="str">
            <v/>
          </cell>
          <cell r="DM86" t="str">
            <v/>
          </cell>
          <cell r="DN86" t="str">
            <v/>
          </cell>
          <cell r="DO86" t="str">
            <v/>
          </cell>
          <cell r="DP86" t="str">
            <v/>
          </cell>
          <cell r="DQ86" t="str">
            <v/>
          </cell>
          <cell r="DR86" t="str">
            <v/>
          </cell>
          <cell r="DS86" t="str">
            <v/>
          </cell>
          <cell r="DT86" t="str">
            <v/>
          </cell>
          <cell r="DU86" t="str">
            <v/>
          </cell>
          <cell r="DV86" t="str">
            <v/>
          </cell>
          <cell r="DW86" t="str">
            <v/>
          </cell>
          <cell r="DX86" t="str">
            <v/>
          </cell>
          <cell r="DY86" t="str">
            <v/>
          </cell>
          <cell r="DZ86" t="str">
            <v>MALBEC</v>
          </cell>
          <cell r="EA86" t="str">
            <v>ARENA-CUERO NAPADO</v>
          </cell>
          <cell r="EB86" t="str">
            <v>CUE0000025</v>
          </cell>
          <cell r="EC86">
            <v>0.47</v>
          </cell>
          <cell r="ED86" t="str">
            <v/>
          </cell>
          <cell r="EE86" t="str">
            <v/>
          </cell>
          <cell r="EF86" t="str">
            <v/>
          </cell>
          <cell r="EG86" t="str">
            <v/>
          </cell>
          <cell r="EH86" t="str">
            <v/>
          </cell>
          <cell r="EI86" t="str">
            <v/>
          </cell>
          <cell r="EJ86" t="str">
            <v/>
          </cell>
          <cell r="EK86" t="str">
            <v/>
          </cell>
          <cell r="EL86" t="str">
            <v/>
          </cell>
          <cell r="EM86" t="str">
            <v/>
          </cell>
          <cell r="EN86" t="str">
            <v/>
          </cell>
          <cell r="EO86" t="str">
            <v/>
          </cell>
          <cell r="EP86" t="str">
            <v/>
          </cell>
          <cell r="EQ86" t="str">
            <v/>
          </cell>
          <cell r="ER86" t="str">
            <v/>
          </cell>
          <cell r="ES86" t="str">
            <v/>
          </cell>
          <cell r="ET86" t="str">
            <v/>
          </cell>
          <cell r="EU86" t="str">
            <v/>
          </cell>
          <cell r="EV86" t="str">
            <v/>
          </cell>
          <cell r="EW86" t="str">
            <v/>
          </cell>
          <cell r="EX86" t="str">
            <v/>
          </cell>
          <cell r="EY86" t="str">
            <v/>
          </cell>
          <cell r="EZ86" t="str">
            <v/>
          </cell>
          <cell r="FA86" t="str">
            <v/>
          </cell>
          <cell r="FB86" t="str">
            <v/>
          </cell>
          <cell r="FC86" t="str">
            <v/>
          </cell>
          <cell r="FD86" t="str">
            <v/>
          </cell>
          <cell r="FE86" t="str">
            <v/>
          </cell>
          <cell r="FF86" t="str">
            <v/>
          </cell>
          <cell r="FG86" t="str">
            <v/>
          </cell>
          <cell r="FH86" t="str">
            <v/>
          </cell>
          <cell r="FI86" t="str">
            <v/>
          </cell>
          <cell r="FJ86" t="str">
            <v/>
          </cell>
          <cell r="FK86" t="str">
            <v/>
          </cell>
          <cell r="FL86" t="str">
            <v/>
          </cell>
          <cell r="FM86" t="str">
            <v/>
          </cell>
          <cell r="FN86" t="str">
            <v/>
          </cell>
          <cell r="FO86" t="str">
            <v/>
          </cell>
          <cell r="FP86" t="str">
            <v/>
          </cell>
          <cell r="FQ86" t="str">
            <v/>
          </cell>
          <cell r="FR86" t="str">
            <v/>
          </cell>
          <cell r="FS86" t="str">
            <v/>
          </cell>
          <cell r="FT86" t="str">
            <v/>
          </cell>
          <cell r="FU86" t="str">
            <v/>
          </cell>
          <cell r="FV86" t="str">
            <v/>
          </cell>
          <cell r="FW86" t="str">
            <v/>
          </cell>
          <cell r="FX86" t="str">
            <v/>
          </cell>
          <cell r="FY86" t="str">
            <v/>
          </cell>
          <cell r="FZ86" t="str">
            <v/>
          </cell>
          <cell r="GA86" t="str">
            <v/>
          </cell>
          <cell r="GB86" t="str">
            <v/>
          </cell>
          <cell r="GC86" t="str">
            <v/>
          </cell>
          <cell r="GD86" t="str">
            <v/>
          </cell>
          <cell r="GE86" t="str">
            <v/>
          </cell>
          <cell r="GF86" t="str">
            <v/>
          </cell>
          <cell r="GG86" t="str">
            <v/>
          </cell>
          <cell r="GH86" t="str">
            <v/>
          </cell>
          <cell r="GI86" t="str">
            <v/>
          </cell>
          <cell r="GJ86" t="str">
            <v/>
          </cell>
          <cell r="GK86" t="str">
            <v/>
          </cell>
          <cell r="GL86" t="str">
            <v/>
          </cell>
          <cell r="GM86" t="str">
            <v/>
          </cell>
          <cell r="GN86" t="str">
            <v/>
          </cell>
          <cell r="GO86" t="str">
            <v/>
          </cell>
          <cell r="GP86" t="str">
            <v/>
          </cell>
          <cell r="GQ86" t="str">
            <v/>
          </cell>
          <cell r="GR86" t="str">
            <v/>
          </cell>
          <cell r="GS86" t="str">
            <v/>
          </cell>
          <cell r="GT86" t="str">
            <v/>
          </cell>
          <cell r="GU86" t="str">
            <v/>
          </cell>
          <cell r="GV86" t="str">
            <v/>
          </cell>
          <cell r="GW86" t="str">
            <v/>
          </cell>
          <cell r="GX86" t="str">
            <v/>
          </cell>
          <cell r="GY86" t="str">
            <v/>
          </cell>
          <cell r="GZ86" t="str">
            <v/>
          </cell>
          <cell r="HA86" t="str">
            <v/>
          </cell>
          <cell r="HB86" t="str">
            <v/>
          </cell>
          <cell r="HC86" t="str">
            <v/>
          </cell>
          <cell r="HD86" t="str">
            <v/>
          </cell>
          <cell r="HE86" t="str">
            <v/>
          </cell>
          <cell r="HF86" t="str">
            <v/>
          </cell>
          <cell r="HG86" t="str">
            <v/>
          </cell>
          <cell r="HH86" t="str">
            <v/>
          </cell>
          <cell r="HI86" t="str">
            <v/>
          </cell>
          <cell r="HJ86" t="str">
            <v/>
          </cell>
          <cell r="HK86" t="str">
            <v/>
          </cell>
          <cell r="HL86" t="str">
            <v/>
          </cell>
          <cell r="HM86" t="str">
            <v/>
          </cell>
          <cell r="HN86" t="str">
            <v/>
          </cell>
          <cell r="HO86" t="str">
            <v/>
          </cell>
          <cell r="HP86" t="str">
            <v/>
          </cell>
          <cell r="HQ86" t="str">
            <v/>
          </cell>
          <cell r="HR86" t="str">
            <v/>
          </cell>
          <cell r="HS86" t="str">
            <v/>
          </cell>
          <cell r="HT86" t="str">
            <v/>
          </cell>
          <cell r="HU86" t="str">
            <v/>
          </cell>
          <cell r="HV86" t="str">
            <v/>
          </cell>
          <cell r="HW86" t="str">
            <v/>
          </cell>
          <cell r="HX86" t="str">
            <v/>
          </cell>
          <cell r="HY86" t="str">
            <v/>
          </cell>
          <cell r="HZ86" t="str">
            <v/>
          </cell>
          <cell r="IA86" t="str">
            <v/>
          </cell>
          <cell r="IB86" t="str">
            <v/>
          </cell>
          <cell r="IC86" t="str">
            <v/>
          </cell>
          <cell r="ID86" t="str">
            <v/>
          </cell>
          <cell r="IE86" t="str">
            <v/>
          </cell>
          <cell r="IF86" t="str">
            <v/>
          </cell>
          <cell r="IG86" t="str">
            <v/>
          </cell>
          <cell r="IH86" t="str">
            <v/>
          </cell>
          <cell r="II86" t="str">
            <v/>
          </cell>
          <cell r="IJ86" t="str">
            <v/>
          </cell>
          <cell r="IK86" t="str">
            <v/>
          </cell>
          <cell r="IL86" t="str">
            <v/>
          </cell>
          <cell r="IM86" t="str">
            <v/>
          </cell>
          <cell r="IN86" t="str">
            <v/>
          </cell>
          <cell r="IO86" t="str">
            <v/>
          </cell>
          <cell r="IP86" t="str">
            <v/>
          </cell>
          <cell r="IQ86" t="str">
            <v/>
          </cell>
          <cell r="IR86" t="str">
            <v/>
          </cell>
          <cell r="IS86" t="str">
            <v/>
          </cell>
          <cell r="IT86" t="str">
            <v/>
          </cell>
          <cell r="IU86" t="str">
            <v/>
          </cell>
          <cell r="IV86" t="str">
            <v/>
          </cell>
          <cell r="IW86" t="str">
            <v/>
          </cell>
          <cell r="IX86" t="str">
            <v/>
          </cell>
          <cell r="IY86" t="str">
            <v/>
          </cell>
          <cell r="IZ86" t="str">
            <v/>
          </cell>
          <cell r="JA86" t="str">
            <v/>
          </cell>
          <cell r="JB86" t="str">
            <v/>
          </cell>
          <cell r="JC86" t="str">
            <v/>
          </cell>
          <cell r="JD86" t="str">
            <v/>
          </cell>
          <cell r="JE86" t="str">
            <v/>
          </cell>
          <cell r="JF86" t="str">
            <v/>
          </cell>
          <cell r="JG86" t="str">
            <v/>
          </cell>
          <cell r="JH86" t="str">
            <v/>
          </cell>
          <cell r="JI86" t="str">
            <v/>
          </cell>
          <cell r="JJ86" t="str">
            <v/>
          </cell>
          <cell r="JK86" t="str">
            <v/>
          </cell>
          <cell r="JL86" t="str">
            <v/>
          </cell>
          <cell r="JM86" t="str">
            <v/>
          </cell>
          <cell r="JN86" t="str">
            <v/>
          </cell>
          <cell r="JO86" t="str">
            <v/>
          </cell>
          <cell r="JP86" t="str">
            <v/>
          </cell>
          <cell r="JQ86" t="str">
            <v/>
          </cell>
          <cell r="JR86" t="str">
            <v/>
          </cell>
          <cell r="JS86" t="str">
            <v/>
          </cell>
          <cell r="JT86" t="str">
            <v/>
          </cell>
          <cell r="JU86" t="str">
            <v/>
          </cell>
          <cell r="JV86" t="str">
            <v/>
          </cell>
          <cell r="JW86" t="str">
            <v/>
          </cell>
          <cell r="JX86" t="str">
            <v/>
          </cell>
          <cell r="JY86" t="str">
            <v/>
          </cell>
          <cell r="JZ86" t="str">
            <v/>
          </cell>
          <cell r="KA86" t="str">
            <v/>
          </cell>
          <cell r="KB86" t="str">
            <v/>
          </cell>
          <cell r="KC86" t="str">
            <v/>
          </cell>
          <cell r="KD86">
            <v>8</v>
          </cell>
          <cell r="KE86">
            <v>8</v>
          </cell>
          <cell r="KF86">
            <v>8</v>
          </cell>
          <cell r="KG86">
            <v>8</v>
          </cell>
          <cell r="KH86">
            <v>0</v>
          </cell>
          <cell r="KI86">
            <v>0</v>
          </cell>
          <cell r="KJ86">
            <v>14</v>
          </cell>
          <cell r="KK86">
            <v>14</v>
          </cell>
          <cell r="KL86">
            <v>14</v>
          </cell>
          <cell r="KM86">
            <v>6</v>
          </cell>
          <cell r="KN86">
            <v>6</v>
          </cell>
          <cell r="KO86">
            <v>6</v>
          </cell>
          <cell r="KP86">
            <v>12</v>
          </cell>
          <cell r="KQ86">
            <v>10</v>
          </cell>
          <cell r="KR86">
            <v>10</v>
          </cell>
          <cell r="KS86">
            <v>0</v>
          </cell>
          <cell r="KV86">
            <v>0</v>
          </cell>
          <cell r="KY86">
            <v>0</v>
          </cell>
          <cell r="LB86">
            <v>0</v>
          </cell>
          <cell r="LE86">
            <v>0</v>
          </cell>
          <cell r="LH86">
            <v>0</v>
          </cell>
          <cell r="LK86">
            <v>0</v>
          </cell>
          <cell r="LN86">
            <v>45959</v>
          </cell>
          <cell r="LO86">
            <v>45762</v>
          </cell>
          <cell r="LP86" t="str">
            <v>COMPLETADO</v>
          </cell>
        </row>
        <row r="87">
          <cell r="A87">
            <v>1720</v>
          </cell>
          <cell r="B87" t="str">
            <v>RUBEN</v>
          </cell>
          <cell r="C87" t="str">
            <v>BARRACAS GRANDE</v>
          </cell>
          <cell r="D87" t="str">
            <v>MARROQUINERIA GRANDE</v>
          </cell>
          <cell r="E87">
            <v>42</v>
          </cell>
          <cell r="F87">
            <v>42</v>
          </cell>
          <cell r="G87">
            <v>42</v>
          </cell>
          <cell r="H87">
            <v>45765</v>
          </cell>
          <cell r="I87" t="str">
            <v>CARTERA AMARILLA SET SOBRE BIFAZ</v>
          </cell>
          <cell r="J87">
            <v>45747</v>
          </cell>
          <cell r="K87">
            <v>45747</v>
          </cell>
          <cell r="L87">
            <v>45762</v>
          </cell>
          <cell r="M87">
            <v>38</v>
          </cell>
          <cell r="N87" t="str">
            <v>M172</v>
          </cell>
          <cell r="O87" t="str">
            <v>AV0101030201</v>
          </cell>
          <cell r="P87">
            <v>1</v>
          </cell>
          <cell r="Q87" t="str">
            <v>AV1000380101</v>
          </cell>
          <cell r="R87">
            <v>3</v>
          </cell>
          <cell r="S87" t="str">
            <v>AV0600550101</v>
          </cell>
          <cell r="T87">
            <v>1</v>
          </cell>
          <cell r="U87" t="str">
            <v>AV0300400101</v>
          </cell>
          <cell r="V87">
            <v>1</v>
          </cell>
          <cell r="W87" t="str">
            <v>AV0300390101</v>
          </cell>
          <cell r="X87">
            <v>1</v>
          </cell>
          <cell r="Y87" t="str">
            <v>AV170129018</v>
          </cell>
          <cell r="Z87">
            <v>0</v>
          </cell>
          <cell r="AS87" t="str">
            <v>PEGAR ETIQUETA DE CUERO AL FRENTE</v>
          </cell>
          <cell r="AT87" t="str">
            <v>HILO AL TONO CON HILO GRUESO N 20</v>
          </cell>
          <cell r="AU87" t="str">
            <v>TIRACIERRE 1 CON ARGOLLITA : TIRA DE CUERO + REMACHE 6 + GRABADO ESTRELLA</v>
          </cell>
          <cell r="AW87" t="str">
            <v>GRABADO ETIQUETA EN MODENA AL TONO 7,5CM X 5,5 CM  "EL LUCERO HIGH QUALITY GOODS</v>
          </cell>
          <cell r="AX87" t="str">
            <v>NEGRO_REVES_SUELA</v>
          </cell>
          <cell r="AY87" t="str">
            <v>BIANCO-CUERO MODENA ESPESOR 1,6</v>
          </cell>
          <cell r="AZ87" t="str">
            <v>CUE0000120</v>
          </cell>
          <cell r="BA87">
            <v>0.6100000000000001</v>
          </cell>
          <cell r="BB87" t="str">
            <v>FOR0000020</v>
          </cell>
          <cell r="BC87">
            <v>0.1</v>
          </cell>
          <cell r="BD87" t="str">
            <v>AV0100010303</v>
          </cell>
          <cell r="BE87">
            <v>0.23</v>
          </cell>
          <cell r="BR87" t="str">
            <v>AZUL_REVES_SUELA</v>
          </cell>
          <cell r="BS87" t="str">
            <v>BIANCO-CUERO MODENA ESPESOR 1,6</v>
          </cell>
          <cell r="BT87" t="str">
            <v>CUE0000122</v>
          </cell>
          <cell r="BU87">
            <v>0.6100000000000001</v>
          </cell>
          <cell r="BV87" t="str">
            <v>FOR0000020</v>
          </cell>
          <cell r="BW87">
            <v>0.1</v>
          </cell>
          <cell r="BX87" t="str">
            <v>CIE0000005</v>
          </cell>
          <cell r="BY87">
            <v>0.23</v>
          </cell>
          <cell r="CL87" t="str">
            <v>VERDE_REVES_SUELA</v>
          </cell>
          <cell r="CM87" t="str">
            <v>BIANCO-CUERO MODENA ESPESOR 1,6</v>
          </cell>
          <cell r="CN87" t="str">
            <v>CUE0000121</v>
          </cell>
          <cell r="CO87">
            <v>0.6100000000000001</v>
          </cell>
          <cell r="CP87" t="str">
            <v>FOR0000020</v>
          </cell>
          <cell r="CQ87">
            <v>0.1</v>
          </cell>
          <cell r="CR87" t="str">
            <v>CIE0000007</v>
          </cell>
          <cell r="CS87">
            <v>0.23</v>
          </cell>
          <cell r="KD87">
            <v>14</v>
          </cell>
          <cell r="KE87">
            <v>14</v>
          </cell>
          <cell r="KF87">
            <v>14</v>
          </cell>
          <cell r="KG87">
            <v>14</v>
          </cell>
          <cell r="KH87">
            <v>14</v>
          </cell>
          <cell r="KI87">
            <v>14</v>
          </cell>
          <cell r="KJ87">
            <v>14</v>
          </cell>
          <cell r="KK87">
            <v>14</v>
          </cell>
          <cell r="KL87">
            <v>14</v>
          </cell>
          <cell r="KM87">
            <v>0</v>
          </cell>
          <cell r="KP87">
            <v>0</v>
          </cell>
          <cell r="KS87">
            <v>0</v>
          </cell>
          <cell r="KV87">
            <v>0</v>
          </cell>
          <cell r="KY87">
            <v>0</v>
          </cell>
          <cell r="LB87">
            <v>0</v>
          </cell>
          <cell r="LE87">
            <v>0</v>
          </cell>
          <cell r="LH87">
            <v>0</v>
          </cell>
          <cell r="LK87">
            <v>0</v>
          </cell>
          <cell r="LN87">
            <v>45747</v>
          </cell>
          <cell r="LO87">
            <v>45909</v>
          </cell>
          <cell r="LP87" t="str">
            <v>COMPLETADO</v>
          </cell>
        </row>
        <row r="88">
          <cell r="A88">
            <v>1723</v>
          </cell>
          <cell r="B88" t="str">
            <v>LUCIANO</v>
          </cell>
          <cell r="C88" t="str">
            <v>BARRACAS CHICA</v>
          </cell>
          <cell r="D88" t="str">
            <v>MARROQUINERIA CHICA</v>
          </cell>
          <cell r="E88">
            <v>8</v>
          </cell>
          <cell r="F88">
            <v>8</v>
          </cell>
          <cell r="G88">
            <v>8</v>
          </cell>
          <cell r="H88">
            <v>45755</v>
          </cell>
          <cell r="I88" t="str">
            <v>PORTAVINO TANDIL</v>
          </cell>
          <cell r="J88">
            <v>45754</v>
          </cell>
          <cell r="K88">
            <v>45754</v>
          </cell>
          <cell r="M88">
            <v>35</v>
          </cell>
          <cell r="N88" t="str">
            <v>M165</v>
          </cell>
          <cell r="O88" t="str">
            <v>AV170134014</v>
          </cell>
          <cell r="P88">
            <v>0</v>
          </cell>
          <cell r="AS88" t="str">
            <v>PEGAR ETIQUETA DE CUERO AL FRENTE HILO AL TONO CON HILO GRUESO N 20</v>
          </cell>
          <cell r="AW88" t="str">
            <v>GRABADO ETIQUETA EN VINTAGE MEDIO  7,5CM X 5,5 CM  "EL LUCERO HIGH QUALITY GOODS"</v>
          </cell>
          <cell r="AX88" t="str">
            <v>PELO_HEREFORD</v>
          </cell>
          <cell r="AY88" t="str">
            <v>LEDER-PELO</v>
          </cell>
          <cell r="AZ88" t="str">
            <v>CUE0000117</v>
          </cell>
          <cell r="BA88">
            <v>0.21</v>
          </cell>
          <cell r="BB88" t="str">
            <v>CUE0000012</v>
          </cell>
          <cell r="BC88">
            <v>0</v>
          </cell>
          <cell r="BR88" t="str">
            <v>PELO_HOLANDO</v>
          </cell>
          <cell r="BS88" t="str">
            <v>LEDER-PELO</v>
          </cell>
          <cell r="BT88" t="str">
            <v>CUE0000116</v>
          </cell>
          <cell r="BU88">
            <v>0.21</v>
          </cell>
          <cell r="BV88" t="str">
            <v>CUE0000009</v>
          </cell>
          <cell r="BW88">
            <v>0</v>
          </cell>
          <cell r="KD88">
            <v>4</v>
          </cell>
          <cell r="KE88">
            <v>4</v>
          </cell>
          <cell r="KF88">
            <v>4</v>
          </cell>
          <cell r="KG88">
            <v>4</v>
          </cell>
          <cell r="KH88">
            <v>4</v>
          </cell>
          <cell r="KI88">
            <v>4</v>
          </cell>
          <cell r="KJ88">
            <v>0</v>
          </cell>
          <cell r="KM88">
            <v>0</v>
          </cell>
          <cell r="KP88">
            <v>0</v>
          </cell>
          <cell r="KS88">
            <v>0</v>
          </cell>
          <cell r="KV88">
            <v>0</v>
          </cell>
          <cell r="KY88">
            <v>0</v>
          </cell>
          <cell r="LB88">
            <v>0</v>
          </cell>
          <cell r="LE88">
            <v>0</v>
          </cell>
          <cell r="LH88">
            <v>0</v>
          </cell>
          <cell r="LK88">
            <v>0</v>
          </cell>
          <cell r="LO88">
            <v>45762</v>
          </cell>
          <cell r="LP88" t="str">
            <v>COMPLETADO</v>
          </cell>
        </row>
        <row r="89">
          <cell r="A89">
            <v>1724</v>
          </cell>
          <cell r="B89" t="str">
            <v>LUCIANO</v>
          </cell>
          <cell r="C89" t="str">
            <v>BARRACAS CHICA</v>
          </cell>
          <cell r="D89" t="str">
            <v>MARROQUINERIA CHICA</v>
          </cell>
          <cell r="E89">
            <v>12</v>
          </cell>
          <cell r="F89">
            <v>12</v>
          </cell>
          <cell r="G89">
            <v>12</v>
          </cell>
          <cell r="H89">
            <v>45755</v>
          </cell>
          <cell r="I89" t="str">
            <v>PORTAVINO UCO</v>
          </cell>
          <cell r="J89">
            <v>45754</v>
          </cell>
          <cell r="K89">
            <v>45754</v>
          </cell>
          <cell r="M89">
            <v>37</v>
          </cell>
          <cell r="N89" t="str">
            <v>M166</v>
          </cell>
          <cell r="AS89" t="str">
            <v>PEGAR ETIQUETA DE CUERO AL FRENTE HILO AL TONO CON HILO GRUESO N 20</v>
          </cell>
          <cell r="AW89" t="str">
            <v>GRABADO ETIQUETA EN VINTAGE MEDIO  7,5CM X 5,5 CM  "EL LUCERO HIGH QUALITY GOODS"</v>
          </cell>
          <cell r="AX89" t="str">
            <v>PELO_HEREFORD</v>
          </cell>
          <cell r="AY89" t="str">
            <v>LEDER-PELO</v>
          </cell>
          <cell r="AZ89" t="str">
            <v>CUE0000117</v>
          </cell>
          <cell r="BA89">
            <v>0.28000000000000003</v>
          </cell>
          <cell r="BB89" t="str">
            <v>CUE0000012</v>
          </cell>
          <cell r="BC89">
            <v>0</v>
          </cell>
          <cell r="BR89" t="str">
            <v>PELO_HOLANDO</v>
          </cell>
          <cell r="BS89" t="str">
            <v>LEDER-PELO</v>
          </cell>
          <cell r="BT89" t="str">
            <v>CUE0000116</v>
          </cell>
          <cell r="BU89">
            <v>0.28000000000000003</v>
          </cell>
          <cell r="BV89" t="str">
            <v>CUE0000009</v>
          </cell>
          <cell r="BW89">
            <v>0</v>
          </cell>
          <cell r="CL89" t="str">
            <v>PELO_MARRON_ROJIZO</v>
          </cell>
          <cell r="CM89" t="str">
            <v>LEDER-PELO</v>
          </cell>
          <cell r="CN89" t="str">
            <v>CUE0000115</v>
          </cell>
          <cell r="CO89">
            <v>0.28000000000000003</v>
          </cell>
          <cell r="CP89" t="str">
            <v>CUE0000012</v>
          </cell>
          <cell r="CQ89">
            <v>0</v>
          </cell>
          <cell r="KD89">
            <v>4</v>
          </cell>
          <cell r="KE89">
            <v>4</v>
          </cell>
          <cell r="KF89">
            <v>4</v>
          </cell>
          <cell r="KG89">
            <v>4</v>
          </cell>
          <cell r="KH89">
            <v>4</v>
          </cell>
          <cell r="KI89">
            <v>4</v>
          </cell>
          <cell r="KJ89">
            <v>4</v>
          </cell>
          <cell r="KK89">
            <v>4</v>
          </cell>
          <cell r="KL89">
            <v>4</v>
          </cell>
          <cell r="KM89">
            <v>0</v>
          </cell>
          <cell r="KP89">
            <v>0</v>
          </cell>
          <cell r="KS89">
            <v>0</v>
          </cell>
          <cell r="KV89">
            <v>0</v>
          </cell>
          <cell r="KY89">
            <v>0</v>
          </cell>
          <cell r="LB89">
            <v>0</v>
          </cell>
          <cell r="LE89">
            <v>0</v>
          </cell>
          <cell r="LH89">
            <v>0</v>
          </cell>
          <cell r="LK89">
            <v>0</v>
          </cell>
          <cell r="LO89">
            <v>45762</v>
          </cell>
          <cell r="LP89" t="str">
            <v>COMPLETADO</v>
          </cell>
        </row>
        <row r="90">
          <cell r="A90">
            <v>1725</v>
          </cell>
          <cell r="B90" t="str">
            <v>RUBEN</v>
          </cell>
          <cell r="C90" t="str">
            <v>BARRACAS GRANDE</v>
          </cell>
          <cell r="D90" t="str">
            <v>MARROQUINERIA GRANDE</v>
          </cell>
          <cell r="E90">
            <v>12</v>
          </cell>
          <cell r="F90">
            <v>12</v>
          </cell>
          <cell r="G90">
            <v>12</v>
          </cell>
          <cell r="H90">
            <v>45766.476388888892</v>
          </cell>
          <cell r="I90" t="str">
            <v>CARTERA INES</v>
          </cell>
          <cell r="J90">
            <v>45761</v>
          </cell>
          <cell r="K90">
            <v>45761</v>
          </cell>
          <cell r="N90" t="str">
            <v>M170</v>
          </cell>
          <cell r="O90" t="str">
            <v>AV0300460101</v>
          </cell>
          <cell r="P90">
            <v>0</v>
          </cell>
          <cell r="Q90" t="str">
            <v>AV170129018</v>
          </cell>
          <cell r="R90">
            <v>0</v>
          </cell>
          <cell r="AS90" t="str">
            <v>SIN FORRERIA</v>
          </cell>
          <cell r="AT90" t="str">
            <v>SIN PINTURA</v>
          </cell>
          <cell r="AW90" t="str">
            <v>GRABADO "EL LUCERO" CHICO CENTRADO EN PIEZA INTERNA PORTA IMAN TRASERA</v>
          </cell>
          <cell r="AX90" t="str">
            <v>PELO_HEREFORD</v>
          </cell>
          <cell r="AY90" t="str">
            <v>LEDER-PELO</v>
          </cell>
          <cell r="AZ90" t="str">
            <v>CUE0000117</v>
          </cell>
          <cell r="BA90">
            <v>0</v>
          </cell>
          <cell r="BB90" t="str">
            <v>CUE0000012</v>
          </cell>
          <cell r="BC90">
            <v>0</v>
          </cell>
          <cell r="BR90" t="str">
            <v>PELO_HOLANDO</v>
          </cell>
          <cell r="BS90" t="str">
            <v>LEDER-PELO</v>
          </cell>
          <cell r="BT90" t="str">
            <v>CUE0000116</v>
          </cell>
          <cell r="BU90">
            <v>0</v>
          </cell>
          <cell r="BV90" t="str">
            <v>CUE0000009</v>
          </cell>
          <cell r="BW90">
            <v>0</v>
          </cell>
          <cell r="KD90">
            <v>6</v>
          </cell>
          <cell r="KE90">
            <v>6</v>
          </cell>
          <cell r="KF90">
            <v>6</v>
          </cell>
          <cell r="KG90">
            <v>6</v>
          </cell>
          <cell r="KH90">
            <v>6</v>
          </cell>
          <cell r="KI90">
            <v>6</v>
          </cell>
          <cell r="KJ90">
            <v>0</v>
          </cell>
          <cell r="KM90">
            <v>0</v>
          </cell>
          <cell r="KP90">
            <v>0</v>
          </cell>
          <cell r="KS90">
            <v>0</v>
          </cell>
          <cell r="KV90">
            <v>0</v>
          </cell>
          <cell r="KY90">
            <v>0</v>
          </cell>
          <cell r="LB90">
            <v>0</v>
          </cell>
          <cell r="LE90">
            <v>0</v>
          </cell>
          <cell r="LH90">
            <v>0</v>
          </cell>
          <cell r="LK90">
            <v>0</v>
          </cell>
          <cell r="LO90">
            <v>45783</v>
          </cell>
          <cell r="LP90" t="str">
            <v>COMPLETADO</v>
          </cell>
        </row>
        <row r="91">
          <cell r="A91">
            <v>1726</v>
          </cell>
          <cell r="B91" t="str">
            <v>RUBEN</v>
          </cell>
          <cell r="C91" t="str">
            <v>BARRACAS GRANDE</v>
          </cell>
          <cell r="D91" t="str">
            <v>MARROQUINERIA GRANDE</v>
          </cell>
          <cell r="E91">
            <v>24</v>
          </cell>
          <cell r="F91">
            <v>24</v>
          </cell>
          <cell r="G91">
            <v>24</v>
          </cell>
          <cell r="H91">
            <v>45766.495034722226</v>
          </cell>
          <cell r="I91" t="str">
            <v>BANDOLERA MATILDA</v>
          </cell>
          <cell r="J91">
            <v>45761</v>
          </cell>
          <cell r="K91">
            <v>45761</v>
          </cell>
          <cell r="M91">
            <v>30</v>
          </cell>
          <cell r="N91" t="str">
            <v>M171</v>
          </cell>
          <cell r="O91" t="str">
            <v>AV0300390101</v>
          </cell>
          <cell r="P91">
            <v>1</v>
          </cell>
          <cell r="Q91" t="str">
            <v>AV0400230101</v>
          </cell>
          <cell r="R91">
            <v>1</v>
          </cell>
          <cell r="S91" t="str">
            <v>VAR0000042</v>
          </cell>
          <cell r="T91">
            <v>1</v>
          </cell>
          <cell r="U91" t="str">
            <v>AV170129018</v>
          </cell>
          <cell r="V91">
            <v>0</v>
          </cell>
          <cell r="AS91" t="str">
            <v>LLEVA ESTE MODELO DE CERRADURA PERO CON BAÑO NIQUEL</v>
          </cell>
          <cell r="AX91" t="str">
            <v>PELO_HEREFORD</v>
          </cell>
          <cell r="AY91" t="str">
            <v>LEDER-PELO</v>
          </cell>
          <cell r="AZ91" t="str">
            <v>CUE0000117</v>
          </cell>
          <cell r="BA91">
            <v>0.22</v>
          </cell>
          <cell r="BB91" t="str">
            <v>CUE0000012</v>
          </cell>
          <cell r="BC91">
            <v>0</v>
          </cell>
          <cell r="BR91" t="str">
            <v>PELO_HOLANDO</v>
          </cell>
          <cell r="BS91" t="str">
            <v>LEDER-PELO</v>
          </cell>
          <cell r="BT91" t="str">
            <v>CUE0000116</v>
          </cell>
          <cell r="BU91">
            <v>0.22</v>
          </cell>
          <cell r="BV91" t="str">
            <v>CUE0000009</v>
          </cell>
          <cell r="BW91">
            <v>0</v>
          </cell>
          <cell r="KD91">
            <v>12</v>
          </cell>
          <cell r="KE91">
            <v>12</v>
          </cell>
          <cell r="KF91">
            <v>12</v>
          </cell>
          <cell r="KG91">
            <v>12</v>
          </cell>
          <cell r="KH91">
            <v>12</v>
          </cell>
          <cell r="KI91">
            <v>12</v>
          </cell>
          <cell r="KJ91">
            <v>0</v>
          </cell>
          <cell r="KM91">
            <v>0</v>
          </cell>
          <cell r="KP91">
            <v>0</v>
          </cell>
          <cell r="KS91">
            <v>0</v>
          </cell>
          <cell r="KV91">
            <v>0</v>
          </cell>
          <cell r="KY91">
            <v>0</v>
          </cell>
          <cell r="LB91">
            <v>0</v>
          </cell>
          <cell r="LE91">
            <v>0</v>
          </cell>
          <cell r="LH91">
            <v>0</v>
          </cell>
          <cell r="LK91">
            <v>0</v>
          </cell>
          <cell r="LO91">
            <v>45783</v>
          </cell>
          <cell r="LP91" t="str">
            <v>COMPLETADO</v>
          </cell>
        </row>
        <row r="92">
          <cell r="A92">
            <v>1729</v>
          </cell>
          <cell r="B92" t="str">
            <v>LUCIANO</v>
          </cell>
          <cell r="C92" t="str">
            <v>BARRACAS CHICA</v>
          </cell>
          <cell r="D92" t="str">
            <v>MARROQUINERIA CHICA</v>
          </cell>
          <cell r="E92">
            <v>16</v>
          </cell>
          <cell r="F92">
            <v>16</v>
          </cell>
          <cell r="G92">
            <v>16</v>
          </cell>
          <cell r="H92">
            <v>45755</v>
          </cell>
          <cell r="I92" t="str">
            <v>SET PORTAVASOS CIRCULAR (X 4)</v>
          </cell>
          <cell r="J92">
            <v>45754</v>
          </cell>
          <cell r="K92">
            <v>45754</v>
          </cell>
          <cell r="M92">
            <v>8</v>
          </cell>
          <cell r="N92" t="str">
            <v>M161</v>
          </cell>
          <cell r="AS92" t="str">
            <v xml:space="preserve">SE ENTREGARAN A VENTAS EN SET X4   </v>
          </cell>
          <cell r="AT92" t="str">
            <v>PORTA TIRA DE CUERO CON GEMELO</v>
          </cell>
          <cell r="AU92" t="str">
            <v>POSAVASO SIN PINTURA</v>
          </cell>
          <cell r="AV92" t="str">
            <v>TIRA CON PINTURA</v>
          </cell>
          <cell r="AW92" t="str">
            <v>GRABADO "EL LUCERO CHICO" ESQUINA INFERIOR DERECHA</v>
          </cell>
          <cell r="AX92" t="str">
            <v>PELO_HOLANDO</v>
          </cell>
          <cell r="AY92" t="str">
            <v>LEDER-PELO</v>
          </cell>
          <cell r="AZ92" t="str">
            <v>CUE0000116</v>
          </cell>
          <cell r="BA92">
            <v>0.02</v>
          </cell>
          <cell r="BB92" t="str">
            <v>CUE0000009</v>
          </cell>
          <cell r="BC92">
            <v>0</v>
          </cell>
          <cell r="BD92">
            <v>0</v>
          </cell>
          <cell r="BE92">
            <v>0.02</v>
          </cell>
          <cell r="BR92" t="str">
            <v>PELO_MARRON_ROJIZO</v>
          </cell>
          <cell r="BS92" t="str">
            <v>LEDER-PELO</v>
          </cell>
          <cell r="BT92" t="str">
            <v>CUE0000115</v>
          </cell>
          <cell r="BU92">
            <v>0.02</v>
          </cell>
          <cell r="BV92" t="str">
            <v>CUE0000012</v>
          </cell>
          <cell r="BW92">
            <v>0</v>
          </cell>
          <cell r="BX92">
            <v>0</v>
          </cell>
          <cell r="BY92">
            <v>0.02</v>
          </cell>
          <cell r="CL92" t="str">
            <v>PELO_BEIGE</v>
          </cell>
          <cell r="CM92" t="str">
            <v>LEDER-PELO</v>
          </cell>
          <cell r="CN92" t="str">
            <v>CUE0000125</v>
          </cell>
          <cell r="CO92">
            <v>0.02</v>
          </cell>
          <cell r="CP92" t="str">
            <v>CUE0000004</v>
          </cell>
          <cell r="CQ92">
            <v>0</v>
          </cell>
          <cell r="CR92">
            <v>0</v>
          </cell>
          <cell r="CS92">
            <v>0.02</v>
          </cell>
          <cell r="DF92" t="str">
            <v>PELO_HEREFORD</v>
          </cell>
          <cell r="DG92" t="str">
            <v>LEDER-PELO</v>
          </cell>
          <cell r="DH92" t="str">
            <v>CUE0000117</v>
          </cell>
          <cell r="DI92">
            <v>0.02</v>
          </cell>
          <cell r="DJ92" t="str">
            <v>CUE0000012</v>
          </cell>
          <cell r="DK92">
            <v>0</v>
          </cell>
          <cell r="DL92">
            <v>0</v>
          </cell>
          <cell r="DM92">
            <v>0.02</v>
          </cell>
          <cell r="KD92">
            <v>4</v>
          </cell>
          <cell r="KE92">
            <v>4</v>
          </cell>
          <cell r="KF92">
            <v>4</v>
          </cell>
          <cell r="KG92">
            <v>4</v>
          </cell>
          <cell r="KH92">
            <v>4</v>
          </cell>
          <cell r="KI92">
            <v>4</v>
          </cell>
          <cell r="KJ92">
            <v>4</v>
          </cell>
          <cell r="KK92">
            <v>4</v>
          </cell>
          <cell r="KL92">
            <v>4</v>
          </cell>
          <cell r="KM92">
            <v>4</v>
          </cell>
          <cell r="KN92">
            <v>4</v>
          </cell>
          <cell r="KO92">
            <v>4</v>
          </cell>
          <cell r="KP92">
            <v>0</v>
          </cell>
          <cell r="KS92">
            <v>0</v>
          </cell>
          <cell r="KV92">
            <v>0</v>
          </cell>
          <cell r="KY92">
            <v>0</v>
          </cell>
          <cell r="LB92">
            <v>0</v>
          </cell>
          <cell r="LE92">
            <v>0</v>
          </cell>
          <cell r="LH92">
            <v>0</v>
          </cell>
          <cell r="LK92">
            <v>0</v>
          </cell>
          <cell r="LO92">
            <v>45756</v>
          </cell>
          <cell r="LP92" t="str">
            <v>COMPLETADO</v>
          </cell>
        </row>
        <row r="93">
          <cell r="A93">
            <v>1730</v>
          </cell>
          <cell r="B93" t="str">
            <v>LUCIANO</v>
          </cell>
          <cell r="C93" t="str">
            <v>BARRACAS CHICA</v>
          </cell>
          <cell r="D93" t="str">
            <v>MARROQUINERIA CHICA</v>
          </cell>
          <cell r="E93">
            <v>16</v>
          </cell>
          <cell r="F93">
            <v>15</v>
          </cell>
          <cell r="G93">
            <v>15</v>
          </cell>
          <cell r="H93">
            <v>45755</v>
          </cell>
          <cell r="I93" t="str">
            <v>SET POSAVASOS CUADRADO (X 4)</v>
          </cell>
          <cell r="J93">
            <v>45754</v>
          </cell>
          <cell r="K93">
            <v>45754</v>
          </cell>
          <cell r="L93">
            <v>45961</v>
          </cell>
          <cell r="M93">
            <v>8</v>
          </cell>
          <cell r="N93" t="str">
            <v>M135</v>
          </cell>
          <cell r="O93" t="str">
            <v>AV170134014</v>
          </cell>
          <cell r="P93">
            <v>0</v>
          </cell>
          <cell r="AS93" t="str">
            <v>SE ENTREGARAN A VENTAN EN SET X4 ATADOS CON TIRA DE CUERO</v>
          </cell>
          <cell r="AU93" t="str">
            <v>POSAVASO SIN PINTURA</v>
          </cell>
          <cell r="AV93" t="str">
            <v>TIRA CON PINTURA</v>
          </cell>
          <cell r="AW93" t="str">
            <v>GRABADO "EL LUCERO ARGENTINA" CENTRADO EN TIRA</v>
          </cell>
          <cell r="AX93" t="str">
            <v>PELO_HOLANDO</v>
          </cell>
          <cell r="AY93" t="str">
            <v>LEDER-PELO</v>
          </cell>
          <cell r="AZ93" t="str">
            <v>CUE0000116</v>
          </cell>
          <cell r="BA93">
            <v>0.02</v>
          </cell>
          <cell r="BB93" t="str">
            <v>CUE0000009</v>
          </cell>
          <cell r="BC93">
            <v>0</v>
          </cell>
          <cell r="BD93" t="str">
            <v>FOR0000027</v>
          </cell>
          <cell r="BE93">
            <v>0.02</v>
          </cell>
          <cell r="BR93" t="str">
            <v>PELO_HEREFORD</v>
          </cell>
          <cell r="BS93" t="str">
            <v>LEDER-PELO</v>
          </cell>
          <cell r="BT93" t="str">
            <v>CUE0000117</v>
          </cell>
          <cell r="BU93">
            <v>0.02</v>
          </cell>
          <cell r="BV93" t="str">
            <v>CUE0000012</v>
          </cell>
          <cell r="BW93">
            <v>0</v>
          </cell>
          <cell r="BX93">
            <v>0</v>
          </cell>
          <cell r="BY93">
            <v>0.02</v>
          </cell>
          <cell r="CL93" t="str">
            <v>PELO_MARRON_ROJIZO</v>
          </cell>
          <cell r="CM93" t="str">
            <v>LEDER-PELO</v>
          </cell>
          <cell r="CN93" t="str">
            <v>CUE0000115</v>
          </cell>
          <cell r="CO93">
            <v>0.02</v>
          </cell>
          <cell r="CP93" t="str">
            <v>CUE0000012</v>
          </cell>
          <cell r="CQ93">
            <v>0</v>
          </cell>
          <cell r="CR93">
            <v>0</v>
          </cell>
          <cell r="CS93">
            <v>0.02</v>
          </cell>
          <cell r="DF93" t="str">
            <v>PELO_BEIGE</v>
          </cell>
          <cell r="DG93" t="str">
            <v>LEDER-PELO</v>
          </cell>
          <cell r="DH93" t="str">
            <v>CUE0000125</v>
          </cell>
          <cell r="DI93">
            <v>0.02</v>
          </cell>
          <cell r="DJ93" t="str">
            <v>CUE0000004</v>
          </cell>
          <cell r="DK93">
            <v>0</v>
          </cell>
          <cell r="DL93">
            <v>0</v>
          </cell>
          <cell r="DM93">
            <v>0.02</v>
          </cell>
          <cell r="KD93">
            <v>4</v>
          </cell>
          <cell r="KE93">
            <v>4</v>
          </cell>
          <cell r="KF93">
            <v>4</v>
          </cell>
          <cell r="KG93">
            <v>4</v>
          </cell>
          <cell r="KH93">
            <v>3</v>
          </cell>
          <cell r="KI93">
            <v>3</v>
          </cell>
          <cell r="KJ93">
            <v>4</v>
          </cell>
          <cell r="KK93">
            <v>4</v>
          </cell>
          <cell r="KL93">
            <v>4</v>
          </cell>
          <cell r="KM93">
            <v>4</v>
          </cell>
          <cell r="KN93">
            <v>4</v>
          </cell>
          <cell r="KO93">
            <v>4</v>
          </cell>
          <cell r="KP93">
            <v>0</v>
          </cell>
          <cell r="KS93">
            <v>0</v>
          </cell>
          <cell r="KV93">
            <v>0</v>
          </cell>
          <cell r="KY93">
            <v>0</v>
          </cell>
          <cell r="LB93">
            <v>0</v>
          </cell>
          <cell r="LE93">
            <v>0</v>
          </cell>
          <cell r="LH93">
            <v>0</v>
          </cell>
          <cell r="LK93">
            <v>0</v>
          </cell>
          <cell r="LO93">
            <v>45965</v>
          </cell>
          <cell r="LP93" t="str">
            <v>COMPLETADO</v>
          </cell>
        </row>
        <row r="94">
          <cell r="A94">
            <v>1731</v>
          </cell>
          <cell r="B94" t="str">
            <v>RUBEN</v>
          </cell>
          <cell r="C94" t="str">
            <v>BARRACAS CHICA</v>
          </cell>
          <cell r="D94" t="str">
            <v>MARROQUINERIA GRANDE</v>
          </cell>
          <cell r="E94">
            <v>8</v>
          </cell>
          <cell r="F94">
            <v>8</v>
          </cell>
          <cell r="G94">
            <v>8</v>
          </cell>
          <cell r="H94">
            <v>45755</v>
          </cell>
          <cell r="I94" t="str">
            <v>CARTERA CHALTEN</v>
          </cell>
          <cell r="J94">
            <v>45754</v>
          </cell>
          <cell r="K94">
            <v>45754</v>
          </cell>
          <cell r="M94">
            <v>40</v>
          </cell>
          <cell r="N94" t="str">
            <v>M140</v>
          </cell>
          <cell r="O94" t="str">
            <v>AV170129018</v>
          </cell>
          <cell r="P94">
            <v>0</v>
          </cell>
          <cell r="Q94" t="str">
            <v>BAC1300020827</v>
          </cell>
          <cell r="R94">
            <v>0.01</v>
          </cell>
          <cell r="S94" t="str">
            <v>AV0401220101</v>
          </cell>
          <cell r="T94">
            <v>4</v>
          </cell>
          <cell r="U94" t="str">
            <v>AV0101040201</v>
          </cell>
          <cell r="V94">
            <v>1</v>
          </cell>
          <cell r="W94" t="str">
            <v>AV1000780101</v>
          </cell>
          <cell r="X94">
            <v>2</v>
          </cell>
          <cell r="Y94" t="str">
            <v>AV0400230101</v>
          </cell>
          <cell r="Z94">
            <v>1</v>
          </cell>
          <cell r="AA94" t="str">
            <v>AV0300390101</v>
          </cell>
          <cell r="AB94">
            <v>2</v>
          </cell>
          <cell r="AS94" t="str">
            <v>TIRACIERRE N1 - TIRA CONTRAPEGADA CON REMACHE + GRABADO ESTRELLA</v>
          </cell>
          <cell r="AW94" t="str">
            <v xml:space="preserve">GRABADO EL LUCERO EN PIEZA LATERAL    </v>
          </cell>
          <cell r="AX94" t="str">
            <v>MALBEC</v>
          </cell>
          <cell r="AY94" t="str">
            <v>ARENA-CUERO BRIDGE</v>
          </cell>
          <cell r="AZ94" t="str">
            <v>CUE0000008</v>
          </cell>
          <cell r="BA94">
            <v>0.65</v>
          </cell>
          <cell r="BB94" t="str">
            <v>FOR0000020</v>
          </cell>
          <cell r="BC94">
            <v>0.27</v>
          </cell>
          <cell r="BD94" t="str">
            <v>AV0100010261</v>
          </cell>
          <cell r="BE94">
            <v>0.22</v>
          </cell>
          <cell r="KD94">
            <v>8</v>
          </cell>
          <cell r="KE94">
            <v>8</v>
          </cell>
          <cell r="KF94">
            <v>8</v>
          </cell>
          <cell r="KG94">
            <v>0</v>
          </cell>
          <cell r="KJ94">
            <v>0</v>
          </cell>
          <cell r="KM94">
            <v>0</v>
          </cell>
          <cell r="KP94">
            <v>0</v>
          </cell>
          <cell r="KS94">
            <v>0</v>
          </cell>
          <cell r="KV94">
            <v>0</v>
          </cell>
          <cell r="KY94">
            <v>0</v>
          </cell>
          <cell r="LB94">
            <v>0</v>
          </cell>
          <cell r="LE94">
            <v>0</v>
          </cell>
          <cell r="LH94">
            <v>0</v>
          </cell>
          <cell r="LK94">
            <v>0</v>
          </cell>
          <cell r="LO94">
            <v>45762</v>
          </cell>
          <cell r="LP94" t="str">
            <v>COMPLETADO</v>
          </cell>
        </row>
        <row r="95">
          <cell r="A95">
            <v>1732</v>
          </cell>
          <cell r="B95" t="str">
            <v>LUCIANO</v>
          </cell>
          <cell r="C95" t="str">
            <v>EXT SOLEDAD</v>
          </cell>
          <cell r="D95" t="str">
            <v>MARROQUINERIA CHICA</v>
          </cell>
          <cell r="E95">
            <v>20</v>
          </cell>
          <cell r="F95">
            <v>10</v>
          </cell>
          <cell r="G95">
            <v>10</v>
          </cell>
          <cell r="H95">
            <v>45755</v>
          </cell>
          <cell r="I95" t="str">
            <v>PORTALAPICERA</v>
          </cell>
          <cell r="J95">
            <v>45755</v>
          </cell>
          <cell r="K95">
            <v>45755</v>
          </cell>
          <cell r="M95">
            <v>8</v>
          </cell>
          <cell r="N95" t="str">
            <v>M091</v>
          </cell>
          <cell r="O95" t="str">
            <v>AV170134014</v>
          </cell>
          <cell r="P95">
            <v>0</v>
          </cell>
          <cell r="AW95" t="str">
            <v>GRABADO EL LUCERO ARGENTINA. DEJAR 2 CM DESDE ABAJO, CENTRADO</v>
          </cell>
          <cell r="AX95" t="str">
            <v>MALBEC</v>
          </cell>
          <cell r="AY95" t="str">
            <v>ARENA-CUERO BRIDGE</v>
          </cell>
          <cell r="AZ95" t="str">
            <v>CUE0000008</v>
          </cell>
          <cell r="BA95">
            <v>0.04</v>
          </cell>
          <cell r="BB95" t="str">
            <v>AV1401250545</v>
          </cell>
          <cell r="BC95">
            <v>0</v>
          </cell>
          <cell r="BR95" t="str">
            <v>CARAMELO</v>
          </cell>
          <cell r="BS95" t="str">
            <v>ARENA-CUERO BRIDGE</v>
          </cell>
          <cell r="BT95" t="str">
            <v>CUE0000004</v>
          </cell>
          <cell r="BU95">
            <v>0.04</v>
          </cell>
          <cell r="BV95" t="str">
            <v>AV1401250545</v>
          </cell>
          <cell r="BW95">
            <v>0</v>
          </cell>
          <cell r="KD95">
            <v>14</v>
          </cell>
          <cell r="KE95">
            <v>4</v>
          </cell>
          <cell r="KF95">
            <v>4</v>
          </cell>
          <cell r="KG95">
            <v>6</v>
          </cell>
          <cell r="KH95">
            <v>6</v>
          </cell>
          <cell r="KI95">
            <v>6</v>
          </cell>
          <cell r="KJ95">
            <v>0</v>
          </cell>
          <cell r="KM95">
            <v>0</v>
          </cell>
          <cell r="KP95">
            <v>0</v>
          </cell>
          <cell r="KS95">
            <v>0</v>
          </cell>
          <cell r="KV95">
            <v>0</v>
          </cell>
          <cell r="KY95">
            <v>0</v>
          </cell>
          <cell r="LB95">
            <v>0</v>
          </cell>
          <cell r="LE95">
            <v>0</v>
          </cell>
          <cell r="LH95">
            <v>0</v>
          </cell>
          <cell r="LK95">
            <v>0</v>
          </cell>
          <cell r="LO95">
            <v>45769</v>
          </cell>
          <cell r="LP95" t="str">
            <v>COMPLETADO</v>
          </cell>
        </row>
        <row r="96">
          <cell r="A96">
            <v>1733</v>
          </cell>
          <cell r="B96" t="str">
            <v>LUCIANO</v>
          </cell>
          <cell r="C96" t="str">
            <v>BARRACAS CHICA</v>
          </cell>
          <cell r="D96" t="str">
            <v>MARROQUINERIA CHICA</v>
          </cell>
          <cell r="E96">
            <v>12</v>
          </cell>
          <cell r="F96">
            <v>12</v>
          </cell>
          <cell r="G96">
            <v>12</v>
          </cell>
          <cell r="H96">
            <v>45755</v>
          </cell>
          <cell r="I96" t="str">
            <v>PORTALENTES JANO</v>
          </cell>
          <cell r="J96">
            <v>45755</v>
          </cell>
          <cell r="K96">
            <v>45755</v>
          </cell>
          <cell r="M96">
            <v>12</v>
          </cell>
          <cell r="N96" t="str">
            <v>M097</v>
          </cell>
          <cell r="O96" t="str">
            <v>AV0700510101</v>
          </cell>
          <cell r="P96">
            <v>1</v>
          </cell>
          <cell r="Q96" t="str">
            <v>AV0400550101</v>
          </cell>
          <cell r="R96">
            <v>1</v>
          </cell>
          <cell r="S96" t="str">
            <v>AV170134014</v>
          </cell>
          <cell r="T96">
            <v>0</v>
          </cell>
          <cell r="AW96" t="str">
            <v>NO SE GRABA</v>
          </cell>
          <cell r="AX96" t="str">
            <v>NEGRO</v>
          </cell>
          <cell r="AY96" t="str">
            <v>ARENA-CUERO BRIDGE IGUANA</v>
          </cell>
          <cell r="AZ96" t="str">
            <v>CUE0000017</v>
          </cell>
          <cell r="BA96">
            <v>0.05</v>
          </cell>
          <cell r="BB96" t="str">
            <v>AV1401254060</v>
          </cell>
          <cell r="BC96">
            <v>0</v>
          </cell>
          <cell r="BR96" t="str">
            <v>CARAMELO</v>
          </cell>
          <cell r="BS96" t="str">
            <v>ARENA-CUERO BRIDGE IGUANA</v>
          </cell>
          <cell r="BT96" t="str">
            <v>CUE0000015</v>
          </cell>
          <cell r="BU96">
            <v>0.05</v>
          </cell>
          <cell r="BV96" t="str">
            <v>AV1401250545</v>
          </cell>
          <cell r="BW96">
            <v>0</v>
          </cell>
          <cell r="KD96">
            <v>3</v>
          </cell>
          <cell r="KE96">
            <v>3</v>
          </cell>
          <cell r="KF96">
            <v>3</v>
          </cell>
          <cell r="KG96">
            <v>9</v>
          </cell>
          <cell r="KH96">
            <v>9</v>
          </cell>
          <cell r="KI96">
            <v>9</v>
          </cell>
          <cell r="KJ96">
            <v>0</v>
          </cell>
          <cell r="KM96">
            <v>0</v>
          </cell>
          <cell r="KP96">
            <v>0</v>
          </cell>
          <cell r="KS96">
            <v>0</v>
          </cell>
          <cell r="KV96">
            <v>0</v>
          </cell>
          <cell r="KY96">
            <v>0</v>
          </cell>
          <cell r="LB96">
            <v>0</v>
          </cell>
          <cell r="LE96">
            <v>0</v>
          </cell>
          <cell r="LH96">
            <v>0</v>
          </cell>
          <cell r="LK96">
            <v>0</v>
          </cell>
          <cell r="LO96">
            <v>45762</v>
          </cell>
          <cell r="LP96" t="str">
            <v>COMPLETADO</v>
          </cell>
        </row>
        <row r="97">
          <cell r="A97">
            <v>1734</v>
          </cell>
          <cell r="B97" t="str">
            <v>LUCIANO</v>
          </cell>
          <cell r="C97" t="str">
            <v>EXT GABRIEL</v>
          </cell>
          <cell r="D97" t="str">
            <v>MARROQUINERIA CHICA</v>
          </cell>
          <cell r="E97">
            <v>70</v>
          </cell>
          <cell r="F97">
            <v>65</v>
          </cell>
          <cell r="G97">
            <v>65</v>
          </cell>
          <cell r="H97">
            <v>45755</v>
          </cell>
          <cell r="I97" t="str">
            <v>PORTALENTES ORION</v>
          </cell>
          <cell r="J97">
            <v>45756</v>
          </cell>
          <cell r="K97">
            <v>45756</v>
          </cell>
          <cell r="M97">
            <v>11</v>
          </cell>
          <cell r="N97" t="str">
            <v>M100</v>
          </cell>
          <cell r="O97" t="str">
            <v>AV0101070301</v>
          </cell>
          <cell r="P97">
            <v>1</v>
          </cell>
          <cell r="Q97" t="str">
            <v>AV1001010101</v>
          </cell>
          <cell r="R97">
            <v>1</v>
          </cell>
          <cell r="S97" t="str">
            <v>AV1300130101</v>
          </cell>
          <cell r="T97">
            <v>1</v>
          </cell>
          <cell r="U97" t="str">
            <v>AV170134014</v>
          </cell>
          <cell r="V97">
            <v>0</v>
          </cell>
          <cell r="AS97" t="str">
            <v>TIRACIERRE N 12 - TIRA FINITA CON REMACHE</v>
          </cell>
          <cell r="AW97" t="str">
            <v xml:space="preserve">GRABADO " EL LUCERO ARG." CHICO EN EL FRENTE CENTRADO, A 1,5 CM DEL BORDE INFERIOR </v>
          </cell>
          <cell r="AX97" t="str">
            <v>CARAMELO</v>
          </cell>
          <cell r="AY97" t="str">
            <v>ARENA-CUERO BRIDGE</v>
          </cell>
          <cell r="AZ97" t="str">
            <v>CUE0000004</v>
          </cell>
          <cell r="BA97">
            <v>0.02</v>
          </cell>
          <cell r="BB97" t="str">
            <v>AV0100020305</v>
          </cell>
          <cell r="BC97">
            <v>0.2</v>
          </cell>
          <cell r="BD97" t="str">
            <v>AV1401250545</v>
          </cell>
          <cell r="BE97">
            <v>0</v>
          </cell>
          <cell r="BF97" t="str">
            <v>AV1601300955</v>
          </cell>
          <cell r="BG97">
            <v>0</v>
          </cell>
          <cell r="BR97" t="str">
            <v>NEGRO</v>
          </cell>
          <cell r="BS97" t="str">
            <v>ARENA-CUERO BRIDGE</v>
          </cell>
          <cell r="BT97" t="str">
            <v>CUE0000009</v>
          </cell>
          <cell r="BU97">
            <v>0.02</v>
          </cell>
          <cell r="BV97" t="str">
            <v>AV0100020303</v>
          </cell>
          <cell r="BW97">
            <v>0.2</v>
          </cell>
          <cell r="BX97" t="str">
            <v>AV1401254060</v>
          </cell>
          <cell r="BY97">
            <v>0</v>
          </cell>
          <cell r="BZ97" t="str">
            <v>AV1601300926</v>
          </cell>
          <cell r="CA97">
            <v>0</v>
          </cell>
          <cell r="CL97" t="str">
            <v>ROJO</v>
          </cell>
          <cell r="CM97" t="str">
            <v>ARENA-CUERO BRIDGE</v>
          </cell>
          <cell r="CN97" t="str">
            <v>CUE0000010</v>
          </cell>
          <cell r="CO97">
            <v>0.02</v>
          </cell>
          <cell r="CP97" t="str">
            <v>AV0100020313</v>
          </cell>
          <cell r="CQ97">
            <v>0.2</v>
          </cell>
          <cell r="CR97" t="str">
            <v>AV1401254460</v>
          </cell>
          <cell r="CS97">
            <v>0</v>
          </cell>
          <cell r="CT97" t="str">
            <v>AV1601300929</v>
          </cell>
          <cell r="CU97">
            <v>0</v>
          </cell>
          <cell r="DF97" t="str">
            <v>MALBEC</v>
          </cell>
          <cell r="DG97" t="str">
            <v>ARENA-CUERO NAPADO</v>
          </cell>
          <cell r="DH97" t="str">
            <v>CUE0000025</v>
          </cell>
          <cell r="DI97">
            <v>0.02</v>
          </cell>
          <cell r="DJ97" t="str">
            <v>CIE0000003</v>
          </cell>
          <cell r="DK97">
            <v>0.2</v>
          </cell>
          <cell r="DL97" t="str">
            <v>AV1401250545</v>
          </cell>
          <cell r="DM97">
            <v>0</v>
          </cell>
          <cell r="DN97" t="str">
            <v>PIN00000001</v>
          </cell>
          <cell r="DO97">
            <v>0</v>
          </cell>
          <cell r="DZ97" t="str">
            <v>NEGRO</v>
          </cell>
          <cell r="EA97" t="str">
            <v>ARENA-CUERO NAPADO</v>
          </cell>
          <cell r="EB97" t="str">
            <v>CUE0000026</v>
          </cell>
          <cell r="EC97">
            <v>0.02</v>
          </cell>
          <cell r="ED97" t="str">
            <v>AV0100020303</v>
          </cell>
          <cell r="EE97">
            <v>0.2</v>
          </cell>
          <cell r="EF97" t="str">
            <v>AV1401254060</v>
          </cell>
          <cell r="EG97">
            <v>0</v>
          </cell>
          <cell r="EH97" t="str">
            <v>AV1601300926</v>
          </cell>
          <cell r="EI97">
            <v>0</v>
          </cell>
          <cell r="ET97" t="str">
            <v>SUELA</v>
          </cell>
          <cell r="EU97" t="str">
            <v>ARENA-CUERO NAPADO</v>
          </cell>
          <cell r="EV97" t="str">
            <v>CUE0000028</v>
          </cell>
          <cell r="EW97">
            <v>0.02</v>
          </cell>
          <cell r="EX97" t="str">
            <v>AV0100020337</v>
          </cell>
          <cell r="EY97">
            <v>0.2</v>
          </cell>
          <cell r="EZ97" t="str">
            <v>AV1401250545</v>
          </cell>
          <cell r="FA97">
            <v>0</v>
          </cell>
          <cell r="FB97" t="str">
            <v>AV1601300955</v>
          </cell>
          <cell r="FC97">
            <v>0</v>
          </cell>
          <cell r="FN97" t="str">
            <v>AZUL</v>
          </cell>
          <cell r="FO97" t="str">
            <v>ARENA-CUERO NAPADO</v>
          </cell>
          <cell r="FP97" t="str">
            <v>CUE0000021</v>
          </cell>
          <cell r="FQ97">
            <v>0.02</v>
          </cell>
          <cell r="FR97" t="str">
            <v>AV0100020336</v>
          </cell>
          <cell r="FS97">
            <v>0.2</v>
          </cell>
          <cell r="FT97" t="str">
            <v>AV1401254360</v>
          </cell>
          <cell r="FU97">
            <v>0</v>
          </cell>
          <cell r="FV97" t="str">
            <v>AV1601300956</v>
          </cell>
          <cell r="FW97">
            <v>0</v>
          </cell>
          <cell r="GH97" t="str">
            <v>VERDE</v>
          </cell>
          <cell r="GI97" t="str">
            <v>ARENA-CUERO NAPADO</v>
          </cell>
          <cell r="GJ97" t="str">
            <v>CUE0000030</v>
          </cell>
          <cell r="GK97">
            <v>0.02</v>
          </cell>
          <cell r="GL97" t="str">
            <v>AV0100020317</v>
          </cell>
          <cell r="GM97">
            <v>0.2</v>
          </cell>
          <cell r="GN97" t="str">
            <v>AV1401254260</v>
          </cell>
          <cell r="GO97">
            <v>0</v>
          </cell>
          <cell r="GP97" t="str">
            <v>AV1601300957</v>
          </cell>
          <cell r="GQ97">
            <v>0</v>
          </cell>
          <cell r="HB97" t="str">
            <v>ROJO</v>
          </cell>
          <cell r="HC97" t="str">
            <v>ARENA-CUERO NAPADO</v>
          </cell>
          <cell r="HD97" t="str">
            <v>CUE0000027</v>
          </cell>
          <cell r="HE97">
            <v>0.02</v>
          </cell>
          <cell r="HF97" t="str">
            <v>AV0100020313</v>
          </cell>
          <cell r="HG97">
            <v>0.2</v>
          </cell>
          <cell r="HH97" t="str">
            <v>AV1401254460</v>
          </cell>
          <cell r="HI97">
            <v>0</v>
          </cell>
          <cell r="HJ97" t="str">
            <v>AV1601300929</v>
          </cell>
          <cell r="HK97">
            <v>0</v>
          </cell>
          <cell r="KD97">
            <v>14</v>
          </cell>
          <cell r="KE97">
            <v>15</v>
          </cell>
          <cell r="KF97">
            <v>15</v>
          </cell>
          <cell r="KG97">
            <v>6</v>
          </cell>
          <cell r="KH97">
            <v>6</v>
          </cell>
          <cell r="KI97">
            <v>6</v>
          </cell>
          <cell r="KJ97">
            <v>4</v>
          </cell>
          <cell r="KK97">
            <v>4</v>
          </cell>
          <cell r="KL97">
            <v>4</v>
          </cell>
          <cell r="KM97">
            <v>6</v>
          </cell>
          <cell r="KN97">
            <v>0</v>
          </cell>
          <cell r="KO97">
            <v>0</v>
          </cell>
          <cell r="KP97">
            <v>4</v>
          </cell>
          <cell r="KQ97">
            <v>4</v>
          </cell>
          <cell r="KR97">
            <v>4</v>
          </cell>
          <cell r="KS97">
            <v>9</v>
          </cell>
          <cell r="KT97">
            <v>9</v>
          </cell>
          <cell r="KU97">
            <v>9</v>
          </cell>
          <cell r="KV97">
            <v>14</v>
          </cell>
          <cell r="KW97">
            <v>14</v>
          </cell>
          <cell r="KX97">
            <v>14</v>
          </cell>
          <cell r="KY97">
            <v>9</v>
          </cell>
          <cell r="KZ97">
            <v>9</v>
          </cell>
          <cell r="LA97">
            <v>9</v>
          </cell>
          <cell r="LB97">
            <v>4</v>
          </cell>
          <cell r="LC97">
            <v>4</v>
          </cell>
          <cell r="LD97">
            <v>4</v>
          </cell>
          <cell r="LE97">
            <v>0</v>
          </cell>
          <cell r="LH97">
            <v>0</v>
          </cell>
          <cell r="LK97">
            <v>0</v>
          </cell>
          <cell r="LO97">
            <v>45769</v>
          </cell>
          <cell r="LP97" t="str">
            <v>COMPLETADO</v>
          </cell>
        </row>
        <row r="98">
          <cell r="A98">
            <v>1735</v>
          </cell>
          <cell r="B98" t="str">
            <v>LUCIANO</v>
          </cell>
          <cell r="C98" t="str">
            <v>EXT GABRIEL</v>
          </cell>
          <cell r="D98" t="str">
            <v>MARROQUINERIA CHICA</v>
          </cell>
          <cell r="E98">
            <v>12</v>
          </cell>
          <cell r="F98">
            <v>12</v>
          </cell>
          <cell r="G98">
            <v>12</v>
          </cell>
          <cell r="H98">
            <v>45755</v>
          </cell>
          <cell r="I98" t="str">
            <v>PORTAPASAPORTE CHESTER</v>
          </cell>
          <cell r="J98">
            <v>45755</v>
          </cell>
          <cell r="K98">
            <v>45755</v>
          </cell>
          <cell r="M98">
            <v>10</v>
          </cell>
          <cell r="N98" t="str">
            <v>M104</v>
          </cell>
          <cell r="O98" t="str">
            <v>AV170134014</v>
          </cell>
          <cell r="P98">
            <v>0</v>
          </cell>
          <cell r="AW98" t="str">
            <v xml:space="preserve">GRABADO LUCERO ARGENTINA CHICO,CENTRADO EN ESPALDA A 1.5CM DEL BORDE INFERIOR  </v>
          </cell>
          <cell r="AX98" t="str">
            <v>MALBEC</v>
          </cell>
          <cell r="AY98" t="str">
            <v>ARENA-CUERO BRIDGE</v>
          </cell>
          <cell r="AZ98" t="str">
            <v>CUE0000008</v>
          </cell>
          <cell r="BA98">
            <v>0.05</v>
          </cell>
          <cell r="BB98" t="str">
            <v>AV1401254460</v>
          </cell>
          <cell r="BC98">
            <v>0</v>
          </cell>
          <cell r="KD98">
            <v>12</v>
          </cell>
          <cell r="KE98">
            <v>12</v>
          </cell>
          <cell r="KF98">
            <v>12</v>
          </cell>
          <cell r="KG98">
            <v>0</v>
          </cell>
          <cell r="KJ98">
            <v>0</v>
          </cell>
          <cell r="KM98">
            <v>0</v>
          </cell>
          <cell r="KP98">
            <v>0</v>
          </cell>
          <cell r="KS98">
            <v>0</v>
          </cell>
          <cell r="KV98">
            <v>0</v>
          </cell>
          <cell r="KY98">
            <v>0</v>
          </cell>
          <cell r="LB98">
            <v>0</v>
          </cell>
          <cell r="LE98">
            <v>0</v>
          </cell>
          <cell r="LH98">
            <v>0</v>
          </cell>
          <cell r="LK98">
            <v>0</v>
          </cell>
          <cell r="LO98">
            <v>45761</v>
          </cell>
          <cell r="LP98" t="str">
            <v>COMPLETADO</v>
          </cell>
        </row>
        <row r="99">
          <cell r="A99">
            <v>1736</v>
          </cell>
          <cell r="B99" t="str">
            <v>LUCIANO</v>
          </cell>
          <cell r="C99" t="str">
            <v>EXT SOLEDAD</v>
          </cell>
          <cell r="D99" t="str">
            <v>MARROQUINERIA CHICA</v>
          </cell>
          <cell r="E99">
            <v>50</v>
          </cell>
          <cell r="F99">
            <v>30</v>
          </cell>
          <cell r="G99">
            <v>30</v>
          </cell>
          <cell r="H99">
            <v>45755</v>
          </cell>
          <cell r="I99" t="str">
            <v>TARJETERO ARIES</v>
          </cell>
          <cell r="J99">
            <v>45756</v>
          </cell>
          <cell r="K99">
            <v>45756</v>
          </cell>
          <cell r="M99">
            <v>10</v>
          </cell>
          <cell r="N99" t="str">
            <v>M123</v>
          </cell>
          <cell r="O99" t="str">
            <v>AV170134014</v>
          </cell>
          <cell r="P99">
            <v>0</v>
          </cell>
          <cell r="AW99" t="str">
            <v xml:space="preserve">GRABADO " EL LUCERO ARGENTINA" CHICO EN TIRA DEL FRENTE, CENTRADO   </v>
          </cell>
          <cell r="AX99" t="str">
            <v>MALBEC</v>
          </cell>
          <cell r="AY99" t="str">
            <v>ARENA-CUERO BRIDGE</v>
          </cell>
          <cell r="AZ99" t="str">
            <v>CUE0000008</v>
          </cell>
          <cell r="BA99">
            <v>0.02</v>
          </cell>
          <cell r="BB99" t="str">
            <v>AV1401250545</v>
          </cell>
          <cell r="BC99">
            <v>0</v>
          </cell>
          <cell r="BD99" t="str">
            <v>PIN00000001</v>
          </cell>
          <cell r="BE99">
            <v>0</v>
          </cell>
          <cell r="BR99" t="str">
            <v>NEGRO</v>
          </cell>
          <cell r="BS99" t="str">
            <v>ARENA-CUERO BRIDGE</v>
          </cell>
          <cell r="BT99" t="str">
            <v>CUE0000009</v>
          </cell>
          <cell r="BU99">
            <v>0.02</v>
          </cell>
          <cell r="BV99" t="str">
            <v>AV1401254060</v>
          </cell>
          <cell r="BW99">
            <v>0</v>
          </cell>
          <cell r="BX99" t="str">
            <v>AV1601300926</v>
          </cell>
          <cell r="BY99">
            <v>0</v>
          </cell>
          <cell r="CL99" t="str">
            <v>VERDE_REVES_VERDE</v>
          </cell>
          <cell r="CM99" t="str">
            <v>BIANCO-CUERO MODENA ESPESOR 1,4</v>
          </cell>
          <cell r="CN99" t="str">
            <v>CUE0000118</v>
          </cell>
          <cell r="CO99">
            <v>0.02</v>
          </cell>
          <cell r="CP99" t="str">
            <v>AV1401254260</v>
          </cell>
          <cell r="CQ99">
            <v>0</v>
          </cell>
          <cell r="CR99" t="str">
            <v>AV1601300957</v>
          </cell>
          <cell r="CS99">
            <v>0</v>
          </cell>
          <cell r="DF99" t="str">
            <v>AZUL_REVES_AZUL</v>
          </cell>
          <cell r="DG99" t="str">
            <v>BIANCO-CUERO MODENA ESPESOR 1,4</v>
          </cell>
          <cell r="DH99" t="str">
            <v>CUE0000119</v>
          </cell>
          <cell r="DI99">
            <v>0.02</v>
          </cell>
          <cell r="DJ99" t="str">
            <v>AV1401254360</v>
          </cell>
          <cell r="DK99">
            <v>0</v>
          </cell>
          <cell r="DL99" t="str">
            <v>AV1601300956</v>
          </cell>
          <cell r="DM99">
            <v>0</v>
          </cell>
          <cell r="KD99">
            <v>9</v>
          </cell>
          <cell r="KE99">
            <v>9</v>
          </cell>
          <cell r="KF99">
            <v>9</v>
          </cell>
          <cell r="KG99">
            <v>12</v>
          </cell>
          <cell r="KH99">
            <v>12</v>
          </cell>
          <cell r="KI99">
            <v>12</v>
          </cell>
          <cell r="KJ99">
            <v>20</v>
          </cell>
          <cell r="KK99">
            <v>0</v>
          </cell>
          <cell r="KL99">
            <v>0</v>
          </cell>
          <cell r="KM99">
            <v>9</v>
          </cell>
          <cell r="KN99">
            <v>9</v>
          </cell>
          <cell r="KO99">
            <v>9</v>
          </cell>
          <cell r="KP99">
            <v>0</v>
          </cell>
          <cell r="KS99">
            <v>0</v>
          </cell>
          <cell r="KV99">
            <v>0</v>
          </cell>
          <cell r="KY99">
            <v>0</v>
          </cell>
          <cell r="LB99">
            <v>0</v>
          </cell>
          <cell r="LE99">
            <v>0</v>
          </cell>
          <cell r="LH99">
            <v>0</v>
          </cell>
          <cell r="LK99">
            <v>0</v>
          </cell>
          <cell r="LO99">
            <v>45769</v>
          </cell>
          <cell r="LP99" t="str">
            <v>COMPLETADO</v>
          </cell>
        </row>
        <row r="100">
          <cell r="A100">
            <v>1737</v>
          </cell>
          <cell r="B100" t="str">
            <v>LUCIANO</v>
          </cell>
          <cell r="C100" t="str">
            <v>EXT GABRIEL</v>
          </cell>
          <cell r="D100" t="str">
            <v>MARROQUINERIA CHICA</v>
          </cell>
          <cell r="E100">
            <v>12</v>
          </cell>
          <cell r="F100">
            <v>12</v>
          </cell>
          <cell r="G100">
            <v>12</v>
          </cell>
          <cell r="H100">
            <v>45755</v>
          </cell>
          <cell r="I100" t="str">
            <v>TARJETERO BILL</v>
          </cell>
          <cell r="J100">
            <v>45755</v>
          </cell>
          <cell r="K100">
            <v>45755</v>
          </cell>
          <cell r="M100">
            <v>13</v>
          </cell>
          <cell r="N100" t="str">
            <v>M124</v>
          </cell>
          <cell r="O100" t="str">
            <v>AV170134014</v>
          </cell>
          <cell r="P100">
            <v>0</v>
          </cell>
          <cell r="AW100" t="str">
            <v xml:space="preserve">GRABADO " EL LUCERO ARG." CHICO EN EL FRENTE CENTRADO, A 1,5CM DEL BORDE INFERIOR  </v>
          </cell>
          <cell r="AX100" t="str">
            <v>NEGRO</v>
          </cell>
          <cell r="AY100" t="str">
            <v>ARENA-CUERO BRIDGE</v>
          </cell>
          <cell r="AZ100" t="str">
            <v>CUE0000009</v>
          </cell>
          <cell r="BA100">
            <v>0.05</v>
          </cell>
          <cell r="BB100" t="str">
            <v>AV1401254060</v>
          </cell>
          <cell r="BC100">
            <v>0</v>
          </cell>
          <cell r="BD100" t="str">
            <v>AV1601300926</v>
          </cell>
          <cell r="BE100">
            <v>0</v>
          </cell>
          <cell r="KD100">
            <v>12</v>
          </cell>
          <cell r="KE100">
            <v>12</v>
          </cell>
          <cell r="KF100">
            <v>12</v>
          </cell>
          <cell r="KG100">
            <v>0</v>
          </cell>
          <cell r="KJ100">
            <v>0</v>
          </cell>
          <cell r="KM100">
            <v>0</v>
          </cell>
          <cell r="KP100">
            <v>0</v>
          </cell>
          <cell r="KS100">
            <v>0</v>
          </cell>
          <cell r="KV100">
            <v>0</v>
          </cell>
          <cell r="KY100">
            <v>0</v>
          </cell>
          <cell r="LB100">
            <v>0</v>
          </cell>
          <cell r="LE100">
            <v>0</v>
          </cell>
          <cell r="LH100">
            <v>0</v>
          </cell>
          <cell r="LK100">
            <v>0</v>
          </cell>
          <cell r="LO100">
            <v>45761</v>
          </cell>
          <cell r="LP100" t="str">
            <v>COMPLETADO</v>
          </cell>
        </row>
        <row r="101">
          <cell r="A101">
            <v>1738</v>
          </cell>
          <cell r="B101" t="str">
            <v>LUCIANO</v>
          </cell>
          <cell r="C101" t="str">
            <v>EXT GABRIEL</v>
          </cell>
          <cell r="D101" t="str">
            <v>MARROQUINERIA CHICA</v>
          </cell>
          <cell r="E101">
            <v>29</v>
          </cell>
          <cell r="F101">
            <v>15</v>
          </cell>
          <cell r="G101">
            <v>15</v>
          </cell>
          <cell r="H101">
            <v>45755</v>
          </cell>
          <cell r="I101" t="str">
            <v>TARJETERO JUAN</v>
          </cell>
          <cell r="J101">
            <v>45755</v>
          </cell>
          <cell r="K101">
            <v>45755</v>
          </cell>
          <cell r="M101">
            <v>22</v>
          </cell>
          <cell r="N101" t="str">
            <v>M126</v>
          </cell>
          <cell r="O101" t="str">
            <v>AV170134014</v>
          </cell>
          <cell r="P101">
            <v>0</v>
          </cell>
          <cell r="AW101" t="str">
            <v xml:space="preserve">GRABADO "EL LUCERO ARG." EN FRENTE CENTRADO   </v>
          </cell>
          <cell r="AX101" t="str">
            <v>MALBEC</v>
          </cell>
          <cell r="AY101" t="str">
            <v>ARENA-CUERO BRIDGE</v>
          </cell>
          <cell r="AZ101" t="str">
            <v>CUE0000008</v>
          </cell>
          <cell r="BA101">
            <v>0.06</v>
          </cell>
          <cell r="BB101" t="str">
            <v>AV1401250545</v>
          </cell>
          <cell r="BC101">
            <v>0</v>
          </cell>
          <cell r="BR101" t="str">
            <v>NEGRO</v>
          </cell>
          <cell r="BS101" t="str">
            <v>ARENA-CUERO BRIDGE</v>
          </cell>
          <cell r="BT101" t="str">
            <v>CUE0000009</v>
          </cell>
          <cell r="BU101">
            <v>0.06</v>
          </cell>
          <cell r="BV101" t="str">
            <v>AV1401254060</v>
          </cell>
          <cell r="BW101">
            <v>0</v>
          </cell>
          <cell r="CL101" t="str">
            <v>VERDE_REVES_VERDE</v>
          </cell>
          <cell r="CM101" t="str">
            <v>BIANCO-CUERO MODENA ESPESOR 1,4</v>
          </cell>
          <cell r="CN101" t="str">
            <v>CUE0000118</v>
          </cell>
          <cell r="CO101">
            <v>0.06</v>
          </cell>
          <cell r="CP101" t="str">
            <v>AV1401254260</v>
          </cell>
          <cell r="CQ101">
            <v>0</v>
          </cell>
          <cell r="KD101">
            <v>6</v>
          </cell>
          <cell r="KE101">
            <v>6</v>
          </cell>
          <cell r="KF101">
            <v>6</v>
          </cell>
          <cell r="KG101">
            <v>9</v>
          </cell>
          <cell r="KH101">
            <v>9</v>
          </cell>
          <cell r="KI101">
            <v>9</v>
          </cell>
          <cell r="KJ101">
            <v>14</v>
          </cell>
          <cell r="KK101">
            <v>0</v>
          </cell>
          <cell r="KL101">
            <v>0</v>
          </cell>
          <cell r="KM101">
            <v>0</v>
          </cell>
          <cell r="KP101">
            <v>0</v>
          </cell>
          <cell r="KS101">
            <v>0</v>
          </cell>
          <cell r="KV101">
            <v>0</v>
          </cell>
          <cell r="KY101">
            <v>0</v>
          </cell>
          <cell r="LB101">
            <v>0</v>
          </cell>
          <cell r="LE101">
            <v>0</v>
          </cell>
          <cell r="LH101">
            <v>0</v>
          </cell>
          <cell r="LK101">
            <v>0</v>
          </cell>
          <cell r="LO101">
            <v>45761</v>
          </cell>
          <cell r="LP101" t="str">
            <v>COMPLETADO</v>
          </cell>
        </row>
        <row r="102">
          <cell r="A102">
            <v>1739</v>
          </cell>
          <cell r="B102" t="str">
            <v>LUCIANO</v>
          </cell>
          <cell r="C102" t="str">
            <v>EXT GABRIEL</v>
          </cell>
          <cell r="D102" t="str">
            <v>MARROQUINERIA CHICA</v>
          </cell>
          <cell r="E102">
            <v>24</v>
          </cell>
          <cell r="F102">
            <v>24</v>
          </cell>
          <cell r="G102">
            <v>24</v>
          </cell>
          <cell r="H102">
            <v>45755</v>
          </cell>
          <cell r="I102" t="str">
            <v>TARJETERO ROMA</v>
          </cell>
          <cell r="J102">
            <v>45755</v>
          </cell>
          <cell r="K102">
            <v>45755</v>
          </cell>
          <cell r="M102">
            <v>8</v>
          </cell>
          <cell r="N102" t="str">
            <v>M145</v>
          </cell>
          <cell r="O102" t="str">
            <v>AV0700420101</v>
          </cell>
          <cell r="P102">
            <v>1</v>
          </cell>
          <cell r="Q102" t="str">
            <v>AV170134014</v>
          </cell>
          <cell r="R102">
            <v>0</v>
          </cell>
          <cell r="AW102" t="str">
            <v>GRABADO "EL LUCERO " CHICO EN ESPALDA CENTRADO, BORDE INFERIOR</v>
          </cell>
          <cell r="AX102" t="str">
            <v>MALBEC</v>
          </cell>
          <cell r="AY102" t="str">
            <v>ARENA-CUERO BRIDGE</v>
          </cell>
          <cell r="AZ102" t="str">
            <v>CUE0000008</v>
          </cell>
          <cell r="BA102">
            <v>0.03</v>
          </cell>
          <cell r="BR102" t="str">
            <v>CARAMELO</v>
          </cell>
          <cell r="BS102" t="str">
            <v>ARENA-CUERO BRIDGE</v>
          </cell>
          <cell r="BT102" t="str">
            <v>CUE0000004</v>
          </cell>
          <cell r="BU102">
            <v>0.03</v>
          </cell>
          <cell r="KD102">
            <v>18</v>
          </cell>
          <cell r="KE102">
            <v>18</v>
          </cell>
          <cell r="KF102">
            <v>18</v>
          </cell>
          <cell r="KG102">
            <v>6</v>
          </cell>
          <cell r="KH102">
            <v>6</v>
          </cell>
          <cell r="KI102">
            <v>6</v>
          </cell>
          <cell r="KJ102">
            <v>0</v>
          </cell>
          <cell r="KM102">
            <v>0</v>
          </cell>
          <cell r="KP102">
            <v>0</v>
          </cell>
          <cell r="KS102">
            <v>0</v>
          </cell>
          <cell r="KV102">
            <v>0</v>
          </cell>
          <cell r="KY102">
            <v>0</v>
          </cell>
          <cell r="LB102">
            <v>0</v>
          </cell>
          <cell r="LE102">
            <v>0</v>
          </cell>
          <cell r="LH102">
            <v>0</v>
          </cell>
          <cell r="LK102">
            <v>0</v>
          </cell>
          <cell r="LO102">
            <v>45769</v>
          </cell>
          <cell r="LP102" t="str">
            <v>COMPLETADO</v>
          </cell>
        </row>
        <row r="103">
          <cell r="A103">
            <v>1740</v>
          </cell>
          <cell r="B103" t="str">
            <v>LUCIANO</v>
          </cell>
          <cell r="C103" t="str">
            <v>EXT GABRIEL</v>
          </cell>
          <cell r="D103" t="str">
            <v>MARROQUINERIA CHICA</v>
          </cell>
          <cell r="E103">
            <v>29</v>
          </cell>
          <cell r="F103">
            <v>26</v>
          </cell>
          <cell r="G103">
            <v>26</v>
          </cell>
          <cell r="H103">
            <v>45755</v>
          </cell>
          <cell r="I103" t="str">
            <v>TARJETERO RUBI</v>
          </cell>
          <cell r="J103">
            <v>45755</v>
          </cell>
          <cell r="K103">
            <v>45755</v>
          </cell>
          <cell r="M103">
            <v>10</v>
          </cell>
          <cell r="N103" t="str">
            <v>M129</v>
          </cell>
          <cell r="O103" t="str">
            <v>AV0700420101</v>
          </cell>
          <cell r="P103">
            <v>1</v>
          </cell>
          <cell r="Q103" t="str">
            <v>AV170134014</v>
          </cell>
          <cell r="R103">
            <v>0</v>
          </cell>
          <cell r="AW103" t="str">
            <v xml:space="preserve">GRABADO "EL LUCERO ARGENTINA " EN ESPALDA CENTRADO, BORDE INFERIOR </v>
          </cell>
          <cell r="AX103" t="str">
            <v>VERDE_REVES_VERDE</v>
          </cell>
          <cell r="AY103" t="str">
            <v>BIANCO-CUERO MODENA ESPESOR 1,4</v>
          </cell>
          <cell r="AZ103" t="str">
            <v>CUE0000118</v>
          </cell>
          <cell r="BA103">
            <v>0.03</v>
          </cell>
          <cell r="BB103" t="str">
            <v>AV1401254260</v>
          </cell>
          <cell r="BC103">
            <v>0</v>
          </cell>
          <cell r="BR103" t="str">
            <v>MALBEC</v>
          </cell>
          <cell r="BS103" t="str">
            <v>ARENA-CUERO BRIDGE</v>
          </cell>
          <cell r="BT103" t="str">
            <v>CUE0000008</v>
          </cell>
          <cell r="BU103">
            <v>0.03</v>
          </cell>
          <cell r="BV103" t="str">
            <v>AV1401250545</v>
          </cell>
          <cell r="BW103">
            <v>0</v>
          </cell>
          <cell r="KD103">
            <v>9</v>
          </cell>
          <cell r="KE103">
            <v>6</v>
          </cell>
          <cell r="KF103">
            <v>6</v>
          </cell>
          <cell r="KG103">
            <v>20</v>
          </cell>
          <cell r="KH103">
            <v>20</v>
          </cell>
          <cell r="KI103">
            <v>20</v>
          </cell>
          <cell r="KJ103">
            <v>0</v>
          </cell>
          <cell r="KM103">
            <v>0</v>
          </cell>
          <cell r="KP103">
            <v>0</v>
          </cell>
          <cell r="KS103">
            <v>0</v>
          </cell>
          <cell r="KV103">
            <v>0</v>
          </cell>
          <cell r="KY103">
            <v>0</v>
          </cell>
          <cell r="LB103">
            <v>0</v>
          </cell>
          <cell r="LE103">
            <v>0</v>
          </cell>
          <cell r="LH103">
            <v>0</v>
          </cell>
          <cell r="LK103">
            <v>0</v>
          </cell>
          <cell r="LO103">
            <v>45761</v>
          </cell>
          <cell r="LP103" t="str">
            <v>COMPLETADO</v>
          </cell>
        </row>
        <row r="104">
          <cell r="A104">
            <v>1741</v>
          </cell>
          <cell r="B104" t="str">
            <v>RUBEN</v>
          </cell>
          <cell r="C104" t="str">
            <v>BARRACAS GRANDE</v>
          </cell>
          <cell r="D104" t="str">
            <v>MARROQUINERIA GRANDE</v>
          </cell>
          <cell r="E104">
            <v>12</v>
          </cell>
          <cell r="F104">
            <v>12</v>
          </cell>
          <cell r="G104">
            <v>12</v>
          </cell>
          <cell r="H104">
            <v>45760</v>
          </cell>
          <cell r="I104" t="str">
            <v>BANDOLERA CARLA</v>
          </cell>
          <cell r="J104">
            <v>45756</v>
          </cell>
          <cell r="K104">
            <v>45756</v>
          </cell>
          <cell r="M104">
            <v>35</v>
          </cell>
          <cell r="N104" t="str">
            <v>M002</v>
          </cell>
          <cell r="O104" t="str">
            <v>AV1001210101</v>
          </cell>
          <cell r="P104">
            <v>1</v>
          </cell>
          <cell r="Q104" t="str">
            <v>AV0401380101</v>
          </cell>
          <cell r="R104">
            <v>1</v>
          </cell>
          <cell r="S104" t="str">
            <v>AV0400400101</v>
          </cell>
          <cell r="T104">
            <v>1</v>
          </cell>
          <cell r="U104" t="str">
            <v>AV170129018</v>
          </cell>
          <cell r="V104">
            <v>0</v>
          </cell>
          <cell r="AS104" t="str">
            <v>CORREA IDEM MUESTRA. EN EL LATERAL NO LLEVA REMACHES</v>
          </cell>
          <cell r="AT104" t="str">
            <v>LA CORREA DEBE SALIR DE ADENTRO DE LA VISTA INTERNA</v>
          </cell>
          <cell r="AU104" t="str">
            <v>CONSULTAR SI VA PINTADA O NO O</v>
          </cell>
          <cell r="AV104" t="str">
            <v>REVISAR TIEMPO</v>
          </cell>
          <cell r="AW104" t="str">
            <v>GRABADO "EL LUCERO" CHICO EN VISTA INTERNA CENTRADA</v>
          </cell>
          <cell r="AX104" t="str">
            <v>PELO_HOLANDO</v>
          </cell>
          <cell r="AY104" t="str">
            <v>LEDER-PELO</v>
          </cell>
          <cell r="AZ104" t="str">
            <v>CUE0000116</v>
          </cell>
          <cell r="BA104">
            <v>0.17</v>
          </cell>
          <cell r="BB104" t="str">
            <v>CUE0000009</v>
          </cell>
          <cell r="BC104">
            <v>0</v>
          </cell>
          <cell r="BD104" t="str">
            <v>FOR0000020</v>
          </cell>
          <cell r="BE104">
            <v>0.04</v>
          </cell>
          <cell r="BF104" t="str">
            <v>AV1401244040</v>
          </cell>
          <cell r="BG104">
            <v>0</v>
          </cell>
          <cell r="BR104" t="str">
            <v>PELO_HEREFORD</v>
          </cell>
          <cell r="BS104" t="str">
            <v>LEDER-PELO</v>
          </cell>
          <cell r="BT104" t="str">
            <v>CUE0000117</v>
          </cell>
          <cell r="BU104">
            <v>0.17</v>
          </cell>
          <cell r="BV104" t="str">
            <v>CUE0000012</v>
          </cell>
          <cell r="BW104">
            <v>0</v>
          </cell>
          <cell r="BX104" t="str">
            <v>FOR0000021</v>
          </cell>
          <cell r="BY104">
            <v>0.04</v>
          </cell>
          <cell r="BZ104" t="str">
            <v>AV1401240545</v>
          </cell>
          <cell r="CA104">
            <v>0</v>
          </cell>
          <cell r="KD104">
            <v>6</v>
          </cell>
          <cell r="KE104">
            <v>6</v>
          </cell>
          <cell r="KF104">
            <v>6</v>
          </cell>
          <cell r="KG104">
            <v>6</v>
          </cell>
          <cell r="KH104">
            <v>6</v>
          </cell>
          <cell r="KI104">
            <v>6</v>
          </cell>
          <cell r="KJ104">
            <v>0</v>
          </cell>
          <cell r="KM104">
            <v>0</v>
          </cell>
          <cell r="KP104">
            <v>0</v>
          </cell>
          <cell r="KS104">
            <v>0</v>
          </cell>
          <cell r="KV104">
            <v>0</v>
          </cell>
          <cell r="KY104">
            <v>0</v>
          </cell>
          <cell r="LB104">
            <v>0</v>
          </cell>
          <cell r="LE104">
            <v>0</v>
          </cell>
          <cell r="LH104">
            <v>0</v>
          </cell>
          <cell r="LK104">
            <v>0</v>
          </cell>
          <cell r="LO104">
            <v>45776</v>
          </cell>
          <cell r="LP104" t="str">
            <v>COMPLETADO</v>
          </cell>
        </row>
        <row r="105">
          <cell r="A105">
            <v>1742</v>
          </cell>
          <cell r="B105" t="str">
            <v>RUBEN</v>
          </cell>
          <cell r="C105" t="str">
            <v>BARRACAS GRANDE</v>
          </cell>
          <cell r="D105" t="str">
            <v>MARROQUINERIA GRANDE</v>
          </cell>
          <cell r="E105">
            <v>46</v>
          </cell>
          <cell r="F105">
            <v>46</v>
          </cell>
          <cell r="G105">
            <v>46</v>
          </cell>
          <cell r="H105">
            <v>45765</v>
          </cell>
          <cell r="I105" t="str">
            <v>TOTE CACHI</v>
          </cell>
          <cell r="J105">
            <v>45756</v>
          </cell>
          <cell r="K105">
            <v>45756</v>
          </cell>
          <cell r="M105">
            <v>30</v>
          </cell>
          <cell r="N105" t="str">
            <v>M169</v>
          </cell>
          <cell r="AS105" t="str">
            <v>CORREA 2 CM / SIN PINTURA</v>
          </cell>
          <cell r="AT105" t="str">
            <v xml:space="preserve"> PEGAR ETIQUETA DE CUERO AL FRENTE</v>
          </cell>
          <cell r="AU105" t="str">
            <v>HILO AL TONO CON HILO GRUESO N 20</v>
          </cell>
          <cell r="AW105" t="str">
            <v>GRABADO ETIQUETA EN NAPADO 7,5CM X 5,5 CM  "EL LUCERO HIGH QUALITY GOODS"</v>
          </cell>
          <cell r="AX105" t="str">
            <v>NEGRO</v>
          </cell>
          <cell r="AY105" t="str">
            <v>VANESKA-CUERO NAPADO DUNA</v>
          </cell>
          <cell r="AZ105" t="str">
            <v>CUE0000059</v>
          </cell>
          <cell r="BA105">
            <v>0.45</v>
          </cell>
          <cell r="BR105" t="str">
            <v>SUELA</v>
          </cell>
          <cell r="BS105" t="str">
            <v>ARENA-CUERO NAPADO</v>
          </cell>
          <cell r="BT105" t="str">
            <v>CUE0000028</v>
          </cell>
          <cell r="BU105">
            <v>0.45</v>
          </cell>
          <cell r="CL105" t="str">
            <v>MALBEC</v>
          </cell>
          <cell r="CM105" t="str">
            <v>ARENA-CUERO NAPADO</v>
          </cell>
          <cell r="CN105" t="str">
            <v>CUE0000025</v>
          </cell>
          <cell r="CO105">
            <v>0.45</v>
          </cell>
          <cell r="DF105" t="str">
            <v>CARAMELO</v>
          </cell>
          <cell r="DG105" t="str">
            <v>ARENA-CUERO NAPADO</v>
          </cell>
          <cell r="DH105" t="str">
            <v>CUE0000022</v>
          </cell>
          <cell r="DI105">
            <v>0.45</v>
          </cell>
          <cell r="DJ105">
            <v>0</v>
          </cell>
          <cell r="DK105">
            <v>0</v>
          </cell>
          <cell r="DZ105" t="str">
            <v>CAFE_GAMUZA_CHOCOLATE</v>
          </cell>
          <cell r="EA105" t="str">
            <v>NAPOLITANA-CUERO GAMUZA</v>
          </cell>
          <cell r="EB105" t="str">
            <v>CUE0000039</v>
          </cell>
          <cell r="EC105">
            <v>0.45</v>
          </cell>
          <cell r="ED105" t="str">
            <v>CUE0000005</v>
          </cell>
          <cell r="EE105">
            <v>0</v>
          </cell>
          <cell r="ET105" t="str">
            <v>OLIVA_GAMUZA_TABACO</v>
          </cell>
          <cell r="EU105" t="str">
            <v>NAPOLITANA-CUERO GAMUZA</v>
          </cell>
          <cell r="EV105" t="str">
            <v>CUE0000047</v>
          </cell>
          <cell r="EW105">
            <v>0.45</v>
          </cell>
          <cell r="EX105" t="str">
            <v>CUE0000012</v>
          </cell>
          <cell r="EY105">
            <v>0</v>
          </cell>
          <cell r="KD105">
            <v>12</v>
          </cell>
          <cell r="KE105">
            <v>12</v>
          </cell>
          <cell r="KF105">
            <v>12</v>
          </cell>
          <cell r="KG105">
            <v>12</v>
          </cell>
          <cell r="KH105">
            <v>12</v>
          </cell>
          <cell r="KI105">
            <v>12</v>
          </cell>
          <cell r="KJ105">
            <v>6</v>
          </cell>
          <cell r="KK105">
            <v>6</v>
          </cell>
          <cell r="KL105">
            <v>6</v>
          </cell>
          <cell r="KM105">
            <v>6</v>
          </cell>
          <cell r="KN105">
            <v>6</v>
          </cell>
          <cell r="KO105">
            <v>6</v>
          </cell>
          <cell r="KP105">
            <v>6</v>
          </cell>
          <cell r="KQ105">
            <v>6</v>
          </cell>
          <cell r="KR105">
            <v>6</v>
          </cell>
          <cell r="KS105">
            <v>4</v>
          </cell>
          <cell r="KT105">
            <v>4</v>
          </cell>
          <cell r="KU105">
            <v>4</v>
          </cell>
          <cell r="KV105">
            <v>0</v>
          </cell>
          <cell r="KY105">
            <v>0</v>
          </cell>
          <cell r="LB105">
            <v>0</v>
          </cell>
          <cell r="LE105">
            <v>0</v>
          </cell>
          <cell r="LH105">
            <v>0</v>
          </cell>
          <cell r="LK105">
            <v>0</v>
          </cell>
          <cell r="LO105">
            <v>45769</v>
          </cell>
          <cell r="LP105" t="str">
            <v>COMPLETADO</v>
          </cell>
        </row>
        <row r="106">
          <cell r="A106">
            <v>1745</v>
          </cell>
          <cell r="B106" t="str">
            <v>LUCIANO</v>
          </cell>
          <cell r="C106" t="str">
            <v>BARRACAS CHICA</v>
          </cell>
          <cell r="D106" t="str">
            <v>MARROQUINERIA CHICA</v>
          </cell>
          <cell r="E106">
            <v>16</v>
          </cell>
          <cell r="F106">
            <v>12</v>
          </cell>
          <cell r="G106">
            <v>12</v>
          </cell>
          <cell r="H106">
            <v>45765</v>
          </cell>
          <cell r="I106" t="str">
            <v>BILLETERA ADAM</v>
          </cell>
          <cell r="J106">
            <v>45762</v>
          </cell>
          <cell r="K106">
            <v>45762</v>
          </cell>
          <cell r="M106">
            <v>50</v>
          </cell>
          <cell r="N106" t="str">
            <v>M012</v>
          </cell>
          <cell r="O106" t="str">
            <v>AV0700420101</v>
          </cell>
          <cell r="P106">
            <v>1</v>
          </cell>
          <cell r="Q106" t="str">
            <v>VAR0000002</v>
          </cell>
          <cell r="R106">
            <v>0.01</v>
          </cell>
          <cell r="S106" t="str">
            <v>AV170134014</v>
          </cell>
          <cell r="T106">
            <v>0</v>
          </cell>
          <cell r="AW106" t="str">
            <v xml:space="preserve">GRABADO "EL LUCERO ARGENTINA" CHICO - CENTRADO A 1 CM DESDE EL BORDE INFERIOR  </v>
          </cell>
          <cell r="AX106" t="str">
            <v>NEGRO</v>
          </cell>
          <cell r="AY106" t="str">
            <v>ARENA-CUERO NAPADO</v>
          </cell>
          <cell r="AZ106" t="str">
            <v>CUE0000026</v>
          </cell>
          <cell r="BA106">
            <v>0.11</v>
          </cell>
          <cell r="BB106" t="str">
            <v>AV1401254060</v>
          </cell>
          <cell r="BC106">
            <v>0</v>
          </cell>
          <cell r="BD106" t="str">
            <v>FOR0000018</v>
          </cell>
          <cell r="BE106">
            <v>0.08</v>
          </cell>
          <cell r="BR106" t="str">
            <v>AZUL_REVES_AZUL</v>
          </cell>
          <cell r="BS106" t="str">
            <v>BIANCO-CUERO MODENA ESPESOR 1,8</v>
          </cell>
          <cell r="BT106" t="str">
            <v>CUE0000156</v>
          </cell>
          <cell r="BU106">
            <v>0.11</v>
          </cell>
          <cell r="BV106" t="str">
            <v>AV1401254360</v>
          </cell>
          <cell r="BW106">
            <v>0</v>
          </cell>
          <cell r="BX106" t="str">
            <v>FOR0000014</v>
          </cell>
          <cell r="BY106">
            <v>0.08</v>
          </cell>
          <cell r="KD106">
            <v>12</v>
          </cell>
          <cell r="KE106">
            <v>12</v>
          </cell>
          <cell r="KF106">
            <v>12</v>
          </cell>
          <cell r="KG106">
            <v>4</v>
          </cell>
          <cell r="KH106">
            <v>0</v>
          </cell>
          <cell r="KI106">
            <v>0</v>
          </cell>
          <cell r="KJ106">
            <v>0</v>
          </cell>
          <cell r="KM106">
            <v>0</v>
          </cell>
          <cell r="KP106">
            <v>0</v>
          </cell>
          <cell r="KS106">
            <v>0</v>
          </cell>
          <cell r="KV106">
            <v>0</v>
          </cell>
          <cell r="KY106">
            <v>0</v>
          </cell>
          <cell r="LB106">
            <v>0</v>
          </cell>
          <cell r="LE106">
            <v>0</v>
          </cell>
          <cell r="LH106">
            <v>0</v>
          </cell>
          <cell r="LK106">
            <v>0</v>
          </cell>
          <cell r="LO106">
            <v>45783</v>
          </cell>
          <cell r="LP106" t="str">
            <v>COMPLETADO</v>
          </cell>
        </row>
        <row r="107">
          <cell r="A107">
            <v>1746</v>
          </cell>
          <cell r="B107" t="str">
            <v>LUCIANO</v>
          </cell>
          <cell r="C107" t="str">
            <v>BARRACAS CHICA</v>
          </cell>
          <cell r="D107" t="str">
            <v>MARROQUINERIA CHICA</v>
          </cell>
          <cell r="E107">
            <v>43</v>
          </cell>
          <cell r="F107">
            <v>33</v>
          </cell>
          <cell r="G107">
            <v>33</v>
          </cell>
          <cell r="H107">
            <v>45765</v>
          </cell>
          <cell r="I107" t="str">
            <v>BILLETERA OSADIA</v>
          </cell>
          <cell r="J107">
            <v>45762</v>
          </cell>
          <cell r="K107">
            <v>45762</v>
          </cell>
          <cell r="L107">
            <v>45762</v>
          </cell>
          <cell r="M107">
            <v>50</v>
          </cell>
          <cell r="N107" t="str">
            <v>M024</v>
          </cell>
          <cell r="O107" t="str">
            <v>AV0101030201</v>
          </cell>
          <cell r="P107">
            <v>1</v>
          </cell>
          <cell r="Q107" t="str">
            <v>AV0600540101</v>
          </cell>
          <cell r="R107">
            <v>1</v>
          </cell>
          <cell r="S107" t="str">
            <v>AV0101070301</v>
          </cell>
          <cell r="T107">
            <v>1</v>
          </cell>
          <cell r="U107" t="str">
            <v>AV0600560101</v>
          </cell>
          <cell r="V107">
            <v>1</v>
          </cell>
          <cell r="W107" t="str">
            <v>AV1000380101</v>
          </cell>
          <cell r="X107">
            <v>1</v>
          </cell>
          <cell r="Y107" t="str">
            <v>AV0600550101</v>
          </cell>
          <cell r="Z107">
            <v>1</v>
          </cell>
          <cell r="AA107" t="str">
            <v>AV0300400101</v>
          </cell>
          <cell r="AB107">
            <v>1</v>
          </cell>
          <cell r="AC107" t="str">
            <v>BAC1300050727</v>
          </cell>
          <cell r="AD107">
            <v>0.05</v>
          </cell>
          <cell r="AE107" t="str">
            <v>BAC0200071027</v>
          </cell>
          <cell r="AF107">
            <v>0.03</v>
          </cell>
          <cell r="AG107" t="str">
            <v>AV170134014</v>
          </cell>
          <cell r="AH107">
            <v>0</v>
          </cell>
          <cell r="AW107" t="str">
            <v>GRABADO "EL LUCERO" CHICO CENTRADO EN EL FRENTE, A 2 CM DEL CIERRE</v>
          </cell>
          <cell r="AX107" t="str">
            <v>NEGRO</v>
          </cell>
          <cell r="AY107" t="str">
            <v>ARENA-CUERO NAPADO</v>
          </cell>
          <cell r="AZ107" t="str">
            <v>CUE0000026</v>
          </cell>
          <cell r="BA107">
            <v>0.14000000000000001</v>
          </cell>
          <cell r="BB107" t="str">
            <v>FOR0000018</v>
          </cell>
          <cell r="BC107">
            <v>0.12</v>
          </cell>
          <cell r="BD107" t="str">
            <v>AV0100010103</v>
          </cell>
          <cell r="BE107">
            <v>0.4</v>
          </cell>
          <cell r="BF107" t="str">
            <v>AV0100020303</v>
          </cell>
          <cell r="BG107">
            <v>0.14000000000000001</v>
          </cell>
          <cell r="BR107" t="str">
            <v>CARAMELO</v>
          </cell>
          <cell r="BS107" t="str">
            <v>ARENA-CUERO NAPADO</v>
          </cell>
          <cell r="BT107" t="str">
            <v>CUE0000022</v>
          </cell>
          <cell r="BU107">
            <v>0.14000000000000001</v>
          </cell>
          <cell r="BV107" t="str">
            <v>FOR0000015</v>
          </cell>
          <cell r="BW107">
            <v>0.12</v>
          </cell>
          <cell r="BX107" t="str">
            <v>AV0100010105</v>
          </cell>
          <cell r="BY107">
            <v>0.4</v>
          </cell>
          <cell r="BZ107" t="str">
            <v>AV0100020305</v>
          </cell>
          <cell r="CA107">
            <v>0.14000000000000001</v>
          </cell>
          <cell r="CL107" t="str">
            <v>SUELA</v>
          </cell>
          <cell r="CM107" t="str">
            <v>ARENA-CUERO NAPADO</v>
          </cell>
          <cell r="CN107" t="str">
            <v>CUE0000028</v>
          </cell>
          <cell r="CO107">
            <v>0.14000000000000001</v>
          </cell>
          <cell r="CP107" t="str">
            <v>FOR0000015</v>
          </cell>
          <cell r="CQ107">
            <v>0.12</v>
          </cell>
          <cell r="CR107" t="str">
            <v>AV0100010107</v>
          </cell>
          <cell r="CS107">
            <v>0.4</v>
          </cell>
          <cell r="CT107" t="str">
            <v>AV0100020337</v>
          </cell>
          <cell r="CU107">
            <v>0.14000000000000001</v>
          </cell>
          <cell r="DF107" t="str">
            <v>AZUL_REVES_AZUL</v>
          </cell>
          <cell r="DG107" t="str">
            <v>BIANCO-CUERO MODENA ESPESOR 1,8</v>
          </cell>
          <cell r="DH107" t="str">
            <v>CUE0000156</v>
          </cell>
          <cell r="DI107">
            <v>0.14000000000000001</v>
          </cell>
          <cell r="DJ107" t="str">
            <v>FOR0000014</v>
          </cell>
          <cell r="DK107">
            <v>0.12</v>
          </cell>
          <cell r="DL107" t="str">
            <v>AV0100010115</v>
          </cell>
          <cell r="DM107">
            <v>0.4</v>
          </cell>
          <cell r="DN107" t="str">
            <v>AV0100020336</v>
          </cell>
          <cell r="DO107">
            <v>0.14000000000000001</v>
          </cell>
          <cell r="DZ107" t="str">
            <v>ROJO</v>
          </cell>
          <cell r="EA107" t="str">
            <v>ARENA-CUERO NAPADO</v>
          </cell>
          <cell r="EB107" t="str">
            <v>CUE0000027</v>
          </cell>
          <cell r="EC107">
            <v>0.14000000000000001</v>
          </cell>
          <cell r="ED107" t="str">
            <v>FOR0000016</v>
          </cell>
          <cell r="EE107">
            <v>0.12</v>
          </cell>
          <cell r="EF107" t="str">
            <v>AV0100010113</v>
          </cell>
          <cell r="EG107">
            <v>0.4</v>
          </cell>
          <cell r="EH107" t="str">
            <v>AV0100020313</v>
          </cell>
          <cell r="EI107">
            <v>0.14000000000000001</v>
          </cell>
          <cell r="ET107" t="str">
            <v>VERDE_REVES_VERDE</v>
          </cell>
          <cell r="EU107" t="str">
            <v>BIANCO-CUERO MODENA ESPESOR 1,8</v>
          </cell>
          <cell r="EV107" t="str">
            <v>CUE0000157</v>
          </cell>
          <cell r="EW107">
            <v>0.14000000000000001</v>
          </cell>
          <cell r="EX107" t="str">
            <v>FOR0000013</v>
          </cell>
          <cell r="EY107">
            <v>0.12</v>
          </cell>
          <cell r="EZ107" t="str">
            <v>AV0100010117</v>
          </cell>
          <cell r="FA107">
            <v>0.4</v>
          </cell>
          <cell r="FB107" t="str">
            <v>AV0100020317</v>
          </cell>
          <cell r="FC107">
            <v>0.14000000000000001</v>
          </cell>
          <cell r="FN107" t="str">
            <v>MALBEC</v>
          </cell>
          <cell r="FO107" t="str">
            <v>ARENA-CUERO BRIDGE</v>
          </cell>
          <cell r="FP107" t="str">
            <v>CUE0000008</v>
          </cell>
          <cell r="FQ107">
            <v>0.14000000000000001</v>
          </cell>
          <cell r="FR107" t="str">
            <v>FOR0000016</v>
          </cell>
          <cell r="FS107">
            <v>0.12</v>
          </cell>
          <cell r="FT107" t="str">
            <v>AV0100010161</v>
          </cell>
          <cell r="FU107">
            <v>0.4</v>
          </cell>
          <cell r="FV107" t="str">
            <v>AV0100020313</v>
          </cell>
          <cell r="FW107">
            <v>0.14000000000000001</v>
          </cell>
          <cell r="KD107">
            <v>6</v>
          </cell>
          <cell r="KE107">
            <v>6</v>
          </cell>
          <cell r="KF107">
            <v>6</v>
          </cell>
          <cell r="KG107">
            <v>6</v>
          </cell>
          <cell r="KH107">
            <v>6</v>
          </cell>
          <cell r="KI107">
            <v>6</v>
          </cell>
          <cell r="KJ107">
            <v>6</v>
          </cell>
          <cell r="KK107">
            <v>6</v>
          </cell>
          <cell r="KL107">
            <v>6</v>
          </cell>
          <cell r="KM107">
            <v>6</v>
          </cell>
          <cell r="KN107">
            <v>0</v>
          </cell>
          <cell r="KO107">
            <v>0</v>
          </cell>
          <cell r="KP107">
            <v>6</v>
          </cell>
          <cell r="KQ107">
            <v>6</v>
          </cell>
          <cell r="KR107">
            <v>6</v>
          </cell>
          <cell r="KS107">
            <v>4</v>
          </cell>
          <cell r="KT107">
            <v>0</v>
          </cell>
          <cell r="KU107">
            <v>0</v>
          </cell>
          <cell r="KV107">
            <v>9</v>
          </cell>
          <cell r="KW107">
            <v>9</v>
          </cell>
          <cell r="KX107">
            <v>9</v>
          </cell>
          <cell r="KY107">
            <v>0</v>
          </cell>
          <cell r="LB107">
            <v>0</v>
          </cell>
          <cell r="LE107">
            <v>0</v>
          </cell>
          <cell r="LH107">
            <v>0</v>
          </cell>
          <cell r="LK107">
            <v>0</v>
          </cell>
          <cell r="LN107">
            <v>45762</v>
          </cell>
          <cell r="LO107">
            <v>45909</v>
          </cell>
          <cell r="LP107" t="str">
            <v>COMPLETADO</v>
          </cell>
        </row>
        <row r="108">
          <cell r="A108">
            <v>1747</v>
          </cell>
          <cell r="B108" t="str">
            <v>LUCIANO</v>
          </cell>
          <cell r="C108" t="str">
            <v>BARRACAS CHICA</v>
          </cell>
          <cell r="D108" t="str">
            <v>MARROQUINERIA CHICA</v>
          </cell>
          <cell r="E108">
            <v>15</v>
          </cell>
          <cell r="F108">
            <v>6</v>
          </cell>
          <cell r="G108">
            <v>6</v>
          </cell>
          <cell r="H108">
            <v>45765.693425925929</v>
          </cell>
          <cell r="I108" t="str">
            <v>BILLETERA BEIJING</v>
          </cell>
          <cell r="J108">
            <v>45770</v>
          </cell>
          <cell r="K108">
            <v>45770</v>
          </cell>
          <cell r="M108">
            <v>55</v>
          </cell>
          <cell r="N108" t="str">
            <v>M013</v>
          </cell>
          <cell r="O108" t="str">
            <v>FOR0000032</v>
          </cell>
          <cell r="P108">
            <v>0.09</v>
          </cell>
          <cell r="Q108" t="str">
            <v>AV0600560101</v>
          </cell>
          <cell r="R108">
            <v>2</v>
          </cell>
          <cell r="S108" t="str">
            <v>AV0300390101</v>
          </cell>
          <cell r="T108">
            <v>1</v>
          </cell>
          <cell r="U108" t="str">
            <v>AV0101040201</v>
          </cell>
          <cell r="V108">
            <v>1</v>
          </cell>
          <cell r="W108" t="str">
            <v>AV0101070301</v>
          </cell>
          <cell r="X108">
            <v>2</v>
          </cell>
          <cell r="Y108" t="str">
            <v>AV0300400101</v>
          </cell>
          <cell r="Z108">
            <v>1</v>
          </cell>
          <cell r="AA108" t="str">
            <v>AV0700650101</v>
          </cell>
          <cell r="AB108">
            <v>1</v>
          </cell>
          <cell r="AC108" t="str">
            <v>AV1000380101</v>
          </cell>
          <cell r="AD108">
            <v>1</v>
          </cell>
          <cell r="AE108" t="str">
            <v>AV0600550101</v>
          </cell>
          <cell r="AF108">
            <v>1</v>
          </cell>
          <cell r="AG108" t="str">
            <v>AV170134014</v>
          </cell>
          <cell r="AH108">
            <v>0</v>
          </cell>
          <cell r="AS108" t="str">
            <v>TIRACIERRE N1 - TIRA DE CUERO + GRABADO ESTRELLA</v>
          </cell>
          <cell r="AW108" t="str">
            <v xml:space="preserve">GRABADO EL LUCERO"CENTRADO EN EL FRENTE A 2,5 CM DEL BORDE SUPERIOR </v>
          </cell>
          <cell r="AX108" t="str">
            <v>CARAMELO</v>
          </cell>
          <cell r="AY108" t="str">
            <v>ARENA-CUERO BRIDGE</v>
          </cell>
          <cell r="AZ108" t="str">
            <v>CUE0000004</v>
          </cell>
          <cell r="BA108">
            <v>0.16</v>
          </cell>
          <cell r="BB108" t="str">
            <v>FOR0000021</v>
          </cell>
          <cell r="BC108">
            <v>0.16</v>
          </cell>
          <cell r="BD108" t="str">
            <v>AV0100010105</v>
          </cell>
          <cell r="BE108">
            <v>0.36</v>
          </cell>
          <cell r="BF108" t="str">
            <v>AV0100020305</v>
          </cell>
          <cell r="BG108">
            <v>0.36</v>
          </cell>
          <cell r="BH108" t="str">
            <v>AV1601300955</v>
          </cell>
          <cell r="BI108">
            <v>0</v>
          </cell>
          <cell r="BJ108" t="str">
            <v>AV1401254160</v>
          </cell>
          <cell r="BK108">
            <v>0</v>
          </cell>
          <cell r="BR108" t="str">
            <v>MALBEC</v>
          </cell>
          <cell r="BS108" t="str">
            <v>ARENA-CUERO BRIDGE</v>
          </cell>
          <cell r="BT108" t="str">
            <v>CUE0000008</v>
          </cell>
          <cell r="BU108">
            <v>0.16</v>
          </cell>
          <cell r="BV108" t="str">
            <v>FOR0000020</v>
          </cell>
          <cell r="BW108">
            <v>0.16</v>
          </cell>
          <cell r="BX108" t="str">
            <v>AV0100010161</v>
          </cell>
          <cell r="BY108">
            <v>0.36</v>
          </cell>
          <cell r="BZ108" t="str">
            <v>CIE0000003</v>
          </cell>
          <cell r="CA108">
            <v>0.36</v>
          </cell>
          <cell r="CB108" t="str">
            <v>AV1601300929</v>
          </cell>
          <cell r="CC108">
            <v>0</v>
          </cell>
          <cell r="CD108" t="str">
            <v>AV1401250545</v>
          </cell>
          <cell r="CE108">
            <v>0</v>
          </cell>
          <cell r="CL108" t="str">
            <v>CARAMELO</v>
          </cell>
          <cell r="CM108" t="str">
            <v>ARENA-CUERO BRIDGE IGUANA</v>
          </cell>
          <cell r="CN108" t="str">
            <v>CUE0000015</v>
          </cell>
          <cell r="CO108">
            <v>0.16</v>
          </cell>
          <cell r="CP108" t="str">
            <v>FOR0000021</v>
          </cell>
          <cell r="CQ108">
            <v>0.16</v>
          </cell>
          <cell r="CR108" t="str">
            <v>AV0100010105</v>
          </cell>
          <cell r="CS108">
            <v>0.36</v>
          </cell>
          <cell r="CT108" t="str">
            <v>AV0100020305</v>
          </cell>
          <cell r="CU108">
            <v>0.36</v>
          </cell>
          <cell r="CV108" t="str">
            <v>AV1601300955</v>
          </cell>
          <cell r="CW108">
            <v>0</v>
          </cell>
          <cell r="CX108" t="str">
            <v>AV1401254160</v>
          </cell>
          <cell r="CY108">
            <v>0</v>
          </cell>
          <cell r="DF108" t="str">
            <v>NEGRO</v>
          </cell>
          <cell r="DG108" t="str">
            <v>ARENA-CUERO BRIDGE IGUANA</v>
          </cell>
          <cell r="DH108" t="str">
            <v>CUE0000017</v>
          </cell>
          <cell r="DI108">
            <v>0.16</v>
          </cell>
          <cell r="DJ108" t="str">
            <v>FOR0000020</v>
          </cell>
          <cell r="DK108">
            <v>0.16</v>
          </cell>
          <cell r="DL108" t="str">
            <v>AV0100010103</v>
          </cell>
          <cell r="DM108">
            <v>0.36</v>
          </cell>
          <cell r="DN108" t="str">
            <v>AV0100020303</v>
          </cell>
          <cell r="DO108">
            <v>0.36</v>
          </cell>
          <cell r="DP108" t="str">
            <v>AV1601300926</v>
          </cell>
          <cell r="DQ108">
            <v>0</v>
          </cell>
          <cell r="DR108" t="str">
            <v>AV1401254060</v>
          </cell>
          <cell r="DS108">
            <v>0</v>
          </cell>
          <cell r="DZ108" t="str">
            <v>AZUL</v>
          </cell>
          <cell r="EA108" t="str">
            <v>ARENA-CUERO NAPADO</v>
          </cell>
          <cell r="EB108" t="str">
            <v>CUE0000021</v>
          </cell>
          <cell r="EC108">
            <v>0.16</v>
          </cell>
          <cell r="ED108" t="str">
            <v>FOR0000020</v>
          </cell>
          <cell r="EE108">
            <v>0.16</v>
          </cell>
          <cell r="EF108" t="str">
            <v>AV0100010115</v>
          </cell>
          <cell r="EG108">
            <v>0.36</v>
          </cell>
          <cell r="EH108" t="str">
            <v>AV0100020336</v>
          </cell>
          <cell r="EI108">
            <v>0.36</v>
          </cell>
          <cell r="EJ108" t="str">
            <v>AV1601300956</v>
          </cell>
          <cell r="EK108">
            <v>0</v>
          </cell>
          <cell r="EL108" t="str">
            <v>AV1401254360</v>
          </cell>
          <cell r="EM108">
            <v>0</v>
          </cell>
          <cell r="ET108" t="str">
            <v>NEGRO</v>
          </cell>
          <cell r="EU108" t="str">
            <v>ARENA-CUERO NAPADO</v>
          </cell>
          <cell r="EV108" t="str">
            <v>CUE0000026</v>
          </cell>
          <cell r="EW108">
            <v>0.16</v>
          </cell>
          <cell r="EX108" t="str">
            <v>FOR0000020</v>
          </cell>
          <cell r="EY108">
            <v>0.16</v>
          </cell>
          <cell r="EZ108" t="str">
            <v>AV0100010103</v>
          </cell>
          <cell r="FA108">
            <v>0.36</v>
          </cell>
          <cell r="FB108" t="str">
            <v>AV0100020303</v>
          </cell>
          <cell r="FC108">
            <v>0.36</v>
          </cell>
          <cell r="FD108" t="str">
            <v>AV1601300926</v>
          </cell>
          <cell r="FE108">
            <v>0</v>
          </cell>
          <cell r="FF108" t="str">
            <v>AV1401254060</v>
          </cell>
          <cell r="FG108">
            <v>0</v>
          </cell>
          <cell r="KD108">
            <v>2</v>
          </cell>
          <cell r="KE108">
            <v>2</v>
          </cell>
          <cell r="KF108">
            <v>2</v>
          </cell>
          <cell r="KG108">
            <v>3</v>
          </cell>
          <cell r="KH108">
            <v>0</v>
          </cell>
          <cell r="KI108">
            <v>0</v>
          </cell>
          <cell r="KJ108">
            <v>2</v>
          </cell>
          <cell r="KK108">
            <v>2</v>
          </cell>
          <cell r="KL108">
            <v>2</v>
          </cell>
          <cell r="KM108">
            <v>2</v>
          </cell>
          <cell r="KN108">
            <v>2</v>
          </cell>
          <cell r="KO108">
            <v>2</v>
          </cell>
          <cell r="KP108">
            <v>2</v>
          </cell>
          <cell r="KQ108">
            <v>0</v>
          </cell>
          <cell r="KR108">
            <v>0</v>
          </cell>
          <cell r="KS108">
            <v>4</v>
          </cell>
          <cell r="KT108">
            <v>0</v>
          </cell>
          <cell r="KU108">
            <v>0</v>
          </cell>
          <cell r="KV108">
            <v>0</v>
          </cell>
          <cell r="KY108">
            <v>0</v>
          </cell>
          <cell r="LB108">
            <v>0</v>
          </cell>
          <cell r="LE108">
            <v>0</v>
          </cell>
          <cell r="LH108">
            <v>0</v>
          </cell>
          <cell r="LK108">
            <v>0</v>
          </cell>
          <cell r="LO108">
            <v>45776</v>
          </cell>
          <cell r="LP108" t="str">
            <v>COMPLETADO</v>
          </cell>
        </row>
        <row r="109">
          <cell r="A109">
            <v>1748</v>
          </cell>
          <cell r="B109" t="str">
            <v>RUBEN</v>
          </cell>
          <cell r="C109" t="str">
            <v>BARRACAS GRANDE</v>
          </cell>
          <cell r="D109" t="str">
            <v>MARROQUINERIA GRANDE</v>
          </cell>
          <cell r="E109">
            <v>37</v>
          </cell>
          <cell r="F109">
            <v>37</v>
          </cell>
          <cell r="G109">
            <v>37</v>
          </cell>
          <cell r="H109">
            <v>45765.906805555554</v>
          </cell>
          <cell r="I109" t="str">
            <v>CARTERA LONDRES</v>
          </cell>
          <cell r="J109">
            <v>45763</v>
          </cell>
          <cell r="K109">
            <v>45763</v>
          </cell>
          <cell r="L109">
            <v>45763</v>
          </cell>
          <cell r="M109">
            <v>50</v>
          </cell>
          <cell r="N109" t="str">
            <v>M043</v>
          </cell>
          <cell r="O109" t="str">
            <v>AV0101040201</v>
          </cell>
          <cell r="P109">
            <v>1</v>
          </cell>
          <cell r="Q109" t="str">
            <v>AV0300390101</v>
          </cell>
          <cell r="R109">
            <v>1</v>
          </cell>
          <cell r="S109" t="str">
            <v>AV0300400101</v>
          </cell>
          <cell r="T109">
            <v>4</v>
          </cell>
          <cell r="U109" t="str">
            <v>AV1000430101</v>
          </cell>
          <cell r="V109">
            <v>3</v>
          </cell>
          <cell r="W109" t="str">
            <v>BAC1300020827</v>
          </cell>
          <cell r="X109">
            <v>0.1</v>
          </cell>
          <cell r="Y109" t="str">
            <v>AV0300460101</v>
          </cell>
          <cell r="Z109">
            <v>1</v>
          </cell>
          <cell r="AA109" t="str">
            <v>AV170129018</v>
          </cell>
          <cell r="AB109">
            <v>0</v>
          </cell>
          <cell r="AS109" t="str">
            <v>TIRACIERRES N1 - TIRA CON REMACHE Y GRABADO ESTRELLITA</v>
          </cell>
          <cell r="AW109" t="str">
            <v>GRABADO EL LUCERO GRANDE EN ESPALDA A 3.5CM DEL BORDE SUPERIOR, CENTRADO</v>
          </cell>
          <cell r="AX109" t="str">
            <v>NEGRO</v>
          </cell>
          <cell r="AY109" t="str">
            <v>ARENA-CUERO BRIDGE</v>
          </cell>
          <cell r="AZ109" t="str">
            <v>CUE0000009</v>
          </cell>
          <cell r="BA109">
            <v>0.53</v>
          </cell>
          <cell r="BB109" t="str">
            <v>FOR0000020</v>
          </cell>
          <cell r="BC109">
            <v>0.32</v>
          </cell>
          <cell r="BD109" t="str">
            <v>AV1101170526</v>
          </cell>
          <cell r="BE109">
            <v>1.1499999999999999</v>
          </cell>
          <cell r="BF109" t="str">
            <v>AV0100010203</v>
          </cell>
          <cell r="BG109">
            <v>0.28000000000000003</v>
          </cell>
          <cell r="BR109" t="str">
            <v>TABACO</v>
          </cell>
          <cell r="BS109" t="str">
            <v>ARENA-CUERO BRIDGE</v>
          </cell>
          <cell r="BT109" t="str">
            <v>CUE0000012</v>
          </cell>
          <cell r="BU109">
            <v>0.53</v>
          </cell>
          <cell r="BV109" t="str">
            <v>FOR0000021</v>
          </cell>
          <cell r="BW109">
            <v>0.32</v>
          </cell>
          <cell r="BX109" t="str">
            <v>AV1101180538</v>
          </cell>
          <cell r="BY109">
            <v>1.1499999999999999</v>
          </cell>
          <cell r="BZ109" t="str">
            <v>AV0100010214</v>
          </cell>
          <cell r="CA109">
            <v>0.28000000000000003</v>
          </cell>
          <cell r="CL109" t="str">
            <v>CHOCOLATE</v>
          </cell>
          <cell r="CM109" t="str">
            <v>ARENA-CUERO BRIDGE</v>
          </cell>
          <cell r="CN109" t="str">
            <v>CUE0000005</v>
          </cell>
          <cell r="CO109">
            <v>0.53</v>
          </cell>
          <cell r="CP109" t="str">
            <v>FOR0000021</v>
          </cell>
          <cell r="CQ109">
            <v>0.32</v>
          </cell>
          <cell r="CR109" t="str">
            <v>AV1101180538</v>
          </cell>
          <cell r="CS109">
            <v>1.1499999999999999</v>
          </cell>
          <cell r="CT109" t="str">
            <v>CIE0000002</v>
          </cell>
          <cell r="CU109">
            <v>0.28000000000000003</v>
          </cell>
          <cell r="DF109" t="str">
            <v>ROJO</v>
          </cell>
          <cell r="DG109" t="str">
            <v>ARENA-CUERO BRIDGE</v>
          </cell>
          <cell r="DH109" t="str">
            <v>CUE0000010</v>
          </cell>
          <cell r="DI109">
            <v>0.53</v>
          </cell>
          <cell r="DJ109" t="str">
            <v>FOR0000020</v>
          </cell>
          <cell r="DK109">
            <v>0.32</v>
          </cell>
          <cell r="DL109" t="str">
            <v>AV1101170526</v>
          </cell>
          <cell r="DM109">
            <v>1.1499999999999999</v>
          </cell>
          <cell r="DN109" t="str">
            <v>AV0100010213</v>
          </cell>
          <cell r="DO109">
            <v>0.28000000000000003</v>
          </cell>
          <cell r="DZ109" t="str">
            <v>MALBEC</v>
          </cell>
          <cell r="EA109" t="str">
            <v>ARENA-CUERO BRIDGE</v>
          </cell>
          <cell r="EB109" t="str">
            <v>CUE0000008</v>
          </cell>
          <cell r="EC109">
            <v>0.53</v>
          </cell>
          <cell r="ED109" t="str">
            <v>FOR0000020</v>
          </cell>
          <cell r="EE109">
            <v>0.32</v>
          </cell>
          <cell r="EF109" t="str">
            <v>AV1101170526</v>
          </cell>
          <cell r="EG109">
            <v>1.1499999999999999</v>
          </cell>
          <cell r="EH109" t="str">
            <v>AV0100010261</v>
          </cell>
          <cell r="EI109">
            <v>0.28000000000000003</v>
          </cell>
          <cell r="ET109" t="str">
            <v>CARAMELO</v>
          </cell>
          <cell r="EU109" t="str">
            <v>ARENA-CUERO BRIDGE</v>
          </cell>
          <cell r="EV109" t="str">
            <v>CUE0000004</v>
          </cell>
          <cell r="EW109">
            <v>0.53</v>
          </cell>
          <cell r="EX109" t="str">
            <v>FOR0000021</v>
          </cell>
          <cell r="EY109">
            <v>0.32</v>
          </cell>
          <cell r="EZ109" t="str">
            <v>AV1101630525</v>
          </cell>
          <cell r="FA109">
            <v>1.1499999999999999</v>
          </cell>
          <cell r="FB109" t="str">
            <v>AV0100010205</v>
          </cell>
          <cell r="FC109">
            <v>0.28000000000000003</v>
          </cell>
          <cell r="KD109">
            <v>6</v>
          </cell>
          <cell r="KE109">
            <v>6</v>
          </cell>
          <cell r="KF109">
            <v>6</v>
          </cell>
          <cell r="KG109">
            <v>6</v>
          </cell>
          <cell r="KH109">
            <v>6</v>
          </cell>
          <cell r="KI109">
            <v>6</v>
          </cell>
          <cell r="KJ109">
            <v>8</v>
          </cell>
          <cell r="KK109">
            <v>8</v>
          </cell>
          <cell r="KL109">
            <v>8</v>
          </cell>
          <cell r="KM109">
            <v>8</v>
          </cell>
          <cell r="KN109">
            <v>8</v>
          </cell>
          <cell r="KO109">
            <v>8</v>
          </cell>
          <cell r="KP109">
            <v>6</v>
          </cell>
          <cell r="KQ109">
            <v>6</v>
          </cell>
          <cell r="KR109">
            <v>6</v>
          </cell>
          <cell r="KS109">
            <v>3</v>
          </cell>
          <cell r="KT109">
            <v>3</v>
          </cell>
          <cell r="KU109">
            <v>3</v>
          </cell>
          <cell r="KV109">
            <v>0</v>
          </cell>
          <cell r="KY109">
            <v>0</v>
          </cell>
          <cell r="LB109">
            <v>0</v>
          </cell>
          <cell r="LE109">
            <v>0</v>
          </cell>
          <cell r="LH109">
            <v>0</v>
          </cell>
          <cell r="LK109">
            <v>0</v>
          </cell>
          <cell r="LN109">
            <v>45763</v>
          </cell>
          <cell r="LO109">
            <v>45923</v>
          </cell>
          <cell r="LP109" t="str">
            <v>COMPLETADO</v>
          </cell>
        </row>
        <row r="110">
          <cell r="A110">
            <v>1749</v>
          </cell>
          <cell r="B110" t="str">
            <v>RUBEN</v>
          </cell>
          <cell r="C110" t="str">
            <v>BARRACAS GRANDE</v>
          </cell>
          <cell r="D110" t="str">
            <v>MARROQUINERIA GRANDE</v>
          </cell>
          <cell r="E110">
            <v>5</v>
          </cell>
          <cell r="F110">
            <v>5</v>
          </cell>
          <cell r="G110">
            <v>5</v>
          </cell>
          <cell r="H110">
            <v>45765.923587962963</v>
          </cell>
          <cell r="I110" t="str">
            <v>BANDOLERA LENA</v>
          </cell>
          <cell r="J110">
            <v>45763</v>
          </cell>
          <cell r="K110">
            <v>45763</v>
          </cell>
          <cell r="M110">
            <v>50</v>
          </cell>
          <cell r="N110" t="str">
            <v>M004</v>
          </cell>
          <cell r="O110" t="str">
            <v>AV0101070301</v>
          </cell>
          <cell r="P110">
            <v>1</v>
          </cell>
          <cell r="Q110" t="str">
            <v>AV0600560101</v>
          </cell>
          <cell r="R110">
            <v>1</v>
          </cell>
          <cell r="S110" t="str">
            <v>AV1000880101</v>
          </cell>
          <cell r="T110">
            <v>1</v>
          </cell>
          <cell r="U110" t="str">
            <v>AV0300400101</v>
          </cell>
          <cell r="V110">
            <v>3</v>
          </cell>
          <cell r="W110" t="str">
            <v>AV0600570101</v>
          </cell>
          <cell r="X110">
            <v>2</v>
          </cell>
          <cell r="Y110" t="str">
            <v>AV1000780101</v>
          </cell>
          <cell r="Z110">
            <v>2</v>
          </cell>
          <cell r="AA110" t="str">
            <v>AV0300460101</v>
          </cell>
          <cell r="AB110">
            <v>2</v>
          </cell>
          <cell r="AC110" t="str">
            <v>BAC1300020827</v>
          </cell>
          <cell r="AD110">
            <v>0.05</v>
          </cell>
          <cell r="AE110" t="str">
            <v>AV0300390101</v>
          </cell>
          <cell r="AF110">
            <v>1</v>
          </cell>
          <cell r="AG110" t="str">
            <v>AV0101040201</v>
          </cell>
          <cell r="AH110">
            <v>1</v>
          </cell>
          <cell r="AI110" t="str">
            <v>AV170129018</v>
          </cell>
          <cell r="AJ110">
            <v>0</v>
          </cell>
          <cell r="AS110" t="str">
            <v>TIRACIERRE CON TIRA DE CUERO Y GRABADO L* LUCERO</v>
          </cell>
          <cell r="AW110" t="str">
            <v xml:space="preserve">GRABADO "EL LUCERO" CHICO EN LA VISTA DEL CIERRE, EN EL FRENTE CENTRADO. </v>
          </cell>
          <cell r="AX110" t="str">
            <v>CARAMELO</v>
          </cell>
          <cell r="AY110" t="str">
            <v>ARENA-CUERO NAPADO</v>
          </cell>
          <cell r="AZ110" t="str">
            <v>CUE0000022</v>
          </cell>
          <cell r="BA110">
            <v>0.4</v>
          </cell>
          <cell r="BB110" t="str">
            <v>FOR0000021</v>
          </cell>
          <cell r="BC110">
            <v>0.45</v>
          </cell>
          <cell r="BD110" t="str">
            <v>AV0100010105</v>
          </cell>
          <cell r="BE110">
            <v>0.32</v>
          </cell>
          <cell r="BF110" t="str">
            <v>AV0100020305</v>
          </cell>
          <cell r="BG110">
            <v>0.16</v>
          </cell>
          <cell r="BH110" t="str">
            <v>AV1401240545</v>
          </cell>
          <cell r="BI110">
            <v>0</v>
          </cell>
          <cell r="BR110" t="str">
            <v>MALBEC</v>
          </cell>
          <cell r="BS110" t="str">
            <v>ARENA-CUERO NAPADO</v>
          </cell>
          <cell r="BT110" t="str">
            <v>CUE0000025</v>
          </cell>
          <cell r="BU110">
            <v>0.4</v>
          </cell>
          <cell r="BV110" t="str">
            <v>FOR0000020</v>
          </cell>
          <cell r="BW110">
            <v>0.45</v>
          </cell>
          <cell r="BX110" t="str">
            <v>AV0100010161</v>
          </cell>
          <cell r="BY110">
            <v>0.32</v>
          </cell>
          <cell r="BZ110" t="str">
            <v>CIE0000003</v>
          </cell>
          <cell r="CA110">
            <v>0.16</v>
          </cell>
          <cell r="CB110" t="str">
            <v>AV1401240545</v>
          </cell>
          <cell r="CC110">
            <v>0</v>
          </cell>
          <cell r="KD110">
            <v>3</v>
          </cell>
          <cell r="KE110">
            <v>3</v>
          </cell>
          <cell r="KF110">
            <v>3</v>
          </cell>
          <cell r="KG110">
            <v>2</v>
          </cell>
          <cell r="KH110">
            <v>2</v>
          </cell>
          <cell r="KI110">
            <v>2</v>
          </cell>
          <cell r="KJ110">
            <v>0</v>
          </cell>
          <cell r="KM110">
            <v>0</v>
          </cell>
          <cell r="KP110">
            <v>0</v>
          </cell>
          <cell r="KS110">
            <v>0</v>
          </cell>
          <cell r="KV110">
            <v>0</v>
          </cell>
          <cell r="KY110">
            <v>0</v>
          </cell>
          <cell r="LB110">
            <v>0</v>
          </cell>
          <cell r="LE110">
            <v>0</v>
          </cell>
          <cell r="LH110">
            <v>0</v>
          </cell>
          <cell r="LK110">
            <v>0</v>
          </cell>
          <cell r="LO110">
            <v>45776</v>
          </cell>
          <cell r="LP110" t="str">
            <v>COMPLETADO</v>
          </cell>
        </row>
        <row r="111">
          <cell r="A111">
            <v>1756</v>
          </cell>
          <cell r="B111" t="str">
            <v>LUCIANO</v>
          </cell>
          <cell r="C111" t="str">
            <v>PEDRIEL</v>
          </cell>
          <cell r="D111" t="str">
            <v>MARROQUINERIA CHICA</v>
          </cell>
          <cell r="E111">
            <v>32</v>
          </cell>
          <cell r="F111">
            <v>32</v>
          </cell>
          <cell r="G111">
            <v>32</v>
          </cell>
          <cell r="H111">
            <v>45780.873506944445</v>
          </cell>
          <cell r="I111" t="str">
            <v>POSAVASO RECTO PELO</v>
          </cell>
          <cell r="J111">
            <v>45770</v>
          </cell>
          <cell r="K111">
            <v>45770</v>
          </cell>
          <cell r="M111">
            <v>10</v>
          </cell>
          <cell r="N111" t="str">
            <v>M173</v>
          </cell>
          <cell r="O111" t="str">
            <v>AV170134014</v>
          </cell>
          <cell r="P111">
            <v>0</v>
          </cell>
          <cell r="AS111" t="str">
            <v xml:space="preserve"> INDIVIDUAL RECTO CON PUNTAS REDONDEADAS Y TRABAJO MANUAL</v>
          </cell>
          <cell r="AT111" t="str">
            <v>SIN PINTUTURA</v>
          </cell>
          <cell r="AU111" t="str">
            <v>ENVIAR A RACHI A PASAR EL CORDON DE NAPADO X TODO EL CONTORNO</v>
          </cell>
          <cell r="AV111" t="str">
            <v>SE VENDERAN X UNIDAD</v>
          </cell>
          <cell r="AW111" t="str">
            <v>CORDON  CONTORNO CUERO  NAPADO COLOR TABACO</v>
          </cell>
          <cell r="AX111" t="str">
            <v>PELO_HEREFORD</v>
          </cell>
          <cell r="AY111" t="str">
            <v>LEDER-PELO</v>
          </cell>
          <cell r="AZ111" t="str">
            <v>CUE0000117</v>
          </cell>
          <cell r="BA111">
            <v>0.02</v>
          </cell>
          <cell r="BB111" t="str">
            <v>FOR0000028</v>
          </cell>
          <cell r="BC111">
            <v>0.02</v>
          </cell>
          <cell r="BR111" t="str">
            <v>PELO_HOLANDO</v>
          </cell>
          <cell r="BS111" t="str">
            <v>LEDER-PELO</v>
          </cell>
          <cell r="BT111" t="str">
            <v>CUE0000116</v>
          </cell>
          <cell r="BU111">
            <v>0.02</v>
          </cell>
          <cell r="BV111">
            <v>0</v>
          </cell>
          <cell r="BW111">
            <v>0.02</v>
          </cell>
          <cell r="KD111">
            <v>16</v>
          </cell>
          <cell r="KE111">
            <v>16</v>
          </cell>
          <cell r="KF111">
            <v>16</v>
          </cell>
          <cell r="KG111">
            <v>16</v>
          </cell>
          <cell r="KH111">
            <v>16</v>
          </cell>
          <cell r="KI111">
            <v>16</v>
          </cell>
          <cell r="KJ111">
            <v>0</v>
          </cell>
          <cell r="KM111">
            <v>0</v>
          </cell>
          <cell r="KP111">
            <v>0</v>
          </cell>
          <cell r="KS111">
            <v>0</v>
          </cell>
          <cell r="KV111">
            <v>0</v>
          </cell>
          <cell r="KY111">
            <v>0</v>
          </cell>
          <cell r="LB111">
            <v>0</v>
          </cell>
          <cell r="LE111">
            <v>0</v>
          </cell>
          <cell r="LH111">
            <v>0</v>
          </cell>
          <cell r="LK111">
            <v>0</v>
          </cell>
          <cell r="LO111">
            <v>45834</v>
          </cell>
          <cell r="LP111" t="str">
            <v>COMPLETADO</v>
          </cell>
        </row>
        <row r="112">
          <cell r="A112">
            <v>1757</v>
          </cell>
          <cell r="B112" t="str">
            <v>LUCIANO</v>
          </cell>
          <cell r="C112" t="str">
            <v>PERDRIEL</v>
          </cell>
          <cell r="D112" t="str">
            <v>MARROQUINERIA CHICA</v>
          </cell>
          <cell r="E112">
            <v>12</v>
          </cell>
          <cell r="F112">
            <v>12</v>
          </cell>
          <cell r="G112">
            <v>12</v>
          </cell>
          <cell r="H112">
            <v>45780.890138888892</v>
          </cell>
          <cell r="I112" t="str">
            <v>INDIVIDUAL RECTO PELO</v>
          </cell>
          <cell r="J112">
            <v>45770</v>
          </cell>
          <cell r="K112">
            <v>45770</v>
          </cell>
          <cell r="M112">
            <v>30</v>
          </cell>
          <cell r="N112" t="str">
            <v>M174</v>
          </cell>
          <cell r="O112" t="str">
            <v>AV170134014</v>
          </cell>
          <cell r="P112">
            <v>0</v>
          </cell>
          <cell r="AS112" t="str">
            <v xml:space="preserve"> INDIVIDUAL RECTO CON PUNTAS REDONDEADAS Y TRABAJO MANUAL</v>
          </cell>
          <cell r="AT112" t="str">
            <v xml:space="preserve"> SIN PINTUTURA</v>
          </cell>
          <cell r="AU112" t="str">
            <v>ENVIAR A RACHI A PASAR EL CORDON DE NAPADO X TODO EL CONTORNO</v>
          </cell>
          <cell r="AX112" t="str">
            <v>PELO_HEREFORD</v>
          </cell>
          <cell r="AY112" t="str">
            <v>LEDER-PELO</v>
          </cell>
          <cell r="AZ112" t="str">
            <v>CUE0000117</v>
          </cell>
          <cell r="BA112">
            <v>0.13</v>
          </cell>
          <cell r="BB112" t="str">
            <v>FOR0000028</v>
          </cell>
          <cell r="BC112">
            <v>0.13</v>
          </cell>
          <cell r="BR112" t="str">
            <v>PELO_HOLANDO</v>
          </cell>
          <cell r="BS112" t="str">
            <v>LEDER-PELO</v>
          </cell>
          <cell r="BT112" t="str">
            <v>CUE0000116</v>
          </cell>
          <cell r="BU112">
            <v>0.13</v>
          </cell>
          <cell r="BV112" t="str">
            <v>FOR0000029</v>
          </cell>
          <cell r="BW112">
            <v>0.13</v>
          </cell>
          <cell r="KD112">
            <v>6</v>
          </cell>
          <cell r="KE112">
            <v>6</v>
          </cell>
          <cell r="KF112">
            <v>6</v>
          </cell>
          <cell r="KG112">
            <v>6</v>
          </cell>
          <cell r="KH112">
            <v>6</v>
          </cell>
          <cell r="KI112">
            <v>6</v>
          </cell>
          <cell r="KJ112">
            <v>0</v>
          </cell>
          <cell r="KM112">
            <v>0</v>
          </cell>
          <cell r="KP112">
            <v>0</v>
          </cell>
          <cell r="KS112">
            <v>0</v>
          </cell>
          <cell r="KV112">
            <v>0</v>
          </cell>
          <cell r="KY112">
            <v>0</v>
          </cell>
          <cell r="LB112">
            <v>0</v>
          </cell>
          <cell r="LE112">
            <v>0</v>
          </cell>
          <cell r="LH112">
            <v>0</v>
          </cell>
          <cell r="LK112">
            <v>0</v>
          </cell>
          <cell r="LO112">
            <v>45834</v>
          </cell>
          <cell r="LP112" t="str">
            <v>COMPLETADO</v>
          </cell>
        </row>
        <row r="113">
          <cell r="A113">
            <v>1758</v>
          </cell>
          <cell r="B113" t="str">
            <v>LUCIANO</v>
          </cell>
          <cell r="C113" t="str">
            <v>PERDRIEL</v>
          </cell>
          <cell r="D113" t="str">
            <v>MARROQUINERIA CHICA</v>
          </cell>
          <cell r="E113">
            <v>12</v>
          </cell>
          <cell r="F113">
            <v>12</v>
          </cell>
          <cell r="G113">
            <v>12</v>
          </cell>
          <cell r="H113">
            <v>45781.387129629627</v>
          </cell>
          <cell r="I113" t="str">
            <v>BANDEJA CHICA PELO</v>
          </cell>
          <cell r="J113">
            <v>45770</v>
          </cell>
          <cell r="K113">
            <v>45770</v>
          </cell>
          <cell r="M113">
            <v>10</v>
          </cell>
          <cell r="N113" t="str">
            <v>M175</v>
          </cell>
          <cell r="O113" t="str">
            <v>VAR0000043</v>
          </cell>
          <cell r="P113">
            <v>4</v>
          </cell>
          <cell r="Q113" t="str">
            <v>AV170134014</v>
          </cell>
          <cell r="R113">
            <v>0</v>
          </cell>
          <cell r="AS113" t="str">
            <v>NUEVO</v>
          </cell>
          <cell r="AT113" t="str">
            <v>SIN PINTUTURA</v>
          </cell>
          <cell r="AX113" t="str">
            <v>PELO_HEREFORD</v>
          </cell>
          <cell r="AY113" t="str">
            <v>LEDER-PELO</v>
          </cell>
          <cell r="AZ113" t="str">
            <v>CUE0000117</v>
          </cell>
          <cell r="BA113">
            <v>0.09</v>
          </cell>
          <cell r="BR113" t="str">
            <v>PELO_HOLANDO</v>
          </cell>
          <cell r="BS113" t="str">
            <v>LEDER-PELO</v>
          </cell>
          <cell r="BT113" t="str">
            <v>CUE0000116</v>
          </cell>
          <cell r="BU113">
            <v>0.09</v>
          </cell>
          <cell r="KD113">
            <v>6</v>
          </cell>
          <cell r="KE113">
            <v>6</v>
          </cell>
          <cell r="KF113">
            <v>6</v>
          </cell>
          <cell r="KG113">
            <v>6</v>
          </cell>
          <cell r="KH113">
            <v>6</v>
          </cell>
          <cell r="KI113">
            <v>6</v>
          </cell>
          <cell r="KJ113">
            <v>0</v>
          </cell>
          <cell r="KM113">
            <v>0</v>
          </cell>
          <cell r="KP113">
            <v>0</v>
          </cell>
          <cell r="KS113">
            <v>0</v>
          </cell>
          <cell r="KV113">
            <v>0</v>
          </cell>
          <cell r="KY113">
            <v>0</v>
          </cell>
          <cell r="LB113">
            <v>0</v>
          </cell>
          <cell r="LE113">
            <v>0</v>
          </cell>
          <cell r="LH113">
            <v>0</v>
          </cell>
          <cell r="LK113">
            <v>0</v>
          </cell>
          <cell r="LO113">
            <v>45790</v>
          </cell>
          <cell r="LP113" t="str">
            <v>COMPLETADO</v>
          </cell>
        </row>
        <row r="114">
          <cell r="A114">
            <v>1759</v>
          </cell>
          <cell r="B114" t="str">
            <v>LUCIANO</v>
          </cell>
          <cell r="C114" t="str">
            <v>PERDRIEL</v>
          </cell>
          <cell r="D114" t="str">
            <v>MARROQUINERIA CHICA</v>
          </cell>
          <cell r="E114">
            <v>24</v>
          </cell>
          <cell r="F114">
            <v>24</v>
          </cell>
          <cell r="G114">
            <v>24</v>
          </cell>
          <cell r="H114">
            <v>45781.401076388887</v>
          </cell>
          <cell r="I114" t="str">
            <v>CINTO PELO MUJER</v>
          </cell>
          <cell r="J114">
            <v>45770</v>
          </cell>
          <cell r="K114">
            <v>45770</v>
          </cell>
          <cell r="M114">
            <v>20</v>
          </cell>
          <cell r="N114" t="str">
            <v>M176</v>
          </cell>
          <cell r="O114" t="str">
            <v>AV170134014</v>
          </cell>
          <cell r="P114">
            <v>0</v>
          </cell>
          <cell r="AS114" t="str">
            <v>LLEVA 5 ORIFICIOS</v>
          </cell>
          <cell r="AT114" t="str">
            <v>LLEVA STICKER DE TALLE</v>
          </cell>
          <cell r="AU114" t="str">
            <v>EL TALLE S/M SERA EL S DE CINTURON MIA 106 CM LARGO SIN HEBILLLA</v>
          </cell>
          <cell r="AV114" t="str">
            <v>EL TALLE M/L SERA EL M DE CINTURON MIA 115 CM LARGO SIN HEBILLLA</v>
          </cell>
          <cell r="AW114" t="str">
            <v>GRABADO "EL LUCERO CHICO " EN PUNTERA, CENTRADO</v>
          </cell>
          <cell r="AX114" t="str">
            <v>PELO_MARRON_ROJIZO</v>
          </cell>
          <cell r="AY114" t="str">
            <v>LEDER-PELO</v>
          </cell>
          <cell r="AZ114" t="str">
            <v>CUE0000115</v>
          </cell>
          <cell r="BA114">
            <v>0.05</v>
          </cell>
          <cell r="BB114" t="str">
            <v>FOR0000026</v>
          </cell>
          <cell r="BC114">
            <v>0.05</v>
          </cell>
          <cell r="BR114" t="str">
            <v>PELO_MARRON_ROJIZO</v>
          </cell>
          <cell r="BS114" t="str">
            <v>LEDER-PELO</v>
          </cell>
          <cell r="BT114" t="str">
            <v>CUE0000115</v>
          </cell>
          <cell r="BU114">
            <v>0.05</v>
          </cell>
          <cell r="BV114" t="str">
            <v>FOR0000026</v>
          </cell>
          <cell r="BW114">
            <v>0.05</v>
          </cell>
          <cell r="CL114" t="str">
            <v>PELO_BEIGE</v>
          </cell>
          <cell r="CM114" t="str">
            <v>LEDER-PELO</v>
          </cell>
          <cell r="CN114" t="str">
            <v>CUE0000125</v>
          </cell>
          <cell r="CO114">
            <v>0.05</v>
          </cell>
          <cell r="CP114" t="str">
            <v>FOR0000026</v>
          </cell>
          <cell r="CQ114">
            <v>0.05</v>
          </cell>
          <cell r="DF114" t="str">
            <v>PELO_BEIGE</v>
          </cell>
          <cell r="DG114" t="str">
            <v>LEDER-PELO</v>
          </cell>
          <cell r="DH114" t="str">
            <v>CUE0000125</v>
          </cell>
          <cell r="DI114">
            <v>0.05</v>
          </cell>
          <cell r="DJ114" t="str">
            <v>FOR0000026</v>
          </cell>
          <cell r="DK114">
            <v>0.05</v>
          </cell>
          <cell r="KD114">
            <v>6</v>
          </cell>
          <cell r="KE114">
            <v>6</v>
          </cell>
          <cell r="KF114">
            <v>6</v>
          </cell>
          <cell r="KG114">
            <v>6</v>
          </cell>
          <cell r="KH114">
            <v>6</v>
          </cell>
          <cell r="KI114">
            <v>6</v>
          </cell>
          <cell r="KJ114">
            <v>6</v>
          </cell>
          <cell r="KK114">
            <v>6</v>
          </cell>
          <cell r="KL114">
            <v>6</v>
          </cell>
          <cell r="KM114">
            <v>6</v>
          </cell>
          <cell r="KN114">
            <v>6</v>
          </cell>
          <cell r="KO114">
            <v>6</v>
          </cell>
          <cell r="KP114">
            <v>0</v>
          </cell>
          <cell r="KS114">
            <v>0</v>
          </cell>
          <cell r="KV114">
            <v>0</v>
          </cell>
          <cell r="KY114">
            <v>0</v>
          </cell>
          <cell r="LB114">
            <v>0</v>
          </cell>
          <cell r="LE114">
            <v>0</v>
          </cell>
          <cell r="LH114">
            <v>0</v>
          </cell>
          <cell r="LK114">
            <v>0</v>
          </cell>
          <cell r="LO114">
            <v>45799</v>
          </cell>
          <cell r="LP114" t="str">
            <v>COMPLETADO</v>
          </cell>
        </row>
        <row r="115">
          <cell r="A115">
            <v>1760</v>
          </cell>
          <cell r="B115" t="str">
            <v>LUCIANO</v>
          </cell>
          <cell r="C115" t="str">
            <v>PERDRIEL</v>
          </cell>
          <cell r="D115" t="str">
            <v>MARROQUINERIA CHICA</v>
          </cell>
          <cell r="E115">
            <v>12</v>
          </cell>
          <cell r="F115">
            <v>12</v>
          </cell>
          <cell r="G115">
            <v>12</v>
          </cell>
          <cell r="H115">
            <v>45781.418969907405</v>
          </cell>
          <cell r="I115" t="str">
            <v>PORTALENTES LUZ PELO</v>
          </cell>
          <cell r="J115">
            <v>45772</v>
          </cell>
          <cell r="K115">
            <v>45772</v>
          </cell>
          <cell r="M115">
            <v>20</v>
          </cell>
          <cell r="N115" t="str">
            <v>M177</v>
          </cell>
          <cell r="O115" t="str">
            <v>AV170134014</v>
          </cell>
          <cell r="P115">
            <v>0</v>
          </cell>
          <cell r="AS115" t="str">
            <v>SIN PINTUTURA</v>
          </cell>
          <cell r="AT115" t="str">
            <v>ENVIAR A RACHI A PASAR EL CORDON DE NAPADO X TODO EL CONTORNO</v>
          </cell>
          <cell r="AW115" t="str">
            <v>CORDON  CONTORNO CUERO  NAPADO COLOR TABACO</v>
          </cell>
          <cell r="AX115" t="str">
            <v>PELO_HEREFORD</v>
          </cell>
          <cell r="AY115" t="str">
            <v>LEDER-PELO</v>
          </cell>
          <cell r="AZ115" t="str">
            <v>CUE0000117</v>
          </cell>
          <cell r="BA115">
            <v>0.03</v>
          </cell>
          <cell r="BB115" t="str">
            <v>FOR0000028</v>
          </cell>
          <cell r="BC115">
            <v>0.03</v>
          </cell>
          <cell r="BR115" t="str">
            <v>PELO_HOLANDO</v>
          </cell>
          <cell r="BS115" t="str">
            <v>LEDER-PELO</v>
          </cell>
          <cell r="BT115" t="str">
            <v>CUE0000116</v>
          </cell>
          <cell r="BU115">
            <v>0.03</v>
          </cell>
          <cell r="BV115" t="str">
            <v>FOR0000029</v>
          </cell>
          <cell r="BW115">
            <v>0.03</v>
          </cell>
          <cell r="KD115">
            <v>6</v>
          </cell>
          <cell r="KE115">
            <v>6</v>
          </cell>
          <cell r="KF115">
            <v>6</v>
          </cell>
          <cell r="KG115">
            <v>6</v>
          </cell>
          <cell r="KH115">
            <v>6</v>
          </cell>
          <cell r="KI115">
            <v>6</v>
          </cell>
          <cell r="KJ115">
            <v>0</v>
          </cell>
          <cell r="KM115">
            <v>0</v>
          </cell>
          <cell r="KP115">
            <v>0</v>
          </cell>
          <cell r="KS115">
            <v>0</v>
          </cell>
          <cell r="KV115">
            <v>0</v>
          </cell>
          <cell r="KY115">
            <v>0</v>
          </cell>
          <cell r="LB115">
            <v>0</v>
          </cell>
          <cell r="LE115">
            <v>0</v>
          </cell>
          <cell r="LH115">
            <v>0</v>
          </cell>
          <cell r="LK115">
            <v>0</v>
          </cell>
          <cell r="LO115">
            <v>45776</v>
          </cell>
          <cell r="LP115" t="str">
            <v>COMPLETADO</v>
          </cell>
        </row>
        <row r="116">
          <cell r="A116">
            <v>1761</v>
          </cell>
          <cell r="B116" t="str">
            <v>LUCIANO</v>
          </cell>
          <cell r="C116" t="str">
            <v>EXT GABRIEL</v>
          </cell>
          <cell r="D116" t="str">
            <v>MARROQUINERIA CHICA</v>
          </cell>
          <cell r="E116">
            <v>52</v>
          </cell>
          <cell r="F116">
            <v>46</v>
          </cell>
          <cell r="G116">
            <v>46</v>
          </cell>
          <cell r="H116">
            <v>45781.423483796294</v>
          </cell>
          <cell r="I116" t="str">
            <v>LLAVERO ABC</v>
          </cell>
          <cell r="J116">
            <v>45770</v>
          </cell>
          <cell r="K116">
            <v>45770</v>
          </cell>
          <cell r="L116">
            <v>45779</v>
          </cell>
          <cell r="M116">
            <v>10</v>
          </cell>
          <cell r="N116" t="str">
            <v>M168</v>
          </cell>
          <cell r="O116" t="str">
            <v>AV0701570101</v>
          </cell>
          <cell r="P116">
            <v>1</v>
          </cell>
          <cell r="Q116" t="str">
            <v>VAR0000040</v>
          </cell>
          <cell r="R116">
            <v>1</v>
          </cell>
          <cell r="S116" t="str">
            <v>AV0400770101</v>
          </cell>
          <cell r="T116">
            <v>1</v>
          </cell>
          <cell r="U116" t="str">
            <v>VAR0000009</v>
          </cell>
          <cell r="V116">
            <v>1</v>
          </cell>
          <cell r="W116" t="str">
            <v>VAR0000041</v>
          </cell>
          <cell r="X116">
            <v>0.02</v>
          </cell>
          <cell r="Y116" t="str">
            <v>BAC1300020827</v>
          </cell>
          <cell r="Z116">
            <v>0.02</v>
          </cell>
          <cell r="AA116" t="str">
            <v>AV170134014</v>
          </cell>
          <cell r="AB116">
            <v>0</v>
          </cell>
          <cell r="AS116" t="str">
            <v xml:space="preserve"> CON TROQUEL</v>
          </cell>
          <cell r="AT116" t="str">
            <v>CUERO DE RETAZOS</v>
          </cell>
          <cell r="AX116" t="str">
            <v>AZUL_GAMUZA_MALBEC</v>
          </cell>
          <cell r="AY116" t="str">
            <v>NAPOLITANA-CUERO GAMUZA</v>
          </cell>
          <cell r="AZ116" t="str">
            <v>CUE0000038</v>
          </cell>
          <cell r="BA116">
            <v>0.02</v>
          </cell>
          <cell r="BB116" t="str">
            <v>CUE0000008</v>
          </cell>
          <cell r="BC116">
            <v>0.02</v>
          </cell>
          <cell r="BR116" t="str">
            <v>SUELA_GAMUZA_OLIVA</v>
          </cell>
          <cell r="BS116" t="str">
            <v>ARENA-CUERO BRIDGE</v>
          </cell>
          <cell r="BT116" t="str">
            <v>CUE0000011</v>
          </cell>
          <cell r="BU116">
            <v>0.02</v>
          </cell>
          <cell r="BV116" t="str">
            <v>CUE0000047</v>
          </cell>
          <cell r="BW116">
            <v>0.02</v>
          </cell>
          <cell r="CL116" t="str">
            <v>OXIDO_GAMUZA_CARAMELO</v>
          </cell>
          <cell r="CM116" t="str">
            <v>NAPOLITANA-CUERO GAMUZA</v>
          </cell>
          <cell r="CN116" t="str">
            <v>CUE0000048</v>
          </cell>
          <cell r="CO116">
            <v>0.02</v>
          </cell>
          <cell r="CP116" t="str">
            <v>CUE0000004</v>
          </cell>
          <cell r="CQ116">
            <v>0.02</v>
          </cell>
          <cell r="DF116" t="str">
            <v>SUELA_GAMUZA_OLIVA</v>
          </cell>
          <cell r="DG116" t="str">
            <v>ARENA-CUERO BRIDGE</v>
          </cell>
          <cell r="DH116" t="str">
            <v>CUE0000011</v>
          </cell>
          <cell r="DI116">
            <v>0.02</v>
          </cell>
          <cell r="DJ116" t="str">
            <v>CUE0000047</v>
          </cell>
          <cell r="DK116">
            <v>0.02</v>
          </cell>
          <cell r="DZ116" t="str">
            <v>OXIDO_GAMUZA_CARAMELO</v>
          </cell>
          <cell r="EA116" t="str">
            <v>NAPOLITANA-CUERO GAMUZA</v>
          </cell>
          <cell r="EB116" t="str">
            <v>CUE0000048</v>
          </cell>
          <cell r="EC116">
            <v>0.02</v>
          </cell>
          <cell r="ED116" t="str">
            <v>CUE0000004</v>
          </cell>
          <cell r="EE116">
            <v>0.02</v>
          </cell>
          <cell r="ET116" t="str">
            <v>OXIDO_GAMUZA_NEGRO</v>
          </cell>
          <cell r="EU116" t="str">
            <v>NAPOLITANA-CUERO GAMUZA</v>
          </cell>
          <cell r="EV116" t="str">
            <v>CUE0000048</v>
          </cell>
          <cell r="EW116">
            <v>0.02</v>
          </cell>
          <cell r="EX116" t="str">
            <v>CUE0000004</v>
          </cell>
          <cell r="EY116">
            <v>0.02</v>
          </cell>
          <cell r="FN116" t="str">
            <v>AZUL_GAMUZA_MALBEC</v>
          </cell>
          <cell r="FO116" t="str">
            <v>NAPOLITANA-CUERO GAMUZA</v>
          </cell>
          <cell r="FP116" t="str">
            <v>CUE0000038</v>
          </cell>
          <cell r="FQ116">
            <v>0.02</v>
          </cell>
          <cell r="FR116" t="str">
            <v>CUE0000008</v>
          </cell>
          <cell r="FS116">
            <v>0.02</v>
          </cell>
          <cell r="GH116" t="str">
            <v>OXIDO_GAMUZA_CARAMELO</v>
          </cell>
          <cell r="GI116" t="str">
            <v>NAPOLITANA-CUERO GAMUZA</v>
          </cell>
          <cell r="GJ116" t="str">
            <v>CUE0000048</v>
          </cell>
          <cell r="GK116">
            <v>0.02</v>
          </cell>
          <cell r="GL116" t="str">
            <v>CUE0000004</v>
          </cell>
          <cell r="GM116">
            <v>0.02</v>
          </cell>
          <cell r="HB116" t="str">
            <v>AZUL_GAMUZA_MALBEC</v>
          </cell>
          <cell r="HC116" t="str">
            <v>NAPOLITANA-CUERO GAMUZA</v>
          </cell>
          <cell r="HD116" t="str">
            <v>CUE0000038</v>
          </cell>
          <cell r="HE116">
            <v>0.02</v>
          </cell>
          <cell r="HF116" t="str">
            <v>CUE0000008</v>
          </cell>
          <cell r="HG116">
            <v>0.02</v>
          </cell>
          <cell r="HV116" t="str">
            <v>AZUL_GAMUZA_MALBEC</v>
          </cell>
          <cell r="HW116" t="str">
            <v>NAPOLITANA-CUERO GAMUZA</v>
          </cell>
          <cell r="HX116" t="str">
            <v>CUE0000038</v>
          </cell>
          <cell r="HY116">
            <v>0.02</v>
          </cell>
          <cell r="HZ116" t="str">
            <v>CUE0000008</v>
          </cell>
          <cell r="IA116">
            <v>0.02</v>
          </cell>
          <cell r="IP116" t="str">
            <v>OXIDO_GAMUZA_NEGRO</v>
          </cell>
          <cell r="IQ116" t="str">
            <v>NAPOLITANA-CUERO GAMUZA</v>
          </cell>
          <cell r="IR116" t="str">
            <v>CUE0000048</v>
          </cell>
          <cell r="IS116">
            <v>0.02</v>
          </cell>
          <cell r="IT116" t="str">
            <v>CUE0000009</v>
          </cell>
          <cell r="IU116">
            <v>0.02</v>
          </cell>
          <cell r="JJ116" t="str">
            <v>AZUL_GAMUZA_MALBEC</v>
          </cell>
          <cell r="JK116" t="str">
            <v>NAPOLITANA-CUERO GAMUZA</v>
          </cell>
          <cell r="JL116" t="str">
            <v>CUE0000038</v>
          </cell>
          <cell r="JM116">
            <v>0.02</v>
          </cell>
          <cell r="JN116" t="str">
            <v>CUE0000008</v>
          </cell>
          <cell r="JO116">
            <v>0.02</v>
          </cell>
          <cell r="KD116">
            <v>4</v>
          </cell>
          <cell r="KE116">
            <v>4</v>
          </cell>
          <cell r="KF116">
            <v>4</v>
          </cell>
          <cell r="KG116">
            <v>4</v>
          </cell>
          <cell r="KH116">
            <v>4</v>
          </cell>
          <cell r="KI116">
            <v>4</v>
          </cell>
          <cell r="KJ116">
            <v>6</v>
          </cell>
          <cell r="KK116">
            <v>6</v>
          </cell>
          <cell r="KL116">
            <v>6</v>
          </cell>
          <cell r="KM116">
            <v>4</v>
          </cell>
          <cell r="KN116">
            <v>4</v>
          </cell>
          <cell r="KO116">
            <v>4</v>
          </cell>
          <cell r="KP116">
            <v>2</v>
          </cell>
          <cell r="KQ116">
            <v>2</v>
          </cell>
          <cell r="KR116">
            <v>2</v>
          </cell>
          <cell r="KS116">
            <v>4</v>
          </cell>
          <cell r="KT116">
            <v>4</v>
          </cell>
          <cell r="KU116">
            <v>4</v>
          </cell>
          <cell r="KV116">
            <v>4</v>
          </cell>
          <cell r="KW116">
            <v>4</v>
          </cell>
          <cell r="KX116">
            <v>4</v>
          </cell>
          <cell r="KY116">
            <v>6</v>
          </cell>
          <cell r="KZ116">
            <v>6</v>
          </cell>
          <cell r="LA116">
            <v>6</v>
          </cell>
          <cell r="LB116">
            <v>2</v>
          </cell>
          <cell r="LC116">
            <v>2</v>
          </cell>
          <cell r="LD116">
            <v>2</v>
          </cell>
          <cell r="LE116">
            <v>6</v>
          </cell>
          <cell r="LF116">
            <v>3</v>
          </cell>
          <cell r="LG116">
            <v>3</v>
          </cell>
          <cell r="LH116">
            <v>6</v>
          </cell>
          <cell r="LI116">
            <v>3</v>
          </cell>
          <cell r="LJ116">
            <v>3</v>
          </cell>
          <cell r="LK116">
            <v>4</v>
          </cell>
          <cell r="LL116">
            <v>4</v>
          </cell>
          <cell r="LM116">
            <v>4</v>
          </cell>
          <cell r="LN116">
            <v>45770</v>
          </cell>
          <cell r="LO116">
            <v>45790</v>
          </cell>
          <cell r="LP116" t="str">
            <v>COMPLETADO</v>
          </cell>
          <cell r="LQ116" t="str">
            <v>LETRA B</v>
          </cell>
          <cell r="LR116" t="str">
            <v>LETRA B</v>
          </cell>
          <cell r="LS116" t="str">
            <v>LETRA C</v>
          </cell>
          <cell r="LT116" t="str">
            <v>LETRA J</v>
          </cell>
          <cell r="LU116" t="str">
            <v>LETRA J</v>
          </cell>
          <cell r="LV116" t="str">
            <v>LETRA R</v>
          </cell>
          <cell r="LW116" t="str">
            <v>LETRA D</v>
          </cell>
          <cell r="LX116" t="str">
            <v>LETRA G</v>
          </cell>
          <cell r="LY116" t="str">
            <v>LETRA G</v>
          </cell>
          <cell r="LZ116" t="str">
            <v>LETRA K</v>
          </cell>
          <cell r="MA116" t="str">
            <v>LETRA K</v>
          </cell>
          <cell r="MB116" t="str">
            <v>LETRA S</v>
          </cell>
        </row>
        <row r="117">
          <cell r="A117">
            <v>17612</v>
          </cell>
          <cell r="B117" t="str">
            <v>LUCIANO</v>
          </cell>
          <cell r="C117" t="str">
            <v>EXT GABRIEL</v>
          </cell>
          <cell r="D117" t="str">
            <v>MARROQUINERIA CHICA</v>
          </cell>
          <cell r="E117">
            <v>22</v>
          </cell>
          <cell r="F117">
            <v>22</v>
          </cell>
          <cell r="G117">
            <v>23</v>
          </cell>
          <cell r="H117">
            <v>45781.436215277776</v>
          </cell>
          <cell r="I117" t="str">
            <v>LLAVERO ABC</v>
          </cell>
          <cell r="J117">
            <v>45770</v>
          </cell>
          <cell r="K117">
            <v>45770</v>
          </cell>
          <cell r="L117">
            <v>45770</v>
          </cell>
          <cell r="M117">
            <v>10</v>
          </cell>
          <cell r="N117" t="str">
            <v>M168</v>
          </cell>
          <cell r="O117" t="str">
            <v>AV0701570101</v>
          </cell>
          <cell r="P117">
            <v>1</v>
          </cell>
          <cell r="Q117" t="str">
            <v>VAR0000040</v>
          </cell>
          <cell r="R117">
            <v>1</v>
          </cell>
          <cell r="S117" t="str">
            <v>AV0400770101</v>
          </cell>
          <cell r="T117">
            <v>1</v>
          </cell>
          <cell r="U117" t="str">
            <v>VAR0000009</v>
          </cell>
          <cell r="V117">
            <v>1</v>
          </cell>
          <cell r="W117" t="str">
            <v>VAR0000041</v>
          </cell>
          <cell r="X117">
            <v>0.02</v>
          </cell>
          <cell r="Y117" t="str">
            <v>BAC1300020827</v>
          </cell>
          <cell r="Z117">
            <v>0.02</v>
          </cell>
          <cell r="AA117" t="str">
            <v>AV170134014</v>
          </cell>
          <cell r="AB117">
            <v>0</v>
          </cell>
          <cell r="AS117" t="str">
            <v xml:space="preserve"> CON TROQUEL</v>
          </cell>
          <cell r="AT117" t="str">
            <v>CUERO DE RETAZOS</v>
          </cell>
          <cell r="AX117" t="str">
            <v>OXIDO_GAMUZA_NEGRO</v>
          </cell>
          <cell r="AY117" t="str">
            <v>NAPOLITANA-CUERO GAMUZA</v>
          </cell>
          <cell r="AZ117" t="str">
            <v>CUE0000048</v>
          </cell>
          <cell r="BA117">
            <v>0.02</v>
          </cell>
          <cell r="BB117" t="str">
            <v>CUE0000004</v>
          </cell>
          <cell r="BC117">
            <v>0.02</v>
          </cell>
          <cell r="BR117" t="str">
            <v>SUELA_GAMUZA_OLIVA</v>
          </cell>
          <cell r="BS117" t="str">
            <v>ARENA-CUERO BRIDGE</v>
          </cell>
          <cell r="BT117" t="str">
            <v>CUE0000011</v>
          </cell>
          <cell r="BU117">
            <v>0.02</v>
          </cell>
          <cell r="BV117" t="str">
            <v>CUE0000047</v>
          </cell>
          <cell r="BW117">
            <v>0.02</v>
          </cell>
          <cell r="CL117" t="str">
            <v>OXIDO_GAMUZA_NEGRO</v>
          </cell>
          <cell r="CM117" t="str">
            <v>NAPOLITANA-CUERO GAMUZA</v>
          </cell>
          <cell r="CN117" t="str">
            <v>CUE0000048</v>
          </cell>
          <cell r="CO117">
            <v>0.02</v>
          </cell>
          <cell r="CP117" t="str">
            <v>CUE0000004</v>
          </cell>
          <cell r="CQ117">
            <v>0.02</v>
          </cell>
          <cell r="DF117" t="str">
            <v>OXIDO_GAMUZA_CARAMELO</v>
          </cell>
          <cell r="DG117" t="str">
            <v>NAPOLITANA-CUERO GAMUZA</v>
          </cell>
          <cell r="DH117" t="str">
            <v>CUE0000048</v>
          </cell>
          <cell r="DI117">
            <v>0.02</v>
          </cell>
          <cell r="DJ117" t="str">
            <v>CUE0000004</v>
          </cell>
          <cell r="DK117">
            <v>0.02</v>
          </cell>
          <cell r="DZ117" t="str">
            <v>AZUL_GAMUZA_MALBEC</v>
          </cell>
          <cell r="EA117" t="str">
            <v>NAPOLITANA-CUERO GAMUZA</v>
          </cell>
          <cell r="EB117" t="str">
            <v>CUE0000038</v>
          </cell>
          <cell r="EC117">
            <v>0.02</v>
          </cell>
          <cell r="ED117" t="str">
            <v>CUE0000009</v>
          </cell>
          <cell r="EE117">
            <v>0.02</v>
          </cell>
          <cell r="KD117">
            <v>6</v>
          </cell>
          <cell r="KE117">
            <v>6</v>
          </cell>
          <cell r="KF117">
            <v>6</v>
          </cell>
          <cell r="KG117">
            <v>4</v>
          </cell>
          <cell r="KH117">
            <v>4</v>
          </cell>
          <cell r="KI117">
            <v>4</v>
          </cell>
          <cell r="KJ117">
            <v>3</v>
          </cell>
          <cell r="KK117">
            <v>3</v>
          </cell>
          <cell r="KL117">
            <v>4</v>
          </cell>
          <cell r="KM117">
            <v>3</v>
          </cell>
          <cell r="KN117">
            <v>3</v>
          </cell>
          <cell r="KO117">
            <v>3</v>
          </cell>
          <cell r="KP117">
            <v>6</v>
          </cell>
          <cell r="KQ117">
            <v>6</v>
          </cell>
          <cell r="KR117">
            <v>6</v>
          </cell>
          <cell r="KS117">
            <v>0</v>
          </cell>
          <cell r="KV117">
            <v>0</v>
          </cell>
          <cell r="KY117">
            <v>0</v>
          </cell>
          <cell r="LB117">
            <v>0</v>
          </cell>
          <cell r="LE117">
            <v>0</v>
          </cell>
          <cell r="LH117">
            <v>0</v>
          </cell>
          <cell r="LK117">
            <v>0</v>
          </cell>
          <cell r="LN117">
            <v>45770</v>
          </cell>
          <cell r="LO117">
            <v>45790</v>
          </cell>
          <cell r="LP117" t="str">
            <v>COMPLETADO</v>
          </cell>
          <cell r="LQ117" t="str">
            <v>LETRA S</v>
          </cell>
          <cell r="LR117" t="str">
            <v>LETRA M</v>
          </cell>
          <cell r="LS117" t="str">
            <v>LETRA M</v>
          </cell>
          <cell r="LT117" t="str">
            <v>LETRA P</v>
          </cell>
          <cell r="LU117" t="str">
            <v>LETRA P</v>
          </cell>
        </row>
        <row r="118">
          <cell r="A118">
            <v>1763</v>
          </cell>
          <cell r="B118" t="str">
            <v>RUBEN</v>
          </cell>
          <cell r="C118" t="str">
            <v>BARRACAS GRANDE</v>
          </cell>
          <cell r="D118" t="str">
            <v>MARROQUINERIA GRANDE</v>
          </cell>
          <cell r="E118">
            <v>7</v>
          </cell>
          <cell r="F118">
            <v>7</v>
          </cell>
          <cell r="G118">
            <v>7</v>
          </cell>
          <cell r="H118">
            <v>45781.474016203705</v>
          </cell>
          <cell r="I118" t="str">
            <v>CARTERA EMILIA</v>
          </cell>
          <cell r="J118">
            <v>45777</v>
          </cell>
          <cell r="K118">
            <v>45777</v>
          </cell>
          <cell r="M118">
            <v>45</v>
          </cell>
          <cell r="N118" t="str">
            <v>M150</v>
          </cell>
          <cell r="O118" t="str">
            <v>AV0101030201</v>
          </cell>
          <cell r="P118">
            <v>1</v>
          </cell>
          <cell r="Q118" t="str">
            <v>AV0300460101</v>
          </cell>
          <cell r="R118">
            <v>1</v>
          </cell>
          <cell r="S118" t="str">
            <v>AV1000920101</v>
          </cell>
          <cell r="T118">
            <v>1</v>
          </cell>
          <cell r="U118" t="str">
            <v>AV0300390101</v>
          </cell>
          <cell r="V118">
            <v>1</v>
          </cell>
          <cell r="W118" t="str">
            <v>AV170129018</v>
          </cell>
          <cell r="X118">
            <v>0</v>
          </cell>
          <cell r="AS118" t="str">
            <v>TIRACIERRE 1</v>
          </cell>
          <cell r="AT118" t="str">
            <v>ARGOLLITA + TIRA CON REMACHE + GRABADO ESTRELLA</v>
          </cell>
          <cell r="AW118" t="str">
            <v>GRABADO "EL LUCERO ARGENTINA" GRANDE - EN BOLSILLO INTERNO, CENTRADO A 12 CM DEL BORDE INFERIOR</v>
          </cell>
          <cell r="AX118" t="str">
            <v>NEGRO</v>
          </cell>
          <cell r="AY118" t="str">
            <v>ARENA-CUERO NAPADO</v>
          </cell>
          <cell r="AZ118" t="str">
            <v>CUE0000026</v>
          </cell>
          <cell r="BA118">
            <v>0.79</v>
          </cell>
          <cell r="BB118" t="str">
            <v>AV0100010203</v>
          </cell>
          <cell r="BC118">
            <v>0.2</v>
          </cell>
          <cell r="BR118" t="str">
            <v>CARAMELO</v>
          </cell>
          <cell r="BS118" t="str">
            <v>ARENA-CUERO NAPADO</v>
          </cell>
          <cell r="BT118" t="str">
            <v>CUE0000022</v>
          </cell>
          <cell r="BU118">
            <v>0.79</v>
          </cell>
          <cell r="BV118" t="str">
            <v>AV0100010205</v>
          </cell>
          <cell r="BW118">
            <v>0.2</v>
          </cell>
          <cell r="KD118">
            <v>2</v>
          </cell>
          <cell r="KE118">
            <v>2</v>
          </cell>
          <cell r="KF118">
            <v>2</v>
          </cell>
          <cell r="KG118">
            <v>5</v>
          </cell>
          <cell r="KH118">
            <v>5</v>
          </cell>
          <cell r="KI118">
            <v>5</v>
          </cell>
          <cell r="KJ118">
            <v>0</v>
          </cell>
          <cell r="KM118">
            <v>0</v>
          </cell>
          <cell r="KP118">
            <v>0</v>
          </cell>
          <cell r="KS118">
            <v>0</v>
          </cell>
          <cell r="KV118">
            <v>0</v>
          </cell>
          <cell r="KY118">
            <v>0</v>
          </cell>
          <cell r="LB118">
            <v>0</v>
          </cell>
          <cell r="LE118">
            <v>0</v>
          </cell>
          <cell r="LH118">
            <v>0</v>
          </cell>
          <cell r="LK118">
            <v>0</v>
          </cell>
          <cell r="LO118">
            <v>45790</v>
          </cell>
          <cell r="LP118" t="str">
            <v>COMPLETADO</v>
          </cell>
        </row>
        <row r="119">
          <cell r="A119">
            <v>1765</v>
          </cell>
          <cell r="B119" t="str">
            <v>RUBEN</v>
          </cell>
          <cell r="C119" t="str">
            <v>BARRACAS GRANDE</v>
          </cell>
          <cell r="D119" t="str">
            <v>MARROQUINERIA GRANDE</v>
          </cell>
          <cell r="E119">
            <v>4</v>
          </cell>
          <cell r="F119">
            <v>4</v>
          </cell>
          <cell r="G119">
            <v>4</v>
          </cell>
          <cell r="H119">
            <v>45781.508819444447</v>
          </cell>
          <cell r="I119" t="str">
            <v>MOCHILA PIETRO</v>
          </cell>
          <cell r="J119">
            <v>45777</v>
          </cell>
          <cell r="K119">
            <v>45777</v>
          </cell>
          <cell r="M119">
            <v>120</v>
          </cell>
          <cell r="N119" t="str">
            <v>M057</v>
          </cell>
          <cell r="O119" t="str">
            <v>BAC1300020827</v>
          </cell>
          <cell r="P119">
            <v>0.03</v>
          </cell>
          <cell r="Q119" t="str">
            <v>BAC0200081126</v>
          </cell>
          <cell r="R119">
            <v>0.08</v>
          </cell>
          <cell r="S119" t="str">
            <v>BAC0200071027</v>
          </cell>
          <cell r="T119">
            <v>0.09</v>
          </cell>
          <cell r="U119" t="str">
            <v>FOR0000032</v>
          </cell>
          <cell r="V119">
            <v>10</v>
          </cell>
          <cell r="W119" t="str">
            <v>AV0101030201</v>
          </cell>
          <cell r="X119">
            <v>1</v>
          </cell>
          <cell r="Y119" t="str">
            <v>AV0101040201</v>
          </cell>
          <cell r="Z119">
            <v>2</v>
          </cell>
          <cell r="AA119" t="str">
            <v>AV0300410101</v>
          </cell>
          <cell r="AB119">
            <v>2</v>
          </cell>
          <cell r="AC119" t="str">
            <v>AV1000790101</v>
          </cell>
          <cell r="AD119">
            <v>1</v>
          </cell>
          <cell r="AE119" t="str">
            <v>AV0401150101</v>
          </cell>
          <cell r="AF119">
            <v>2</v>
          </cell>
          <cell r="AG119" t="str">
            <v>AV1802210726</v>
          </cell>
          <cell r="AH119">
            <v>0.05</v>
          </cell>
          <cell r="AI119" t="str">
            <v>AV0300390101</v>
          </cell>
          <cell r="AJ119">
            <v>2</v>
          </cell>
          <cell r="AK119" t="str">
            <v>AV170129018</v>
          </cell>
          <cell r="AL119">
            <v>0</v>
          </cell>
          <cell r="AS119" t="str">
            <v>TIRACIERRE PRINCIPAL -. METAL LUCERO // TIRACIERRE BOLSILLOS -N4- TIRA PEGADA CON REMACHE Y GRABADO L</v>
          </cell>
          <cell r="AW119" t="str">
            <v xml:space="preserve">GRABADO " EL LUCERO" GRANDE CENTRADO EN VISTA ESPALDA  </v>
          </cell>
          <cell r="AX119" t="str">
            <v>TABACO</v>
          </cell>
          <cell r="AY119" t="str">
            <v>ARENA-CUERO BRIDGE</v>
          </cell>
          <cell r="AZ119" t="str">
            <v>CUE0000012</v>
          </cell>
          <cell r="BA119">
            <v>0.99</v>
          </cell>
          <cell r="BB119" t="str">
            <v>FOR0000021</v>
          </cell>
          <cell r="BC119">
            <v>0.66</v>
          </cell>
          <cell r="BD119" t="str">
            <v>AV0100010114</v>
          </cell>
          <cell r="BE119">
            <v>1.7</v>
          </cell>
          <cell r="BF119" t="str">
            <v>AV1401264540</v>
          </cell>
          <cell r="BG119">
            <v>0</v>
          </cell>
          <cell r="BH119" t="str">
            <v>AV1601300954</v>
          </cell>
          <cell r="BI119">
            <v>0</v>
          </cell>
          <cell r="BR119" t="str">
            <v>CEDRO</v>
          </cell>
          <cell r="BS119" t="str">
            <v>BIANCO-CUERO FIORENTINO</v>
          </cell>
          <cell r="BT119" t="str">
            <v>CUE0000055</v>
          </cell>
          <cell r="BU119">
            <v>0.99</v>
          </cell>
          <cell r="BV119" t="str">
            <v>FOR0000021</v>
          </cell>
          <cell r="BW119">
            <v>0.66</v>
          </cell>
          <cell r="BX119" t="str">
            <v>AV0100010105</v>
          </cell>
          <cell r="BY119">
            <v>1.7</v>
          </cell>
          <cell r="BZ119" t="str">
            <v>AV1401240545</v>
          </cell>
          <cell r="CA119">
            <v>0</v>
          </cell>
          <cell r="CB119" t="str">
            <v>AV1601300955</v>
          </cell>
          <cell r="CC119">
            <v>0</v>
          </cell>
          <cell r="KD119">
            <v>1</v>
          </cell>
          <cell r="KE119">
            <v>1</v>
          </cell>
          <cell r="KF119">
            <v>1</v>
          </cell>
          <cell r="KG119">
            <v>3</v>
          </cell>
          <cell r="KH119">
            <v>3</v>
          </cell>
          <cell r="KI119">
            <v>3</v>
          </cell>
          <cell r="KJ119">
            <v>0</v>
          </cell>
          <cell r="KM119">
            <v>0</v>
          </cell>
          <cell r="KP119">
            <v>0</v>
          </cell>
          <cell r="KS119">
            <v>0</v>
          </cell>
          <cell r="KV119">
            <v>0</v>
          </cell>
          <cell r="KY119">
            <v>0</v>
          </cell>
          <cell r="LB119">
            <v>0</v>
          </cell>
          <cell r="LE119">
            <v>0</v>
          </cell>
          <cell r="LH119">
            <v>0</v>
          </cell>
          <cell r="LK119">
            <v>0</v>
          </cell>
          <cell r="LO119">
            <v>45790</v>
          </cell>
          <cell r="LP119" t="str">
            <v>COMPLETADO</v>
          </cell>
        </row>
        <row r="120">
          <cell r="A120">
            <v>1767</v>
          </cell>
          <cell r="B120" t="str">
            <v>RUBEN</v>
          </cell>
          <cell r="C120" t="str">
            <v>BARRACAS GRANDE</v>
          </cell>
          <cell r="D120" t="str">
            <v>MARROQUINERIA GRANDE</v>
          </cell>
          <cell r="E120">
            <v>56</v>
          </cell>
          <cell r="F120">
            <v>56</v>
          </cell>
          <cell r="G120">
            <v>42</v>
          </cell>
          <cell r="H120">
            <v>45781.517118055555</v>
          </cell>
          <cell r="I120" t="str">
            <v>TOTE IRUYA</v>
          </cell>
          <cell r="J120">
            <v>45779</v>
          </cell>
          <cell r="K120">
            <v>45779</v>
          </cell>
          <cell r="L120">
            <v>45786</v>
          </cell>
          <cell r="M120">
            <v>30</v>
          </cell>
          <cell r="N120" t="str">
            <v>M154</v>
          </cell>
          <cell r="O120" t="str">
            <v>AV170129018</v>
          </cell>
          <cell r="P120">
            <v>0</v>
          </cell>
          <cell r="AS120" t="str">
            <v>CORREA 2,5CM / SIN PINTURA</v>
          </cell>
          <cell r="AT120" t="str">
            <v>PEGAR ETIQUETA DE CUERO AL FRENTE HILO AL TONO CON HILO GRUESO N 20</v>
          </cell>
          <cell r="AW120" t="str">
            <v>GRABADO ETIQUETA EN NAPADO 7,5CM X 5,5 CM "EL LUCERO HIGH QUALITY GOODS</v>
          </cell>
          <cell r="AX120" t="str">
            <v>PELO_HOLANDO</v>
          </cell>
          <cell r="AY120" t="str">
            <v>LEDER-PELO</v>
          </cell>
          <cell r="AZ120" t="str">
            <v>CUE0000116</v>
          </cell>
          <cell r="BA120">
            <v>0.37</v>
          </cell>
          <cell r="BB120" t="str">
            <v>CUE0000009</v>
          </cell>
          <cell r="BC120">
            <v>0.1</v>
          </cell>
          <cell r="BR120" t="str">
            <v>PELO_HEREFORD</v>
          </cell>
          <cell r="BS120" t="str">
            <v>LEDER-PELO</v>
          </cell>
          <cell r="BT120" t="str">
            <v>CUE0000117</v>
          </cell>
          <cell r="BU120">
            <v>0.37</v>
          </cell>
          <cell r="BV120" t="str">
            <v>CUE0000012</v>
          </cell>
          <cell r="BW120">
            <v>0.1</v>
          </cell>
          <cell r="CL120" t="str">
            <v>SUELA</v>
          </cell>
          <cell r="CM120" t="str">
            <v>ARENA-CUERO NAPADO</v>
          </cell>
          <cell r="CN120" t="str">
            <v>CUE0000028</v>
          </cell>
          <cell r="CO120">
            <v>0.47</v>
          </cell>
          <cell r="DF120" t="str">
            <v>MALBEC</v>
          </cell>
          <cell r="DG120" t="str">
            <v>ARENA-CUERO NAPADO</v>
          </cell>
          <cell r="DH120" t="str">
            <v>CUE0000025</v>
          </cell>
          <cell r="DI120">
            <v>0.47</v>
          </cell>
          <cell r="DZ120" t="str">
            <v>CARAMELO</v>
          </cell>
          <cell r="EA120" t="str">
            <v>ARENA-CUERO NAPADO</v>
          </cell>
          <cell r="EB120" t="str">
            <v>CUE0000022</v>
          </cell>
          <cell r="EC120">
            <v>0.47</v>
          </cell>
          <cell r="ET120" t="str">
            <v>PELO_BEIGE</v>
          </cell>
          <cell r="EU120" t="str">
            <v>LEDER-PELO</v>
          </cell>
          <cell r="EV120" t="str">
            <v>CUE0000125</v>
          </cell>
          <cell r="EW120">
            <v>0.37</v>
          </cell>
          <cell r="EX120" t="str">
            <v>CUE0000004</v>
          </cell>
          <cell r="EY120">
            <v>0.1</v>
          </cell>
          <cell r="KD120">
            <v>12</v>
          </cell>
          <cell r="KE120">
            <v>12</v>
          </cell>
          <cell r="KF120">
            <v>12</v>
          </cell>
          <cell r="KG120">
            <v>12</v>
          </cell>
          <cell r="KH120">
            <v>12</v>
          </cell>
          <cell r="KI120">
            <v>12</v>
          </cell>
          <cell r="KJ120">
            <v>18</v>
          </cell>
          <cell r="KK120">
            <v>18</v>
          </cell>
          <cell r="KL120">
            <v>4</v>
          </cell>
          <cell r="KM120">
            <v>4</v>
          </cell>
          <cell r="KN120">
            <v>4</v>
          </cell>
          <cell r="KO120">
            <v>4</v>
          </cell>
          <cell r="KP120">
            <v>4</v>
          </cell>
          <cell r="KQ120">
            <v>4</v>
          </cell>
          <cell r="KR120">
            <v>4</v>
          </cell>
          <cell r="KS120">
            <v>6</v>
          </cell>
          <cell r="KT120">
            <v>6</v>
          </cell>
          <cell r="KU120">
            <v>6</v>
          </cell>
          <cell r="KV120">
            <v>0</v>
          </cell>
          <cell r="KY120">
            <v>0</v>
          </cell>
          <cell r="LB120">
            <v>0</v>
          </cell>
          <cell r="LE120">
            <v>0</v>
          </cell>
          <cell r="LH120">
            <v>0</v>
          </cell>
          <cell r="LK120">
            <v>0</v>
          </cell>
          <cell r="LN120">
            <v>45786</v>
          </cell>
          <cell r="LO120">
            <v>45805</v>
          </cell>
          <cell r="LP120" t="str">
            <v>COMPLETADO</v>
          </cell>
        </row>
        <row r="121">
          <cell r="A121">
            <v>1768</v>
          </cell>
          <cell r="B121" t="str">
            <v>LUCIANO</v>
          </cell>
          <cell r="C121" t="str">
            <v>BARRACAS CHICA</v>
          </cell>
          <cell r="D121" t="str">
            <v>MARROQUINERIA CHICA</v>
          </cell>
          <cell r="E121">
            <v>8</v>
          </cell>
          <cell r="F121">
            <v>8</v>
          </cell>
          <cell r="G121">
            <v>8</v>
          </cell>
          <cell r="H121">
            <v>45781.522905092592</v>
          </cell>
          <cell r="I121" t="str">
            <v>MINI EMMA</v>
          </cell>
          <cell r="J121">
            <v>45779</v>
          </cell>
          <cell r="K121">
            <v>45779</v>
          </cell>
          <cell r="M121">
            <v>55</v>
          </cell>
          <cell r="N121" t="str">
            <v>M137</v>
          </cell>
          <cell r="O121" t="str">
            <v>AV170134014</v>
          </cell>
          <cell r="P121">
            <v>0</v>
          </cell>
          <cell r="Q121" t="str">
            <v>BAC1300020827</v>
          </cell>
          <cell r="R121">
            <v>0.01</v>
          </cell>
          <cell r="S121" t="str">
            <v>AV0300440101</v>
          </cell>
          <cell r="T121">
            <v>1</v>
          </cell>
          <cell r="U121" t="str">
            <v>VAR0000011</v>
          </cell>
          <cell r="V121">
            <v>0.44</v>
          </cell>
          <cell r="W121" t="str">
            <v>AV0400770101</v>
          </cell>
          <cell r="X121">
            <v>2</v>
          </cell>
          <cell r="Y121" t="str">
            <v>AV0400230101</v>
          </cell>
          <cell r="Z121">
            <v>1</v>
          </cell>
          <cell r="AA121" t="str">
            <v>AV0601400101</v>
          </cell>
          <cell r="AB121">
            <v>2</v>
          </cell>
          <cell r="AC121" t="str">
            <v>AV0300400101</v>
          </cell>
          <cell r="AD121">
            <v>5</v>
          </cell>
          <cell r="AW121" t="str">
            <v xml:space="preserve">GRABADO EL LUCERO GRANDE ARRIBA CENTRADO. DEJAR 3CM Y GRABAR  </v>
          </cell>
          <cell r="AX121" t="str">
            <v>CARAMELO</v>
          </cell>
          <cell r="AY121" t="str">
            <v>ARENA-CUERO NAPADO</v>
          </cell>
          <cell r="AZ121" t="str">
            <v>CUE0000022</v>
          </cell>
          <cell r="BA121">
            <v>0.26</v>
          </cell>
          <cell r="BR121" t="str">
            <v>NEGRO</v>
          </cell>
          <cell r="BS121" t="str">
            <v>ARENA-CUERO NAPADO</v>
          </cell>
          <cell r="BT121" t="str">
            <v>CUE0000026</v>
          </cell>
          <cell r="BU121">
            <v>0.26</v>
          </cell>
          <cell r="KD121">
            <v>6</v>
          </cell>
          <cell r="KE121">
            <v>6</v>
          </cell>
          <cell r="KF121">
            <v>6</v>
          </cell>
          <cell r="KG121">
            <v>2</v>
          </cell>
          <cell r="KH121">
            <v>2</v>
          </cell>
          <cell r="KI121">
            <v>2</v>
          </cell>
          <cell r="KJ121">
            <v>0</v>
          </cell>
          <cell r="KM121">
            <v>0</v>
          </cell>
          <cell r="KP121">
            <v>0</v>
          </cell>
          <cell r="KS121">
            <v>0</v>
          </cell>
          <cell r="KV121">
            <v>0</v>
          </cell>
          <cell r="KY121">
            <v>0</v>
          </cell>
          <cell r="LB121">
            <v>0</v>
          </cell>
          <cell r="LE121">
            <v>0</v>
          </cell>
          <cell r="LH121">
            <v>0</v>
          </cell>
          <cell r="LK121">
            <v>0</v>
          </cell>
          <cell r="LO121">
            <v>45796</v>
          </cell>
          <cell r="LP121" t="str">
            <v>COMPLETADO</v>
          </cell>
        </row>
        <row r="122">
          <cell r="A122">
            <v>1769</v>
          </cell>
          <cell r="B122" t="str">
            <v>RUBEN</v>
          </cell>
          <cell r="C122" t="str">
            <v>BARRACAS GRANDE</v>
          </cell>
          <cell r="D122" t="str">
            <v>MARROQUINERIA GRANDE</v>
          </cell>
          <cell r="E122">
            <v>4</v>
          </cell>
          <cell r="F122">
            <v>4</v>
          </cell>
          <cell r="G122">
            <v>4</v>
          </cell>
          <cell r="H122">
            <v>45781.528877314813</v>
          </cell>
          <cell r="I122" t="str">
            <v>MOCHILA LIBRA</v>
          </cell>
          <cell r="J122">
            <v>45779</v>
          </cell>
          <cell r="K122">
            <v>45779</v>
          </cell>
          <cell r="M122">
            <v>90</v>
          </cell>
          <cell r="N122" t="str">
            <v>M053</v>
          </cell>
          <cell r="O122" t="str">
            <v>BAC1300030827</v>
          </cell>
          <cell r="P122">
            <v>0.05</v>
          </cell>
          <cell r="Q122" t="str">
            <v>BAC1300020827</v>
          </cell>
          <cell r="R122">
            <v>0.04</v>
          </cell>
          <cell r="S122" t="str">
            <v>AV0300410101</v>
          </cell>
          <cell r="T122">
            <v>2</v>
          </cell>
          <cell r="U122" t="str">
            <v>AV0300390101</v>
          </cell>
          <cell r="V122">
            <v>3</v>
          </cell>
          <cell r="W122" t="str">
            <v>AV1000720101</v>
          </cell>
          <cell r="X122">
            <v>4</v>
          </cell>
          <cell r="Y122" t="str">
            <v>AV1000930101</v>
          </cell>
          <cell r="Z122">
            <v>2</v>
          </cell>
          <cell r="AA122" t="str">
            <v>AV0101040201</v>
          </cell>
          <cell r="AB122">
            <v>3</v>
          </cell>
          <cell r="AC122" t="str">
            <v>AV0600560101</v>
          </cell>
          <cell r="AD122">
            <v>1</v>
          </cell>
          <cell r="AE122" t="str">
            <v>AV170129018</v>
          </cell>
          <cell r="AF122">
            <v>0</v>
          </cell>
          <cell r="AS122" t="str">
            <v>TIRACIERRE PRINCIPAL (N2) VUELTA DE TIRA CON REMACHE + GRABADO ESTRELLITA</v>
          </cell>
          <cell r="AW122" t="str">
            <v xml:space="preserve">GRABADO "EL LUCEROARGENTINA" GRANDE EN ESPALDA CENTRADO ARRIBA </v>
          </cell>
          <cell r="AX122" t="str">
            <v>CARAMELO</v>
          </cell>
          <cell r="AY122" t="str">
            <v>ARENA-CUERO BRIDGE</v>
          </cell>
          <cell r="AZ122" t="str">
            <v>CUE0000004</v>
          </cell>
          <cell r="BA122">
            <v>0.64</v>
          </cell>
          <cell r="BB122" t="str">
            <v>AV1401240545</v>
          </cell>
          <cell r="BC122">
            <v>0</v>
          </cell>
          <cell r="BD122" t="str">
            <v>FOR0000021</v>
          </cell>
          <cell r="BE122">
            <v>0.6</v>
          </cell>
          <cell r="BF122" t="str">
            <v>AV0100010105</v>
          </cell>
          <cell r="BG122">
            <v>0.95</v>
          </cell>
          <cell r="BH122" t="str">
            <v>AV0100020305</v>
          </cell>
          <cell r="BI122">
            <v>0.2</v>
          </cell>
          <cell r="BR122" t="str">
            <v>TABACO</v>
          </cell>
          <cell r="BS122" t="str">
            <v>ARENA-CUERO BRIDGE</v>
          </cell>
          <cell r="BT122" t="str">
            <v>CUE0000012</v>
          </cell>
          <cell r="BU122">
            <v>0.64</v>
          </cell>
          <cell r="BV122" t="str">
            <v>AV1401240545</v>
          </cell>
          <cell r="BW122">
            <v>0</v>
          </cell>
          <cell r="BX122" t="str">
            <v>FOR0000021</v>
          </cell>
          <cell r="BY122">
            <v>0.6</v>
          </cell>
          <cell r="BZ122" t="str">
            <v>AV0100010114</v>
          </cell>
          <cell r="CA122">
            <v>0.95</v>
          </cell>
          <cell r="CB122" t="str">
            <v>CIE0000004</v>
          </cell>
          <cell r="CC122">
            <v>0.2</v>
          </cell>
          <cell r="KD122">
            <v>3</v>
          </cell>
          <cell r="KE122">
            <v>3</v>
          </cell>
          <cell r="KF122">
            <v>3</v>
          </cell>
          <cell r="KG122">
            <v>1</v>
          </cell>
          <cell r="KH122">
            <v>1</v>
          </cell>
          <cell r="KI122">
            <v>1</v>
          </cell>
          <cell r="KJ122">
            <v>0</v>
          </cell>
          <cell r="KM122">
            <v>0</v>
          </cell>
          <cell r="KP122">
            <v>0</v>
          </cell>
          <cell r="KS122">
            <v>0</v>
          </cell>
          <cell r="KV122">
            <v>0</v>
          </cell>
          <cell r="KY122">
            <v>0</v>
          </cell>
          <cell r="LB122">
            <v>0</v>
          </cell>
          <cell r="LE122">
            <v>0</v>
          </cell>
          <cell r="LH122">
            <v>0</v>
          </cell>
          <cell r="LK122">
            <v>0</v>
          </cell>
          <cell r="LO122">
            <v>45796</v>
          </cell>
          <cell r="LP122" t="str">
            <v>COMPLETADO</v>
          </cell>
        </row>
        <row r="123">
          <cell r="A123">
            <v>1771</v>
          </cell>
          <cell r="B123" t="str">
            <v>LUCIANO</v>
          </cell>
          <cell r="C123" t="str">
            <v>BARRACAS CHICA</v>
          </cell>
          <cell r="D123" t="str">
            <v>MARROQUINERIA CHICA</v>
          </cell>
          <cell r="E123">
            <v>10</v>
          </cell>
          <cell r="F123">
            <v>10</v>
          </cell>
          <cell r="G123">
            <v>10</v>
          </cell>
          <cell r="H123">
            <v>45781.633194444446</v>
          </cell>
          <cell r="I123" t="str">
            <v>PORTAVINO TUNUYAN</v>
          </cell>
          <cell r="J123">
            <v>45779</v>
          </cell>
          <cell r="K123">
            <v>45779</v>
          </cell>
          <cell r="M123">
            <v>45</v>
          </cell>
          <cell r="N123" t="str">
            <v>M167</v>
          </cell>
          <cell r="O123" t="str">
            <v>VAR0000030</v>
          </cell>
          <cell r="P123">
            <v>0.03</v>
          </cell>
          <cell r="Q123" t="str">
            <v>AV170134014</v>
          </cell>
          <cell r="R123">
            <v>0</v>
          </cell>
          <cell r="AS123" t="str">
            <v xml:space="preserve">PEGAR ETIQUETA DE CUERO AL FRENTE   </v>
          </cell>
          <cell r="AT123" t="str">
            <v>HILO AL TONO CON HILO GRUESO N 20</v>
          </cell>
          <cell r="AW123" t="str">
            <v>GRABADO ETIQUETA 7,5CM X 5,5 CM  "EL LUCERO HIGH QUALITY GOODS"</v>
          </cell>
          <cell r="AX123" t="str">
            <v>AZUL_GAMUZA_TABACO</v>
          </cell>
          <cell r="AY123" t="str">
            <v>NAPOLITANA-CUERO GAMUZA</v>
          </cell>
          <cell r="AZ123" t="str">
            <v>CUE0000038</v>
          </cell>
          <cell r="BA123">
            <v>0.5</v>
          </cell>
          <cell r="BB123" t="str">
            <v>CUE0000012</v>
          </cell>
          <cell r="BC123">
            <v>0.1</v>
          </cell>
          <cell r="BD123" t="str">
            <v>FOR0000021</v>
          </cell>
          <cell r="BE123">
            <v>0.03</v>
          </cell>
          <cell r="BF123" t="str">
            <v>AV1401254360</v>
          </cell>
          <cell r="BG123">
            <v>0</v>
          </cell>
          <cell r="BR123" t="str">
            <v>OLIVA_GAMUZA_TABACO</v>
          </cell>
          <cell r="BS123" t="str">
            <v>NAPOLITANA-CUERO GAMUZA</v>
          </cell>
          <cell r="BT123" t="str">
            <v>CUE0000047</v>
          </cell>
          <cell r="BU123">
            <v>0.5</v>
          </cell>
          <cell r="BV123" t="str">
            <v>CUE0000012</v>
          </cell>
          <cell r="BW123">
            <v>0.1</v>
          </cell>
          <cell r="BX123" t="str">
            <v>FOR0000021</v>
          </cell>
          <cell r="BY123">
            <v>0.03</v>
          </cell>
          <cell r="BZ123" t="str">
            <v>HIL0000001</v>
          </cell>
          <cell r="CA123">
            <v>0</v>
          </cell>
          <cell r="CL123" t="str">
            <v>VESUBIO_GAMUZA_TABACO</v>
          </cell>
          <cell r="CM123" t="str">
            <v>NAPOLITANA-CUERO GAMUZA</v>
          </cell>
          <cell r="CN123" t="str">
            <v>CUE0000053</v>
          </cell>
          <cell r="CO123">
            <v>0.5</v>
          </cell>
          <cell r="CP123" t="str">
            <v>CUE0000012</v>
          </cell>
          <cell r="CQ123">
            <v>0.1</v>
          </cell>
          <cell r="CR123" t="str">
            <v>FOR0000021</v>
          </cell>
          <cell r="CS123">
            <v>0.03</v>
          </cell>
          <cell r="CT123" t="str">
            <v>HIL0000002</v>
          </cell>
          <cell r="CU123">
            <v>0</v>
          </cell>
          <cell r="KD123">
            <v>2</v>
          </cell>
          <cell r="KE123">
            <v>2</v>
          </cell>
          <cell r="KF123">
            <v>2</v>
          </cell>
          <cell r="KG123">
            <v>4</v>
          </cell>
          <cell r="KH123">
            <v>4</v>
          </cell>
          <cell r="KI123">
            <v>4</v>
          </cell>
          <cell r="KJ123">
            <v>4</v>
          </cell>
          <cell r="KK123">
            <v>4</v>
          </cell>
          <cell r="KL123">
            <v>4</v>
          </cell>
          <cell r="KM123">
            <v>0</v>
          </cell>
          <cell r="KP123">
            <v>0</v>
          </cell>
          <cell r="KS123">
            <v>0</v>
          </cell>
          <cell r="KV123">
            <v>0</v>
          </cell>
          <cell r="KY123">
            <v>0</v>
          </cell>
          <cell r="LB123">
            <v>0</v>
          </cell>
          <cell r="LE123">
            <v>0</v>
          </cell>
          <cell r="LH123">
            <v>0</v>
          </cell>
          <cell r="LK123">
            <v>0</v>
          </cell>
          <cell r="LO123">
            <v>45790</v>
          </cell>
          <cell r="LP123" t="str">
            <v>COMPLETADO</v>
          </cell>
        </row>
        <row r="124">
          <cell r="A124">
            <v>1772</v>
          </cell>
          <cell r="B124" t="str">
            <v>LUCIANO</v>
          </cell>
          <cell r="C124" t="str">
            <v>BARRACAS CHICA</v>
          </cell>
          <cell r="D124" t="str">
            <v>MARROQUINERIA CHICA</v>
          </cell>
          <cell r="E124">
            <v>16</v>
          </cell>
          <cell r="F124">
            <v>16</v>
          </cell>
          <cell r="G124">
            <v>16</v>
          </cell>
          <cell r="H124">
            <v>45781.6403587963</v>
          </cell>
          <cell r="I124" t="str">
            <v>PORTAVINO UCO</v>
          </cell>
          <cell r="J124">
            <v>45779</v>
          </cell>
          <cell r="K124">
            <v>45779</v>
          </cell>
          <cell r="M124">
            <v>37</v>
          </cell>
          <cell r="N124" t="str">
            <v>M166</v>
          </cell>
          <cell r="O124" t="str">
            <v>AV170129018</v>
          </cell>
          <cell r="P124">
            <v>0</v>
          </cell>
          <cell r="AS124" t="str">
            <v>PEGAR ETIQUETA DE CUERO AL FRENTE HILO AL TONO CON HILO GRUESO N 20</v>
          </cell>
          <cell r="AW124" t="str">
            <v>GRABADO ETIQUETA EN VINTAGE MEDIO  7,5CM X 5,5 CM  "EL LUCERO HIGH QUALITY GOODS"</v>
          </cell>
          <cell r="AX124" t="str">
            <v>PELO_HEREFORD</v>
          </cell>
          <cell r="AY124" t="str">
            <v>LEDER-PELO</v>
          </cell>
          <cell r="AZ124" t="str">
            <v>CUE0000117</v>
          </cell>
          <cell r="BA124">
            <v>0.28000000000000003</v>
          </cell>
          <cell r="BB124" t="str">
            <v>CUE0000012</v>
          </cell>
          <cell r="BC124">
            <v>0</v>
          </cell>
          <cell r="BR124" t="str">
            <v>PELO_HOLANDO</v>
          </cell>
          <cell r="BS124" t="str">
            <v>LEDER-PELO</v>
          </cell>
          <cell r="BT124" t="str">
            <v>CUE0000116</v>
          </cell>
          <cell r="BU124">
            <v>0.28000000000000003</v>
          </cell>
          <cell r="BV124" t="str">
            <v>CUE0000009</v>
          </cell>
          <cell r="BW124">
            <v>0</v>
          </cell>
          <cell r="CL124" t="str">
            <v>PELO_MARRON_ROJIZO</v>
          </cell>
          <cell r="CM124" t="str">
            <v>LEDER-PELO</v>
          </cell>
          <cell r="CN124" t="str">
            <v>CUE0000115</v>
          </cell>
          <cell r="CO124">
            <v>0.28000000000000003</v>
          </cell>
          <cell r="CP124" t="str">
            <v>CUE0000012</v>
          </cell>
          <cell r="CQ124">
            <v>0</v>
          </cell>
          <cell r="DF124" t="str">
            <v>TABACO</v>
          </cell>
          <cell r="DG124" t="str">
            <v>ARENA-CUERO BRIDGE</v>
          </cell>
          <cell r="DH124" t="str">
            <v>CUE0000012</v>
          </cell>
          <cell r="DI124">
            <v>0.28000000000000003</v>
          </cell>
          <cell r="DZ124" t="str">
            <v>CARAMELO</v>
          </cell>
          <cell r="EA124" t="str">
            <v>ARENA-CUERO BRIDGE</v>
          </cell>
          <cell r="EB124" t="str">
            <v>CUE0000004</v>
          </cell>
          <cell r="EC124">
            <v>0.28000000000000003</v>
          </cell>
          <cell r="KD124">
            <v>2</v>
          </cell>
          <cell r="KE124">
            <v>2</v>
          </cell>
          <cell r="KF124">
            <v>2</v>
          </cell>
          <cell r="KG124">
            <v>4</v>
          </cell>
          <cell r="KH124">
            <v>4</v>
          </cell>
          <cell r="KI124">
            <v>4</v>
          </cell>
          <cell r="KJ124">
            <v>4</v>
          </cell>
          <cell r="KK124">
            <v>4</v>
          </cell>
          <cell r="KL124">
            <v>4</v>
          </cell>
          <cell r="KM124">
            <v>4</v>
          </cell>
          <cell r="KN124">
            <v>4</v>
          </cell>
          <cell r="KO124">
            <v>4</v>
          </cell>
          <cell r="KP124">
            <v>2</v>
          </cell>
          <cell r="KQ124">
            <v>2</v>
          </cell>
          <cell r="KR124">
            <v>2</v>
          </cell>
          <cell r="KS124">
            <v>0</v>
          </cell>
          <cell r="KV124">
            <v>0</v>
          </cell>
          <cell r="KY124">
            <v>0</v>
          </cell>
          <cell r="LB124">
            <v>0</v>
          </cell>
          <cell r="LE124">
            <v>0</v>
          </cell>
          <cell r="LH124">
            <v>0</v>
          </cell>
          <cell r="LK124">
            <v>0</v>
          </cell>
          <cell r="LO124">
            <v>45819</v>
          </cell>
          <cell r="LP124" t="str">
            <v>COMPLETADO</v>
          </cell>
        </row>
        <row r="125">
          <cell r="A125">
            <v>1773</v>
          </cell>
          <cell r="B125" t="str">
            <v>LUCIANO</v>
          </cell>
          <cell r="C125" t="str">
            <v>BARRACAS CHICA</v>
          </cell>
          <cell r="D125" t="str">
            <v>MARROQUINERIA CHICA</v>
          </cell>
          <cell r="E125">
            <v>26</v>
          </cell>
          <cell r="F125">
            <v>14</v>
          </cell>
          <cell r="G125">
            <v>14</v>
          </cell>
          <cell r="H125">
            <v>45781.696770833332</v>
          </cell>
          <cell r="I125" t="str">
            <v>PORTALENTES LUZ BI FAZ</v>
          </cell>
          <cell r="J125">
            <v>45777</v>
          </cell>
          <cell r="K125">
            <v>45777</v>
          </cell>
          <cell r="L125">
            <v>45792</v>
          </cell>
          <cell r="M125">
            <v>10</v>
          </cell>
          <cell r="N125" t="str">
            <v>M178</v>
          </cell>
          <cell r="O125" t="str">
            <v>AV170134014</v>
          </cell>
          <cell r="P125">
            <v>0</v>
          </cell>
          <cell r="AS125" t="str">
            <v>NO LLEVA CHANCHO</v>
          </cell>
          <cell r="AW125" t="str">
            <v>GRABADO EL LUCERO ARGENTINA CHICO, EN EL FRENTE, A 1.5CM DEL BORDE INFERIOR Y A 1.5 CM DEL BORDE DERECHO.</v>
          </cell>
          <cell r="AX125" t="str">
            <v>AZUL_REVES_BEIGE</v>
          </cell>
          <cell r="AY125" t="str">
            <v>BIANCO-CUERO MODENA ESPESOR 1,4</v>
          </cell>
          <cell r="AZ125" t="str">
            <v>CUE0000159</v>
          </cell>
          <cell r="BA125">
            <v>0.03</v>
          </cell>
          <cell r="KD125">
            <v>26</v>
          </cell>
          <cell r="KE125">
            <v>14</v>
          </cell>
          <cell r="KF125">
            <v>14</v>
          </cell>
          <cell r="KG125">
            <v>0</v>
          </cell>
          <cell r="KJ125">
            <v>0</v>
          </cell>
          <cell r="KM125">
            <v>0</v>
          </cell>
          <cell r="KP125">
            <v>0</v>
          </cell>
          <cell r="KS125">
            <v>0</v>
          </cell>
          <cell r="KV125">
            <v>0</v>
          </cell>
          <cell r="KY125">
            <v>0</v>
          </cell>
          <cell r="LB125">
            <v>0</v>
          </cell>
          <cell r="LE125">
            <v>0</v>
          </cell>
          <cell r="LH125">
            <v>0</v>
          </cell>
          <cell r="LK125">
            <v>0</v>
          </cell>
          <cell r="LN125">
            <v>45791</v>
          </cell>
          <cell r="LO125">
            <v>45797</v>
          </cell>
          <cell r="LP125" t="str">
            <v>COMPLETADO</v>
          </cell>
        </row>
        <row r="126">
          <cell r="A126">
            <v>1774</v>
          </cell>
          <cell r="B126" t="str">
            <v>LUCIANO</v>
          </cell>
          <cell r="C126" t="str">
            <v>EXT GABRIEL</v>
          </cell>
          <cell r="D126" t="str">
            <v>MARROQUINERIA CHICA</v>
          </cell>
          <cell r="E126">
            <v>30</v>
          </cell>
          <cell r="F126">
            <v>30</v>
          </cell>
          <cell r="G126">
            <v>30</v>
          </cell>
          <cell r="H126">
            <v>45781.785925925928</v>
          </cell>
          <cell r="I126" t="str">
            <v>PORTAPASAPORTE CHESTER</v>
          </cell>
          <cell r="J126">
            <v>45779</v>
          </cell>
          <cell r="K126">
            <v>45779</v>
          </cell>
          <cell r="L126">
            <v>45911</v>
          </cell>
          <cell r="M126">
            <v>10</v>
          </cell>
          <cell r="N126" t="str">
            <v>M104</v>
          </cell>
          <cell r="O126" t="str">
            <v>AV170134014</v>
          </cell>
          <cell r="P126">
            <v>0</v>
          </cell>
          <cell r="AW126" t="str">
            <v xml:space="preserve">GRABADO LUCERO ARGENTINA CHICO,CENTRADO EN ESPALDA A 1.5CM DEL BORDE INFERIOR  </v>
          </cell>
          <cell r="AX126" t="str">
            <v>MALBEC</v>
          </cell>
          <cell r="AY126" t="str">
            <v>ARENA-CUERO BRIDGE</v>
          </cell>
          <cell r="AZ126" t="str">
            <v>CUE0000008</v>
          </cell>
          <cell r="BA126">
            <v>0.05</v>
          </cell>
          <cell r="BB126" t="str">
            <v>AV1401254460</v>
          </cell>
          <cell r="BC126">
            <v>0</v>
          </cell>
          <cell r="BR126" t="str">
            <v>NEGRO</v>
          </cell>
          <cell r="BS126" t="str">
            <v>ARENA-CUERO BRIDGE</v>
          </cell>
          <cell r="BT126" t="str">
            <v>CUE0000009</v>
          </cell>
          <cell r="BU126">
            <v>0.05</v>
          </cell>
          <cell r="BV126" t="str">
            <v>AV1401254060</v>
          </cell>
          <cell r="BW126">
            <v>0</v>
          </cell>
          <cell r="CL126" t="str">
            <v>ROJO</v>
          </cell>
          <cell r="CM126" t="str">
            <v>ARENA-CUERO BRIDGE</v>
          </cell>
          <cell r="CN126" t="str">
            <v>CUE0000010</v>
          </cell>
          <cell r="CO126">
            <v>0.05</v>
          </cell>
          <cell r="CP126" t="str">
            <v>AV1401254460</v>
          </cell>
          <cell r="CQ126">
            <v>0</v>
          </cell>
          <cell r="KD126">
            <v>14</v>
          </cell>
          <cell r="KE126">
            <v>14</v>
          </cell>
          <cell r="KF126">
            <v>14</v>
          </cell>
          <cell r="KG126">
            <v>4</v>
          </cell>
          <cell r="KH126">
            <v>4</v>
          </cell>
          <cell r="KI126">
            <v>4</v>
          </cell>
          <cell r="KJ126">
            <v>12</v>
          </cell>
          <cell r="KK126">
            <v>12</v>
          </cell>
          <cell r="KL126">
            <v>12</v>
          </cell>
          <cell r="KM126">
            <v>0</v>
          </cell>
          <cell r="KP126">
            <v>0</v>
          </cell>
          <cell r="KS126">
            <v>0</v>
          </cell>
          <cell r="KV126">
            <v>0</v>
          </cell>
          <cell r="KY126">
            <v>0</v>
          </cell>
          <cell r="LB126">
            <v>0</v>
          </cell>
          <cell r="LE126">
            <v>0</v>
          </cell>
          <cell r="LH126">
            <v>0</v>
          </cell>
          <cell r="LK126">
            <v>0</v>
          </cell>
          <cell r="LN126">
            <v>45779</v>
          </cell>
          <cell r="LO126">
            <v>45911</v>
          </cell>
          <cell r="LP126" t="str">
            <v>COMPLETADO</v>
          </cell>
        </row>
        <row r="127">
          <cell r="A127">
            <v>1775</v>
          </cell>
          <cell r="B127" t="str">
            <v>LUCIANO</v>
          </cell>
          <cell r="C127" t="str">
            <v>EXT GABRIEL</v>
          </cell>
          <cell r="D127" t="str">
            <v>MARROQUINERIA CHICA</v>
          </cell>
          <cell r="E127">
            <v>16</v>
          </cell>
          <cell r="F127">
            <v>16</v>
          </cell>
          <cell r="G127">
            <v>16</v>
          </cell>
          <cell r="H127">
            <v>45781.817002314812</v>
          </cell>
          <cell r="I127" t="str">
            <v>PORTAPASAPORTE CHESTER BI FAZ</v>
          </cell>
          <cell r="J127">
            <v>45852</v>
          </cell>
          <cell r="K127">
            <v>45852</v>
          </cell>
          <cell r="L127">
            <v>45853</v>
          </cell>
          <cell r="M127">
            <v>10</v>
          </cell>
          <cell r="N127" t="str">
            <v>M179</v>
          </cell>
          <cell r="O127" t="str">
            <v>AV170134014</v>
          </cell>
          <cell r="P127">
            <v>0</v>
          </cell>
          <cell r="AW127" t="str">
            <v>GRABADO LUCERO ARGENTINA CHICO, CENTRADO EN ESPALDA A 1.5CM DEL BORDE INFERIOR</v>
          </cell>
          <cell r="AX127" t="str">
            <v>VERDE_REVES_SUELA</v>
          </cell>
          <cell r="AY127" t="str">
            <v>BIANCO-CUERO MODENA ESPESOR 1,6</v>
          </cell>
          <cell r="AZ127" t="str">
            <v>CUE0000121</v>
          </cell>
          <cell r="BA127">
            <v>0.05</v>
          </cell>
          <cell r="BR127" t="str">
            <v>AZUL_REVES_SUELA</v>
          </cell>
          <cell r="BS127" t="str">
            <v>BIANCO-CUERO MODENA ESPESOR 1,6</v>
          </cell>
          <cell r="BT127" t="str">
            <v>CUE0000122</v>
          </cell>
          <cell r="BU127">
            <v>0.05</v>
          </cell>
          <cell r="KD127">
            <v>8</v>
          </cell>
          <cell r="KE127">
            <v>8</v>
          </cell>
          <cell r="KF127">
            <v>8</v>
          </cell>
          <cell r="KG127">
            <v>8</v>
          </cell>
          <cell r="KH127">
            <v>8</v>
          </cell>
          <cell r="KI127">
            <v>8</v>
          </cell>
          <cell r="KJ127">
            <v>0</v>
          </cell>
          <cell r="KM127">
            <v>0</v>
          </cell>
          <cell r="KP127">
            <v>0</v>
          </cell>
          <cell r="KS127">
            <v>0</v>
          </cell>
          <cell r="KV127">
            <v>0</v>
          </cell>
          <cell r="KY127">
            <v>0</v>
          </cell>
          <cell r="LB127">
            <v>0</v>
          </cell>
          <cell r="LE127">
            <v>0</v>
          </cell>
          <cell r="LH127">
            <v>0</v>
          </cell>
          <cell r="LK127">
            <v>0</v>
          </cell>
          <cell r="LN127">
            <v>45852</v>
          </cell>
          <cell r="LO127">
            <v>45867</v>
          </cell>
          <cell r="LP127" t="str">
            <v>COMPLETADO</v>
          </cell>
        </row>
        <row r="128">
          <cell r="A128">
            <v>1776</v>
          </cell>
          <cell r="B128" t="str">
            <v>LUCIANO</v>
          </cell>
          <cell r="C128" t="str">
            <v>EXT GABRIEL</v>
          </cell>
          <cell r="D128" t="str">
            <v>MARROQUINERIA CHICA</v>
          </cell>
          <cell r="E128">
            <v>36</v>
          </cell>
          <cell r="F128">
            <v>30</v>
          </cell>
          <cell r="G128">
            <v>30</v>
          </cell>
          <cell r="H128">
            <v>45781.831759259258</v>
          </cell>
          <cell r="I128" t="str">
            <v>TARJETERO RUBI</v>
          </cell>
          <cell r="J128">
            <v>45779</v>
          </cell>
          <cell r="K128">
            <v>45779</v>
          </cell>
          <cell r="L128">
            <v>45933</v>
          </cell>
          <cell r="M128">
            <v>10</v>
          </cell>
          <cell r="N128" t="str">
            <v>M129</v>
          </cell>
          <cell r="O128" t="str">
            <v>AV0700420101</v>
          </cell>
          <cell r="P128">
            <v>1</v>
          </cell>
          <cell r="Q128" t="str">
            <v>AV170134014</v>
          </cell>
          <cell r="R128">
            <v>0</v>
          </cell>
          <cell r="AW128" t="str">
            <v xml:space="preserve">GRABADO "EL LUCERO ARGENTINA " EN ESPALDA CENTRADO, BORDE INFERIOR </v>
          </cell>
          <cell r="AX128" t="str">
            <v>VERDE_REVES_VERDE</v>
          </cell>
          <cell r="AY128" t="str">
            <v>BIANCO-CUERO MODENA ESPESOR 1,4</v>
          </cell>
          <cell r="AZ128" t="str">
            <v>CUE0000118</v>
          </cell>
          <cell r="BA128">
            <v>0.03</v>
          </cell>
          <cell r="BB128" t="str">
            <v>AV1401254260</v>
          </cell>
          <cell r="BC128">
            <v>0</v>
          </cell>
          <cell r="BR128" t="str">
            <v>MALBEC</v>
          </cell>
          <cell r="BS128" t="str">
            <v>ARENA-CUERO BRIDGE</v>
          </cell>
          <cell r="BT128" t="str">
            <v>CUE0000008</v>
          </cell>
          <cell r="BU128">
            <v>0.03</v>
          </cell>
          <cell r="BV128" t="str">
            <v>AV1401250545</v>
          </cell>
          <cell r="BW128">
            <v>0</v>
          </cell>
          <cell r="CL128" t="str">
            <v>ROJO</v>
          </cell>
          <cell r="CM128" t="str">
            <v>ARENA-CUERO BRIDGE</v>
          </cell>
          <cell r="CN128" t="str">
            <v>CUE0000010</v>
          </cell>
          <cell r="CO128">
            <v>0.03</v>
          </cell>
          <cell r="CP128" t="str">
            <v>AV1401254460</v>
          </cell>
          <cell r="CQ128">
            <v>0</v>
          </cell>
          <cell r="DF128" t="str">
            <v>CEDRO</v>
          </cell>
          <cell r="DG128" t="str">
            <v>BIANCO-CUERO FIORENTINO</v>
          </cell>
          <cell r="DH128" t="str">
            <v>CUE0000055</v>
          </cell>
          <cell r="DI128">
            <v>0.03</v>
          </cell>
          <cell r="DJ128" t="str">
            <v>AV1401250545</v>
          </cell>
          <cell r="DK128">
            <v>0</v>
          </cell>
          <cell r="KD128">
            <v>6</v>
          </cell>
          <cell r="KE128">
            <v>0</v>
          </cell>
          <cell r="KF128">
            <v>0</v>
          </cell>
          <cell r="KG128">
            <v>6</v>
          </cell>
          <cell r="KH128">
            <v>6</v>
          </cell>
          <cell r="KI128">
            <v>6</v>
          </cell>
          <cell r="KJ128">
            <v>12</v>
          </cell>
          <cell r="KK128">
            <v>12</v>
          </cell>
          <cell r="KL128">
            <v>12</v>
          </cell>
          <cell r="KM128">
            <v>12</v>
          </cell>
          <cell r="KN128">
            <v>12</v>
          </cell>
          <cell r="KO128">
            <v>12</v>
          </cell>
          <cell r="KP128">
            <v>0</v>
          </cell>
          <cell r="KS128">
            <v>0</v>
          </cell>
          <cell r="KV128">
            <v>0</v>
          </cell>
          <cell r="KY128">
            <v>0</v>
          </cell>
          <cell r="LB128">
            <v>0</v>
          </cell>
          <cell r="LE128">
            <v>0</v>
          </cell>
          <cell r="LH128">
            <v>0</v>
          </cell>
          <cell r="LK128">
            <v>0</v>
          </cell>
          <cell r="LN128">
            <v>45779</v>
          </cell>
          <cell r="LO128">
            <v>45937</v>
          </cell>
          <cell r="LP128" t="str">
            <v>COMPLETADO</v>
          </cell>
        </row>
        <row r="129">
          <cell r="A129">
            <v>1777</v>
          </cell>
          <cell r="B129" t="str">
            <v>LUCIANO</v>
          </cell>
          <cell r="C129" t="str">
            <v>EXT GABRIEL</v>
          </cell>
          <cell r="D129" t="str">
            <v>MARROQUINERIA CHICA</v>
          </cell>
          <cell r="E129">
            <v>6</v>
          </cell>
          <cell r="F129">
            <v>6</v>
          </cell>
          <cell r="G129">
            <v>6</v>
          </cell>
          <cell r="H129">
            <v>45781.837118055555</v>
          </cell>
          <cell r="I129" t="str">
            <v>TARJETERO VINCENT</v>
          </cell>
          <cell r="J129">
            <v>45779</v>
          </cell>
          <cell r="K129">
            <v>45779</v>
          </cell>
          <cell r="M129">
            <v>35</v>
          </cell>
          <cell r="N129" t="str">
            <v>M130</v>
          </cell>
          <cell r="O129" t="str">
            <v>AV0700420101</v>
          </cell>
          <cell r="P129">
            <v>2</v>
          </cell>
          <cell r="Q129" t="str">
            <v>AV170134014</v>
          </cell>
          <cell r="R129">
            <v>0</v>
          </cell>
          <cell r="AW129" t="str">
            <v xml:space="preserve">GRABADO "EL LUCERO ARGENTINA" CHICO EN ESPALDA, A 1,5 CM DEL BORDE INFERIOR, CENTRADO.  </v>
          </cell>
          <cell r="AX129" t="str">
            <v>TABACO</v>
          </cell>
          <cell r="AY129" t="str">
            <v>ARENA-CUERO BRIDGE</v>
          </cell>
          <cell r="AZ129" t="str">
            <v>CUE0000012</v>
          </cell>
          <cell r="BA129">
            <v>0.06</v>
          </cell>
          <cell r="BB129" t="str">
            <v>FOR0000015</v>
          </cell>
          <cell r="BC129">
            <v>0.02</v>
          </cell>
          <cell r="BD129" t="str">
            <v>AV1401250545</v>
          </cell>
          <cell r="BE129">
            <v>0</v>
          </cell>
          <cell r="BF129" t="str">
            <v>AV1601300954</v>
          </cell>
          <cell r="BG129">
            <v>0</v>
          </cell>
          <cell r="BR129" t="str">
            <v>ROJO</v>
          </cell>
          <cell r="BS129" t="str">
            <v>ARENA-CUERO BRIDGE</v>
          </cell>
          <cell r="BT129" t="str">
            <v>CUE0000010</v>
          </cell>
          <cell r="BU129">
            <v>0.06</v>
          </cell>
          <cell r="BV129" t="str">
            <v>FOR0000016</v>
          </cell>
          <cell r="BW129">
            <v>0.02</v>
          </cell>
          <cell r="BX129" t="str">
            <v>AV1401254460</v>
          </cell>
          <cell r="BY129">
            <v>0</v>
          </cell>
          <cell r="BZ129" t="str">
            <v>AV1601300929</v>
          </cell>
          <cell r="CA129">
            <v>0</v>
          </cell>
          <cell r="KD129">
            <v>3</v>
          </cell>
          <cell r="KE129">
            <v>3</v>
          </cell>
          <cell r="KF129">
            <v>3</v>
          </cell>
          <cell r="KG129">
            <v>3</v>
          </cell>
          <cell r="KH129">
            <v>3</v>
          </cell>
          <cell r="KI129">
            <v>3</v>
          </cell>
          <cell r="KJ129">
            <v>0</v>
          </cell>
          <cell r="KM129">
            <v>0</v>
          </cell>
          <cell r="KP129">
            <v>0</v>
          </cell>
          <cell r="KS129">
            <v>0</v>
          </cell>
          <cell r="KV129">
            <v>0</v>
          </cell>
          <cell r="KY129">
            <v>0</v>
          </cell>
          <cell r="LB129">
            <v>0</v>
          </cell>
          <cell r="LE129">
            <v>0</v>
          </cell>
          <cell r="LH129">
            <v>0</v>
          </cell>
          <cell r="LK129">
            <v>0</v>
          </cell>
          <cell r="LO129">
            <v>45783</v>
          </cell>
          <cell r="LP129" t="str">
            <v>COMPLETADO</v>
          </cell>
        </row>
        <row r="130">
          <cell r="A130">
            <v>1778</v>
          </cell>
          <cell r="B130" t="str">
            <v>LUCIANO</v>
          </cell>
          <cell r="C130" t="str">
            <v>EXT GABRIEL</v>
          </cell>
          <cell r="D130" t="str">
            <v>MARROQUINERIA CHICA</v>
          </cell>
          <cell r="E130">
            <v>42</v>
          </cell>
          <cell r="F130">
            <v>42</v>
          </cell>
          <cell r="G130">
            <v>42</v>
          </cell>
          <cell r="H130">
            <v>45781.840104166666</v>
          </cell>
          <cell r="I130" t="str">
            <v>TARJETERO HARRY</v>
          </cell>
          <cell r="J130">
            <v>45777</v>
          </cell>
          <cell r="K130">
            <v>45777</v>
          </cell>
          <cell r="L130">
            <v>45911</v>
          </cell>
          <cell r="M130">
            <v>20</v>
          </cell>
          <cell r="N130" t="str">
            <v>M125</v>
          </cell>
          <cell r="O130" t="str">
            <v>AV170134014</v>
          </cell>
          <cell r="P130">
            <v>0</v>
          </cell>
          <cell r="AW130" t="str">
            <v xml:space="preserve">GRABADO " EL LUCERO ARGENTINA" CHICO ENINTERIOR CENTRADO SOBRE LA DERECHA (VER MUESTRA)   </v>
          </cell>
          <cell r="AX130" t="str">
            <v>MALBEC</v>
          </cell>
          <cell r="AY130" t="str">
            <v>ARENA-CUERO BRIDGE</v>
          </cell>
          <cell r="AZ130" t="str">
            <v>CUE0000008</v>
          </cell>
          <cell r="BA130">
            <v>0.05</v>
          </cell>
          <cell r="BB130">
            <v>0</v>
          </cell>
          <cell r="BC130">
            <v>0.02</v>
          </cell>
          <cell r="BD130" t="str">
            <v>FOR0000016</v>
          </cell>
          <cell r="BE130">
            <v>0.05</v>
          </cell>
          <cell r="BF130" t="str">
            <v>AV1401250545</v>
          </cell>
          <cell r="BG130">
            <v>0</v>
          </cell>
          <cell r="BR130" t="str">
            <v>NEGRO</v>
          </cell>
          <cell r="BS130" t="str">
            <v>ARENA-CUERO BRIDGE</v>
          </cell>
          <cell r="BT130" t="str">
            <v>CUE0000009</v>
          </cell>
          <cell r="BU130">
            <v>0.05</v>
          </cell>
          <cell r="BV130">
            <v>0</v>
          </cell>
          <cell r="BW130">
            <v>0.02</v>
          </cell>
          <cell r="BX130" t="str">
            <v>FOR0000018</v>
          </cell>
          <cell r="BY130">
            <v>0.05</v>
          </cell>
          <cell r="BZ130" t="str">
            <v>AV1401254060</v>
          </cell>
          <cell r="CA130">
            <v>0</v>
          </cell>
          <cell r="CL130" t="str">
            <v>ROJO</v>
          </cell>
          <cell r="CM130" t="str">
            <v>ARENA-CUERO BRIDGE</v>
          </cell>
          <cell r="CN130" t="str">
            <v>CUE0000010</v>
          </cell>
          <cell r="CO130">
            <v>0.05</v>
          </cell>
          <cell r="CP130">
            <v>0</v>
          </cell>
          <cell r="CQ130">
            <v>0.02</v>
          </cell>
          <cell r="CR130" t="str">
            <v>FOR0000016</v>
          </cell>
          <cell r="CS130">
            <v>0.05</v>
          </cell>
          <cell r="CT130" t="str">
            <v>AV1401254460</v>
          </cell>
          <cell r="CU130">
            <v>0</v>
          </cell>
          <cell r="DF130" t="str">
            <v>TABACO</v>
          </cell>
          <cell r="DG130" t="str">
            <v>ARENA-CUERO BRIDGE</v>
          </cell>
          <cell r="DH130" t="str">
            <v>CUE0000012</v>
          </cell>
          <cell r="DI130">
            <v>0.05</v>
          </cell>
          <cell r="DJ130">
            <v>0</v>
          </cell>
          <cell r="DK130">
            <v>0.02</v>
          </cell>
          <cell r="DL130" t="str">
            <v>FOR0000015</v>
          </cell>
          <cell r="DM130">
            <v>0.05</v>
          </cell>
          <cell r="DN130" t="str">
            <v>AV1401250545</v>
          </cell>
          <cell r="DO130">
            <v>0</v>
          </cell>
          <cell r="KD130">
            <v>10</v>
          </cell>
          <cell r="KE130">
            <v>10</v>
          </cell>
          <cell r="KF130">
            <v>10</v>
          </cell>
          <cell r="KG130">
            <v>12</v>
          </cell>
          <cell r="KH130">
            <v>12</v>
          </cell>
          <cell r="KI130">
            <v>12</v>
          </cell>
          <cell r="KJ130">
            <v>10</v>
          </cell>
          <cell r="KK130">
            <v>10</v>
          </cell>
          <cell r="KL130">
            <v>10</v>
          </cell>
          <cell r="KM130">
            <v>10</v>
          </cell>
          <cell r="KN130">
            <v>10</v>
          </cell>
          <cell r="KO130">
            <v>10</v>
          </cell>
          <cell r="KP130">
            <v>0</v>
          </cell>
          <cell r="KS130">
            <v>0</v>
          </cell>
          <cell r="KV130">
            <v>0</v>
          </cell>
          <cell r="KY130">
            <v>0</v>
          </cell>
          <cell r="LB130">
            <v>0</v>
          </cell>
          <cell r="LE130">
            <v>0</v>
          </cell>
          <cell r="LH130">
            <v>0</v>
          </cell>
          <cell r="LK130">
            <v>0</v>
          </cell>
          <cell r="LN130">
            <v>45777</v>
          </cell>
          <cell r="LO130">
            <v>45916</v>
          </cell>
          <cell r="LP130" t="str">
            <v>COMPLETADO</v>
          </cell>
        </row>
        <row r="131">
          <cell r="A131">
            <v>1779</v>
          </cell>
          <cell r="B131" t="str">
            <v>LUCIANO</v>
          </cell>
          <cell r="C131" t="str">
            <v>EXT GABRIEL</v>
          </cell>
          <cell r="D131" t="str">
            <v>MARROQUINERIA CHICA</v>
          </cell>
          <cell r="E131">
            <v>18</v>
          </cell>
          <cell r="F131">
            <v>18</v>
          </cell>
          <cell r="G131">
            <v>18</v>
          </cell>
          <cell r="H131">
            <v>45781.84648148148</v>
          </cell>
          <cell r="I131" t="str">
            <v>MOUSEPAD</v>
          </cell>
          <cell r="J131">
            <v>45777</v>
          </cell>
          <cell r="K131">
            <v>45777</v>
          </cell>
          <cell r="M131">
            <v>9</v>
          </cell>
          <cell r="N131" t="str">
            <v>M136</v>
          </cell>
          <cell r="O131" t="str">
            <v>AV170134014</v>
          </cell>
          <cell r="P131">
            <v>0</v>
          </cell>
          <cell r="AW131" t="str">
            <v xml:space="preserve">GRABADO "EL LUCERO CHICO" ESQUINA INFERIOR DERECHA    </v>
          </cell>
          <cell r="AX131" t="str">
            <v>ROJO</v>
          </cell>
          <cell r="AY131" t="str">
            <v>ARENA-CUERO BRIDGE</v>
          </cell>
          <cell r="AZ131" t="str">
            <v>CUE0000010</v>
          </cell>
          <cell r="BA131">
            <v>0.04</v>
          </cell>
          <cell r="BB131" t="str">
            <v>FOR0000030</v>
          </cell>
          <cell r="BC131">
            <v>0.04</v>
          </cell>
          <cell r="BR131" t="str">
            <v>SUELA</v>
          </cell>
          <cell r="BS131" t="str">
            <v>ARENA-CUERO NAPADO</v>
          </cell>
          <cell r="BT131" t="str">
            <v>CUE0000028</v>
          </cell>
          <cell r="BU131">
            <v>0.04</v>
          </cell>
          <cell r="BV131" t="str">
            <v>FOR0000028</v>
          </cell>
          <cell r="BW131">
            <v>0.04</v>
          </cell>
          <cell r="CL131" t="str">
            <v>TABACO</v>
          </cell>
          <cell r="CM131" t="str">
            <v>ARENA-CUERO BRIDGE</v>
          </cell>
          <cell r="CN131" t="str">
            <v>CUE0000012</v>
          </cell>
          <cell r="CO131">
            <v>0.04</v>
          </cell>
          <cell r="CP131" t="str">
            <v>FOR0000031</v>
          </cell>
          <cell r="CQ131">
            <v>0.04</v>
          </cell>
          <cell r="KD131">
            <v>4</v>
          </cell>
          <cell r="KE131">
            <v>4</v>
          </cell>
          <cell r="KF131">
            <v>4</v>
          </cell>
          <cell r="KG131">
            <v>6</v>
          </cell>
          <cell r="KH131">
            <v>6</v>
          </cell>
          <cell r="KI131">
            <v>6</v>
          </cell>
          <cell r="KJ131">
            <v>8</v>
          </cell>
          <cell r="KK131">
            <v>8</v>
          </cell>
          <cell r="KL131">
            <v>8</v>
          </cell>
          <cell r="KM131">
            <v>0</v>
          </cell>
          <cell r="KP131">
            <v>0</v>
          </cell>
          <cell r="KS131">
            <v>0</v>
          </cell>
          <cell r="KV131">
            <v>0</v>
          </cell>
          <cell r="KY131">
            <v>0</v>
          </cell>
          <cell r="LB131">
            <v>0</v>
          </cell>
          <cell r="LE131">
            <v>0</v>
          </cell>
          <cell r="LH131">
            <v>0</v>
          </cell>
          <cell r="LK131">
            <v>0</v>
          </cell>
          <cell r="LO131">
            <v>45786</v>
          </cell>
          <cell r="LP131" t="str">
            <v>COMPLETADO</v>
          </cell>
        </row>
        <row r="132">
          <cell r="A132">
            <v>1780</v>
          </cell>
          <cell r="B132" t="str">
            <v>RUBEN</v>
          </cell>
          <cell r="C132" t="str">
            <v>BARRACAS GRANDE</v>
          </cell>
          <cell r="D132" t="str">
            <v>MARROQUINERIA GRANDE</v>
          </cell>
          <cell r="E132">
            <v>82</v>
          </cell>
          <cell r="F132">
            <v>78</v>
          </cell>
          <cell r="G132">
            <v>78</v>
          </cell>
          <cell r="H132">
            <v>45789.532627314817</v>
          </cell>
          <cell r="I132" t="str">
            <v>TOTE CACHI</v>
          </cell>
          <cell r="J132">
            <v>45783</v>
          </cell>
          <cell r="K132">
            <v>45783</v>
          </cell>
          <cell r="L132">
            <v>45658</v>
          </cell>
          <cell r="M132">
            <v>30</v>
          </cell>
          <cell r="N132" t="str">
            <v>M169</v>
          </cell>
          <cell r="AS132" t="str">
            <v>CORREA 2 CM / SIN PINTURA</v>
          </cell>
          <cell r="AT132" t="str">
            <v xml:space="preserve"> PEGAR ETIQUETA DE CUERO AL FRENTE</v>
          </cell>
          <cell r="AU132" t="str">
            <v>HILO AL TONO CON HILO GRUESO N 20</v>
          </cell>
          <cell r="AW132" t="str">
            <v>GRABADO ETIQUETA EN NAPADO 7,5CM X 5,5 CM  "EL LUCERO HIGH QUALITY GOODS"</v>
          </cell>
          <cell r="AX132" t="str">
            <v>NEGRO</v>
          </cell>
          <cell r="AY132" t="str">
            <v>VANESKA-CUERO NAPADO DUNA</v>
          </cell>
          <cell r="AZ132" t="str">
            <v>CUE0000059</v>
          </cell>
          <cell r="BA132">
            <v>0.45</v>
          </cell>
          <cell r="BR132" t="str">
            <v>SUELA</v>
          </cell>
          <cell r="BS132" t="str">
            <v>ARENA-CUERO NAPADO</v>
          </cell>
          <cell r="BT132" t="str">
            <v>CUE0000028</v>
          </cell>
          <cell r="BU132">
            <v>0.45</v>
          </cell>
          <cell r="CL132" t="str">
            <v>CARAMELO</v>
          </cell>
          <cell r="CM132" t="str">
            <v>ARENA-CUERO NAPADO</v>
          </cell>
          <cell r="CN132" t="str">
            <v>CUE0000022</v>
          </cell>
          <cell r="CO132">
            <v>0.45</v>
          </cell>
          <cell r="DF132" t="str">
            <v>MALBEC</v>
          </cell>
          <cell r="DG132" t="str">
            <v>ARENA-CUERO NAPADO</v>
          </cell>
          <cell r="DH132" t="str">
            <v>CUE0000025</v>
          </cell>
          <cell r="DI132">
            <v>0.45</v>
          </cell>
          <cell r="DZ132" t="str">
            <v>CAFE_GAMUZA_CHOCOLATE</v>
          </cell>
          <cell r="EA132" t="str">
            <v>NAPOLITANA-CUERO GAMUZA</v>
          </cell>
          <cell r="EB132" t="str">
            <v>CUE0000039</v>
          </cell>
          <cell r="EC132">
            <v>0.45</v>
          </cell>
          <cell r="ED132" t="str">
            <v>CUE0000012</v>
          </cell>
          <cell r="EE132">
            <v>0</v>
          </cell>
          <cell r="ET132" t="str">
            <v>OLIVA_GAMUZA_TABACO</v>
          </cell>
          <cell r="EU132" t="str">
            <v>NAPOLITANA-CUERO GAMUZA</v>
          </cell>
          <cell r="EV132" t="str">
            <v>CUE0000047</v>
          </cell>
          <cell r="EW132">
            <v>0.45</v>
          </cell>
          <cell r="EX132" t="str">
            <v>CUE0000012</v>
          </cell>
          <cell r="EY132">
            <v>0</v>
          </cell>
          <cell r="KD132">
            <v>12</v>
          </cell>
          <cell r="KE132">
            <v>12</v>
          </cell>
          <cell r="KF132">
            <v>12</v>
          </cell>
          <cell r="KG132">
            <v>6</v>
          </cell>
          <cell r="KH132">
            <v>6</v>
          </cell>
          <cell r="KI132">
            <v>6</v>
          </cell>
          <cell r="KJ132">
            <v>9</v>
          </cell>
          <cell r="KK132">
            <v>9</v>
          </cell>
          <cell r="KL132">
            <v>9</v>
          </cell>
          <cell r="KM132">
            <v>4</v>
          </cell>
          <cell r="KN132">
            <v>4</v>
          </cell>
          <cell r="KO132">
            <v>4</v>
          </cell>
          <cell r="KP132">
            <v>14</v>
          </cell>
          <cell r="KQ132">
            <v>12</v>
          </cell>
          <cell r="KR132">
            <v>12</v>
          </cell>
          <cell r="KS132">
            <v>9</v>
          </cell>
          <cell r="KT132">
            <v>9</v>
          </cell>
          <cell r="KU132">
            <v>9</v>
          </cell>
          <cell r="KV132">
            <v>14</v>
          </cell>
          <cell r="KW132">
            <v>12</v>
          </cell>
          <cell r="KX132">
            <v>12</v>
          </cell>
          <cell r="KY132">
            <v>14</v>
          </cell>
          <cell r="KZ132">
            <v>14</v>
          </cell>
          <cell r="LA132">
            <v>14</v>
          </cell>
          <cell r="LB132">
            <v>0</v>
          </cell>
          <cell r="LE132">
            <v>0</v>
          </cell>
          <cell r="LH132">
            <v>0</v>
          </cell>
          <cell r="LK132">
            <v>0</v>
          </cell>
          <cell r="LO132">
            <v>45790</v>
          </cell>
          <cell r="LP132" t="str">
            <v>COMPLETADO</v>
          </cell>
        </row>
        <row r="133">
          <cell r="A133">
            <v>1783</v>
          </cell>
          <cell r="B133" t="str">
            <v>LUCIANO</v>
          </cell>
          <cell r="C133" t="str">
            <v>PERDRIEL</v>
          </cell>
          <cell r="D133" t="str">
            <v>MARROQUINERIA CHICA</v>
          </cell>
          <cell r="E133">
            <v>24</v>
          </cell>
          <cell r="F133">
            <v>21</v>
          </cell>
          <cell r="G133">
            <v>19</v>
          </cell>
          <cell r="H133">
            <v>45789.539178240739</v>
          </cell>
          <cell r="I133" t="str">
            <v>BILLETERA COPAHUE</v>
          </cell>
          <cell r="J133">
            <v>45786</v>
          </cell>
          <cell r="K133">
            <v>45786</v>
          </cell>
          <cell r="M133">
            <v>50</v>
          </cell>
          <cell r="N133" t="str">
            <v>M014</v>
          </cell>
          <cell r="O133" t="str">
            <v>VAR0000002</v>
          </cell>
          <cell r="P133">
            <v>0.01</v>
          </cell>
          <cell r="Q133" t="str">
            <v>BAC1300050727</v>
          </cell>
          <cell r="R133">
            <v>0.01</v>
          </cell>
          <cell r="S133" t="str">
            <v>AV0101070301</v>
          </cell>
          <cell r="T133">
            <v>1</v>
          </cell>
          <cell r="U133" t="str">
            <v>AV0600560101</v>
          </cell>
          <cell r="V133">
            <v>1</v>
          </cell>
          <cell r="W133" t="str">
            <v>AV0401380101</v>
          </cell>
          <cell r="X133">
            <v>1</v>
          </cell>
          <cell r="Y133" t="str">
            <v>AV170134014</v>
          </cell>
          <cell r="Z133">
            <v>0</v>
          </cell>
          <cell r="AA133" t="str">
            <v>BAC0200071027</v>
          </cell>
          <cell r="AB133">
            <v>0.01</v>
          </cell>
          <cell r="AW133" t="str">
            <v xml:space="preserve">GRABADO EL LUCERO EN SOLAPA FRONTAL CENTRADO A 1 CM DEL BORDE  </v>
          </cell>
          <cell r="AX133" t="str">
            <v>ROJO</v>
          </cell>
          <cell r="AY133" t="str">
            <v>ARENA-CUERO NAPADO</v>
          </cell>
          <cell r="AZ133" t="str">
            <v>CUE0000027</v>
          </cell>
          <cell r="BA133">
            <v>0.09</v>
          </cell>
          <cell r="BB133" t="str">
            <v>AV0100020313</v>
          </cell>
          <cell r="BC133">
            <v>0.12</v>
          </cell>
          <cell r="BD133" t="str">
            <v>FOR0000016</v>
          </cell>
          <cell r="BE133">
            <v>0.1</v>
          </cell>
          <cell r="BF133" t="str">
            <v>AV1401254460</v>
          </cell>
          <cell r="BG133">
            <v>0</v>
          </cell>
          <cell r="BR133" t="str">
            <v>VERDE_REVES_VERDE</v>
          </cell>
          <cell r="BS133" t="str">
            <v>BIANCO-CUERO MODENA ESPESOR 1,4</v>
          </cell>
          <cell r="BT133" t="str">
            <v>CUE0000118</v>
          </cell>
          <cell r="BU133">
            <v>0.09</v>
          </cell>
          <cell r="BV133" t="str">
            <v>AV0100020317</v>
          </cell>
          <cell r="BW133">
            <v>0.12</v>
          </cell>
          <cell r="BX133" t="str">
            <v>FOR0000013</v>
          </cell>
          <cell r="BY133">
            <v>0.1</v>
          </cell>
          <cell r="BZ133" t="str">
            <v>AV1401254260</v>
          </cell>
          <cell r="CA133">
            <v>0</v>
          </cell>
          <cell r="CL133" t="str">
            <v>AZUL_REVES_AZUL</v>
          </cell>
          <cell r="CM133" t="str">
            <v>BIANCO-CUERO MODENA ESPESOR 1,4</v>
          </cell>
          <cell r="CN133" t="str">
            <v>CUE0000119</v>
          </cell>
          <cell r="CO133">
            <v>0.09</v>
          </cell>
          <cell r="CP133" t="str">
            <v>AV0100020336</v>
          </cell>
          <cell r="CQ133">
            <v>0.12</v>
          </cell>
          <cell r="CR133" t="str">
            <v>FOR0000014</v>
          </cell>
          <cell r="CS133">
            <v>0.1</v>
          </cell>
          <cell r="CT133" t="str">
            <v>AV1401254360</v>
          </cell>
          <cell r="CU133">
            <v>0</v>
          </cell>
          <cell r="KD133">
            <v>12</v>
          </cell>
          <cell r="KE133">
            <v>11</v>
          </cell>
          <cell r="KF133">
            <v>11</v>
          </cell>
          <cell r="KG133">
            <v>6</v>
          </cell>
          <cell r="KH133">
            <v>4</v>
          </cell>
          <cell r="KI133">
            <v>2</v>
          </cell>
          <cell r="KJ133">
            <v>6</v>
          </cell>
          <cell r="KK133">
            <v>6</v>
          </cell>
          <cell r="KL133">
            <v>6</v>
          </cell>
          <cell r="KM133">
            <v>0</v>
          </cell>
          <cell r="KP133">
            <v>0</v>
          </cell>
          <cell r="KS133">
            <v>0</v>
          </cell>
          <cell r="KV133">
            <v>0</v>
          </cell>
          <cell r="KY133">
            <v>0</v>
          </cell>
          <cell r="LB133">
            <v>0</v>
          </cell>
          <cell r="LE133">
            <v>0</v>
          </cell>
          <cell r="LH133">
            <v>0</v>
          </cell>
          <cell r="LK133">
            <v>0</v>
          </cell>
          <cell r="LO133">
            <v>45804</v>
          </cell>
          <cell r="LP133" t="str">
            <v>COMPLETADO</v>
          </cell>
        </row>
        <row r="134">
          <cell r="A134">
            <v>1784</v>
          </cell>
          <cell r="B134" t="str">
            <v>LUCIANO</v>
          </cell>
          <cell r="C134" t="str">
            <v>PERDRIEL</v>
          </cell>
          <cell r="D134" t="str">
            <v>MARROQUINERIA CHICA</v>
          </cell>
          <cell r="E134">
            <v>30</v>
          </cell>
          <cell r="F134">
            <v>24</v>
          </cell>
          <cell r="G134">
            <v>24</v>
          </cell>
          <cell r="H134">
            <v>45789.543796296297</v>
          </cell>
          <cell r="I134" t="str">
            <v>BILLETERA LUCA</v>
          </cell>
          <cell r="J134">
            <v>45786</v>
          </cell>
          <cell r="K134">
            <v>45786</v>
          </cell>
          <cell r="M134">
            <v>40</v>
          </cell>
          <cell r="N134" t="str">
            <v>M021</v>
          </cell>
          <cell r="O134" t="str">
            <v>AV170134014</v>
          </cell>
          <cell r="P134">
            <v>0</v>
          </cell>
          <cell r="AS134" t="str">
            <v>VENTANA EN PVC NO EN RED</v>
          </cell>
          <cell r="AW134" t="str">
            <v xml:space="preserve">GRABADO "EL LUCERO ARGENTINA"CHICO EN INTERIOR ESQUINA INFERIOR DERECHO  </v>
          </cell>
          <cell r="AX134" t="str">
            <v>CEDRO</v>
          </cell>
          <cell r="AY134" t="str">
            <v>BIANCO-CUERO FIORENTINO</v>
          </cell>
          <cell r="AZ134" t="str">
            <v>CUE0000055</v>
          </cell>
          <cell r="BA134">
            <v>0.08</v>
          </cell>
          <cell r="BB134" t="str">
            <v>FOR0000015</v>
          </cell>
          <cell r="BC134">
            <v>0.06</v>
          </cell>
          <cell r="BD134" t="str">
            <v>AV1401250545</v>
          </cell>
          <cell r="BE134">
            <v>0</v>
          </cell>
          <cell r="BR134" t="str">
            <v>VERDE</v>
          </cell>
          <cell r="BS134" t="str">
            <v>ARENA-CUERO NAPADO</v>
          </cell>
          <cell r="BT134" t="str">
            <v>CUE0000030</v>
          </cell>
          <cell r="BU134">
            <v>0.08</v>
          </cell>
          <cell r="BV134" t="str">
            <v>FOR0000013</v>
          </cell>
          <cell r="BW134">
            <v>0.06</v>
          </cell>
          <cell r="BX134" t="str">
            <v>AV1401254260</v>
          </cell>
          <cell r="BY134">
            <v>0</v>
          </cell>
          <cell r="CL134" t="str">
            <v>NEGRO</v>
          </cell>
          <cell r="CM134" t="str">
            <v>ARENA-CUERO BRIDGE</v>
          </cell>
          <cell r="CN134" t="str">
            <v>CUE0000009</v>
          </cell>
          <cell r="CO134">
            <v>0.08</v>
          </cell>
          <cell r="CP134" t="str">
            <v>FOR0000018</v>
          </cell>
          <cell r="CQ134">
            <v>0.06</v>
          </cell>
          <cell r="CR134" t="str">
            <v>AV1401254060</v>
          </cell>
          <cell r="CS134">
            <v>0</v>
          </cell>
          <cell r="KD134">
            <v>6</v>
          </cell>
          <cell r="KE134">
            <v>0</v>
          </cell>
          <cell r="KF134">
            <v>0</v>
          </cell>
          <cell r="KG134">
            <v>12</v>
          </cell>
          <cell r="KH134">
            <v>12</v>
          </cell>
          <cell r="KI134">
            <v>12</v>
          </cell>
          <cell r="KJ134">
            <v>12</v>
          </cell>
          <cell r="KK134">
            <v>12</v>
          </cell>
          <cell r="KL134">
            <v>12</v>
          </cell>
          <cell r="KM134">
            <v>0</v>
          </cell>
          <cell r="KP134">
            <v>0</v>
          </cell>
          <cell r="KS134">
            <v>0</v>
          </cell>
          <cell r="KV134">
            <v>0</v>
          </cell>
          <cell r="KY134">
            <v>0</v>
          </cell>
          <cell r="LB134">
            <v>0</v>
          </cell>
          <cell r="LE134">
            <v>0</v>
          </cell>
          <cell r="LH134">
            <v>0</v>
          </cell>
          <cell r="LK134">
            <v>0</v>
          </cell>
          <cell r="LO134">
            <v>45796</v>
          </cell>
          <cell r="LP134" t="str">
            <v>COMPLETADO</v>
          </cell>
        </row>
        <row r="135">
          <cell r="A135">
            <v>1785</v>
          </cell>
          <cell r="B135" t="str">
            <v>RUBEN</v>
          </cell>
          <cell r="C135" t="str">
            <v>BARRACAS GRANDE</v>
          </cell>
          <cell r="D135" t="str">
            <v>MARROQUINERIA GRANDE</v>
          </cell>
          <cell r="E135">
            <v>24</v>
          </cell>
          <cell r="F135">
            <v>14</v>
          </cell>
          <cell r="G135">
            <v>14</v>
          </cell>
          <cell r="H135">
            <v>45789.547349537039</v>
          </cell>
          <cell r="I135" t="str">
            <v>CARTERA INES</v>
          </cell>
          <cell r="J135">
            <v>45789</v>
          </cell>
          <cell r="K135">
            <v>45789</v>
          </cell>
          <cell r="L135">
            <v>45797</v>
          </cell>
          <cell r="N135" t="str">
            <v>M170</v>
          </cell>
          <cell r="O135" t="str">
            <v>AV0300460101</v>
          </cell>
          <cell r="P135">
            <v>0</v>
          </cell>
          <cell r="Q135" t="str">
            <v>AV170129018</v>
          </cell>
          <cell r="R135">
            <v>0</v>
          </cell>
          <cell r="AS135" t="str">
            <v>SIN FORRERIA</v>
          </cell>
          <cell r="AT135" t="str">
            <v>SIN PINTURA</v>
          </cell>
          <cell r="AW135" t="str">
            <v>GRABADO "EL LUCERO" CHICO CENTRADO EN PIEZA INTERNA PORTA IMAN TRASERA</v>
          </cell>
          <cell r="AX135" t="str">
            <v>NEGRO</v>
          </cell>
          <cell r="AY135" t="str">
            <v>ARENA-CUERO BRIDGE</v>
          </cell>
          <cell r="AZ135" t="str">
            <v>CUE0000009</v>
          </cell>
          <cell r="BA135">
            <v>0</v>
          </cell>
          <cell r="BR135" t="str">
            <v>TABACO</v>
          </cell>
          <cell r="BS135" t="str">
            <v>ARENA-CUERO BRIDGE</v>
          </cell>
          <cell r="BT135" t="str">
            <v>CUE0000012</v>
          </cell>
          <cell r="BU135">
            <v>0</v>
          </cell>
          <cell r="CL135" t="str">
            <v>CARAMELO</v>
          </cell>
          <cell r="CM135" t="str">
            <v>ARENA-CUERO BRIDGE</v>
          </cell>
          <cell r="CN135" t="str">
            <v>CUE0000004</v>
          </cell>
          <cell r="CO135">
            <v>0</v>
          </cell>
          <cell r="DF135" t="str">
            <v>MALBEC</v>
          </cell>
          <cell r="DG135" t="str">
            <v>ARENA-CUERO BRIDGE</v>
          </cell>
          <cell r="DH135" t="str">
            <v>CUE0000008</v>
          </cell>
          <cell r="DI135">
            <v>0</v>
          </cell>
          <cell r="KD135">
            <v>6</v>
          </cell>
          <cell r="KE135">
            <v>6</v>
          </cell>
          <cell r="KF135">
            <v>6</v>
          </cell>
          <cell r="KG135">
            <v>6</v>
          </cell>
          <cell r="KH135">
            <v>0</v>
          </cell>
          <cell r="KI135">
            <v>0</v>
          </cell>
          <cell r="KJ135">
            <v>6</v>
          </cell>
          <cell r="KK135">
            <v>6</v>
          </cell>
          <cell r="KL135">
            <v>6</v>
          </cell>
          <cell r="KM135">
            <v>6</v>
          </cell>
          <cell r="KN135">
            <v>2</v>
          </cell>
          <cell r="KO135">
            <v>2</v>
          </cell>
          <cell r="KP135">
            <v>0</v>
          </cell>
          <cell r="KS135">
            <v>0</v>
          </cell>
          <cell r="KV135">
            <v>0</v>
          </cell>
          <cell r="KY135">
            <v>0</v>
          </cell>
          <cell r="LB135">
            <v>0</v>
          </cell>
          <cell r="LE135">
            <v>0</v>
          </cell>
          <cell r="LH135">
            <v>0</v>
          </cell>
          <cell r="LK135">
            <v>0</v>
          </cell>
          <cell r="LN135">
            <v>45789</v>
          </cell>
          <cell r="LO135">
            <v>45797</v>
          </cell>
          <cell r="LP135" t="str">
            <v>COMPLETADO</v>
          </cell>
        </row>
        <row r="136">
          <cell r="A136">
            <v>1786</v>
          </cell>
          <cell r="B136" t="str">
            <v>LUCIANO</v>
          </cell>
          <cell r="C136" t="str">
            <v>EXT GABRIEL</v>
          </cell>
          <cell r="D136" t="str">
            <v>MARROQUINERIA CHICA</v>
          </cell>
          <cell r="E136">
            <v>38</v>
          </cell>
          <cell r="F136">
            <v>38</v>
          </cell>
          <cell r="G136">
            <v>38</v>
          </cell>
          <cell r="H136">
            <v>45789.552731481483</v>
          </cell>
          <cell r="I136" t="str">
            <v>PORTALENTES ORION</v>
          </cell>
          <cell r="J136">
            <v>45789</v>
          </cell>
          <cell r="K136">
            <v>45789</v>
          </cell>
          <cell r="L136">
            <v>45793</v>
          </cell>
          <cell r="M136">
            <v>11</v>
          </cell>
          <cell r="N136" t="str">
            <v>M100</v>
          </cell>
          <cell r="O136" t="str">
            <v>AV0101070301</v>
          </cell>
          <cell r="P136">
            <v>1</v>
          </cell>
          <cell r="Q136" t="str">
            <v>AV1001010101</v>
          </cell>
          <cell r="R136">
            <v>1</v>
          </cell>
          <cell r="S136" t="str">
            <v>AV1300130101</v>
          </cell>
          <cell r="T136">
            <v>1</v>
          </cell>
          <cell r="U136" t="str">
            <v>AV170134014</v>
          </cell>
          <cell r="V136">
            <v>0</v>
          </cell>
          <cell r="AS136" t="str">
            <v>TIRACIERRE N 12 - TIRA FINITA CON REMACHE</v>
          </cell>
          <cell r="AW136" t="str">
            <v xml:space="preserve">GRABADO " EL LUCERO ARG." CHICO EN EL FRENTE CENTRADO, A 1,5 CM DEL BORDE INFERIOR </v>
          </cell>
          <cell r="AX136" t="str">
            <v>VERDE</v>
          </cell>
          <cell r="AY136" t="str">
            <v>ARENA-CUERO NAPADO</v>
          </cell>
          <cell r="AZ136" t="str">
            <v>CUE0000030</v>
          </cell>
          <cell r="BA136">
            <v>0.02</v>
          </cell>
          <cell r="BB136" t="str">
            <v>AV0100020317</v>
          </cell>
          <cell r="BC136">
            <v>0.2</v>
          </cell>
          <cell r="BD136" t="str">
            <v>AV1401254260</v>
          </cell>
          <cell r="BE136">
            <v>0</v>
          </cell>
          <cell r="BF136" t="str">
            <v>AV1601300957</v>
          </cell>
          <cell r="BG136">
            <v>0</v>
          </cell>
          <cell r="BR136" t="str">
            <v>MALBEC</v>
          </cell>
          <cell r="BS136" t="str">
            <v>ARENA-CUERO NAPADO</v>
          </cell>
          <cell r="BT136" t="str">
            <v>CUE0000025</v>
          </cell>
          <cell r="BU136">
            <v>0.02</v>
          </cell>
          <cell r="BV136" t="str">
            <v>CIE0000003</v>
          </cell>
          <cell r="BW136">
            <v>0.2</v>
          </cell>
          <cell r="BX136" t="str">
            <v>AV1401250545</v>
          </cell>
          <cell r="BY136">
            <v>0</v>
          </cell>
          <cell r="BZ136" t="str">
            <v>PIN00000001</v>
          </cell>
          <cell r="CA136">
            <v>0</v>
          </cell>
          <cell r="CL136" t="str">
            <v>ROJO</v>
          </cell>
          <cell r="CM136" t="str">
            <v>ARENA-CUERO NAPADO</v>
          </cell>
          <cell r="CN136" t="str">
            <v>CUE0000027</v>
          </cell>
          <cell r="CO136">
            <v>0.02</v>
          </cell>
          <cell r="CP136" t="str">
            <v>AV0100020313</v>
          </cell>
          <cell r="CQ136">
            <v>0.2</v>
          </cell>
          <cell r="CR136" t="str">
            <v>AV1401254460</v>
          </cell>
          <cell r="CS136">
            <v>0</v>
          </cell>
          <cell r="CT136" t="str">
            <v>AV1601300929</v>
          </cell>
          <cell r="CU136">
            <v>0</v>
          </cell>
          <cell r="DF136" t="str">
            <v>SUELA</v>
          </cell>
          <cell r="DG136" t="str">
            <v>ARENA-CUERO NAPADO</v>
          </cell>
          <cell r="DH136" t="str">
            <v>CUE0000028</v>
          </cell>
          <cell r="DI136">
            <v>0.02</v>
          </cell>
          <cell r="DJ136" t="str">
            <v>AV0100020337</v>
          </cell>
          <cell r="DK136">
            <v>0.2</v>
          </cell>
          <cell r="DL136" t="str">
            <v>AV1401250545</v>
          </cell>
          <cell r="DM136">
            <v>0</v>
          </cell>
          <cell r="DN136" t="str">
            <v>AV1601300955</v>
          </cell>
          <cell r="DO136">
            <v>0</v>
          </cell>
          <cell r="DZ136" t="str">
            <v>CARAMELO</v>
          </cell>
          <cell r="EA136" t="str">
            <v>ARENA-CUERO BRIDGE</v>
          </cell>
          <cell r="EB136" t="str">
            <v>CUE0000004</v>
          </cell>
          <cell r="EC136">
            <v>0.02</v>
          </cell>
          <cell r="ED136" t="str">
            <v>AV0100020305</v>
          </cell>
          <cell r="EE136">
            <v>0.2</v>
          </cell>
          <cell r="EF136" t="str">
            <v>AV1401250545</v>
          </cell>
          <cell r="EG136">
            <v>0</v>
          </cell>
          <cell r="EH136" t="str">
            <v>AV1601300955</v>
          </cell>
          <cell r="EI136">
            <v>0</v>
          </cell>
          <cell r="KD136">
            <v>14</v>
          </cell>
          <cell r="KE136">
            <v>14</v>
          </cell>
          <cell r="KF136">
            <v>14</v>
          </cell>
          <cell r="KG136">
            <v>6</v>
          </cell>
          <cell r="KH136">
            <v>6</v>
          </cell>
          <cell r="KI136">
            <v>6</v>
          </cell>
          <cell r="KJ136">
            <v>6</v>
          </cell>
          <cell r="KK136">
            <v>6</v>
          </cell>
          <cell r="KL136">
            <v>6</v>
          </cell>
          <cell r="KM136">
            <v>6</v>
          </cell>
          <cell r="KN136">
            <v>6</v>
          </cell>
          <cell r="KO136">
            <v>6</v>
          </cell>
          <cell r="KP136">
            <v>6</v>
          </cell>
          <cell r="KQ136">
            <v>6</v>
          </cell>
          <cell r="KR136">
            <v>6</v>
          </cell>
          <cell r="KS136">
            <v>0</v>
          </cell>
          <cell r="KV136">
            <v>0</v>
          </cell>
          <cell r="KY136">
            <v>0</v>
          </cell>
          <cell r="LB136">
            <v>0</v>
          </cell>
          <cell r="LE136">
            <v>0</v>
          </cell>
          <cell r="LH136">
            <v>0</v>
          </cell>
          <cell r="LK136">
            <v>0</v>
          </cell>
          <cell r="LN136">
            <v>45793</v>
          </cell>
          <cell r="LO136">
            <v>45797</v>
          </cell>
          <cell r="LP136" t="str">
            <v>COMPLETADO</v>
          </cell>
        </row>
        <row r="137">
          <cell r="A137">
            <v>1787</v>
          </cell>
          <cell r="B137" t="str">
            <v>LUCIANO</v>
          </cell>
          <cell r="C137" t="str">
            <v>EXT GABRIEL</v>
          </cell>
          <cell r="D137" t="str">
            <v>MARROQUINERIA CHICA</v>
          </cell>
          <cell r="E137">
            <v>57</v>
          </cell>
          <cell r="F137">
            <v>57</v>
          </cell>
          <cell r="G137">
            <v>57</v>
          </cell>
          <cell r="H137">
            <v>45789.561874999999</v>
          </cell>
          <cell r="I137" t="str">
            <v>TARJETERO ARIES</v>
          </cell>
          <cell r="J137">
            <v>45789</v>
          </cell>
          <cell r="K137">
            <v>45789</v>
          </cell>
          <cell r="L137">
            <v>45933</v>
          </cell>
          <cell r="M137">
            <v>10</v>
          </cell>
          <cell r="N137" t="str">
            <v>M123</v>
          </cell>
          <cell r="O137" t="str">
            <v>AV170134014</v>
          </cell>
          <cell r="P137">
            <v>0</v>
          </cell>
          <cell r="AW137" t="str">
            <v xml:space="preserve">GRABADO " EL LUCERO ARGENTINA" CHICO EN TIRA DEL FRENTE, CENTRADO   </v>
          </cell>
          <cell r="AX137" t="str">
            <v>MALBEC</v>
          </cell>
          <cell r="AY137" t="str">
            <v>ARENA-CUERO BRIDGE</v>
          </cell>
          <cell r="AZ137" t="str">
            <v>CUE0000008</v>
          </cell>
          <cell r="BA137">
            <v>0.02</v>
          </cell>
          <cell r="BB137" t="str">
            <v>AV1401250545</v>
          </cell>
          <cell r="BC137">
            <v>0</v>
          </cell>
          <cell r="BD137" t="str">
            <v>PIN00000001</v>
          </cell>
          <cell r="BE137">
            <v>0</v>
          </cell>
          <cell r="BR137" t="str">
            <v>ROJO</v>
          </cell>
          <cell r="BS137" t="str">
            <v>ARENA-CUERO BRIDGE</v>
          </cell>
          <cell r="BT137" t="str">
            <v>CUE0000010</v>
          </cell>
          <cell r="BU137">
            <v>0.02</v>
          </cell>
          <cell r="BV137" t="str">
            <v>AV1401254460</v>
          </cell>
          <cell r="BW137">
            <v>0</v>
          </cell>
          <cell r="BX137" t="str">
            <v>AV1601300929</v>
          </cell>
          <cell r="BY137">
            <v>0</v>
          </cell>
          <cell r="CL137" t="str">
            <v>TABACO</v>
          </cell>
          <cell r="CM137" t="str">
            <v>ARENA-CUERO BRIDGE</v>
          </cell>
          <cell r="CN137" t="str">
            <v>CUE0000012</v>
          </cell>
          <cell r="CO137">
            <v>0.02</v>
          </cell>
          <cell r="CP137" t="str">
            <v>AV1401250545</v>
          </cell>
          <cell r="CQ137">
            <v>0</v>
          </cell>
          <cell r="CR137" t="str">
            <v>AV1601300954</v>
          </cell>
          <cell r="CS137">
            <v>0</v>
          </cell>
          <cell r="DF137" t="str">
            <v>CUERO_VINTAGE_DARK</v>
          </cell>
          <cell r="DG137" t="str">
            <v>LEDER-CUERO</v>
          </cell>
          <cell r="DH137" t="str">
            <v>CUE0000101</v>
          </cell>
          <cell r="DI137">
            <v>0.02</v>
          </cell>
          <cell r="DZ137" t="str">
            <v>NEGRO_REVES_SUELA</v>
          </cell>
          <cell r="EA137" t="str">
            <v>BIANCO-CUERO MODENA ESPESOR 1,4</v>
          </cell>
          <cell r="EB137" t="str">
            <v>CUE0000138</v>
          </cell>
          <cell r="EC137">
            <v>0.02</v>
          </cell>
          <cell r="ET137" t="str">
            <v>VERDE_REVES_SUELA</v>
          </cell>
          <cell r="EU137" t="str">
            <v>BIANCO-CUERO MODENA ESPESOR 1,4</v>
          </cell>
          <cell r="EV137" t="str">
            <v>CUE0000148</v>
          </cell>
          <cell r="EW137">
            <v>0.02</v>
          </cell>
          <cell r="KD137">
            <v>10</v>
          </cell>
          <cell r="KE137">
            <v>10</v>
          </cell>
          <cell r="KF137">
            <v>10</v>
          </cell>
          <cell r="KG137">
            <v>24</v>
          </cell>
          <cell r="KH137">
            <v>24</v>
          </cell>
          <cell r="KI137">
            <v>24</v>
          </cell>
          <cell r="KJ137">
            <v>6</v>
          </cell>
          <cell r="KK137">
            <v>6</v>
          </cell>
          <cell r="KL137">
            <v>6</v>
          </cell>
          <cell r="KM137">
            <v>9</v>
          </cell>
          <cell r="KN137">
            <v>9</v>
          </cell>
          <cell r="KO137">
            <v>9</v>
          </cell>
          <cell r="KP137">
            <v>4</v>
          </cell>
          <cell r="KQ137">
            <v>4</v>
          </cell>
          <cell r="KR137">
            <v>4</v>
          </cell>
          <cell r="KS137">
            <v>4</v>
          </cell>
          <cell r="KT137">
            <v>4</v>
          </cell>
          <cell r="KU137">
            <v>4</v>
          </cell>
          <cell r="KV137">
            <v>0</v>
          </cell>
          <cell r="KY137">
            <v>0</v>
          </cell>
          <cell r="LB137">
            <v>0</v>
          </cell>
          <cell r="LE137">
            <v>0</v>
          </cell>
          <cell r="LH137">
            <v>0</v>
          </cell>
          <cell r="LK137">
            <v>0</v>
          </cell>
          <cell r="LN137">
            <v>45789</v>
          </cell>
          <cell r="LO137">
            <v>45937</v>
          </cell>
          <cell r="LP137" t="str">
            <v>COMPLETADO</v>
          </cell>
        </row>
        <row r="138">
          <cell r="A138">
            <v>1788</v>
          </cell>
          <cell r="B138" t="str">
            <v>LUCIANO</v>
          </cell>
          <cell r="C138" t="str">
            <v>EXT GABRIEL</v>
          </cell>
          <cell r="D138" t="str">
            <v>MARROQUINERIA CHICA</v>
          </cell>
          <cell r="E138">
            <v>45</v>
          </cell>
          <cell r="F138">
            <v>36</v>
          </cell>
          <cell r="G138">
            <v>36</v>
          </cell>
          <cell r="H138">
            <v>45789.56622685185</v>
          </cell>
          <cell r="I138" t="str">
            <v>TARJETERO RUBI</v>
          </cell>
          <cell r="J138">
            <v>45938</v>
          </cell>
          <cell r="K138">
            <v>45938</v>
          </cell>
          <cell r="L138">
            <v>45947</v>
          </cell>
          <cell r="M138">
            <v>10</v>
          </cell>
          <cell r="N138" t="str">
            <v>M129</v>
          </cell>
          <cell r="O138" t="str">
            <v>AV0700420101</v>
          </cell>
          <cell r="P138">
            <v>1</v>
          </cell>
          <cell r="Q138" t="str">
            <v>AV170134014</v>
          </cell>
          <cell r="R138">
            <v>0</v>
          </cell>
          <cell r="AW138" t="str">
            <v xml:space="preserve">GRABADO "EL LUCERO ARGENTINA " EN ESPALDA CENTRADO, BORDE INFERIOR </v>
          </cell>
          <cell r="AX138" t="str">
            <v>MALBEC</v>
          </cell>
          <cell r="AY138" t="str">
            <v>ARENA-CUERO BRIDGE</v>
          </cell>
          <cell r="AZ138" t="str">
            <v>CUE0000008</v>
          </cell>
          <cell r="BA138">
            <v>0.03</v>
          </cell>
          <cell r="BB138" t="str">
            <v>AV1401250545</v>
          </cell>
          <cell r="BC138">
            <v>0</v>
          </cell>
          <cell r="BR138" t="str">
            <v>ROJO</v>
          </cell>
          <cell r="BS138" t="str">
            <v>ARENA-CUERO BRIDGE</v>
          </cell>
          <cell r="BT138" t="str">
            <v>CUE0000010</v>
          </cell>
          <cell r="BU138">
            <v>0.03</v>
          </cell>
          <cell r="BV138" t="str">
            <v>AV1401254460</v>
          </cell>
          <cell r="BW138">
            <v>0</v>
          </cell>
          <cell r="CL138" t="str">
            <v>CEDRO</v>
          </cell>
          <cell r="CM138" t="str">
            <v>BIANCO-CUERO FIORENTINO</v>
          </cell>
          <cell r="CN138" t="str">
            <v>CUE0000055</v>
          </cell>
          <cell r="CO138">
            <v>0.03</v>
          </cell>
          <cell r="CP138" t="str">
            <v>AV1401250545</v>
          </cell>
          <cell r="CQ138">
            <v>0</v>
          </cell>
          <cell r="DF138" t="str">
            <v>VERDE_REVES_VERDE</v>
          </cell>
          <cell r="DG138" t="str">
            <v>BIANCO-CUERO MODENA ESPESOR 1,4</v>
          </cell>
          <cell r="DH138" t="str">
            <v>CUE0000118</v>
          </cell>
          <cell r="DI138">
            <v>0.03</v>
          </cell>
          <cell r="DJ138" t="str">
            <v>AV1401254260</v>
          </cell>
          <cell r="DK138">
            <v>0</v>
          </cell>
          <cell r="KD138">
            <v>12</v>
          </cell>
          <cell r="KE138">
            <v>12</v>
          </cell>
          <cell r="KF138">
            <v>12</v>
          </cell>
          <cell r="KG138">
            <v>12</v>
          </cell>
          <cell r="KH138">
            <v>12</v>
          </cell>
          <cell r="KI138">
            <v>12</v>
          </cell>
          <cell r="KJ138">
            <v>9</v>
          </cell>
          <cell r="KK138">
            <v>0</v>
          </cell>
          <cell r="KL138">
            <v>0</v>
          </cell>
          <cell r="KM138">
            <v>12</v>
          </cell>
          <cell r="KN138">
            <v>12</v>
          </cell>
          <cell r="KO138">
            <v>12</v>
          </cell>
          <cell r="KP138">
            <v>0</v>
          </cell>
          <cell r="KS138">
            <v>0</v>
          </cell>
          <cell r="KV138">
            <v>0</v>
          </cell>
          <cell r="KY138">
            <v>0</v>
          </cell>
          <cell r="LB138">
            <v>0</v>
          </cell>
          <cell r="LE138">
            <v>0</v>
          </cell>
          <cell r="LH138">
            <v>0</v>
          </cell>
          <cell r="LK138">
            <v>0</v>
          </cell>
          <cell r="LN138">
            <v>45938</v>
          </cell>
          <cell r="LO138">
            <v>45951</v>
          </cell>
          <cell r="LP138" t="str">
            <v>COMPLETADO</v>
          </cell>
        </row>
        <row r="139">
          <cell r="A139">
            <v>1789</v>
          </cell>
          <cell r="B139" t="str">
            <v>LUCIANO</v>
          </cell>
          <cell r="C139" t="str">
            <v>BARRACAS CHICA</v>
          </cell>
          <cell r="D139" t="str">
            <v>MARROQUINERIA CHICA</v>
          </cell>
          <cell r="E139">
            <v>17</v>
          </cell>
          <cell r="F139">
            <v>17</v>
          </cell>
          <cell r="G139">
            <v>17</v>
          </cell>
          <cell r="H139">
            <v>45789.570393518516</v>
          </cell>
          <cell r="I139" t="str">
            <v>MONEDERO LUISA</v>
          </cell>
          <cell r="J139">
            <v>45789</v>
          </cell>
          <cell r="K139">
            <v>45789</v>
          </cell>
          <cell r="L139">
            <v>45792</v>
          </cell>
          <cell r="M139">
            <v>50</v>
          </cell>
          <cell r="N139" t="str">
            <v>M064</v>
          </cell>
          <cell r="O139" t="str">
            <v>VAR0000002</v>
          </cell>
          <cell r="P139">
            <v>0.01</v>
          </cell>
          <cell r="Q139" t="str">
            <v>BAC0200071027</v>
          </cell>
          <cell r="R139">
            <v>0.01</v>
          </cell>
          <cell r="S139" t="str">
            <v>BAC1300050727</v>
          </cell>
          <cell r="T139">
            <v>0.02</v>
          </cell>
          <cell r="U139" t="str">
            <v>AV0700420101</v>
          </cell>
          <cell r="V139">
            <v>1</v>
          </cell>
          <cell r="W139" t="str">
            <v>AV0101070301</v>
          </cell>
          <cell r="X139">
            <v>1</v>
          </cell>
          <cell r="Y139" t="str">
            <v>AV0600560101</v>
          </cell>
          <cell r="Z139">
            <v>1</v>
          </cell>
          <cell r="AA139" t="str">
            <v>AV170134014</v>
          </cell>
          <cell r="AB139">
            <v>0</v>
          </cell>
          <cell r="AW139" t="str">
            <v>GRABADO EL LUCERO ARGENTINA PIEZA INTERNA IZQUIERDA ABAJO</v>
          </cell>
          <cell r="AX139" t="str">
            <v>MALBEC</v>
          </cell>
          <cell r="AY139" t="str">
            <v>ARENA-CUERO BRIDGE</v>
          </cell>
          <cell r="AZ139" t="str">
            <v>CUE0000008</v>
          </cell>
          <cell r="BA139">
            <v>0.08</v>
          </cell>
          <cell r="BB139" t="str">
            <v>AV1401250545</v>
          </cell>
          <cell r="BC139">
            <v>0</v>
          </cell>
          <cell r="BD139" t="str">
            <v>FOR0000016</v>
          </cell>
          <cell r="BE139">
            <v>0.08</v>
          </cell>
          <cell r="BF139" t="str">
            <v>CIE0000003</v>
          </cell>
          <cell r="BG139">
            <v>0.1</v>
          </cell>
          <cell r="BR139" t="str">
            <v>ROJO</v>
          </cell>
          <cell r="BS139" t="str">
            <v>ARENA-CUERO BRIDGE</v>
          </cell>
          <cell r="BT139" t="str">
            <v>CUE0000010</v>
          </cell>
          <cell r="BU139">
            <v>0.08</v>
          </cell>
          <cell r="BV139" t="str">
            <v>AV1401254460</v>
          </cell>
          <cell r="BW139">
            <v>0</v>
          </cell>
          <cell r="BX139" t="str">
            <v>FOR0000016</v>
          </cell>
          <cell r="BY139">
            <v>0.08</v>
          </cell>
          <cell r="BZ139" t="str">
            <v>AV0100020313</v>
          </cell>
          <cell r="CA139">
            <v>0.1</v>
          </cell>
          <cell r="CL139" t="str">
            <v>TABACO</v>
          </cell>
          <cell r="CM139" t="str">
            <v>ARENA-CUERO BRIDGE</v>
          </cell>
          <cell r="CN139" t="str">
            <v>CUE0000012</v>
          </cell>
          <cell r="CO139">
            <v>0.08</v>
          </cell>
          <cell r="CP139" t="str">
            <v>AV1401250545</v>
          </cell>
          <cell r="CQ139">
            <v>0</v>
          </cell>
          <cell r="CR139" t="str">
            <v>FOR0000015</v>
          </cell>
          <cell r="CS139">
            <v>0.08</v>
          </cell>
          <cell r="CT139" t="str">
            <v>CIE0000004</v>
          </cell>
          <cell r="CU139">
            <v>0.1</v>
          </cell>
          <cell r="DF139" t="str">
            <v>CARAMELO</v>
          </cell>
          <cell r="DG139" t="str">
            <v>ARENA-CUERO BRIDGE</v>
          </cell>
          <cell r="DH139" t="str">
            <v>CUE0000004</v>
          </cell>
          <cell r="DI139">
            <v>0.08</v>
          </cell>
          <cell r="DJ139" t="str">
            <v>AV1401250545</v>
          </cell>
          <cell r="DK139">
            <v>0</v>
          </cell>
          <cell r="DL139" t="str">
            <v>FOR0000015</v>
          </cell>
          <cell r="DM139">
            <v>0.08</v>
          </cell>
          <cell r="DN139" t="str">
            <v>AV0100020305</v>
          </cell>
          <cell r="DO139">
            <v>0.1</v>
          </cell>
          <cell r="KD139">
            <v>2</v>
          </cell>
          <cell r="KE139">
            <v>2</v>
          </cell>
          <cell r="KF139">
            <v>2</v>
          </cell>
          <cell r="KG139">
            <v>9</v>
          </cell>
          <cell r="KH139">
            <v>9</v>
          </cell>
          <cell r="KI139">
            <v>9</v>
          </cell>
          <cell r="KJ139">
            <v>2</v>
          </cell>
          <cell r="KK139">
            <v>2</v>
          </cell>
          <cell r="KL139">
            <v>2</v>
          </cell>
          <cell r="KM139">
            <v>4</v>
          </cell>
          <cell r="KN139">
            <v>4</v>
          </cell>
          <cell r="KO139">
            <v>4</v>
          </cell>
          <cell r="KP139">
            <v>0</v>
          </cell>
          <cell r="KS139">
            <v>0</v>
          </cell>
          <cell r="KV139">
            <v>0</v>
          </cell>
          <cell r="KY139">
            <v>0</v>
          </cell>
          <cell r="LB139">
            <v>0</v>
          </cell>
          <cell r="LE139">
            <v>0</v>
          </cell>
          <cell r="LH139">
            <v>0</v>
          </cell>
          <cell r="LK139">
            <v>0</v>
          </cell>
          <cell r="LN139">
            <v>45792</v>
          </cell>
          <cell r="LO139">
            <v>45923</v>
          </cell>
          <cell r="LP139" t="str">
            <v>COMPLETADO</v>
          </cell>
        </row>
        <row r="140">
          <cell r="A140">
            <v>1781</v>
          </cell>
          <cell r="B140" t="str">
            <v>RUBEN</v>
          </cell>
          <cell r="C140" t="str">
            <v>BARRACAS GRANDE</v>
          </cell>
          <cell r="D140" t="str">
            <v>MARROQUINERIA GRANDE</v>
          </cell>
          <cell r="E140">
            <v>30</v>
          </cell>
          <cell r="F140">
            <v>30</v>
          </cell>
          <cell r="G140">
            <v>30</v>
          </cell>
          <cell r="H140">
            <v>45796.39775462963</v>
          </cell>
          <cell r="I140" t="str">
            <v>BOLSA CARTERA</v>
          </cell>
          <cell r="J140">
            <v>45807</v>
          </cell>
          <cell r="K140">
            <v>45807</v>
          </cell>
          <cell r="L140">
            <v>45853</v>
          </cell>
          <cell r="M140">
            <v>4</v>
          </cell>
          <cell r="N140" t="str">
            <v>M027</v>
          </cell>
          <cell r="O140" t="str">
            <v>VAR0000008</v>
          </cell>
          <cell r="P140">
            <v>0.47</v>
          </cell>
          <cell r="Q140" t="str">
            <v>CIN0000003</v>
          </cell>
          <cell r="R140">
            <v>2.5</v>
          </cell>
          <cell r="AS140" t="str">
            <v>SEPARAR DELANTERO PARA ENVIAR A ESTAMPERIA</v>
          </cell>
          <cell r="AT140" t="str">
            <v>MERCEDES RUMAS</v>
          </cell>
          <cell r="AU140" t="str">
            <v xml:space="preserve"> ESTAMPA A 1 COLOR UBICADA EN FRENTE CENTRADA</v>
          </cell>
          <cell r="KD140">
            <v>30</v>
          </cell>
          <cell r="KE140">
            <v>30</v>
          </cell>
          <cell r="KF140">
            <v>30</v>
          </cell>
          <cell r="KG140">
            <v>0</v>
          </cell>
          <cell r="KJ140">
            <v>0</v>
          </cell>
          <cell r="KM140">
            <v>0</v>
          </cell>
          <cell r="KP140">
            <v>0</v>
          </cell>
          <cell r="KS140">
            <v>0</v>
          </cell>
          <cell r="KV140">
            <v>0</v>
          </cell>
          <cell r="KY140">
            <v>0</v>
          </cell>
          <cell r="LB140">
            <v>0</v>
          </cell>
          <cell r="LE140">
            <v>0</v>
          </cell>
          <cell r="LH140">
            <v>0</v>
          </cell>
          <cell r="LK140">
            <v>0</v>
          </cell>
          <cell r="LN140">
            <v>45807</v>
          </cell>
          <cell r="LO140">
            <v>45853</v>
          </cell>
          <cell r="LP140" t="str">
            <v>COMPLETADO</v>
          </cell>
        </row>
        <row r="141">
          <cell r="A141">
            <v>1782</v>
          </cell>
          <cell r="B141" t="str">
            <v>RUBEN</v>
          </cell>
          <cell r="C141" t="str">
            <v>BARRACAS GRANDE</v>
          </cell>
          <cell r="D141" t="str">
            <v>MARROQUINERIA GRANDE</v>
          </cell>
          <cell r="E141">
            <v>50</v>
          </cell>
          <cell r="F141">
            <v>50</v>
          </cell>
          <cell r="G141">
            <v>50</v>
          </cell>
          <cell r="H141">
            <v>45796.401377314818</v>
          </cell>
          <cell r="I141" t="str">
            <v>BOLSA PARA BILLETERA CHICA</v>
          </cell>
          <cell r="J141">
            <v>45807</v>
          </cell>
          <cell r="K141">
            <v>45807</v>
          </cell>
          <cell r="N141" t="str">
            <v>M180</v>
          </cell>
          <cell r="O141" t="str">
            <v>VAR0000008</v>
          </cell>
          <cell r="P141">
            <v>0</v>
          </cell>
          <cell r="Q141" t="str">
            <v>CIN0000033</v>
          </cell>
          <cell r="R141">
            <v>0.54</v>
          </cell>
          <cell r="AS141" t="str">
            <v xml:space="preserve"> CONFECCION EN PERDRIEL -  PEDIR OVERLOCK ITS</v>
          </cell>
          <cell r="AT141" t="str">
            <v>MEDIDA TERMINADO: 21CM DE ALTO X 15CM ANCHO</v>
          </cell>
          <cell r="AU141" t="str">
            <v>GRABADO "EL LUCERO ARGENTINA" CHICO EN TROQUEL.  UBICADO EN FRENTE, CENTRADO EN PARTE INFERIOR, A 3CM DE LA COSTURA</v>
          </cell>
          <cell r="KD141">
            <v>50</v>
          </cell>
          <cell r="KE141">
            <v>50</v>
          </cell>
          <cell r="KF141">
            <v>50</v>
          </cell>
          <cell r="KG141">
            <v>0</v>
          </cell>
          <cell r="KJ141">
            <v>0</v>
          </cell>
          <cell r="KM141">
            <v>0</v>
          </cell>
          <cell r="KP141">
            <v>0</v>
          </cell>
          <cell r="KS141">
            <v>0</v>
          </cell>
          <cell r="KV141">
            <v>0</v>
          </cell>
          <cell r="KY141">
            <v>0</v>
          </cell>
          <cell r="LB141">
            <v>0</v>
          </cell>
          <cell r="LE141">
            <v>0</v>
          </cell>
          <cell r="LH141">
            <v>0</v>
          </cell>
          <cell r="LK141">
            <v>0</v>
          </cell>
          <cell r="LO141">
            <v>45811</v>
          </cell>
          <cell r="LP141" t="str">
            <v>COMPLETADO</v>
          </cell>
        </row>
        <row r="142">
          <cell r="A142">
            <v>1764</v>
          </cell>
          <cell r="B142" t="str">
            <v>RUBEN</v>
          </cell>
          <cell r="C142" t="str">
            <v>BARRACAS GRANDE</v>
          </cell>
          <cell r="D142" t="str">
            <v>MARROQUINERIA GRANDE</v>
          </cell>
          <cell r="E142">
            <v>30</v>
          </cell>
          <cell r="F142">
            <v>30</v>
          </cell>
          <cell r="G142">
            <v>30</v>
          </cell>
          <cell r="H142">
            <v>45796.407893518517</v>
          </cell>
          <cell r="I142" t="str">
            <v>CARTERA LEANDRA</v>
          </cell>
          <cell r="J142">
            <v>45779</v>
          </cell>
          <cell r="K142">
            <v>45779</v>
          </cell>
          <cell r="M142">
            <v>40</v>
          </cell>
          <cell r="N142" t="str">
            <v>M042</v>
          </cell>
          <cell r="O142" t="str">
            <v>AV0101030201</v>
          </cell>
          <cell r="P142">
            <v>1</v>
          </cell>
          <cell r="Q142" t="str">
            <v>AV1000380101</v>
          </cell>
          <cell r="R142">
            <v>1</v>
          </cell>
          <cell r="S142" t="str">
            <v>AV0300390101</v>
          </cell>
          <cell r="T142">
            <v>1</v>
          </cell>
          <cell r="U142" t="str">
            <v>AV0300400101</v>
          </cell>
          <cell r="V142">
            <v>2</v>
          </cell>
          <cell r="W142" t="str">
            <v>BAC1300020827</v>
          </cell>
          <cell r="X142">
            <v>0.01</v>
          </cell>
          <cell r="Y142" t="str">
            <v>AV1000780101</v>
          </cell>
          <cell r="Z142">
            <v>2</v>
          </cell>
          <cell r="AA142" t="str">
            <v>AV0400980101</v>
          </cell>
          <cell r="AB142">
            <v>1</v>
          </cell>
          <cell r="AC142" t="str">
            <v>AV170129018</v>
          </cell>
          <cell r="AD142">
            <v>0</v>
          </cell>
          <cell r="AS142" t="str">
            <v>TIRACIERRE 1 CON ARGOLLITA: TIRA DE CUERO + REMACHE + GRABADO ESTRELLA</v>
          </cell>
          <cell r="AW142" t="str">
            <v xml:space="preserve">GRABADO EL LUCERO GRANDE ATRAS ABAJO    </v>
          </cell>
          <cell r="AX142" t="str">
            <v>SUELA</v>
          </cell>
          <cell r="AY142" t="str">
            <v>ARENA-CUERO NAPADO</v>
          </cell>
          <cell r="AZ142" t="str">
            <v>CUE0000028</v>
          </cell>
          <cell r="BA142">
            <v>0.22</v>
          </cell>
          <cell r="BB142" t="str">
            <v>AV1401240545</v>
          </cell>
          <cell r="BC142">
            <v>0</v>
          </cell>
          <cell r="BD142" t="str">
            <v>FOR0000021</v>
          </cell>
          <cell r="BE142">
            <v>0.11</v>
          </cell>
          <cell r="BF142" t="str">
            <v>AV0100010107</v>
          </cell>
          <cell r="BG142">
            <v>0.25</v>
          </cell>
          <cell r="BR142" t="str">
            <v>ROJO</v>
          </cell>
          <cell r="BS142" t="str">
            <v>ARENA-CUERO NAPADO</v>
          </cell>
          <cell r="BT142" t="str">
            <v>CUE0000027</v>
          </cell>
          <cell r="BU142">
            <v>0.22</v>
          </cell>
          <cell r="BV142" t="str">
            <v>AV1401244440</v>
          </cell>
          <cell r="BW142">
            <v>0</v>
          </cell>
          <cell r="BX142" t="str">
            <v>FOR0000020</v>
          </cell>
          <cell r="BY142">
            <v>0.11</v>
          </cell>
          <cell r="BZ142" t="str">
            <v>AV0100010113</v>
          </cell>
          <cell r="CA142">
            <v>0.25</v>
          </cell>
          <cell r="CL142" t="str">
            <v>MALBEC</v>
          </cell>
          <cell r="CM142" t="str">
            <v>ARENA-CUERO NAPADO</v>
          </cell>
          <cell r="CN142" t="str">
            <v>CUE0000025</v>
          </cell>
          <cell r="CO142">
            <v>0.22</v>
          </cell>
          <cell r="CP142" t="str">
            <v>AV1401240545</v>
          </cell>
          <cell r="CQ142">
            <v>0</v>
          </cell>
          <cell r="CR142" t="str">
            <v>FOR0000020</v>
          </cell>
          <cell r="CS142">
            <v>0.11</v>
          </cell>
          <cell r="CT142" t="str">
            <v>AV0100010161</v>
          </cell>
          <cell r="CU142">
            <v>0.25</v>
          </cell>
          <cell r="DF142" t="str">
            <v>CARAMELO</v>
          </cell>
          <cell r="DG142" t="str">
            <v>ARENA-CUERO NAPADO</v>
          </cell>
          <cell r="DH142" t="str">
            <v>CUE0000022</v>
          </cell>
          <cell r="DI142">
            <v>0.22</v>
          </cell>
          <cell r="DJ142" t="str">
            <v>AV1401240545</v>
          </cell>
          <cell r="DK142">
            <v>0</v>
          </cell>
          <cell r="DL142" t="str">
            <v>FOR0000021</v>
          </cell>
          <cell r="DM142">
            <v>0.11</v>
          </cell>
          <cell r="DN142" t="str">
            <v>AV0100010105</v>
          </cell>
          <cell r="DO142">
            <v>0.25</v>
          </cell>
          <cell r="DZ142" t="str">
            <v>NEGRO</v>
          </cell>
          <cell r="EA142" t="str">
            <v>VANESKA-CUERO NAPADO DUNA</v>
          </cell>
          <cell r="EB142" t="str">
            <v>CUE0000059</v>
          </cell>
          <cell r="EC142">
            <v>0.22</v>
          </cell>
          <cell r="ED142" t="str">
            <v>AV1401244040</v>
          </cell>
          <cell r="EE142">
            <v>0</v>
          </cell>
          <cell r="EF142" t="str">
            <v>FOR0000020</v>
          </cell>
          <cell r="EG142">
            <v>0.11</v>
          </cell>
          <cell r="EH142" t="str">
            <v>AV0100010103</v>
          </cell>
          <cell r="EI142">
            <v>0.25</v>
          </cell>
          <cell r="KD142">
            <v>4</v>
          </cell>
          <cell r="KE142">
            <v>4</v>
          </cell>
          <cell r="KF142">
            <v>4</v>
          </cell>
          <cell r="KG142">
            <v>6</v>
          </cell>
          <cell r="KH142">
            <v>6</v>
          </cell>
          <cell r="KI142">
            <v>6</v>
          </cell>
          <cell r="KJ142">
            <v>5</v>
          </cell>
          <cell r="KK142">
            <v>5</v>
          </cell>
          <cell r="KL142">
            <v>5</v>
          </cell>
          <cell r="KM142">
            <v>5</v>
          </cell>
          <cell r="KN142">
            <v>5</v>
          </cell>
          <cell r="KO142">
            <v>5</v>
          </cell>
          <cell r="KP142">
            <v>10</v>
          </cell>
          <cell r="KQ142">
            <v>10</v>
          </cell>
          <cell r="KR142">
            <v>10</v>
          </cell>
          <cell r="KS142">
            <v>0</v>
          </cell>
          <cell r="KV142">
            <v>0</v>
          </cell>
          <cell r="KY142">
            <v>0</v>
          </cell>
          <cell r="LB142">
            <v>0</v>
          </cell>
          <cell r="LE142">
            <v>0</v>
          </cell>
          <cell r="LH142">
            <v>0</v>
          </cell>
          <cell r="LK142">
            <v>0</v>
          </cell>
          <cell r="LO142">
            <v>45796</v>
          </cell>
          <cell r="LP142" t="str">
            <v>COMPLETADO</v>
          </cell>
        </row>
        <row r="143">
          <cell r="A143">
            <v>1766</v>
          </cell>
          <cell r="B143" t="str">
            <v>RUBEN</v>
          </cell>
          <cell r="C143" t="str">
            <v>BARRACAS GRANDE</v>
          </cell>
          <cell r="D143" t="str">
            <v>MARROQUINERIA GRANDE</v>
          </cell>
          <cell r="E143">
            <v>16</v>
          </cell>
          <cell r="F143">
            <v>16</v>
          </cell>
          <cell r="G143">
            <v>16</v>
          </cell>
          <cell r="H143">
            <v>45796.418310185189</v>
          </cell>
          <cell r="I143" t="str">
            <v>BOLSO TUBO GRANDE</v>
          </cell>
          <cell r="J143">
            <v>45779</v>
          </cell>
          <cell r="K143">
            <v>45779</v>
          </cell>
          <cell r="M143">
            <v>90</v>
          </cell>
          <cell r="N143" t="str">
            <v>M030</v>
          </cell>
          <cell r="O143" t="str">
            <v>BAC1300020827</v>
          </cell>
          <cell r="P143">
            <v>0.08</v>
          </cell>
          <cell r="Q143" t="str">
            <v>AV0101030201</v>
          </cell>
          <cell r="R143">
            <v>2</v>
          </cell>
          <cell r="S143" t="str">
            <v>AV0101040201</v>
          </cell>
          <cell r="T143">
            <v>1</v>
          </cell>
          <cell r="U143" t="str">
            <v>AV0300250101</v>
          </cell>
          <cell r="V143">
            <v>4</v>
          </cell>
          <cell r="W143" t="str">
            <v>AV0300410101</v>
          </cell>
          <cell r="X143">
            <v>9</v>
          </cell>
          <cell r="Y143" t="str">
            <v>AV1302250428</v>
          </cell>
          <cell r="Z143">
            <v>2</v>
          </cell>
          <cell r="AA143" t="str">
            <v>AV1302240428</v>
          </cell>
          <cell r="AB143">
            <v>0.8</v>
          </cell>
          <cell r="AC143" t="str">
            <v>AV1001450101</v>
          </cell>
          <cell r="AD143">
            <v>2</v>
          </cell>
          <cell r="AE143" t="str">
            <v>AV0700630101</v>
          </cell>
          <cell r="AF143">
            <v>2</v>
          </cell>
          <cell r="AG143" t="str">
            <v>AV0701130101</v>
          </cell>
          <cell r="AH143">
            <v>1</v>
          </cell>
          <cell r="AI143" t="str">
            <v>AV0600540101</v>
          </cell>
          <cell r="AJ143">
            <v>2</v>
          </cell>
          <cell r="AK143" t="str">
            <v>AV0300390101</v>
          </cell>
          <cell r="AL143">
            <v>1</v>
          </cell>
          <cell r="AM143" t="str">
            <v>AV170129018</v>
          </cell>
          <cell r="AN143">
            <v>0</v>
          </cell>
          <cell r="AS143" t="str">
            <v>TIRACIERRE INTERNO: N1 TIRA CON REMACHE + GRABADO ESTRELLITA</v>
          </cell>
          <cell r="AT143" t="str">
            <v>TIRACIERRES EXTERNOS "EL LUCERO" GRANDE</v>
          </cell>
          <cell r="AU143" t="str">
            <v>GAMUZA: CON VISTA DE CUERO EN BOLSILLO FRENTE</v>
          </cell>
          <cell r="AV143" t="str">
            <v>SIN CLAVOS DE FONDO / SIN BOLSILLO AL FRENTE / CORREA PUNTA REDONDEADA</v>
          </cell>
          <cell r="AW143" t="str">
            <v xml:space="preserve">EL LUCERO ARGENTINA TAMAÑO GRANDE, EN TROQUEL COCIDO DEBAJO DE VISTA DE CIERRE INTERNO </v>
          </cell>
          <cell r="AX143" t="str">
            <v>GrisOscuro_GAMUZA_TABACO</v>
          </cell>
          <cell r="AY143" t="str">
            <v>NAPOLITANA-CUERO GAMUZA</v>
          </cell>
          <cell r="AZ143" t="str">
            <v>CUE0000042</v>
          </cell>
          <cell r="BA143">
            <v>0.82</v>
          </cell>
          <cell r="BB143" t="str">
            <v>CUE0000012</v>
          </cell>
          <cell r="BC143">
            <v>0.43</v>
          </cell>
          <cell r="BD143" t="str">
            <v>FOR0000021</v>
          </cell>
          <cell r="BE143">
            <v>0.72</v>
          </cell>
          <cell r="BF143" t="str">
            <v>AV0100010114</v>
          </cell>
          <cell r="BG143">
            <v>1.02</v>
          </cell>
          <cell r="BH143" t="str">
            <v>AV1801370725</v>
          </cell>
          <cell r="BI143">
            <v>2</v>
          </cell>
          <cell r="BR143" t="str">
            <v>OLIVA_GAMUZA_TABACO</v>
          </cell>
          <cell r="BS143" t="str">
            <v>NAPOLITANA-CUERO GAMUZA</v>
          </cell>
          <cell r="BT143" t="str">
            <v>CUE0000047</v>
          </cell>
          <cell r="BU143">
            <v>0.82</v>
          </cell>
          <cell r="BV143" t="str">
            <v>CUE0000012</v>
          </cell>
          <cell r="BW143">
            <v>0.43</v>
          </cell>
          <cell r="BX143" t="str">
            <v>FOR0000021</v>
          </cell>
          <cell r="BY143">
            <v>0.72</v>
          </cell>
          <cell r="BZ143" t="str">
            <v>AV0100010114</v>
          </cell>
          <cell r="CA143">
            <v>1.02</v>
          </cell>
          <cell r="CB143" t="str">
            <v>AV1801370725</v>
          </cell>
          <cell r="CC143">
            <v>2</v>
          </cell>
          <cell r="CL143" t="str">
            <v>OLIVA_GAMUZA_CARAMELO</v>
          </cell>
          <cell r="CM143" t="str">
            <v>NAPOLITANA-CUERO GAMUZA</v>
          </cell>
          <cell r="CN143" t="str">
            <v>CUE0000047</v>
          </cell>
          <cell r="CO143">
            <v>0.82</v>
          </cell>
          <cell r="CP143" t="str">
            <v>CUE0000004</v>
          </cell>
          <cell r="CQ143">
            <v>0.43</v>
          </cell>
          <cell r="CR143" t="str">
            <v>FOR0000021</v>
          </cell>
          <cell r="CS143">
            <v>0.72</v>
          </cell>
          <cell r="CT143" t="str">
            <v>AV0100010105</v>
          </cell>
          <cell r="CU143">
            <v>1.02</v>
          </cell>
          <cell r="CV143" t="str">
            <v>AV1801370725</v>
          </cell>
          <cell r="CW143">
            <v>2</v>
          </cell>
          <cell r="DF143" t="str">
            <v>CHOCOLATE</v>
          </cell>
          <cell r="DG143" t="str">
            <v>ARENA-CUERO BRIDGE</v>
          </cell>
          <cell r="DH143" t="str">
            <v>CUE0000005</v>
          </cell>
          <cell r="DI143">
            <v>1.25</v>
          </cell>
          <cell r="DJ143" t="str">
            <v>FOR0000021</v>
          </cell>
          <cell r="DK143">
            <v>0.72</v>
          </cell>
          <cell r="DL143" t="str">
            <v>AV0100010111</v>
          </cell>
          <cell r="DM143">
            <v>1.02</v>
          </cell>
          <cell r="DN143" t="str">
            <v>AV1801370725</v>
          </cell>
          <cell r="DO143">
            <v>2</v>
          </cell>
          <cell r="DP143" t="str">
            <v>AV1401240545</v>
          </cell>
          <cell r="DQ143">
            <v>0</v>
          </cell>
          <cell r="DZ143" t="str">
            <v>TABACO</v>
          </cell>
          <cell r="EA143" t="str">
            <v>ARENA-CUERO BRIDGE</v>
          </cell>
          <cell r="EB143" t="str">
            <v>CUE0000012</v>
          </cell>
          <cell r="EC143">
            <v>1.25</v>
          </cell>
          <cell r="ED143" t="str">
            <v>FOR0000021</v>
          </cell>
          <cell r="EE143">
            <v>0.72</v>
          </cell>
          <cell r="EF143" t="str">
            <v>AV0100010114</v>
          </cell>
          <cell r="EG143">
            <v>1.02</v>
          </cell>
          <cell r="EH143" t="str">
            <v>AV1801370725</v>
          </cell>
          <cell r="EI143">
            <v>2</v>
          </cell>
          <cell r="EJ143" t="str">
            <v>AV1401274560</v>
          </cell>
          <cell r="EK143">
            <v>0</v>
          </cell>
          <cell r="ET143" t="str">
            <v>TABACO_PELO_HEREFORD</v>
          </cell>
          <cell r="EU143" t="str">
            <v>ARENA-CUERO BRIDGE</v>
          </cell>
          <cell r="EV143" t="str">
            <v>CUE0000012</v>
          </cell>
          <cell r="EW143">
            <v>0.82</v>
          </cell>
          <cell r="EX143" t="str">
            <v>CUE0000117</v>
          </cell>
          <cell r="EY143">
            <v>0.43</v>
          </cell>
          <cell r="EZ143" t="str">
            <v>FOR0000020</v>
          </cell>
          <cell r="FA143">
            <v>0.72</v>
          </cell>
          <cell r="FB143" t="str">
            <v>AV0100010111</v>
          </cell>
          <cell r="FC143">
            <v>1.02</v>
          </cell>
          <cell r="FD143" t="str">
            <v>AV1801370725</v>
          </cell>
          <cell r="FE143">
            <v>2</v>
          </cell>
          <cell r="FF143" t="str">
            <v>AV1401240545</v>
          </cell>
          <cell r="FG143">
            <v>0</v>
          </cell>
          <cell r="KD143">
            <v>2</v>
          </cell>
          <cell r="KE143">
            <v>2</v>
          </cell>
          <cell r="KF143">
            <v>2</v>
          </cell>
          <cell r="KG143">
            <v>1</v>
          </cell>
          <cell r="KH143">
            <v>1</v>
          </cell>
          <cell r="KI143">
            <v>1</v>
          </cell>
          <cell r="KJ143">
            <v>2</v>
          </cell>
          <cell r="KK143">
            <v>2</v>
          </cell>
          <cell r="KL143">
            <v>2</v>
          </cell>
          <cell r="KM143">
            <v>4</v>
          </cell>
          <cell r="KN143">
            <v>4</v>
          </cell>
          <cell r="KO143">
            <v>4</v>
          </cell>
          <cell r="KP143">
            <v>3</v>
          </cell>
          <cell r="KQ143">
            <v>3</v>
          </cell>
          <cell r="KR143">
            <v>3</v>
          </cell>
          <cell r="KS143">
            <v>4</v>
          </cell>
          <cell r="KT143">
            <v>4</v>
          </cell>
          <cell r="KU143">
            <v>4</v>
          </cell>
          <cell r="KV143">
            <v>0</v>
          </cell>
          <cell r="KY143">
            <v>0</v>
          </cell>
          <cell r="LB143">
            <v>0</v>
          </cell>
          <cell r="LE143">
            <v>0</v>
          </cell>
          <cell r="LH143">
            <v>0</v>
          </cell>
          <cell r="LK143">
            <v>0</v>
          </cell>
          <cell r="LO143">
            <v>45819</v>
          </cell>
          <cell r="LP143" t="str">
            <v>COMPLETADO</v>
          </cell>
        </row>
        <row r="144">
          <cell r="A144">
            <v>940</v>
          </cell>
          <cell r="B144" t="str">
            <v>LUCIANO</v>
          </cell>
          <cell r="C144" t="str">
            <v>BARRACAS CHICA</v>
          </cell>
          <cell r="D144" t="str">
            <v>MARROQUINERIA CHICA</v>
          </cell>
          <cell r="E144">
            <v>120</v>
          </cell>
          <cell r="F144">
            <v>100</v>
          </cell>
          <cell r="G144">
            <v>100</v>
          </cell>
          <cell r="H144">
            <v>45796.432650462964</v>
          </cell>
          <cell r="I144" t="str">
            <v>LLAVERO INICIALES</v>
          </cell>
          <cell r="J144">
            <v>45786</v>
          </cell>
          <cell r="K144">
            <v>45786</v>
          </cell>
          <cell r="M144">
            <v>8</v>
          </cell>
          <cell r="N144" t="str">
            <v>M050</v>
          </cell>
          <cell r="O144" t="str">
            <v>BAC0200081126</v>
          </cell>
          <cell r="P144">
            <v>0.01</v>
          </cell>
          <cell r="Q144" t="str">
            <v>BAC1300020827</v>
          </cell>
          <cell r="R144">
            <v>0.01</v>
          </cell>
          <cell r="S144" t="str">
            <v>ALE06</v>
          </cell>
          <cell r="T144">
            <v>1</v>
          </cell>
          <cell r="U144" t="str">
            <v>AV170134014</v>
          </cell>
          <cell r="V144">
            <v>0</v>
          </cell>
          <cell r="AX144" t="str">
            <v>AZUL</v>
          </cell>
          <cell r="AY144" t="str">
            <v>ARENA-CUERO NAPADO</v>
          </cell>
          <cell r="AZ144" t="str">
            <v>CUE0000021</v>
          </cell>
          <cell r="BA144">
            <v>0.01</v>
          </cell>
          <cell r="BB144" t="str">
            <v>AV1401254360</v>
          </cell>
          <cell r="BC144">
            <v>0</v>
          </cell>
          <cell r="BR144" t="str">
            <v>VERDE</v>
          </cell>
          <cell r="BS144" t="str">
            <v>ARENA-CUERO NAPADO</v>
          </cell>
          <cell r="BT144" t="str">
            <v>CUE0000030</v>
          </cell>
          <cell r="BU144">
            <v>0.01</v>
          </cell>
          <cell r="BV144" t="str">
            <v>AV1401254260</v>
          </cell>
          <cell r="BW144">
            <v>0</v>
          </cell>
          <cell r="CL144" t="str">
            <v>NEGRO</v>
          </cell>
          <cell r="CM144" t="str">
            <v>ARENA-CUERO NAPADO</v>
          </cell>
          <cell r="CN144" t="str">
            <v>CUE0000026</v>
          </cell>
          <cell r="CO144">
            <v>0.01</v>
          </cell>
          <cell r="CP144" t="str">
            <v>AV1401254060</v>
          </cell>
          <cell r="CQ144">
            <v>0</v>
          </cell>
          <cell r="DF144" t="str">
            <v>ROJO</v>
          </cell>
          <cell r="DG144" t="str">
            <v>ARENA-CUERO NAPADO</v>
          </cell>
          <cell r="DH144" t="str">
            <v>CUE0000027</v>
          </cell>
          <cell r="DI144">
            <v>0.01</v>
          </cell>
          <cell r="DJ144" t="str">
            <v>AV1401254460</v>
          </cell>
          <cell r="DK144">
            <v>0</v>
          </cell>
          <cell r="DZ144" t="str">
            <v>SUELA</v>
          </cell>
          <cell r="EA144" t="str">
            <v>ARENA-CUERO NAPADO</v>
          </cell>
          <cell r="EB144" t="str">
            <v>CUE0000028</v>
          </cell>
          <cell r="EC144">
            <v>0.01</v>
          </cell>
          <cell r="ED144" t="str">
            <v>AV1401250545</v>
          </cell>
          <cell r="EE144">
            <v>0</v>
          </cell>
          <cell r="ET144" t="str">
            <v>MALBEC</v>
          </cell>
          <cell r="EU144" t="str">
            <v>ARENA-CUERO NAPADO</v>
          </cell>
          <cell r="EV144" t="str">
            <v>CUE0000025</v>
          </cell>
          <cell r="EW144">
            <v>0.01</v>
          </cell>
          <cell r="EX144" t="str">
            <v>AV1401250545</v>
          </cell>
          <cell r="EY144">
            <v>0</v>
          </cell>
          <cell r="KD144">
            <v>20</v>
          </cell>
          <cell r="KE144">
            <v>0</v>
          </cell>
          <cell r="KF144">
            <v>0</v>
          </cell>
          <cell r="KG144">
            <v>20</v>
          </cell>
          <cell r="KH144">
            <v>20</v>
          </cell>
          <cell r="KI144">
            <v>20</v>
          </cell>
          <cell r="KJ144">
            <v>20</v>
          </cell>
          <cell r="KK144">
            <v>20</v>
          </cell>
          <cell r="KL144">
            <v>20</v>
          </cell>
          <cell r="KM144">
            <v>20</v>
          </cell>
          <cell r="KN144">
            <v>20</v>
          </cell>
          <cell r="KO144">
            <v>20</v>
          </cell>
          <cell r="KP144">
            <v>20</v>
          </cell>
          <cell r="KQ144">
            <v>20</v>
          </cell>
          <cell r="KR144">
            <v>20</v>
          </cell>
          <cell r="KS144">
            <v>20</v>
          </cell>
          <cell r="KT144">
            <v>20</v>
          </cell>
          <cell r="KU144">
            <v>20</v>
          </cell>
          <cell r="KV144">
            <v>0</v>
          </cell>
          <cell r="KY144">
            <v>0</v>
          </cell>
          <cell r="LB144">
            <v>0</v>
          </cell>
          <cell r="LE144">
            <v>0</v>
          </cell>
          <cell r="LH144">
            <v>0</v>
          </cell>
          <cell r="LK144">
            <v>0</v>
          </cell>
          <cell r="LO144">
            <v>45799</v>
          </cell>
          <cell r="LP144" t="str">
            <v>COMPLETADO</v>
          </cell>
        </row>
        <row r="145">
          <cell r="A145">
            <v>1790</v>
          </cell>
          <cell r="B145" t="str">
            <v>RUBEN</v>
          </cell>
          <cell r="C145" t="str">
            <v>BARRACAS GRANDE</v>
          </cell>
          <cell r="D145" t="str">
            <v>MARROQUINERIA GRANDE</v>
          </cell>
          <cell r="E145">
            <v>17</v>
          </cell>
          <cell r="F145">
            <v>17</v>
          </cell>
          <cell r="G145">
            <v>17</v>
          </cell>
          <cell r="H145">
            <v>45803.507928240739</v>
          </cell>
          <cell r="I145" t="str">
            <v>TOTE CACHI</v>
          </cell>
          <cell r="J145">
            <v>45797</v>
          </cell>
          <cell r="K145">
            <v>45797</v>
          </cell>
          <cell r="L145">
            <v>45799</v>
          </cell>
          <cell r="M145">
            <v>30</v>
          </cell>
          <cell r="N145" t="str">
            <v>M169</v>
          </cell>
          <cell r="O145" t="str">
            <v>AV170129018</v>
          </cell>
          <cell r="P145">
            <v>0</v>
          </cell>
          <cell r="AS145" t="str">
            <v>CORREA 2 CM / SIN PINTURA</v>
          </cell>
          <cell r="AT145" t="str">
            <v xml:space="preserve"> PEGAR ETIQUETA DE CUERO AL FRENTE</v>
          </cell>
          <cell r="AU145" t="str">
            <v>HILO AL TONO CON HILO GRUESO N 20</v>
          </cell>
          <cell r="AW145" t="str">
            <v>GRABADO ETIQUETA EN NAPADO 7,5CM X 5,5 CM  "EL LUCERO HIGH QUALITY GOODS"</v>
          </cell>
          <cell r="AX145" t="str">
            <v>OLIVA_GAMUZA_TABACO</v>
          </cell>
          <cell r="AY145" t="str">
            <v>NAPOLITANA-CUERO GAMUZA</v>
          </cell>
          <cell r="AZ145" t="str">
            <v>CUE0000047</v>
          </cell>
          <cell r="BA145">
            <v>0.45</v>
          </cell>
          <cell r="BB145" t="str">
            <v>CUE0000012</v>
          </cell>
          <cell r="BC145">
            <v>0</v>
          </cell>
          <cell r="BR145" t="str">
            <v>CARAMELO</v>
          </cell>
          <cell r="BS145" t="str">
            <v>ARENA-CUERO NAPADO</v>
          </cell>
          <cell r="BT145" t="str">
            <v>CUE0000022</v>
          </cell>
          <cell r="BU145">
            <v>0.45</v>
          </cell>
          <cell r="CL145" t="str">
            <v>MALBEC</v>
          </cell>
          <cell r="CM145" t="str">
            <v>ARENA-CUERO NAPADO</v>
          </cell>
          <cell r="CN145" t="str">
            <v>CUE0000025</v>
          </cell>
          <cell r="CO145">
            <v>0.45</v>
          </cell>
          <cell r="KD145">
            <v>9</v>
          </cell>
          <cell r="KE145">
            <v>9</v>
          </cell>
          <cell r="KF145">
            <v>9</v>
          </cell>
          <cell r="KG145">
            <v>4</v>
          </cell>
          <cell r="KH145">
            <v>4</v>
          </cell>
          <cell r="KI145">
            <v>4</v>
          </cell>
          <cell r="KJ145">
            <v>4</v>
          </cell>
          <cell r="KK145">
            <v>4</v>
          </cell>
          <cell r="KL145">
            <v>4</v>
          </cell>
          <cell r="KM145">
            <v>0</v>
          </cell>
          <cell r="KP145">
            <v>0</v>
          </cell>
          <cell r="KS145">
            <v>0</v>
          </cell>
          <cell r="KV145">
            <v>0</v>
          </cell>
          <cell r="KY145">
            <v>0</v>
          </cell>
          <cell r="LB145">
            <v>0</v>
          </cell>
          <cell r="LE145">
            <v>0</v>
          </cell>
          <cell r="LH145">
            <v>0</v>
          </cell>
          <cell r="LK145">
            <v>0</v>
          </cell>
          <cell r="LN145">
            <v>45799</v>
          </cell>
          <cell r="LO145">
            <v>45805</v>
          </cell>
          <cell r="LP145" t="str">
            <v>COMPLETADO</v>
          </cell>
        </row>
        <row r="146">
          <cell r="A146">
            <v>1791</v>
          </cell>
          <cell r="B146" t="str">
            <v>LUCIANO</v>
          </cell>
          <cell r="C146" t="str">
            <v>BARRACAS GRANDE</v>
          </cell>
          <cell r="D146" t="str">
            <v>MARROQUINERIA GRANDE</v>
          </cell>
          <cell r="E146">
            <v>31</v>
          </cell>
          <cell r="F146">
            <v>31</v>
          </cell>
          <cell r="G146">
            <v>31</v>
          </cell>
          <cell r="H146">
            <v>45803.520856481482</v>
          </cell>
          <cell r="I146" t="str">
            <v>BANDOLERA CARLA</v>
          </cell>
          <cell r="J146">
            <v>45797</v>
          </cell>
          <cell r="K146">
            <v>45797</v>
          </cell>
          <cell r="L146">
            <v>45799</v>
          </cell>
          <cell r="M146">
            <v>35</v>
          </cell>
          <cell r="N146" t="str">
            <v>M002</v>
          </cell>
          <cell r="O146" t="str">
            <v>AV1001210101</v>
          </cell>
          <cell r="P146">
            <v>1</v>
          </cell>
          <cell r="Q146" t="str">
            <v>AV0401380101</v>
          </cell>
          <cell r="R146">
            <v>1</v>
          </cell>
          <cell r="S146" t="str">
            <v>AV0400400101</v>
          </cell>
          <cell r="T146">
            <v>1</v>
          </cell>
          <cell r="U146" t="str">
            <v>AV170129018</v>
          </cell>
          <cell r="V146">
            <v>0</v>
          </cell>
          <cell r="AS146" t="str">
            <v>CORREA IDEM MUESTRA. EN EL LATERAL NO LLEVA REMACHES</v>
          </cell>
          <cell r="AT146" t="str">
            <v>LA CORREA DEBE SALIR DE ADENTRO DE LA VISTA INTERNA</v>
          </cell>
          <cell r="AU146" t="str">
            <v>CONSULTAR SI VA PINTADA O NO O</v>
          </cell>
          <cell r="AV146" t="str">
            <v>REVISAR TIEMPO</v>
          </cell>
          <cell r="AW146" t="str">
            <v>GRABADO "EL LUCERO" CHICO EN VISTA INTERNA CENTRADA</v>
          </cell>
          <cell r="AX146" t="str">
            <v>MALBEC</v>
          </cell>
          <cell r="AY146" t="str">
            <v>ARENA-CUERO BRIDGE</v>
          </cell>
          <cell r="AZ146" t="str">
            <v>CUE0000008</v>
          </cell>
          <cell r="BA146">
            <v>0.17</v>
          </cell>
          <cell r="BB146" t="str">
            <v>FOR0000020</v>
          </cell>
          <cell r="BC146">
            <v>0.04</v>
          </cell>
          <cell r="BD146" t="str">
            <v>AV1401240545</v>
          </cell>
          <cell r="BE146">
            <v>0</v>
          </cell>
          <cell r="BR146" t="str">
            <v>CARAMELO</v>
          </cell>
          <cell r="BS146" t="str">
            <v>ARENA-CUERO BRIDGE</v>
          </cell>
          <cell r="BT146" t="str">
            <v>CUE0000004</v>
          </cell>
          <cell r="BU146">
            <v>0.17</v>
          </cell>
          <cell r="BV146" t="str">
            <v>FOR0000021</v>
          </cell>
          <cell r="BW146">
            <v>0.04</v>
          </cell>
          <cell r="BX146" t="str">
            <v>AV1401240545</v>
          </cell>
          <cell r="BY146">
            <v>0</v>
          </cell>
          <cell r="CL146" t="str">
            <v>NEGRO</v>
          </cell>
          <cell r="CM146" t="str">
            <v>BIANCO-CUERO FIORENTINO</v>
          </cell>
          <cell r="CN146" t="str">
            <v>CUE0000056</v>
          </cell>
          <cell r="CO146">
            <v>0.17</v>
          </cell>
          <cell r="CP146" t="str">
            <v>0000000000</v>
          </cell>
          <cell r="CQ146">
            <v>0</v>
          </cell>
          <cell r="CR146" t="str">
            <v>FOR0000020</v>
          </cell>
          <cell r="CS146">
            <v>0.04</v>
          </cell>
          <cell r="CT146" t="str">
            <v>AV1401244040</v>
          </cell>
          <cell r="CU146">
            <v>0</v>
          </cell>
          <cell r="DF146" t="str">
            <v>CEDRO</v>
          </cell>
          <cell r="DG146" t="str">
            <v>BIANCO-CUERO FIORENTINO</v>
          </cell>
          <cell r="DH146" t="str">
            <v>CUE0000055</v>
          </cell>
          <cell r="DI146">
            <v>0.17</v>
          </cell>
          <cell r="DJ146" t="str">
            <v>0000000000</v>
          </cell>
          <cell r="DK146">
            <v>0</v>
          </cell>
          <cell r="DL146" t="str">
            <v>FOR0000021</v>
          </cell>
          <cell r="DM146">
            <v>0.04</v>
          </cell>
          <cell r="DN146" t="str">
            <v>AV1401240545</v>
          </cell>
          <cell r="DO146">
            <v>0</v>
          </cell>
          <cell r="DZ146" t="str">
            <v>PELO_HOLANDO</v>
          </cell>
          <cell r="EA146" t="str">
            <v>LEDER-PELO</v>
          </cell>
          <cell r="EB146" t="str">
            <v>CUE0000116</v>
          </cell>
          <cell r="EC146">
            <v>0.17</v>
          </cell>
          <cell r="ED146" t="str">
            <v>FOR0000020</v>
          </cell>
          <cell r="EE146">
            <v>0.04</v>
          </cell>
          <cell r="EF146" t="str">
            <v>AV1401244040</v>
          </cell>
          <cell r="EG146">
            <v>0</v>
          </cell>
          <cell r="ET146" t="str">
            <v>PELO_HEREFORD</v>
          </cell>
          <cell r="EU146" t="str">
            <v>LEDER-PELO</v>
          </cell>
          <cell r="EV146" t="str">
            <v>CUE0000117</v>
          </cell>
          <cell r="EW146">
            <v>0.17</v>
          </cell>
          <cell r="EX146" t="str">
            <v>FOR0000021</v>
          </cell>
          <cell r="EY146">
            <v>0.04</v>
          </cell>
          <cell r="EZ146" t="str">
            <v>AV1401240545</v>
          </cell>
          <cell r="FA146">
            <v>0</v>
          </cell>
          <cell r="KD146">
            <v>3</v>
          </cell>
          <cell r="KE146">
            <v>3</v>
          </cell>
          <cell r="KF146">
            <v>3</v>
          </cell>
          <cell r="KG146">
            <v>6</v>
          </cell>
          <cell r="KH146">
            <v>6</v>
          </cell>
          <cell r="KI146">
            <v>6</v>
          </cell>
          <cell r="KJ146">
            <v>6</v>
          </cell>
          <cell r="KK146">
            <v>6</v>
          </cell>
          <cell r="KL146">
            <v>6</v>
          </cell>
          <cell r="KM146">
            <v>6</v>
          </cell>
          <cell r="KN146">
            <v>6</v>
          </cell>
          <cell r="KO146">
            <v>6</v>
          </cell>
          <cell r="KP146">
            <v>6</v>
          </cell>
          <cell r="KQ146">
            <v>6</v>
          </cell>
          <cell r="KR146">
            <v>6</v>
          </cell>
          <cell r="KS146">
            <v>4</v>
          </cell>
          <cell r="KT146">
            <v>4</v>
          </cell>
          <cell r="KU146">
            <v>4</v>
          </cell>
          <cell r="KV146">
            <v>0</v>
          </cell>
          <cell r="KY146">
            <v>0</v>
          </cell>
          <cell r="LB146">
            <v>0</v>
          </cell>
          <cell r="LE146">
            <v>0</v>
          </cell>
          <cell r="LH146">
            <v>0</v>
          </cell>
          <cell r="LK146">
            <v>0</v>
          </cell>
          <cell r="LN146">
            <v>45799</v>
          </cell>
          <cell r="LO146">
            <v>45923</v>
          </cell>
          <cell r="LP146" t="str">
            <v>COMPLETADO</v>
          </cell>
        </row>
        <row r="147">
          <cell r="A147">
            <v>1792</v>
          </cell>
          <cell r="B147" t="str">
            <v>RUBEN</v>
          </cell>
          <cell r="C147" t="str">
            <v>BARRACAS GRANDE</v>
          </cell>
          <cell r="D147" t="str">
            <v>MARROQUINERIA GRANDE</v>
          </cell>
          <cell r="E147">
            <v>14</v>
          </cell>
          <cell r="F147">
            <v>14</v>
          </cell>
          <cell r="G147">
            <v>14</v>
          </cell>
          <cell r="H147">
            <v>45803.825300925928</v>
          </cell>
          <cell r="I147" t="str">
            <v>BANDOLERA LENA</v>
          </cell>
          <cell r="J147">
            <v>45797</v>
          </cell>
          <cell r="K147">
            <v>45797</v>
          </cell>
          <cell r="L147">
            <v>45799</v>
          </cell>
          <cell r="M147">
            <v>50</v>
          </cell>
          <cell r="N147" t="str">
            <v>M004</v>
          </cell>
          <cell r="O147" t="str">
            <v>AV0101070301</v>
          </cell>
          <cell r="P147">
            <v>1</v>
          </cell>
          <cell r="Q147" t="str">
            <v>AV0600560101</v>
          </cell>
          <cell r="R147">
            <v>1</v>
          </cell>
          <cell r="S147" t="str">
            <v>AV1000880101</v>
          </cell>
          <cell r="T147">
            <v>1</v>
          </cell>
          <cell r="U147" t="str">
            <v>AV0300400101</v>
          </cell>
          <cell r="V147">
            <v>3</v>
          </cell>
          <cell r="W147" t="str">
            <v>AV0600570101</v>
          </cell>
          <cell r="X147">
            <v>2</v>
          </cell>
          <cell r="Y147" t="str">
            <v>AV1000780101</v>
          </cell>
          <cell r="Z147">
            <v>2</v>
          </cell>
          <cell r="AA147" t="str">
            <v>AV0300460101</v>
          </cell>
          <cell r="AB147">
            <v>2</v>
          </cell>
          <cell r="AC147" t="str">
            <v>BAC1300020827</v>
          </cell>
          <cell r="AD147">
            <v>0.05</v>
          </cell>
          <cell r="AE147" t="str">
            <v>AV0300390101</v>
          </cell>
          <cell r="AF147">
            <v>1</v>
          </cell>
          <cell r="AG147" t="str">
            <v>AV0101040201</v>
          </cell>
          <cell r="AH147">
            <v>1</v>
          </cell>
          <cell r="AI147" t="str">
            <v>AV170129018</v>
          </cell>
          <cell r="AJ147">
            <v>0</v>
          </cell>
          <cell r="AS147" t="str">
            <v>TIRACIERRE CON TIRA DE CUERO Y GRABADO L* LUCERO</v>
          </cell>
          <cell r="AW147" t="str">
            <v xml:space="preserve">GRABADO "EL LUCERO" CHICO EN LA VISTA DEL CIERRE, EN EL FRENTE CENTRADO. </v>
          </cell>
          <cell r="AX147" t="str">
            <v>CARAMELO</v>
          </cell>
          <cell r="AY147" t="str">
            <v>ARENA-CUERO NAPADO</v>
          </cell>
          <cell r="AZ147" t="str">
            <v>CUE0000022</v>
          </cell>
          <cell r="BA147">
            <v>0.4</v>
          </cell>
          <cell r="BB147" t="str">
            <v>FOR0000021</v>
          </cell>
          <cell r="BC147">
            <v>0.45</v>
          </cell>
          <cell r="BD147" t="str">
            <v>AV0100010105</v>
          </cell>
          <cell r="BE147">
            <v>0.32</v>
          </cell>
          <cell r="BF147" t="str">
            <v>AV0100020305</v>
          </cell>
          <cell r="BG147">
            <v>0.16</v>
          </cell>
          <cell r="BH147" t="str">
            <v>AV1401240545</v>
          </cell>
          <cell r="BI147">
            <v>0</v>
          </cell>
          <cell r="BR147" t="str">
            <v>MALBEC</v>
          </cell>
          <cell r="BS147" t="str">
            <v>ARENA-CUERO NAPADO</v>
          </cell>
          <cell r="BT147" t="str">
            <v>CUE0000025</v>
          </cell>
          <cell r="BU147">
            <v>0.4</v>
          </cell>
          <cell r="BV147" t="str">
            <v>FOR0000020</v>
          </cell>
          <cell r="BW147">
            <v>0.45</v>
          </cell>
          <cell r="BX147" t="str">
            <v>AV0100010161</v>
          </cell>
          <cell r="BY147">
            <v>0.32</v>
          </cell>
          <cell r="BZ147" t="str">
            <v>CIE0000003</v>
          </cell>
          <cell r="CA147">
            <v>0.16</v>
          </cell>
          <cell r="CB147" t="str">
            <v>AV1401240545</v>
          </cell>
          <cell r="CC147">
            <v>0</v>
          </cell>
          <cell r="CL147" t="str">
            <v>SUELA</v>
          </cell>
          <cell r="CM147" t="str">
            <v>ARENA-CUERO NAPADO</v>
          </cell>
          <cell r="CN147" t="str">
            <v>CUE0000028</v>
          </cell>
          <cell r="CO147">
            <v>0.4</v>
          </cell>
          <cell r="CP147" t="str">
            <v>FOR0000021</v>
          </cell>
          <cell r="CQ147">
            <v>0.45</v>
          </cell>
          <cell r="CR147" t="str">
            <v>AV0100010107</v>
          </cell>
          <cell r="CS147">
            <v>0.32</v>
          </cell>
          <cell r="CT147" t="str">
            <v>AV0100020337</v>
          </cell>
          <cell r="CU147">
            <v>0.16</v>
          </cell>
          <cell r="CV147" t="str">
            <v>AV1401240545</v>
          </cell>
          <cell r="CW147">
            <v>0</v>
          </cell>
          <cell r="DF147" t="str">
            <v>VERDE_REVES_VERDE</v>
          </cell>
          <cell r="DG147" t="str">
            <v>BIANCO-CUERO MODENA ESPESOR 1,4</v>
          </cell>
          <cell r="DH147" t="str">
            <v>CUE0000118</v>
          </cell>
          <cell r="DI147">
            <v>0.4</v>
          </cell>
          <cell r="DJ147" t="str">
            <v>FOR0000020</v>
          </cell>
          <cell r="DK147">
            <v>0.45</v>
          </cell>
          <cell r="DL147" t="str">
            <v>AV0100010135</v>
          </cell>
          <cell r="DM147">
            <v>0.32</v>
          </cell>
          <cell r="DN147" t="str">
            <v>AV0100020317</v>
          </cell>
          <cell r="DO147">
            <v>0.16</v>
          </cell>
          <cell r="DP147" t="str">
            <v>AV1401244240</v>
          </cell>
          <cell r="DQ147">
            <v>0</v>
          </cell>
          <cell r="EC147">
            <v>0.17</v>
          </cell>
          <cell r="EW147">
            <v>0.17</v>
          </cell>
          <cell r="KD147">
            <v>4</v>
          </cell>
          <cell r="KE147">
            <v>4</v>
          </cell>
          <cell r="KF147">
            <v>4</v>
          </cell>
          <cell r="KG147">
            <v>3</v>
          </cell>
          <cell r="KH147">
            <v>3</v>
          </cell>
          <cell r="KI147">
            <v>3</v>
          </cell>
          <cell r="KJ147">
            <v>3</v>
          </cell>
          <cell r="KK147">
            <v>3</v>
          </cell>
          <cell r="KL147">
            <v>3</v>
          </cell>
          <cell r="KM147">
            <v>4</v>
          </cell>
          <cell r="KN147">
            <v>4</v>
          </cell>
          <cell r="KO147">
            <v>4</v>
          </cell>
          <cell r="KP147">
            <v>0</v>
          </cell>
          <cell r="KS147">
            <v>0</v>
          </cell>
          <cell r="KV147">
            <v>0</v>
          </cell>
          <cell r="KY147">
            <v>0</v>
          </cell>
          <cell r="LB147">
            <v>0</v>
          </cell>
          <cell r="LE147">
            <v>0</v>
          </cell>
          <cell r="LH147">
            <v>0</v>
          </cell>
          <cell r="LK147">
            <v>0</v>
          </cell>
          <cell r="LN147">
            <v>45799</v>
          </cell>
          <cell r="LO147">
            <v>45916</v>
          </cell>
          <cell r="LP147" t="str">
            <v>COMPLETADO</v>
          </cell>
        </row>
        <row r="148">
          <cell r="A148">
            <v>1793</v>
          </cell>
          <cell r="B148" t="str">
            <v>LUCIANO</v>
          </cell>
          <cell r="C148" t="str">
            <v>BARRACAS CHICA</v>
          </cell>
          <cell r="D148" t="str">
            <v>MARROQUINERIA CHICA</v>
          </cell>
          <cell r="E148">
            <v>19</v>
          </cell>
          <cell r="F148">
            <v>16</v>
          </cell>
          <cell r="G148">
            <v>16</v>
          </cell>
          <cell r="H148">
            <v>45803.854432870372</v>
          </cell>
          <cell r="I148" t="str">
            <v>BILLETERA ADAM</v>
          </cell>
          <cell r="J148">
            <v>45797</v>
          </cell>
          <cell r="K148">
            <v>45797</v>
          </cell>
          <cell r="M148">
            <v>50</v>
          </cell>
          <cell r="N148" t="str">
            <v>M012</v>
          </cell>
          <cell r="O148" t="str">
            <v>AV0700420101</v>
          </cell>
          <cell r="P148">
            <v>1</v>
          </cell>
          <cell r="Q148" t="str">
            <v>VAR0000002</v>
          </cell>
          <cell r="R148">
            <v>0.01</v>
          </cell>
          <cell r="S148" t="str">
            <v>AV170134014</v>
          </cell>
          <cell r="T148">
            <v>0</v>
          </cell>
          <cell r="AW148" t="str">
            <v xml:space="preserve">GRABADO "EL LUCERO ARGENTINA" CHICO - CENTRADO A 1 CM DESDE EL BORDE INFERIOR  </v>
          </cell>
          <cell r="AX148" t="str">
            <v>CARAMELO</v>
          </cell>
          <cell r="AY148" t="str">
            <v>ARENA-CUERO BRIDGE</v>
          </cell>
          <cell r="AZ148" t="str">
            <v>CUE0000004</v>
          </cell>
          <cell r="BA148">
            <v>0.11</v>
          </cell>
          <cell r="BB148" t="str">
            <v>AV1401254160</v>
          </cell>
          <cell r="BC148">
            <v>0</v>
          </cell>
          <cell r="BD148" t="str">
            <v>FOR0000015</v>
          </cell>
          <cell r="BE148">
            <v>0.08</v>
          </cell>
          <cell r="BR148" t="str">
            <v>CHOCOLATE</v>
          </cell>
          <cell r="BS148" t="str">
            <v>ARENA-CUERO BRIDGE</v>
          </cell>
          <cell r="BT148" t="str">
            <v>CUE0000005</v>
          </cell>
          <cell r="BU148">
            <v>0.11</v>
          </cell>
          <cell r="BV148" t="str">
            <v>AV1401250545</v>
          </cell>
          <cell r="BW148">
            <v>0</v>
          </cell>
          <cell r="BX148" t="str">
            <v>FOR0000015</v>
          </cell>
          <cell r="BY148">
            <v>0.08</v>
          </cell>
          <cell r="CL148" t="str">
            <v>NEGRO</v>
          </cell>
          <cell r="CM148" t="str">
            <v>ARENA-CUERO BRIDGE</v>
          </cell>
          <cell r="CN148" t="str">
            <v>CUE0000009</v>
          </cell>
          <cell r="CO148">
            <v>0.11</v>
          </cell>
          <cell r="CP148" t="str">
            <v>AV1401254060</v>
          </cell>
          <cell r="CQ148">
            <v>0</v>
          </cell>
          <cell r="CR148" t="str">
            <v>FOR0000018</v>
          </cell>
          <cell r="CS148">
            <v>0.08</v>
          </cell>
          <cell r="DF148" t="str">
            <v>VERDE_REVES_VERDE</v>
          </cell>
          <cell r="DG148" t="str">
            <v>BIANCO-CUERO MODENA ESPESOR 1,4</v>
          </cell>
          <cell r="DH148" t="str">
            <v>CUE0000118</v>
          </cell>
          <cell r="DI148">
            <v>0.11</v>
          </cell>
          <cell r="DJ148" t="str">
            <v>AV1401254260</v>
          </cell>
          <cell r="DK148">
            <v>0</v>
          </cell>
          <cell r="DL148" t="str">
            <v>FOR0000013</v>
          </cell>
          <cell r="DM148">
            <v>0.08</v>
          </cell>
          <cell r="EC148">
            <v>0.17</v>
          </cell>
          <cell r="EW148">
            <v>0.17</v>
          </cell>
          <cell r="KD148">
            <v>3</v>
          </cell>
          <cell r="KE148">
            <v>3</v>
          </cell>
          <cell r="KF148">
            <v>3</v>
          </cell>
          <cell r="KG148">
            <v>10</v>
          </cell>
          <cell r="KH148">
            <v>10</v>
          </cell>
          <cell r="KI148">
            <v>10</v>
          </cell>
          <cell r="KJ148">
            <v>3</v>
          </cell>
          <cell r="KK148">
            <v>3</v>
          </cell>
          <cell r="KL148">
            <v>3</v>
          </cell>
          <cell r="KM148">
            <v>3</v>
          </cell>
          <cell r="KN148">
            <v>0</v>
          </cell>
          <cell r="KO148">
            <v>0</v>
          </cell>
          <cell r="KP148">
            <v>0</v>
          </cell>
          <cell r="KS148">
            <v>0</v>
          </cell>
          <cell r="KV148">
            <v>0</v>
          </cell>
          <cell r="KY148">
            <v>0</v>
          </cell>
          <cell r="LB148">
            <v>0</v>
          </cell>
          <cell r="LE148">
            <v>0</v>
          </cell>
          <cell r="LH148">
            <v>0</v>
          </cell>
          <cell r="LK148">
            <v>0</v>
          </cell>
          <cell r="LN148">
            <v>45797</v>
          </cell>
          <cell r="LO148">
            <v>45818</v>
          </cell>
          <cell r="LP148" t="str">
            <v>COMPLETADO</v>
          </cell>
        </row>
        <row r="149">
          <cell r="A149">
            <v>1794</v>
          </cell>
          <cell r="B149" t="str">
            <v>LUCIANO</v>
          </cell>
          <cell r="C149" t="str">
            <v>PERDRIEL</v>
          </cell>
          <cell r="D149" t="str">
            <v>MARROQUINERIA CHICA</v>
          </cell>
          <cell r="E149">
            <v>24</v>
          </cell>
          <cell r="F149">
            <v>24</v>
          </cell>
          <cell r="G149">
            <v>24</v>
          </cell>
          <cell r="H149">
            <v>45806.560497685183</v>
          </cell>
          <cell r="I149" t="str">
            <v>BILLETERA ARLO</v>
          </cell>
          <cell r="J149">
            <v>45797</v>
          </cell>
          <cell r="K149">
            <v>45797</v>
          </cell>
          <cell r="L149">
            <v>45799</v>
          </cell>
          <cell r="M149">
            <v>50</v>
          </cell>
          <cell r="N149" t="str">
            <v>M162</v>
          </cell>
          <cell r="O149" t="str">
            <v>BAC0900100161</v>
          </cell>
          <cell r="P149">
            <v>0.1</v>
          </cell>
          <cell r="Q149" t="str">
            <v>AV170134014</v>
          </cell>
          <cell r="R149">
            <v>0</v>
          </cell>
          <cell r="AS149" t="str">
            <v>GRABADO EN TARJETERO "EL LUCERO ARGENTINA" CHICO ATRAS CENTRADO A 1 CM DESDE EL BORDE INFERIOR</v>
          </cell>
          <cell r="AT149" t="str">
            <v>LLEVA 2 GRABADOS</v>
          </cell>
          <cell r="AW149" t="str">
            <v>GRABADO EN INTERIOR  "EL LUCERO ARGENTINA" CHICO - CENTRADO A 1 CM DESDE EL BORDE INFERIOR</v>
          </cell>
          <cell r="AX149" t="str">
            <v>NEGRO</v>
          </cell>
          <cell r="AY149" t="str">
            <v>ARENA-CUERO BRIDGE</v>
          </cell>
          <cell r="AZ149" t="str">
            <v>CUE0000009</v>
          </cell>
          <cell r="BA149">
            <v>0.11</v>
          </cell>
          <cell r="BB149" t="str">
            <v>FOR0000018</v>
          </cell>
          <cell r="BC149">
            <v>0.1</v>
          </cell>
          <cell r="BR149" t="str">
            <v>CHOCOLATE</v>
          </cell>
          <cell r="BS149" t="str">
            <v>ARENA-CUERO BRIDGE</v>
          </cell>
          <cell r="BT149" t="str">
            <v>CUE0000005</v>
          </cell>
          <cell r="BU149">
            <v>0.11</v>
          </cell>
          <cell r="BV149" t="str">
            <v>FOR0000015</v>
          </cell>
          <cell r="BW149">
            <v>0.1</v>
          </cell>
          <cell r="KD149">
            <v>12</v>
          </cell>
          <cell r="KE149">
            <v>12</v>
          </cell>
          <cell r="KF149">
            <v>12</v>
          </cell>
          <cell r="KG149">
            <v>12</v>
          </cell>
          <cell r="KH149">
            <v>12</v>
          </cell>
          <cell r="KI149">
            <v>12</v>
          </cell>
          <cell r="KJ149">
            <v>0</v>
          </cell>
          <cell r="KM149">
            <v>0</v>
          </cell>
          <cell r="KP149">
            <v>0</v>
          </cell>
          <cell r="KS149">
            <v>0</v>
          </cell>
          <cell r="KV149">
            <v>0</v>
          </cell>
          <cell r="KY149">
            <v>0</v>
          </cell>
          <cell r="LB149">
            <v>0</v>
          </cell>
          <cell r="LE149">
            <v>0</v>
          </cell>
          <cell r="LH149">
            <v>0</v>
          </cell>
          <cell r="LK149">
            <v>0</v>
          </cell>
          <cell r="LN149">
            <v>45799</v>
          </cell>
          <cell r="LO149">
            <v>45811</v>
          </cell>
          <cell r="LP149" t="str">
            <v>COMPLETADO</v>
          </cell>
        </row>
        <row r="150">
          <cell r="A150">
            <v>1797</v>
          </cell>
          <cell r="B150" t="str">
            <v>LUCIANO</v>
          </cell>
          <cell r="C150" t="str">
            <v>PERDRIEL</v>
          </cell>
          <cell r="D150" t="str">
            <v>MARROQUINERIA CHICA</v>
          </cell>
          <cell r="E150">
            <v>50</v>
          </cell>
          <cell r="F150">
            <v>50</v>
          </cell>
          <cell r="G150">
            <v>50</v>
          </cell>
          <cell r="H150">
            <v>45806.586724537039</v>
          </cell>
          <cell r="I150" t="str">
            <v>CINTO FLORA 2</v>
          </cell>
          <cell r="J150">
            <v>45804</v>
          </cell>
          <cell r="K150">
            <v>45804</v>
          </cell>
          <cell r="M150">
            <v>35</v>
          </cell>
          <cell r="N150" t="str">
            <v>M182</v>
          </cell>
          <cell r="O150" t="str">
            <v>VAR0000045</v>
          </cell>
          <cell r="P150">
            <v>1</v>
          </cell>
          <cell r="Q150" t="str">
            <v>AV170134014</v>
          </cell>
          <cell r="R150">
            <v>0</v>
          </cell>
          <cell r="AS150" t="str">
            <v xml:space="preserve"> LLEVA 5 ORIFICIOS / VA PINTADO</v>
          </cell>
          <cell r="AT150" t="str">
            <v>LLEVA STICKER DE TALLE</v>
          </cell>
          <cell r="AU150" t="str">
            <v>EL TALLE S/M SERA EL S DE CINTURON MIA 106 CM LARGO SIN HEBILLLA</v>
          </cell>
          <cell r="AV150" t="str">
            <v>EL TALLE M/L SERA EL M DE CINTURON MIA 115 CM LARGO SIN HEBILLLA</v>
          </cell>
          <cell r="AW150" t="str">
            <v>3 GRABADOS "EL LUCERO ARGENTINA CHICO, MAS SIMBOLO "TODO CUERO" MAS LETRA TALLE "S M" O "M L"</v>
          </cell>
          <cell r="AX150" t="str">
            <v>TABACO_GAMUZA_NEGRO</v>
          </cell>
          <cell r="AY150" t="str">
            <v>NAPOLITANA-CUERO GAMUZA</v>
          </cell>
          <cell r="AZ150" t="str">
            <v>CUE0000050</v>
          </cell>
          <cell r="BA150">
            <v>0.09</v>
          </cell>
          <cell r="BB150" t="str">
            <v>CUE0000063</v>
          </cell>
          <cell r="BC150">
            <v>7.0000000000000007E-2</v>
          </cell>
          <cell r="BR150" t="str">
            <v>TABACO_GAMUZA_NEGRO</v>
          </cell>
          <cell r="BS150" t="str">
            <v>NAPOLITANA-CUERO GAMUZA</v>
          </cell>
          <cell r="BT150" t="str">
            <v>CUE0000050</v>
          </cell>
          <cell r="BU150">
            <v>0.09</v>
          </cell>
          <cell r="BV150" t="str">
            <v>CUE0000063</v>
          </cell>
          <cell r="BW150">
            <v>7.0000000000000007E-2</v>
          </cell>
          <cell r="CL150" t="str">
            <v>OLIVA_GAMUZA_NEGRO</v>
          </cell>
          <cell r="CM150" t="str">
            <v>NAPOLITANA-CUERO GAMUZA</v>
          </cell>
          <cell r="CN150" t="str">
            <v>CUE0000047</v>
          </cell>
          <cell r="CO150">
            <v>0.09</v>
          </cell>
          <cell r="CP150" t="str">
            <v>CUE0000063</v>
          </cell>
          <cell r="CQ150">
            <v>7.0000000000000007E-2</v>
          </cell>
          <cell r="DF150" t="str">
            <v>OLIVA_GAMUZA_NEGRO</v>
          </cell>
          <cell r="DG150" t="str">
            <v>NAPOLITANA-CUERO GAMUZA</v>
          </cell>
          <cell r="DH150" t="str">
            <v>CUE0000047</v>
          </cell>
          <cell r="DI150">
            <v>0.09</v>
          </cell>
          <cell r="DJ150" t="str">
            <v>CUE0000063</v>
          </cell>
          <cell r="DK150">
            <v>7.0000000000000007E-2</v>
          </cell>
          <cell r="DZ150" t="str">
            <v>CHOCOLATE_GAMUZA_NEGRO</v>
          </cell>
          <cell r="EA150" t="str">
            <v>NAPOLITANA-CUERO GAMUZA</v>
          </cell>
          <cell r="EB150" t="str">
            <v>CUE0000040</v>
          </cell>
          <cell r="EC150">
            <v>0.09</v>
          </cell>
          <cell r="ED150" t="str">
            <v>CUE0000063</v>
          </cell>
          <cell r="EE150">
            <v>7.0000000000000007E-2</v>
          </cell>
          <cell r="ET150" t="str">
            <v>CHOCOLATE_GAMUZA_NEGRO</v>
          </cell>
          <cell r="EU150" t="str">
            <v>NAPOLITANA-CUERO GAMUZA</v>
          </cell>
          <cell r="EV150" t="str">
            <v>CUE0000040</v>
          </cell>
          <cell r="EW150">
            <v>0.09</v>
          </cell>
          <cell r="EX150" t="str">
            <v>CUE0000063</v>
          </cell>
          <cell r="EY150">
            <v>7.0000000000000007E-2</v>
          </cell>
          <cell r="FN150" t="str">
            <v>GrisOscuro_GAMUZA_NEGRO</v>
          </cell>
          <cell r="FO150" t="str">
            <v>NAPOLITANA-CUERO GAMUZA</v>
          </cell>
          <cell r="FP150" t="str">
            <v>CUE0000042</v>
          </cell>
          <cell r="FQ150">
            <v>0.09</v>
          </cell>
          <cell r="FR150" t="str">
            <v>CUE0000063</v>
          </cell>
          <cell r="FS150">
            <v>7.0000000000000007E-2</v>
          </cell>
          <cell r="GH150" t="str">
            <v>GrisOscuro_GAMUZA_NEGRO</v>
          </cell>
          <cell r="GI150" t="str">
            <v>NAPOLITANA-CUERO GAMUZA</v>
          </cell>
          <cell r="GJ150" t="str">
            <v>CUE0000042</v>
          </cell>
          <cell r="GK150">
            <v>0.09</v>
          </cell>
          <cell r="GL150" t="str">
            <v>CUE0000063</v>
          </cell>
          <cell r="GM150">
            <v>7.0000000000000007E-2</v>
          </cell>
          <cell r="HB150" t="str">
            <v>MARSALA_GAMUZA_NEGRO</v>
          </cell>
          <cell r="HC150" t="str">
            <v>NAPOLITANA-CUERO GAMUZA</v>
          </cell>
          <cell r="HD150" t="str">
            <v>CUE0000043</v>
          </cell>
          <cell r="HE150">
            <v>0.09</v>
          </cell>
          <cell r="HF150" t="str">
            <v>CUE0000063</v>
          </cell>
          <cell r="HG150">
            <v>7.0000000000000007E-2</v>
          </cell>
          <cell r="HV150" t="str">
            <v>MARSALA_GAMUZA_NEGRO</v>
          </cell>
          <cell r="HW150" t="str">
            <v>NAPOLITANA-CUERO GAMUZA</v>
          </cell>
          <cell r="HX150" t="str">
            <v>CUE0000043</v>
          </cell>
          <cell r="HY150">
            <v>0.09</v>
          </cell>
          <cell r="HZ150" t="str">
            <v>CUE0000063</v>
          </cell>
          <cell r="IA150">
            <v>7.0000000000000007E-2</v>
          </cell>
          <cell r="KD150">
            <v>5</v>
          </cell>
          <cell r="KE150">
            <v>5</v>
          </cell>
          <cell r="KF150">
            <v>5</v>
          </cell>
          <cell r="KG150">
            <v>5</v>
          </cell>
          <cell r="KH150">
            <v>5</v>
          </cell>
          <cell r="KI150">
            <v>5</v>
          </cell>
          <cell r="KJ150">
            <v>5</v>
          </cell>
          <cell r="KK150">
            <v>5</v>
          </cell>
          <cell r="KL150">
            <v>5</v>
          </cell>
          <cell r="KM150">
            <v>5</v>
          </cell>
          <cell r="KN150">
            <v>5</v>
          </cell>
          <cell r="KO150">
            <v>5</v>
          </cell>
          <cell r="KP150">
            <v>5</v>
          </cell>
          <cell r="KQ150">
            <v>5</v>
          </cell>
          <cell r="KR150">
            <v>5</v>
          </cell>
          <cell r="KS150">
            <v>5</v>
          </cell>
          <cell r="KT150">
            <v>5</v>
          </cell>
          <cell r="KU150">
            <v>5</v>
          </cell>
          <cell r="KV150">
            <v>5</v>
          </cell>
          <cell r="KW150">
            <v>5</v>
          </cell>
          <cell r="KX150">
            <v>5</v>
          </cell>
          <cell r="KY150">
            <v>5</v>
          </cell>
          <cell r="KZ150">
            <v>5</v>
          </cell>
          <cell r="LA150">
            <v>5</v>
          </cell>
          <cell r="LB150">
            <v>5</v>
          </cell>
          <cell r="LC150">
            <v>5</v>
          </cell>
          <cell r="LD150">
            <v>5</v>
          </cell>
          <cell r="LE150">
            <v>5</v>
          </cell>
          <cell r="LF150">
            <v>5</v>
          </cell>
          <cell r="LG150">
            <v>5</v>
          </cell>
          <cell r="LH150">
            <v>0</v>
          </cell>
          <cell r="LK150">
            <v>0</v>
          </cell>
          <cell r="LN150">
            <v>45804</v>
          </cell>
          <cell r="LO150">
            <v>45846</v>
          </cell>
          <cell r="LP150" t="str">
            <v>COMPLETADO</v>
          </cell>
          <cell r="LQ150" t="str">
            <v>TALLE S/M</v>
          </cell>
          <cell r="LR150" t="str">
            <v>TALLE M/L</v>
          </cell>
          <cell r="LS150" t="str">
            <v>TALLE S/M</v>
          </cell>
          <cell r="LT150" t="str">
            <v xml:space="preserve"> TALLE M/L</v>
          </cell>
          <cell r="LU150" t="str">
            <v>TALLE S/M</v>
          </cell>
          <cell r="LV150" t="str">
            <v xml:space="preserve"> TALLE M/L</v>
          </cell>
          <cell r="LW150" t="str">
            <v>TALLE S/M</v>
          </cell>
          <cell r="LX150" t="str">
            <v xml:space="preserve"> TALLE M/L</v>
          </cell>
          <cell r="LY150" t="str">
            <v>TALLE S/M</v>
          </cell>
          <cell r="LZ150" t="str">
            <v xml:space="preserve"> TALLE M/L</v>
          </cell>
        </row>
        <row r="151">
          <cell r="A151">
            <v>1795</v>
          </cell>
          <cell r="B151" t="str">
            <v>LUCIANO</v>
          </cell>
          <cell r="C151" t="str">
            <v>PERDRIEL</v>
          </cell>
          <cell r="D151" t="str">
            <v>MARROQUINERIA CHICA</v>
          </cell>
          <cell r="E151">
            <v>12</v>
          </cell>
          <cell r="F151">
            <v>12</v>
          </cell>
          <cell r="G151">
            <v>12</v>
          </cell>
          <cell r="H151">
            <v>45808.538159722222</v>
          </cell>
          <cell r="I151" t="str">
            <v>SOBRE PELO</v>
          </cell>
          <cell r="J151">
            <v>45803</v>
          </cell>
          <cell r="K151">
            <v>45803</v>
          </cell>
          <cell r="L151">
            <v>45818</v>
          </cell>
          <cell r="M151">
            <v>25</v>
          </cell>
          <cell r="N151" t="str">
            <v>M183</v>
          </cell>
          <cell r="O151" t="str">
            <v>VAR0000046</v>
          </cell>
          <cell r="P151">
            <v>1</v>
          </cell>
          <cell r="AS151" t="str">
            <v xml:space="preserve"> SIN PINTUTURA</v>
          </cell>
          <cell r="AX151" t="str">
            <v>PELO_HEREFORD</v>
          </cell>
          <cell r="AY151" t="str">
            <v>LEDER-PELO</v>
          </cell>
          <cell r="AZ151" t="str">
            <v>CUE0000117</v>
          </cell>
          <cell r="BA151">
            <v>0.06</v>
          </cell>
          <cell r="BB151" t="str">
            <v>CUE0000012</v>
          </cell>
          <cell r="BC151">
            <v>0.01</v>
          </cell>
          <cell r="BR151" t="str">
            <v>PELO_HOLANDO</v>
          </cell>
          <cell r="BS151" t="str">
            <v>LEDER-PELO</v>
          </cell>
          <cell r="BT151" t="str">
            <v>CUE0000116</v>
          </cell>
          <cell r="BU151">
            <v>0.06</v>
          </cell>
          <cell r="BV151" t="str">
            <v>CUE0000009</v>
          </cell>
          <cell r="BW151">
            <v>0.01</v>
          </cell>
          <cell r="KD151">
            <v>6</v>
          </cell>
          <cell r="KE151">
            <v>6</v>
          </cell>
          <cell r="KF151">
            <v>6</v>
          </cell>
          <cell r="KG151">
            <v>6</v>
          </cell>
          <cell r="KH151">
            <v>6</v>
          </cell>
          <cell r="KI151">
            <v>6</v>
          </cell>
          <cell r="KJ151">
            <v>0</v>
          </cell>
          <cell r="KM151">
            <v>0</v>
          </cell>
          <cell r="KP151">
            <v>0</v>
          </cell>
          <cell r="KS151">
            <v>0</v>
          </cell>
          <cell r="KV151">
            <v>0</v>
          </cell>
          <cell r="KY151">
            <v>0</v>
          </cell>
          <cell r="LB151">
            <v>0</v>
          </cell>
          <cell r="LE151">
            <v>0</v>
          </cell>
          <cell r="LH151">
            <v>0</v>
          </cell>
          <cell r="LK151">
            <v>0</v>
          </cell>
          <cell r="LN151">
            <v>45803</v>
          </cell>
          <cell r="LO151">
            <v>45818</v>
          </cell>
          <cell r="LP151" t="str">
            <v>COMPLETADO</v>
          </cell>
          <cell r="LQ151" t="str">
            <v>CORDON  CONTORNO CUERO  NAPADO COLOR TABACO /  QUE SE VEA LA MANCHA SI NO SALE DE RETAZOS, USAR PLACA!</v>
          </cell>
          <cell r="LR151" t="str">
            <v>CORDON  CONTORNO CUERO  NAPADO COLOR NEGRO /  QUE SE VEA LA MANCHA SI NO SALE DE RETAZOS, USAR PLACA!</v>
          </cell>
        </row>
        <row r="152">
          <cell r="A152">
            <v>1798</v>
          </cell>
          <cell r="B152" t="str">
            <v>RUBEN</v>
          </cell>
          <cell r="C152" t="str">
            <v>BARRACAS GRANDE</v>
          </cell>
          <cell r="D152" t="str">
            <v>MARROQUINERIA GRANDE</v>
          </cell>
          <cell r="E152">
            <v>30</v>
          </cell>
          <cell r="F152">
            <v>30</v>
          </cell>
          <cell r="G152">
            <v>30</v>
          </cell>
          <cell r="H152">
            <v>45808.571979166663</v>
          </cell>
          <cell r="I152" t="str">
            <v>CARTERA VERA</v>
          </cell>
          <cell r="J152">
            <v>45807</v>
          </cell>
          <cell r="K152">
            <v>45807</v>
          </cell>
          <cell r="M152">
            <v>40</v>
          </cell>
          <cell r="N152" t="str">
            <v>M184</v>
          </cell>
          <cell r="O152" t="str">
            <v>BAC1300020827</v>
          </cell>
          <cell r="P152">
            <v>0.06</v>
          </cell>
          <cell r="Q152" t="str">
            <v>AV0101040201</v>
          </cell>
          <cell r="R152">
            <v>1</v>
          </cell>
          <cell r="S152" t="str">
            <v>AV0600540101</v>
          </cell>
          <cell r="T152">
            <v>1</v>
          </cell>
          <cell r="U152" t="str">
            <v>AV1000920101</v>
          </cell>
          <cell r="V152">
            <v>1</v>
          </cell>
          <cell r="W152" t="str">
            <v>AV0101030201</v>
          </cell>
          <cell r="X152">
            <v>1</v>
          </cell>
          <cell r="Y152" t="str">
            <v>AV1000380101</v>
          </cell>
          <cell r="Z152">
            <v>1</v>
          </cell>
          <cell r="AA152" t="str">
            <v>AV0300390101</v>
          </cell>
          <cell r="AB152">
            <v>1</v>
          </cell>
          <cell r="AC152" t="str">
            <v>AV170129018</v>
          </cell>
          <cell r="AD152">
            <v>0</v>
          </cell>
          <cell r="AS152" t="str">
            <v>TIRACIERRE N1 - TIRA DE CUERO CON REMACHE Y GRABADO ESTRELLITA</v>
          </cell>
          <cell r="AT152" t="str">
            <v>TOTAL 12 ORIFICIOS</v>
          </cell>
          <cell r="AW152" t="str">
            <v>GRABADO "EL LUCERO" GRANDE EN ZOCALO BOLSILLO INTERNO CENTRADO ABAJO</v>
          </cell>
          <cell r="AX152" t="str">
            <v>GrisOscuro_GAMUZA_TABACO</v>
          </cell>
          <cell r="AY152" t="str">
            <v>NAPOLITANA-CUERO GAMUZA</v>
          </cell>
          <cell r="AZ152" t="str">
            <v>CUE0000042</v>
          </cell>
          <cell r="BA152">
            <v>0.49</v>
          </cell>
          <cell r="BB152" t="str">
            <v>CUE0000012</v>
          </cell>
          <cell r="BC152">
            <v>0.12</v>
          </cell>
          <cell r="BD152" t="str">
            <v>FOR0000021</v>
          </cell>
          <cell r="BE152">
            <v>0.4</v>
          </cell>
          <cell r="BF152" t="str">
            <v>AV0100010114</v>
          </cell>
          <cell r="BG152">
            <v>0.78</v>
          </cell>
          <cell r="BR152" t="str">
            <v>OLIVA_GAMUZA_TABACO</v>
          </cell>
          <cell r="BS152" t="str">
            <v>NAPOLITANA-CUERO GAMUZA</v>
          </cell>
          <cell r="BT152" t="str">
            <v>CUE0000047</v>
          </cell>
          <cell r="BU152">
            <v>0.49</v>
          </cell>
          <cell r="BV152" t="str">
            <v>CUE0000012</v>
          </cell>
          <cell r="BW152">
            <v>0.12</v>
          </cell>
          <cell r="BX152" t="str">
            <v>FOR0000021</v>
          </cell>
          <cell r="BY152">
            <v>0.4</v>
          </cell>
          <cell r="BZ152" t="str">
            <v>AV0100010114</v>
          </cell>
          <cell r="CA152">
            <v>0.78</v>
          </cell>
          <cell r="CL152" t="str">
            <v>TABACO_GAMUZA_TABACO</v>
          </cell>
          <cell r="CM152" t="str">
            <v>NAPOLITANA-CUERO GAMUZA</v>
          </cell>
          <cell r="CN152" t="str">
            <v>CUE0000050</v>
          </cell>
          <cell r="CO152">
            <v>0.49</v>
          </cell>
          <cell r="CP152" t="str">
            <v>CUE0000012</v>
          </cell>
          <cell r="CQ152">
            <v>0.12</v>
          </cell>
          <cell r="CR152" t="str">
            <v>FOR0000021</v>
          </cell>
          <cell r="CS152">
            <v>0.4</v>
          </cell>
          <cell r="CT152" t="str">
            <v>AV0100010114</v>
          </cell>
          <cell r="CU152">
            <v>0.78</v>
          </cell>
          <cell r="KD152">
            <v>10</v>
          </cell>
          <cell r="KE152">
            <v>10</v>
          </cell>
          <cell r="KF152">
            <v>10</v>
          </cell>
          <cell r="KG152">
            <v>10</v>
          </cell>
          <cell r="KH152">
            <v>10</v>
          </cell>
          <cell r="KI152">
            <v>10</v>
          </cell>
          <cell r="KJ152">
            <v>10</v>
          </cell>
          <cell r="KK152">
            <v>10</v>
          </cell>
          <cell r="KL152">
            <v>10</v>
          </cell>
          <cell r="KM152">
            <v>0</v>
          </cell>
          <cell r="KP152">
            <v>0</v>
          </cell>
          <cell r="KS152">
            <v>0</v>
          </cell>
          <cell r="KV152">
            <v>0</v>
          </cell>
          <cell r="KY152">
            <v>0</v>
          </cell>
          <cell r="LB152">
            <v>0</v>
          </cell>
          <cell r="LE152">
            <v>0</v>
          </cell>
          <cell r="LH152">
            <v>0</v>
          </cell>
          <cell r="LK152">
            <v>0</v>
          </cell>
          <cell r="LO152">
            <v>45826</v>
          </cell>
          <cell r="LP152" t="str">
            <v>COMPLETADO</v>
          </cell>
        </row>
        <row r="153">
          <cell r="A153">
            <v>1801</v>
          </cell>
          <cell r="B153" t="str">
            <v>RUBEN</v>
          </cell>
          <cell r="C153" t="str">
            <v>BARRACAS GRANDE</v>
          </cell>
          <cell r="D153" t="str">
            <v>MARROQUINERIA GRANDE</v>
          </cell>
          <cell r="E153">
            <v>18</v>
          </cell>
          <cell r="F153">
            <v>18</v>
          </cell>
          <cell r="G153">
            <v>18</v>
          </cell>
          <cell r="H153">
            <v>45808.853888888887</v>
          </cell>
          <cell r="I153" t="str">
            <v>MOCHILA MULITA</v>
          </cell>
          <cell r="J153">
            <v>45806</v>
          </cell>
          <cell r="K153">
            <v>45806</v>
          </cell>
          <cell r="M153">
            <v>63</v>
          </cell>
          <cell r="N153" t="str">
            <v>M186</v>
          </cell>
          <cell r="O153" t="str">
            <v>BAC1300020827</v>
          </cell>
          <cell r="P153">
            <v>0.1</v>
          </cell>
          <cell r="Q153" t="str">
            <v>AV1000380101</v>
          </cell>
          <cell r="R153">
            <v>3</v>
          </cell>
          <cell r="S153" t="str">
            <v>AV0300390101</v>
          </cell>
          <cell r="T153">
            <v>3</v>
          </cell>
          <cell r="U153" t="str">
            <v>AV1001500101</v>
          </cell>
          <cell r="V153">
            <v>2</v>
          </cell>
          <cell r="W153" t="str">
            <v>AV0101040201</v>
          </cell>
          <cell r="X153">
            <v>3</v>
          </cell>
          <cell r="Y153" t="str">
            <v>AV170129018</v>
          </cell>
          <cell r="Z153">
            <v>0</v>
          </cell>
          <cell r="AS153" t="str">
            <v>TIRACIERRE INTERNO: N1 TIRA CON REMACHE + GRABADO ESTRELLITA</v>
          </cell>
          <cell r="AW153" t="str">
            <v>GRABADO "EL LUCERO ARGENTINA" GRANDE EN ESPALDA CENTRADO ARRIBA ENTRE CORREAS</v>
          </cell>
          <cell r="AX153" t="str">
            <v>NEGRO</v>
          </cell>
          <cell r="AY153" t="str">
            <v>ARENA-CUERO BRIDGE</v>
          </cell>
          <cell r="AZ153" t="str">
            <v>CUE0000009</v>
          </cell>
          <cell r="BA153">
            <v>0.6</v>
          </cell>
          <cell r="BB153" t="str">
            <v>FOR0000020</v>
          </cell>
          <cell r="BC153">
            <v>0.57999999999999996</v>
          </cell>
          <cell r="BD153" t="str">
            <v>AV0100010103</v>
          </cell>
          <cell r="BE153">
            <v>1.1000000000000001</v>
          </cell>
          <cell r="BF153" t="str">
            <v>AV1801370726</v>
          </cell>
          <cell r="BG153">
            <v>1.2</v>
          </cell>
          <cell r="BR153" t="str">
            <v>CHOCOLATE</v>
          </cell>
          <cell r="BS153" t="str">
            <v>ARENA-CUERO BRIDGE</v>
          </cell>
          <cell r="BT153" t="str">
            <v>CUE0000005</v>
          </cell>
          <cell r="BU153">
            <v>0.6</v>
          </cell>
          <cell r="BV153" t="str">
            <v>FOR0000021</v>
          </cell>
          <cell r="BW153">
            <v>0.57999999999999996</v>
          </cell>
          <cell r="BX153" t="str">
            <v>AV0100010111</v>
          </cell>
          <cell r="BY153">
            <v>1.1000000000000001</v>
          </cell>
          <cell r="BZ153" t="str">
            <v>AV1801370725</v>
          </cell>
          <cell r="CA153">
            <v>1.2</v>
          </cell>
          <cell r="CL153" t="str">
            <v>CARAMELO</v>
          </cell>
          <cell r="CM153" t="str">
            <v>ARENA-CUERO BRIDGE</v>
          </cell>
          <cell r="CN153" t="str">
            <v>CUE0000004</v>
          </cell>
          <cell r="CO153">
            <v>0.6</v>
          </cell>
          <cell r="CP153" t="str">
            <v>FOR0000021</v>
          </cell>
          <cell r="CQ153">
            <v>0.57999999999999996</v>
          </cell>
          <cell r="CR153" t="str">
            <v>AV0100010105</v>
          </cell>
          <cell r="CS153">
            <v>1.1000000000000001</v>
          </cell>
          <cell r="CT153" t="str">
            <v>AV1801370725</v>
          </cell>
          <cell r="CU153">
            <v>1.2</v>
          </cell>
          <cell r="KD153">
            <v>6</v>
          </cell>
          <cell r="KE153">
            <v>6</v>
          </cell>
          <cell r="KF153">
            <v>6</v>
          </cell>
          <cell r="KG153">
            <v>6</v>
          </cell>
          <cell r="KH153">
            <v>6</v>
          </cell>
          <cell r="KI153">
            <v>6</v>
          </cell>
          <cell r="KJ153">
            <v>6</v>
          </cell>
          <cell r="KK153">
            <v>6</v>
          </cell>
          <cell r="KL153">
            <v>6</v>
          </cell>
          <cell r="KM153">
            <v>0</v>
          </cell>
          <cell r="KP153">
            <v>0</v>
          </cell>
          <cell r="KS153">
            <v>0</v>
          </cell>
          <cell r="KV153">
            <v>0</v>
          </cell>
          <cell r="KY153">
            <v>0</v>
          </cell>
          <cell r="LB153">
            <v>0</v>
          </cell>
          <cell r="LE153">
            <v>0</v>
          </cell>
          <cell r="LH153">
            <v>0</v>
          </cell>
          <cell r="LK153">
            <v>0</v>
          </cell>
          <cell r="LO153">
            <v>45819</v>
          </cell>
          <cell r="LP153" t="str">
            <v>COMPLETADO</v>
          </cell>
        </row>
        <row r="154">
          <cell r="A154">
            <v>1808</v>
          </cell>
          <cell r="B154" t="str">
            <v>LUCIANO</v>
          </cell>
          <cell r="C154" t="str">
            <v>EXT GABRIEL</v>
          </cell>
          <cell r="D154" t="str">
            <v>MARROQUINERIA CHICA</v>
          </cell>
          <cell r="E154">
            <v>32</v>
          </cell>
          <cell r="F154">
            <v>12</v>
          </cell>
          <cell r="G154">
            <v>12</v>
          </cell>
          <cell r="H154">
            <v>45809.331909722219</v>
          </cell>
          <cell r="I154" t="str">
            <v>TARJETERO JUAN</v>
          </cell>
          <cell r="J154">
            <v>45804</v>
          </cell>
          <cell r="K154">
            <v>45804</v>
          </cell>
          <cell r="M154">
            <v>22</v>
          </cell>
          <cell r="N154" t="str">
            <v>M126</v>
          </cell>
          <cell r="O154" t="str">
            <v>AV170134014</v>
          </cell>
          <cell r="P154">
            <v>0</v>
          </cell>
          <cell r="AW154" t="str">
            <v xml:space="preserve">GRABADO "EL LUCERO ARG." EN FRENTE CENTRADO   </v>
          </cell>
          <cell r="AX154" t="str">
            <v>SUELA</v>
          </cell>
          <cell r="AY154" t="str">
            <v>ARENA-CUERO NAPADO</v>
          </cell>
          <cell r="AZ154" t="str">
            <v>CUE0000028</v>
          </cell>
          <cell r="BA154">
            <v>0.06</v>
          </cell>
          <cell r="BB154" t="str">
            <v>AV1401250545</v>
          </cell>
          <cell r="BC154">
            <v>0</v>
          </cell>
          <cell r="BR154" t="str">
            <v>NEGRO</v>
          </cell>
          <cell r="BS154" t="str">
            <v>ARENA-CUERO NAPADO</v>
          </cell>
          <cell r="BT154" t="str">
            <v>CUE0000026</v>
          </cell>
          <cell r="BU154">
            <v>0.06</v>
          </cell>
          <cell r="BV154" t="str">
            <v>AV1401254060</v>
          </cell>
          <cell r="BW154">
            <v>0</v>
          </cell>
          <cell r="CL154" t="str">
            <v>VERDE_REVES_VERDE</v>
          </cell>
          <cell r="CM154" t="str">
            <v>BIANCO-CUERO MODENA ESPESOR 1,4</v>
          </cell>
          <cell r="CN154" t="str">
            <v>CUE0000118</v>
          </cell>
          <cell r="CO154">
            <v>0.06</v>
          </cell>
          <cell r="CP154" t="str">
            <v>AV1401254260</v>
          </cell>
          <cell r="CQ154">
            <v>0</v>
          </cell>
          <cell r="KD154">
            <v>6</v>
          </cell>
          <cell r="KE154">
            <v>0</v>
          </cell>
          <cell r="KF154">
            <v>0</v>
          </cell>
          <cell r="KG154">
            <v>12</v>
          </cell>
          <cell r="KH154">
            <v>12</v>
          </cell>
          <cell r="KI154">
            <v>12</v>
          </cell>
          <cell r="KJ154">
            <v>14</v>
          </cell>
          <cell r="KK154">
            <v>0</v>
          </cell>
          <cell r="KL154">
            <v>0</v>
          </cell>
          <cell r="KM154">
            <v>0</v>
          </cell>
          <cell r="KP154">
            <v>0</v>
          </cell>
          <cell r="KS154">
            <v>0</v>
          </cell>
          <cell r="KV154">
            <v>0</v>
          </cell>
          <cell r="KY154">
            <v>0</v>
          </cell>
          <cell r="LB154">
            <v>0</v>
          </cell>
          <cell r="LE154">
            <v>0</v>
          </cell>
          <cell r="LH154">
            <v>0</v>
          </cell>
          <cell r="LK154">
            <v>0</v>
          </cell>
          <cell r="LO154">
            <v>45826</v>
          </cell>
          <cell r="LP154" t="str">
            <v>COMPLETADO</v>
          </cell>
        </row>
        <row r="155">
          <cell r="A155">
            <v>1809</v>
          </cell>
          <cell r="B155" t="str">
            <v>LUCIANO</v>
          </cell>
          <cell r="C155" t="str">
            <v>EXT GABRIEL</v>
          </cell>
          <cell r="D155" t="str">
            <v>MARROQUINERIA CHICA</v>
          </cell>
          <cell r="E155">
            <v>90</v>
          </cell>
          <cell r="F155">
            <v>72</v>
          </cell>
          <cell r="G155">
            <v>72</v>
          </cell>
          <cell r="H155">
            <v>45809.345405092594</v>
          </cell>
          <cell r="I155" t="str">
            <v>TARJETERO HARRY</v>
          </cell>
          <cell r="J155">
            <v>45804</v>
          </cell>
          <cell r="K155">
            <v>45804</v>
          </cell>
          <cell r="M155">
            <v>20</v>
          </cell>
          <cell r="N155" t="str">
            <v>M125</v>
          </cell>
          <cell r="O155" t="str">
            <v>AV170134014</v>
          </cell>
          <cell r="P155">
            <v>0</v>
          </cell>
          <cell r="AW155" t="str">
            <v xml:space="preserve">GRABADO " EL LUCERO ARGENTINA" CHICO ENINTERIOR CENTRADO SOBRE LA DERECHA (VER MUESTRA)   </v>
          </cell>
          <cell r="AX155" t="str">
            <v>CEDRO</v>
          </cell>
          <cell r="AY155" t="str">
            <v>BIANCO-CUERO FIORENTINO</v>
          </cell>
          <cell r="AZ155" t="str">
            <v>CUE0000055</v>
          </cell>
          <cell r="BA155">
            <v>0.05</v>
          </cell>
          <cell r="BB155" t="str">
            <v>FOR0000027</v>
          </cell>
          <cell r="BC155">
            <v>0.02</v>
          </cell>
          <cell r="BD155" t="str">
            <v>FOR0000015</v>
          </cell>
          <cell r="BE155">
            <v>0.05</v>
          </cell>
          <cell r="BF155" t="str">
            <v>AV1401250545</v>
          </cell>
          <cell r="BG155">
            <v>0</v>
          </cell>
          <cell r="BR155" t="str">
            <v>VERDE_REVES_VERDE</v>
          </cell>
          <cell r="BS155" t="str">
            <v>BIANCO-CUERO MODENA ESPESOR 1,4</v>
          </cell>
          <cell r="BT155" t="str">
            <v>CUE0000118</v>
          </cell>
          <cell r="BU155">
            <v>0.05</v>
          </cell>
          <cell r="BV155" t="str">
            <v>FOR0000027</v>
          </cell>
          <cell r="BW155">
            <v>0.02</v>
          </cell>
          <cell r="BX155" t="str">
            <v>FOR0000014</v>
          </cell>
          <cell r="BY155">
            <v>0.05</v>
          </cell>
          <cell r="BZ155" t="str">
            <v>AV1401254360</v>
          </cell>
          <cell r="CA155">
            <v>0</v>
          </cell>
          <cell r="CL155" t="str">
            <v>NEGRO</v>
          </cell>
          <cell r="CM155" t="str">
            <v>ARENA-CUERO BRIDGE</v>
          </cell>
          <cell r="CN155" t="str">
            <v>CUE0000009</v>
          </cell>
          <cell r="CO155">
            <v>0.05</v>
          </cell>
          <cell r="CP155" t="str">
            <v>FOR0000027</v>
          </cell>
          <cell r="CQ155">
            <v>0.02</v>
          </cell>
          <cell r="CR155" t="str">
            <v>FOR0000018</v>
          </cell>
          <cell r="CS155">
            <v>0.05</v>
          </cell>
          <cell r="CT155" t="str">
            <v>AV1401254060</v>
          </cell>
          <cell r="CU155">
            <v>0</v>
          </cell>
          <cell r="DF155" t="str">
            <v>TABACO</v>
          </cell>
          <cell r="DG155" t="str">
            <v>ARENA-CUERO BRIDGE</v>
          </cell>
          <cell r="DH155" t="str">
            <v>CUE0000012</v>
          </cell>
          <cell r="DI155">
            <v>0.05</v>
          </cell>
          <cell r="DJ155" t="str">
            <v>FOR0000027</v>
          </cell>
          <cell r="DK155">
            <v>0.02</v>
          </cell>
          <cell r="DL155" t="str">
            <v>FOR0000015</v>
          </cell>
          <cell r="DM155">
            <v>0.05</v>
          </cell>
          <cell r="DN155" t="str">
            <v>AV1401250545</v>
          </cell>
          <cell r="DO155">
            <v>0</v>
          </cell>
          <cell r="DZ155" t="str">
            <v>CARAMELO</v>
          </cell>
          <cell r="EA155" t="str">
            <v>ARENA-CUERO NAPADO</v>
          </cell>
          <cell r="EB155" t="str">
            <v>CUE0000022</v>
          </cell>
          <cell r="EC155">
            <v>0.05</v>
          </cell>
          <cell r="ED155" t="str">
            <v>FOR0000027</v>
          </cell>
          <cell r="EE155">
            <v>0.02</v>
          </cell>
          <cell r="EF155" t="str">
            <v>FOR0000015</v>
          </cell>
          <cell r="EG155">
            <v>0.05</v>
          </cell>
          <cell r="EH155" t="str">
            <v>AV1401250545</v>
          </cell>
          <cell r="EI155">
            <v>0</v>
          </cell>
          <cell r="ET155" t="str">
            <v>NEGRO</v>
          </cell>
          <cell r="EU155" t="str">
            <v>ARENA-CUERO NAPADO</v>
          </cell>
          <cell r="EV155" t="str">
            <v>CUE0000026</v>
          </cell>
          <cell r="EW155">
            <v>0.05</v>
          </cell>
          <cell r="EX155" t="str">
            <v>FOR0000027</v>
          </cell>
          <cell r="EY155">
            <v>0.02</v>
          </cell>
          <cell r="EZ155" t="str">
            <v>FOR0000018</v>
          </cell>
          <cell r="FA155">
            <v>0.05</v>
          </cell>
          <cell r="FB155" t="str">
            <v>AV1401254060</v>
          </cell>
          <cell r="FC155">
            <v>0</v>
          </cell>
          <cell r="FN155" t="str">
            <v>SUELA</v>
          </cell>
          <cell r="FO155" t="str">
            <v>ARENA-CUERO NAPADO</v>
          </cell>
          <cell r="FP155" t="str">
            <v>CUE0000028</v>
          </cell>
          <cell r="FQ155">
            <v>0.05</v>
          </cell>
          <cell r="FR155" t="str">
            <v>FOR0000027</v>
          </cell>
          <cell r="FS155">
            <v>0.02</v>
          </cell>
          <cell r="FT155" t="str">
            <v>FOR0000015</v>
          </cell>
          <cell r="FU155">
            <v>0.05</v>
          </cell>
          <cell r="FV155" t="str">
            <v>AV1401250545</v>
          </cell>
          <cell r="FW155">
            <v>0</v>
          </cell>
          <cell r="GH155" t="str">
            <v>ROJO</v>
          </cell>
          <cell r="GI155" t="str">
            <v>ARENA-CUERO NAPADO</v>
          </cell>
          <cell r="GJ155" t="str">
            <v>CUE0000027</v>
          </cell>
          <cell r="GK155">
            <v>0.05</v>
          </cell>
          <cell r="GL155" t="str">
            <v>FOR0000027</v>
          </cell>
          <cell r="GM155">
            <v>0.02</v>
          </cell>
          <cell r="GN155" t="str">
            <v>FOR0000016</v>
          </cell>
          <cell r="GO155">
            <v>0.05</v>
          </cell>
          <cell r="GP155" t="str">
            <v>AV1401254460</v>
          </cell>
          <cell r="GQ155">
            <v>0</v>
          </cell>
          <cell r="KD155">
            <v>12</v>
          </cell>
          <cell r="KE155">
            <v>12</v>
          </cell>
          <cell r="KF155">
            <v>12</v>
          </cell>
          <cell r="KG155">
            <v>14</v>
          </cell>
          <cell r="KH155">
            <v>0</v>
          </cell>
          <cell r="KI155">
            <v>0</v>
          </cell>
          <cell r="KJ155">
            <v>16</v>
          </cell>
          <cell r="KK155">
            <v>16</v>
          </cell>
          <cell r="KL155">
            <v>16</v>
          </cell>
          <cell r="KM155">
            <v>4</v>
          </cell>
          <cell r="KN155">
            <v>0</v>
          </cell>
          <cell r="KO155">
            <v>0</v>
          </cell>
          <cell r="KP155">
            <v>12</v>
          </cell>
          <cell r="KQ155">
            <v>12</v>
          </cell>
          <cell r="KR155">
            <v>12</v>
          </cell>
          <cell r="KS155">
            <v>12</v>
          </cell>
          <cell r="KT155">
            <v>12</v>
          </cell>
          <cell r="KU155">
            <v>12</v>
          </cell>
          <cell r="KV155">
            <v>10</v>
          </cell>
          <cell r="KW155">
            <v>10</v>
          </cell>
          <cell r="KX155">
            <v>10</v>
          </cell>
          <cell r="KY155">
            <v>10</v>
          </cell>
          <cell r="KZ155">
            <v>10</v>
          </cell>
          <cell r="LA155">
            <v>10</v>
          </cell>
          <cell r="LB155">
            <v>0</v>
          </cell>
          <cell r="LE155">
            <v>0</v>
          </cell>
          <cell r="LH155">
            <v>0</v>
          </cell>
          <cell r="LK155">
            <v>0</v>
          </cell>
          <cell r="LO155">
            <v>45818</v>
          </cell>
          <cell r="LP155" t="str">
            <v>COMPLETADO</v>
          </cell>
        </row>
        <row r="156">
          <cell r="A156">
            <v>1810</v>
          </cell>
          <cell r="B156" t="str">
            <v>LUCIANO</v>
          </cell>
          <cell r="C156" t="str">
            <v>EXT GABRIEL</v>
          </cell>
          <cell r="D156" t="str">
            <v>MARROQUINERIA CHICA</v>
          </cell>
          <cell r="E156">
            <v>19</v>
          </cell>
          <cell r="F156">
            <v>16</v>
          </cell>
          <cell r="G156">
            <v>19</v>
          </cell>
          <cell r="H156">
            <v>45809.357604166667</v>
          </cell>
          <cell r="I156" t="str">
            <v>TARJETERO ARIES BI FAZ</v>
          </cell>
          <cell r="J156">
            <v>45852</v>
          </cell>
          <cell r="K156">
            <v>45852</v>
          </cell>
          <cell r="L156">
            <v>45854</v>
          </cell>
          <cell r="M156">
            <v>10</v>
          </cell>
          <cell r="N156" t="str">
            <v>M187</v>
          </cell>
          <cell r="O156" t="str">
            <v>AV170134014</v>
          </cell>
          <cell r="P156">
            <v>0</v>
          </cell>
          <cell r="AW156" t="str">
            <v xml:space="preserve">GRABADO " EL LUCERO ARGENTINA" CHICO EN TIRA DEL FRENTE, CENTRADO   </v>
          </cell>
          <cell r="AX156" t="str">
            <v>NEGRO_REVES_SUELA</v>
          </cell>
          <cell r="AY156" t="str">
            <v>BIANCO-CUERO MODENA ESPESOR 1,4</v>
          </cell>
          <cell r="AZ156" t="str">
            <v>CUE0000138</v>
          </cell>
          <cell r="BA156">
            <v>0.02</v>
          </cell>
          <cell r="BB156" t="str">
            <v>AV1401254060</v>
          </cell>
          <cell r="BC156">
            <v>0</v>
          </cell>
          <cell r="BD156" t="str">
            <v>AV1601300926</v>
          </cell>
          <cell r="BE156">
            <v>0</v>
          </cell>
          <cell r="BR156" t="str">
            <v>AZUL_REVES_SUELA</v>
          </cell>
          <cell r="BS156" t="str">
            <v>BIANCO-CUERO MODENA ESPESOR 1,4</v>
          </cell>
          <cell r="BT156" t="str">
            <v>CUE0000140</v>
          </cell>
          <cell r="BU156">
            <v>0.02</v>
          </cell>
          <cell r="BV156" t="str">
            <v>AV1401254360</v>
          </cell>
          <cell r="BW156">
            <v>0</v>
          </cell>
          <cell r="BX156" t="str">
            <v>AV1601300956</v>
          </cell>
          <cell r="BY156">
            <v>0</v>
          </cell>
          <cell r="CL156" t="str">
            <v>VERDE_REVES_SUELA</v>
          </cell>
          <cell r="CM156" t="str">
            <v>BIANCO-CUERO MODENA ESPESOR 1,4</v>
          </cell>
          <cell r="CN156" t="str">
            <v>CUE0000148</v>
          </cell>
          <cell r="CO156">
            <v>0.02</v>
          </cell>
          <cell r="CP156" t="str">
            <v>AV1401254260</v>
          </cell>
          <cell r="CQ156">
            <v>0</v>
          </cell>
          <cell r="CR156" t="str">
            <v>AV1601300957</v>
          </cell>
          <cell r="CS156">
            <v>0</v>
          </cell>
          <cell r="DJ156">
            <v>0</v>
          </cell>
          <cell r="DK156">
            <v>0.02</v>
          </cell>
          <cell r="ED156">
            <v>0</v>
          </cell>
          <cell r="EE156">
            <v>0.02</v>
          </cell>
          <cell r="EX156">
            <v>0</v>
          </cell>
          <cell r="EY156">
            <v>0.02</v>
          </cell>
          <cell r="FR156">
            <v>0</v>
          </cell>
          <cell r="FS156">
            <v>0.02</v>
          </cell>
          <cell r="GL156">
            <v>0</v>
          </cell>
          <cell r="GM156">
            <v>0.02</v>
          </cell>
          <cell r="KD156">
            <v>3</v>
          </cell>
          <cell r="KE156">
            <v>0</v>
          </cell>
          <cell r="KF156">
            <v>3</v>
          </cell>
          <cell r="KG156">
            <v>6</v>
          </cell>
          <cell r="KH156">
            <v>6</v>
          </cell>
          <cell r="KI156">
            <v>6</v>
          </cell>
          <cell r="KJ156">
            <v>10</v>
          </cell>
          <cell r="KK156">
            <v>10</v>
          </cell>
          <cell r="KL156">
            <v>10</v>
          </cell>
          <cell r="KM156">
            <v>0</v>
          </cell>
          <cell r="KP156">
            <v>0</v>
          </cell>
          <cell r="KS156">
            <v>0</v>
          </cell>
          <cell r="KV156">
            <v>0</v>
          </cell>
          <cell r="KY156">
            <v>0</v>
          </cell>
          <cell r="LB156">
            <v>0</v>
          </cell>
          <cell r="LE156">
            <v>0</v>
          </cell>
          <cell r="LH156">
            <v>0</v>
          </cell>
          <cell r="LK156">
            <v>0</v>
          </cell>
          <cell r="LN156">
            <v>45852</v>
          </cell>
          <cell r="LO156">
            <v>45854</v>
          </cell>
          <cell r="LP156" t="str">
            <v>COMPLETADO</v>
          </cell>
        </row>
        <row r="157">
          <cell r="A157">
            <v>1811</v>
          </cell>
          <cell r="B157" t="str">
            <v>LUCIANO</v>
          </cell>
          <cell r="C157" t="str">
            <v>BARRACAS CHICA</v>
          </cell>
          <cell r="D157" t="str">
            <v>MARROQUINERIA CHICA</v>
          </cell>
          <cell r="E157">
            <v>68</v>
          </cell>
          <cell r="F157">
            <v>34</v>
          </cell>
          <cell r="G157">
            <v>34</v>
          </cell>
          <cell r="H157">
            <v>45809.368900462963</v>
          </cell>
          <cell r="I157" t="str">
            <v>TARJETERO ARIES</v>
          </cell>
          <cell r="J157">
            <v>45804</v>
          </cell>
          <cell r="K157">
            <v>45804</v>
          </cell>
          <cell r="M157">
            <v>10</v>
          </cell>
          <cell r="N157" t="str">
            <v>M123</v>
          </cell>
          <cell r="O157" t="str">
            <v>AV170134014</v>
          </cell>
          <cell r="P157">
            <v>0</v>
          </cell>
          <cell r="AW157" t="str">
            <v xml:space="preserve">GRABADO " EL LUCERO ARGENTINA" CHICO EN TIRA DEL FRENTE, CENTRADO   </v>
          </cell>
          <cell r="AX157" t="str">
            <v>ROJO</v>
          </cell>
          <cell r="AY157" t="str">
            <v>ARENA-CUERO BRIDGE</v>
          </cell>
          <cell r="AZ157" t="str">
            <v>CUE0000010</v>
          </cell>
          <cell r="BA157">
            <v>0.02</v>
          </cell>
          <cell r="BB157" t="str">
            <v>AV1401254460</v>
          </cell>
          <cell r="BC157">
            <v>0</v>
          </cell>
          <cell r="BD157" t="str">
            <v>AV1601300929</v>
          </cell>
          <cell r="BE157">
            <v>0</v>
          </cell>
          <cell r="BR157" t="str">
            <v>TABACO</v>
          </cell>
          <cell r="BS157" t="str">
            <v>ARENA-CUERO BRIDGE</v>
          </cell>
          <cell r="BT157" t="str">
            <v>CUE0000012</v>
          </cell>
          <cell r="BU157">
            <v>0.02</v>
          </cell>
          <cell r="BV157" t="str">
            <v>AV1401250545</v>
          </cell>
          <cell r="BW157">
            <v>0</v>
          </cell>
          <cell r="BX157" t="str">
            <v>AV1601300954</v>
          </cell>
          <cell r="BY157">
            <v>0</v>
          </cell>
          <cell r="CL157" t="str">
            <v>NEGRO</v>
          </cell>
          <cell r="CM157" t="str">
            <v>ARENA-CUERO BRIDGE</v>
          </cell>
          <cell r="CN157" t="str">
            <v>CUE0000009</v>
          </cell>
          <cell r="CO157">
            <v>0.02</v>
          </cell>
          <cell r="CP157" t="str">
            <v>AV1401254060</v>
          </cell>
          <cell r="CQ157">
            <v>0</v>
          </cell>
          <cell r="CR157" t="str">
            <v>AV1601300926</v>
          </cell>
          <cell r="CS157">
            <v>0</v>
          </cell>
          <cell r="DF157" t="str">
            <v>VERDE_REVES_VERDE</v>
          </cell>
          <cell r="DG157" t="str">
            <v>BIANCO-CUERO MODENA ESPESOR 1,4</v>
          </cell>
          <cell r="DH157" t="str">
            <v>CUE0000118</v>
          </cell>
          <cell r="DI157">
            <v>0.02</v>
          </cell>
          <cell r="DJ157" t="str">
            <v>AV1401254260</v>
          </cell>
          <cell r="DK157">
            <v>0</v>
          </cell>
          <cell r="DL157" t="str">
            <v>AV1601300957</v>
          </cell>
          <cell r="DM157">
            <v>0</v>
          </cell>
          <cell r="DZ157" t="str">
            <v>CEDRO</v>
          </cell>
          <cell r="EA157" t="str">
            <v>BIANCO-CUERO FIORENTINO</v>
          </cell>
          <cell r="EB157" t="str">
            <v>CUE0000055</v>
          </cell>
          <cell r="EC157">
            <v>0.02</v>
          </cell>
          <cell r="ED157" t="str">
            <v>AV1401250545</v>
          </cell>
          <cell r="EE157">
            <v>0</v>
          </cell>
          <cell r="EF157" t="str">
            <v>AV1601300955</v>
          </cell>
          <cell r="EG157">
            <v>0</v>
          </cell>
          <cell r="EX157">
            <v>0</v>
          </cell>
          <cell r="EY157">
            <v>0.02</v>
          </cell>
          <cell r="FR157">
            <v>0</v>
          </cell>
          <cell r="FS157">
            <v>0.02</v>
          </cell>
          <cell r="GL157">
            <v>0</v>
          </cell>
          <cell r="GM157">
            <v>0.02</v>
          </cell>
          <cell r="KD157">
            <v>20</v>
          </cell>
          <cell r="KE157">
            <v>20</v>
          </cell>
          <cell r="KF157">
            <v>20</v>
          </cell>
          <cell r="KG157">
            <v>12</v>
          </cell>
          <cell r="KH157">
            <v>0</v>
          </cell>
          <cell r="KI157">
            <v>0</v>
          </cell>
          <cell r="KJ157">
            <v>14</v>
          </cell>
          <cell r="KK157">
            <v>14</v>
          </cell>
          <cell r="KL157">
            <v>14</v>
          </cell>
          <cell r="KM157">
            <v>10</v>
          </cell>
          <cell r="KN157">
            <v>0</v>
          </cell>
          <cell r="KO157">
            <v>0</v>
          </cell>
          <cell r="KP157">
            <v>12</v>
          </cell>
          <cell r="KQ157">
            <v>0</v>
          </cell>
          <cell r="KR157">
            <v>0</v>
          </cell>
          <cell r="KS157">
            <v>0</v>
          </cell>
          <cell r="KV157">
            <v>0</v>
          </cell>
          <cell r="KY157">
            <v>0</v>
          </cell>
          <cell r="LB157">
            <v>0</v>
          </cell>
          <cell r="LE157">
            <v>0</v>
          </cell>
          <cell r="LH157">
            <v>0</v>
          </cell>
          <cell r="LK157">
            <v>0</v>
          </cell>
          <cell r="LO157">
            <v>45818</v>
          </cell>
          <cell r="LP157" t="str">
            <v>COMPLETADO</v>
          </cell>
        </row>
        <row r="158">
          <cell r="A158">
            <v>1814</v>
          </cell>
          <cell r="B158" t="str">
            <v>LUCIANO</v>
          </cell>
          <cell r="C158" t="str">
            <v>BARRACAS CHICA</v>
          </cell>
          <cell r="D158" t="str">
            <v>MARROQUINERIA CHICA</v>
          </cell>
          <cell r="E158">
            <v>9</v>
          </cell>
          <cell r="F158">
            <v>6</v>
          </cell>
          <cell r="G158">
            <v>6</v>
          </cell>
          <cell r="H158">
            <v>45809.478020833332</v>
          </cell>
          <cell r="I158" t="str">
            <v>PORTAPASAPORTE WARA</v>
          </cell>
          <cell r="J158">
            <v>45805</v>
          </cell>
          <cell r="K158">
            <v>45805</v>
          </cell>
          <cell r="M158">
            <v>120</v>
          </cell>
          <cell r="N158" t="str">
            <v>M107</v>
          </cell>
          <cell r="O158" t="str">
            <v>BAC1300050727</v>
          </cell>
          <cell r="P158">
            <v>0.13</v>
          </cell>
          <cell r="Q158" t="str">
            <v>BAC0900100161</v>
          </cell>
          <cell r="R158">
            <v>0.01</v>
          </cell>
          <cell r="S158" t="str">
            <v>BAC0200071027</v>
          </cell>
          <cell r="T158">
            <v>0.04</v>
          </cell>
          <cell r="U158" t="str">
            <v>AV0101070301</v>
          </cell>
          <cell r="V158">
            <v>2</v>
          </cell>
          <cell r="W158" t="str">
            <v>AV0101030201</v>
          </cell>
          <cell r="X158">
            <v>1</v>
          </cell>
          <cell r="Y158" t="str">
            <v>AV1001010101</v>
          </cell>
          <cell r="Z158">
            <v>2</v>
          </cell>
          <cell r="AA158" t="str">
            <v>AV0600540101</v>
          </cell>
          <cell r="AB158">
            <v>1</v>
          </cell>
          <cell r="AC158" t="str">
            <v>AV170134014</v>
          </cell>
          <cell r="AD158">
            <v>0</v>
          </cell>
          <cell r="AS158" t="str">
            <v>TIRACIERRE INTERNO CON ARGOLLITA Y TIRA DE CUERO PEGADA</v>
          </cell>
          <cell r="AT158" t="str">
            <v>TIRACIERRE EXTERNO LUCERO GRANDE</v>
          </cell>
          <cell r="AW158" t="str">
            <v xml:space="preserve">GRABADO EL LUCERO CHICO EN ELINTERIOR, CENTRADO EN EL BOLSILLO CHICO CON CIERRE, PARTE INFERIOR </v>
          </cell>
          <cell r="AX158" t="str">
            <v>CARAMELO</v>
          </cell>
          <cell r="AY158" t="str">
            <v>ARENA-CUERO NAPADO</v>
          </cell>
          <cell r="AZ158" t="str">
            <v>CUE0000022</v>
          </cell>
          <cell r="BA158">
            <v>0.25</v>
          </cell>
          <cell r="BB158" t="str">
            <v>FOR0000015</v>
          </cell>
          <cell r="BC158">
            <v>0.3</v>
          </cell>
          <cell r="BD158" t="str">
            <v>AV0100020305</v>
          </cell>
          <cell r="BE158">
            <v>0.32</v>
          </cell>
          <cell r="BF158" t="str">
            <v>AV0100010105</v>
          </cell>
          <cell r="BG158">
            <v>0.5</v>
          </cell>
          <cell r="BR158" t="str">
            <v>AZUL_REVES_AZUL</v>
          </cell>
          <cell r="BS158" t="str">
            <v>BIANCO-CUERO MODENA ESPESOR 1,4</v>
          </cell>
          <cell r="BT158" t="str">
            <v>CUE0000119</v>
          </cell>
          <cell r="BU158">
            <v>0.25</v>
          </cell>
          <cell r="BV158" t="str">
            <v>FOR0000014</v>
          </cell>
          <cell r="BW158">
            <v>0.3</v>
          </cell>
          <cell r="BX158" t="str">
            <v>AV0100020336</v>
          </cell>
          <cell r="BY158">
            <v>0.32</v>
          </cell>
          <cell r="BZ158" t="str">
            <v>AV0100010115</v>
          </cell>
          <cell r="CA158">
            <v>0.5</v>
          </cell>
          <cell r="CL158" t="str">
            <v>NEGRO</v>
          </cell>
          <cell r="CM158" t="str">
            <v>ARENA-CUERO NAPADO</v>
          </cell>
          <cell r="CN158" t="str">
            <v>CUE0000026</v>
          </cell>
          <cell r="CO158">
            <v>0.25</v>
          </cell>
          <cell r="CP158" t="str">
            <v>FOR0000018</v>
          </cell>
          <cell r="CQ158">
            <v>0.3</v>
          </cell>
          <cell r="CR158" t="str">
            <v>AV0100020303</v>
          </cell>
          <cell r="CS158">
            <v>0.32</v>
          </cell>
          <cell r="CT158" t="str">
            <v>AV0100010103</v>
          </cell>
          <cell r="CU158">
            <v>0.5</v>
          </cell>
          <cell r="DF158" t="str">
            <v>ROJO</v>
          </cell>
          <cell r="DG158" t="str">
            <v>ARENA-CUERO NAPADO</v>
          </cell>
          <cell r="DH158" t="str">
            <v>CUE0000027</v>
          </cell>
          <cell r="DI158">
            <v>0.25</v>
          </cell>
          <cell r="DJ158" t="str">
            <v>FOR0000016</v>
          </cell>
          <cell r="DK158">
            <v>0.3</v>
          </cell>
          <cell r="DL158" t="str">
            <v>AV0100020313</v>
          </cell>
          <cell r="DM158">
            <v>0.32</v>
          </cell>
          <cell r="DN158" t="str">
            <v>AV0100010113</v>
          </cell>
          <cell r="DO158">
            <v>0.5</v>
          </cell>
          <cell r="EX158">
            <v>0</v>
          </cell>
          <cell r="EY158">
            <v>0.02</v>
          </cell>
          <cell r="FR158">
            <v>0</v>
          </cell>
          <cell r="FS158">
            <v>0.02</v>
          </cell>
          <cell r="GL158">
            <v>0</v>
          </cell>
          <cell r="GM158">
            <v>0.02</v>
          </cell>
          <cell r="KD158">
            <v>2</v>
          </cell>
          <cell r="KE158">
            <v>2</v>
          </cell>
          <cell r="KF158">
            <v>2</v>
          </cell>
          <cell r="KG158">
            <v>3</v>
          </cell>
          <cell r="KH158">
            <v>0</v>
          </cell>
          <cell r="KI158">
            <v>0</v>
          </cell>
          <cell r="KJ158">
            <v>2</v>
          </cell>
          <cell r="KK158">
            <v>2</v>
          </cell>
          <cell r="KL158">
            <v>2</v>
          </cell>
          <cell r="KM158">
            <v>2</v>
          </cell>
          <cell r="KN158">
            <v>2</v>
          </cell>
          <cell r="KO158">
            <v>2</v>
          </cell>
          <cell r="KP158">
            <v>0</v>
          </cell>
          <cell r="KS158">
            <v>0</v>
          </cell>
          <cell r="KV158">
            <v>0</v>
          </cell>
          <cell r="KY158">
            <v>0</v>
          </cell>
          <cell r="LB158">
            <v>0</v>
          </cell>
          <cell r="LE158">
            <v>0</v>
          </cell>
          <cell r="LH158">
            <v>0</v>
          </cell>
          <cell r="LK158">
            <v>0</v>
          </cell>
          <cell r="LO158">
            <v>45826</v>
          </cell>
          <cell r="LP158" t="str">
            <v>COMPLETADO</v>
          </cell>
        </row>
        <row r="159">
          <cell r="A159">
            <v>1815</v>
          </cell>
          <cell r="B159" t="str">
            <v>LUCIANO</v>
          </cell>
          <cell r="C159" t="str">
            <v>BARRACAS CHICA</v>
          </cell>
          <cell r="D159" t="str">
            <v>MARROQUINERIA CHICA</v>
          </cell>
          <cell r="E159">
            <v>36</v>
          </cell>
          <cell r="F159">
            <v>18</v>
          </cell>
          <cell r="G159">
            <v>18</v>
          </cell>
          <cell r="H159">
            <v>45809.487141203703</v>
          </cell>
          <cell r="I159" t="str">
            <v>PORTAPASAPORTE CHESTER</v>
          </cell>
          <cell r="J159">
            <v>45805</v>
          </cell>
          <cell r="K159">
            <v>45805</v>
          </cell>
          <cell r="L159">
            <v>45826</v>
          </cell>
          <cell r="M159">
            <v>10</v>
          </cell>
          <cell r="N159" t="str">
            <v>M104</v>
          </cell>
          <cell r="O159" t="str">
            <v>AV170134014</v>
          </cell>
          <cell r="P159">
            <v>0</v>
          </cell>
          <cell r="AW159" t="str">
            <v xml:space="preserve">GRABADO LUCERO ARGENTINA CHICO,CENTRADO EN ESPALDA A 1.5CM DEL BORDE INFERIOR  </v>
          </cell>
          <cell r="AX159" t="str">
            <v>ROJO</v>
          </cell>
          <cell r="AY159" t="str">
            <v>ARENA-CUERO BRIDGE</v>
          </cell>
          <cell r="AZ159" t="str">
            <v>CUE0000010</v>
          </cell>
          <cell r="BA159">
            <v>0.05</v>
          </cell>
          <cell r="BB159" t="str">
            <v>AV1401254460</v>
          </cell>
          <cell r="BC159">
            <v>0</v>
          </cell>
          <cell r="BR159" t="str">
            <v>NEGRO</v>
          </cell>
          <cell r="BS159" t="str">
            <v>ARENA-CUERO BRIDGE</v>
          </cell>
          <cell r="BT159" t="str">
            <v>CUE0000009</v>
          </cell>
          <cell r="BU159">
            <v>0.05</v>
          </cell>
          <cell r="BV159" t="str">
            <v>AV1401254060</v>
          </cell>
          <cell r="BW159">
            <v>0</v>
          </cell>
          <cell r="CL159" t="str">
            <v>TABACO</v>
          </cell>
          <cell r="CM159" t="str">
            <v>ARENA-CUERO BRIDGE</v>
          </cell>
          <cell r="CN159" t="str">
            <v>CUE0000012</v>
          </cell>
          <cell r="CO159">
            <v>0.05</v>
          </cell>
          <cell r="CP159" t="str">
            <v>AV1401250545</v>
          </cell>
          <cell r="CQ159">
            <v>0</v>
          </cell>
          <cell r="DF159" t="str">
            <v>VERDE_REVES_VERDE</v>
          </cell>
          <cell r="DG159" t="str">
            <v>BIANCO-CUERO MODENA ESPESOR 1,4</v>
          </cell>
          <cell r="DH159" t="str">
            <v>CUE0000118</v>
          </cell>
          <cell r="DI159">
            <v>0.05</v>
          </cell>
          <cell r="DJ159" t="str">
            <v>AV1401254260</v>
          </cell>
          <cell r="DK159">
            <v>0</v>
          </cell>
          <cell r="EX159">
            <v>0</v>
          </cell>
          <cell r="EY159">
            <v>0.02</v>
          </cell>
          <cell r="FR159">
            <v>0</v>
          </cell>
          <cell r="FS159">
            <v>0.02</v>
          </cell>
          <cell r="GL159">
            <v>0</v>
          </cell>
          <cell r="GM159">
            <v>0.02</v>
          </cell>
          <cell r="KD159">
            <v>10</v>
          </cell>
          <cell r="KE159">
            <v>10</v>
          </cell>
          <cell r="KF159">
            <v>10</v>
          </cell>
          <cell r="KG159">
            <v>8</v>
          </cell>
          <cell r="KH159">
            <v>8</v>
          </cell>
          <cell r="KI159">
            <v>8</v>
          </cell>
          <cell r="KJ159">
            <v>6</v>
          </cell>
          <cell r="KK159">
            <v>0</v>
          </cell>
          <cell r="KL159">
            <v>0</v>
          </cell>
          <cell r="KM159">
            <v>12</v>
          </cell>
          <cell r="KN159">
            <v>0</v>
          </cell>
          <cell r="KO159">
            <v>0</v>
          </cell>
          <cell r="KP159">
            <v>0</v>
          </cell>
          <cell r="KS159">
            <v>0</v>
          </cell>
          <cell r="KV159">
            <v>0</v>
          </cell>
          <cell r="KY159">
            <v>0</v>
          </cell>
          <cell r="LB159">
            <v>0</v>
          </cell>
          <cell r="LE159">
            <v>0</v>
          </cell>
          <cell r="LH159">
            <v>0</v>
          </cell>
          <cell r="LK159">
            <v>0</v>
          </cell>
          <cell r="LN159">
            <v>45805</v>
          </cell>
          <cell r="LO159">
            <v>45826</v>
          </cell>
          <cell r="LP159" t="str">
            <v>COMPLETADO</v>
          </cell>
        </row>
        <row r="160">
          <cell r="A160">
            <v>1817</v>
          </cell>
          <cell r="B160" t="str">
            <v>LUCIANO</v>
          </cell>
          <cell r="C160" t="str">
            <v>BARRACAS CHICA</v>
          </cell>
          <cell r="D160" t="str">
            <v>MARROQUINERIA CHICA</v>
          </cell>
          <cell r="E160">
            <v>10</v>
          </cell>
          <cell r="F160">
            <v>10</v>
          </cell>
          <cell r="G160">
            <v>10</v>
          </cell>
          <cell r="H160">
            <v>45809.527962962966</v>
          </cell>
          <cell r="I160" t="str">
            <v>PORTACABLES 1</v>
          </cell>
          <cell r="J160">
            <v>45834</v>
          </cell>
          <cell r="K160">
            <v>45834</v>
          </cell>
          <cell r="L160">
            <v>45840</v>
          </cell>
          <cell r="M160">
            <v>2</v>
          </cell>
          <cell r="N160" t="str">
            <v>M081</v>
          </cell>
          <cell r="O160" t="str">
            <v>AV0700420101</v>
          </cell>
          <cell r="P160">
            <v>1</v>
          </cell>
          <cell r="Q160" t="str">
            <v>AV170134014</v>
          </cell>
          <cell r="R160">
            <v>0</v>
          </cell>
          <cell r="AX160" t="str">
            <v>CEDRO</v>
          </cell>
          <cell r="AY160" t="str">
            <v>BIANCO-CUERO FIORENTINO</v>
          </cell>
          <cell r="AZ160" t="str">
            <v>CUE0000055</v>
          </cell>
          <cell r="BA160">
            <v>0.02</v>
          </cell>
          <cell r="BB160" t="str">
            <v>AV1401250545</v>
          </cell>
          <cell r="BC160">
            <v>0</v>
          </cell>
          <cell r="EX160">
            <v>0</v>
          </cell>
          <cell r="EY160">
            <v>0.02</v>
          </cell>
          <cell r="FR160">
            <v>0</v>
          </cell>
          <cell r="FS160">
            <v>0.02</v>
          </cell>
          <cell r="GL160">
            <v>0</v>
          </cell>
          <cell r="GM160">
            <v>0.02</v>
          </cell>
          <cell r="KD160">
            <v>10</v>
          </cell>
          <cell r="KE160">
            <v>10</v>
          </cell>
          <cell r="KF160">
            <v>10</v>
          </cell>
          <cell r="KG160">
            <v>0</v>
          </cell>
          <cell r="KJ160">
            <v>0</v>
          </cell>
          <cell r="KM160">
            <v>0</v>
          </cell>
          <cell r="KP160">
            <v>0</v>
          </cell>
          <cell r="KS160">
            <v>0</v>
          </cell>
          <cell r="KV160">
            <v>0</v>
          </cell>
          <cell r="KY160">
            <v>0</v>
          </cell>
          <cell r="LB160">
            <v>0</v>
          </cell>
          <cell r="LE160">
            <v>0</v>
          </cell>
          <cell r="LH160">
            <v>0</v>
          </cell>
          <cell r="LK160">
            <v>0</v>
          </cell>
          <cell r="LN160">
            <v>45840</v>
          </cell>
          <cell r="LO160">
            <v>45846</v>
          </cell>
          <cell r="LP160" t="str">
            <v>COMPLETADO</v>
          </cell>
        </row>
        <row r="161">
          <cell r="A161">
            <v>1818</v>
          </cell>
          <cell r="B161" t="str">
            <v>LUCIANO</v>
          </cell>
          <cell r="C161" t="str">
            <v>BARRACAS CHICA</v>
          </cell>
          <cell r="D161" t="str">
            <v>MARROQUINERIA CHICA</v>
          </cell>
          <cell r="E161">
            <v>10</v>
          </cell>
          <cell r="F161">
            <v>5</v>
          </cell>
          <cell r="G161">
            <v>5</v>
          </cell>
          <cell r="H161">
            <v>45809.533622685187</v>
          </cell>
          <cell r="I161" t="str">
            <v>PORTACABLES 2</v>
          </cell>
          <cell r="J161">
            <v>45805</v>
          </cell>
          <cell r="K161">
            <v>45805</v>
          </cell>
          <cell r="L161">
            <v>45805</v>
          </cell>
          <cell r="M161">
            <v>2</v>
          </cell>
          <cell r="N161" t="str">
            <v>M082</v>
          </cell>
          <cell r="O161" t="str">
            <v>AV0700420101</v>
          </cell>
          <cell r="P161">
            <v>1</v>
          </cell>
          <cell r="Q161" t="str">
            <v>AV170134014</v>
          </cell>
          <cell r="R161">
            <v>0</v>
          </cell>
          <cell r="AX161" t="str">
            <v>CEDRO</v>
          </cell>
          <cell r="AY161" t="str">
            <v>BIANCO-CUERO FIORENTINO</v>
          </cell>
          <cell r="AZ161" t="str">
            <v>CUE0000055</v>
          </cell>
          <cell r="BA161">
            <v>0.01</v>
          </cell>
          <cell r="BB161" t="str">
            <v>AV1401250545</v>
          </cell>
          <cell r="BC161">
            <v>0</v>
          </cell>
          <cell r="EX161">
            <v>0</v>
          </cell>
          <cell r="EY161">
            <v>0.02</v>
          </cell>
          <cell r="FR161">
            <v>0</v>
          </cell>
          <cell r="FS161">
            <v>0.02</v>
          </cell>
          <cell r="GL161">
            <v>0</v>
          </cell>
          <cell r="GM161">
            <v>0.02</v>
          </cell>
          <cell r="KD161">
            <v>10</v>
          </cell>
          <cell r="KE161">
            <v>5</v>
          </cell>
          <cell r="KF161">
            <v>5</v>
          </cell>
          <cell r="KG161">
            <v>0</v>
          </cell>
          <cell r="KJ161">
            <v>0</v>
          </cell>
          <cell r="KM161">
            <v>0</v>
          </cell>
          <cell r="KP161">
            <v>0</v>
          </cell>
          <cell r="KS161">
            <v>0</v>
          </cell>
          <cell r="KV161">
            <v>0</v>
          </cell>
          <cell r="KY161">
            <v>0</v>
          </cell>
          <cell r="LB161">
            <v>0</v>
          </cell>
          <cell r="LE161">
            <v>0</v>
          </cell>
          <cell r="LH161">
            <v>0</v>
          </cell>
          <cell r="LK161">
            <v>0</v>
          </cell>
          <cell r="LN161">
            <v>45805</v>
          </cell>
          <cell r="LO161">
            <v>45818</v>
          </cell>
          <cell r="LP161" t="str">
            <v>COMPLETADO</v>
          </cell>
        </row>
        <row r="162">
          <cell r="A162">
            <v>1819</v>
          </cell>
          <cell r="B162" t="str">
            <v>LUCIANO</v>
          </cell>
          <cell r="C162" t="str">
            <v>BARRACAS CHICA</v>
          </cell>
          <cell r="D162" t="str">
            <v>MARROQUINERIA CHICA</v>
          </cell>
          <cell r="E162">
            <v>10</v>
          </cell>
          <cell r="F162">
            <v>10</v>
          </cell>
          <cell r="G162">
            <v>10</v>
          </cell>
          <cell r="H162">
            <v>45809.535532407404</v>
          </cell>
          <cell r="I162" t="str">
            <v>PORTACABLES 3</v>
          </cell>
          <cell r="J162">
            <v>45805</v>
          </cell>
          <cell r="K162">
            <v>45805</v>
          </cell>
          <cell r="M162">
            <v>2</v>
          </cell>
          <cell r="N162" t="str">
            <v>M083</v>
          </cell>
          <cell r="O162" t="str">
            <v>AV0700420101</v>
          </cell>
          <cell r="P162">
            <v>1</v>
          </cell>
          <cell r="Q162" t="str">
            <v>AV170134014</v>
          </cell>
          <cell r="R162">
            <v>0</v>
          </cell>
          <cell r="AW162" t="str">
            <v xml:space="preserve">GRABADO "EL LUCERO ARGENTINA CHICO" EN ESPALDA, A 1,5 CM DEL BORDE INFERIOR, CENTRADO.  </v>
          </cell>
          <cell r="AX162" t="str">
            <v>CEDRO</v>
          </cell>
          <cell r="AY162" t="str">
            <v>BIANCO-CUERO FIORENTINO</v>
          </cell>
          <cell r="AZ162" t="str">
            <v>CUE0000055</v>
          </cell>
          <cell r="BA162">
            <v>0.01</v>
          </cell>
          <cell r="BB162" t="str">
            <v>AV1401250545</v>
          </cell>
          <cell r="BC162">
            <v>0</v>
          </cell>
          <cell r="EX162">
            <v>0</v>
          </cell>
          <cell r="EY162">
            <v>0.02</v>
          </cell>
          <cell r="FR162">
            <v>0</v>
          </cell>
          <cell r="FS162">
            <v>0.02</v>
          </cell>
          <cell r="GL162">
            <v>0</v>
          </cell>
          <cell r="GM162">
            <v>0.02</v>
          </cell>
          <cell r="KD162">
            <v>10</v>
          </cell>
          <cell r="KE162">
            <v>10</v>
          </cell>
          <cell r="KF162">
            <v>10</v>
          </cell>
          <cell r="KG162">
            <v>0</v>
          </cell>
          <cell r="KJ162">
            <v>0</v>
          </cell>
          <cell r="KM162">
            <v>0</v>
          </cell>
          <cell r="KP162">
            <v>0</v>
          </cell>
          <cell r="KS162">
            <v>0</v>
          </cell>
          <cell r="KV162">
            <v>0</v>
          </cell>
          <cell r="KY162">
            <v>0</v>
          </cell>
          <cell r="LB162">
            <v>0</v>
          </cell>
          <cell r="LE162">
            <v>0</v>
          </cell>
          <cell r="LH162">
            <v>0</v>
          </cell>
          <cell r="LK162">
            <v>0</v>
          </cell>
          <cell r="LO162">
            <v>45826</v>
          </cell>
          <cell r="LP162" t="str">
            <v>COMPLETADO</v>
          </cell>
        </row>
        <row r="163">
          <cell r="A163">
            <v>1820</v>
          </cell>
          <cell r="B163" t="str">
            <v>LUCIANO</v>
          </cell>
          <cell r="C163" t="str">
            <v>BARRACAS CHICA</v>
          </cell>
          <cell r="D163" t="str">
            <v>MARROQUINERIA CHICA</v>
          </cell>
          <cell r="E163">
            <v>14</v>
          </cell>
          <cell r="F163">
            <v>14</v>
          </cell>
          <cell r="G163">
            <v>14</v>
          </cell>
          <cell r="H163">
            <v>45809.547349537039</v>
          </cell>
          <cell r="I163" t="str">
            <v>NECESSAIRE FELI</v>
          </cell>
          <cell r="J163">
            <v>45834</v>
          </cell>
          <cell r="K163">
            <v>45834</v>
          </cell>
          <cell r="L163">
            <v>45859</v>
          </cell>
          <cell r="M163">
            <v>55</v>
          </cell>
          <cell r="N163" t="str">
            <v>M069</v>
          </cell>
          <cell r="O163" t="str">
            <v>AV0101040201</v>
          </cell>
          <cell r="P163">
            <v>1</v>
          </cell>
          <cell r="Q163" t="str">
            <v>BAC1300030827</v>
          </cell>
          <cell r="R163">
            <v>0.03</v>
          </cell>
          <cell r="S163" t="str">
            <v>BAC1300050727</v>
          </cell>
          <cell r="T163">
            <v>0.02</v>
          </cell>
          <cell r="U163" t="str">
            <v>BAC0200081126</v>
          </cell>
          <cell r="V163">
            <v>0.03</v>
          </cell>
          <cell r="W163" t="str">
            <v>AV0300390101</v>
          </cell>
          <cell r="X163">
            <v>1</v>
          </cell>
          <cell r="Y163" t="str">
            <v>AV1802220526</v>
          </cell>
          <cell r="Z163">
            <v>0.13</v>
          </cell>
          <cell r="AA163" t="str">
            <v>CIN0000002</v>
          </cell>
          <cell r="AB163">
            <v>1.05</v>
          </cell>
          <cell r="AC163" t="str">
            <v>AV170134014</v>
          </cell>
          <cell r="AD163">
            <v>0</v>
          </cell>
          <cell r="AS163" t="str">
            <v>TIRACIERRE N° 1 , CON TIRA GRABADA CON ESTRELLA Y REMACHE</v>
          </cell>
          <cell r="AW163" t="str">
            <v xml:space="preserve">TROQUEL EN INTERIOR "ELLUCERO ARGENTINA" IDEM MUESTRA  </v>
          </cell>
          <cell r="AX163" t="str">
            <v>TABACO</v>
          </cell>
          <cell r="AY163" t="str">
            <v>ARENA-CUERO BRIDGE</v>
          </cell>
          <cell r="AZ163" t="str">
            <v>CUE0000012</v>
          </cell>
          <cell r="BA163">
            <v>0.23</v>
          </cell>
          <cell r="BB163" t="str">
            <v>AV1401250545</v>
          </cell>
          <cell r="BC163">
            <v>0</v>
          </cell>
          <cell r="BD163" t="str">
            <v>AV0100010214</v>
          </cell>
          <cell r="BE163">
            <v>0.32</v>
          </cell>
          <cell r="BF163" t="str">
            <v>FOR0000005</v>
          </cell>
          <cell r="BG163">
            <v>0.08</v>
          </cell>
          <cell r="BR163" t="str">
            <v>CARAMELO</v>
          </cell>
          <cell r="BS163" t="str">
            <v>ARENA-CUERO BRIDGE IGUANA</v>
          </cell>
          <cell r="BT163" t="str">
            <v>CUE0000015</v>
          </cell>
          <cell r="BU163">
            <v>0.23</v>
          </cell>
          <cell r="BV163" t="str">
            <v>AV1401250545</v>
          </cell>
          <cell r="BW163">
            <v>0</v>
          </cell>
          <cell r="BX163" t="str">
            <v>AV0100010205</v>
          </cell>
          <cell r="BY163">
            <v>0.32</v>
          </cell>
          <cell r="BZ163" t="str">
            <v>FOR0000005</v>
          </cell>
          <cell r="CA163">
            <v>0.08</v>
          </cell>
          <cell r="CL163" t="str">
            <v>ROJO</v>
          </cell>
          <cell r="CM163" t="str">
            <v>ARENA-CUERO BRIDGE IGUANA</v>
          </cell>
          <cell r="CN163" t="str">
            <v>CUE0000018</v>
          </cell>
          <cell r="CO163">
            <v>0.23</v>
          </cell>
          <cell r="CP163" t="str">
            <v>AV1401254460</v>
          </cell>
          <cell r="CQ163">
            <v>0</v>
          </cell>
          <cell r="CR163" t="str">
            <v>AV0100010213</v>
          </cell>
          <cell r="CS163">
            <v>0.32</v>
          </cell>
          <cell r="CT163" t="str">
            <v>FOR0000005</v>
          </cell>
          <cell r="CU163">
            <v>0.08</v>
          </cell>
          <cell r="EX163">
            <v>0</v>
          </cell>
          <cell r="EY163">
            <v>0.02</v>
          </cell>
          <cell r="FR163">
            <v>0</v>
          </cell>
          <cell r="FS163">
            <v>0.02</v>
          </cell>
          <cell r="GL163">
            <v>0</v>
          </cell>
          <cell r="GM163">
            <v>0.02</v>
          </cell>
          <cell r="KD163">
            <v>5</v>
          </cell>
          <cell r="KE163">
            <v>5</v>
          </cell>
          <cell r="KF163">
            <v>5</v>
          </cell>
          <cell r="KG163">
            <v>3</v>
          </cell>
          <cell r="KH163">
            <v>3</v>
          </cell>
          <cell r="KI163">
            <v>3</v>
          </cell>
          <cell r="KJ163">
            <v>6</v>
          </cell>
          <cell r="KK163">
            <v>6</v>
          </cell>
          <cell r="KL163">
            <v>6</v>
          </cell>
          <cell r="KM163">
            <v>0</v>
          </cell>
          <cell r="KP163">
            <v>0</v>
          </cell>
          <cell r="KS163">
            <v>0</v>
          </cell>
          <cell r="KV163">
            <v>0</v>
          </cell>
          <cell r="KY163">
            <v>0</v>
          </cell>
          <cell r="LB163">
            <v>0</v>
          </cell>
          <cell r="LE163">
            <v>0</v>
          </cell>
          <cell r="LH163">
            <v>0</v>
          </cell>
          <cell r="LK163">
            <v>0</v>
          </cell>
          <cell r="LN163">
            <v>45834</v>
          </cell>
          <cell r="LO163">
            <v>45923</v>
          </cell>
          <cell r="LP163" t="str">
            <v>COMPLETADO</v>
          </cell>
        </row>
        <row r="164">
          <cell r="A164">
            <v>1799</v>
          </cell>
          <cell r="B164" t="str">
            <v>RUBEN</v>
          </cell>
          <cell r="C164" t="str">
            <v>BARRACAS GRANDE</v>
          </cell>
          <cell r="D164" t="str">
            <v>MARROQUINERIA GRANDE</v>
          </cell>
          <cell r="E164">
            <v>12</v>
          </cell>
          <cell r="F164">
            <v>12</v>
          </cell>
          <cell r="G164">
            <v>12</v>
          </cell>
          <cell r="H164">
            <v>45809.748113425929</v>
          </cell>
          <cell r="I164" t="str">
            <v>CARTERA KALI</v>
          </cell>
          <cell r="J164">
            <v>45805</v>
          </cell>
          <cell r="K164">
            <v>45805</v>
          </cell>
          <cell r="M164">
            <v>45</v>
          </cell>
          <cell r="N164" t="str">
            <v>M185</v>
          </cell>
          <cell r="O164" t="str">
            <v>AV0101030201</v>
          </cell>
          <cell r="P164">
            <v>1</v>
          </cell>
          <cell r="Q164" t="str">
            <v>AV0300460101</v>
          </cell>
          <cell r="R164">
            <v>1</v>
          </cell>
          <cell r="S164" t="str">
            <v>AV0300390101</v>
          </cell>
          <cell r="T164">
            <v>1</v>
          </cell>
          <cell r="U164" t="str">
            <v>VAR0000045</v>
          </cell>
          <cell r="V164">
            <v>1</v>
          </cell>
          <cell r="W164" t="str">
            <v>AV170129018</v>
          </cell>
          <cell r="X164">
            <v>0</v>
          </cell>
          <cell r="AS164" t="str">
            <v>TIRACIERRE 1</v>
          </cell>
          <cell r="AT164" t="str">
            <v xml:space="preserve"> ARGOLLITA + TIRA CON REMACHE + GRABADO ESTRELLA</v>
          </cell>
          <cell r="AU164" t="str">
            <v xml:space="preserve"> LA HEBILLA VA FORRADA EN GAMUZA</v>
          </cell>
          <cell r="AW164" t="str">
            <v>GRABADO "EL LUCERO " GRANDE - EN ZOCALO DE BOLSILLO INTERNO, CENTRADO ABAJO</v>
          </cell>
          <cell r="AX164" t="str">
            <v>OLIVA</v>
          </cell>
          <cell r="AY164" t="str">
            <v>NAPOLITANA-CUERO GAMUZA</v>
          </cell>
          <cell r="AZ164" t="str">
            <v>CUE0000047</v>
          </cell>
          <cell r="BA164">
            <v>0.71</v>
          </cell>
          <cell r="BB164" t="str">
            <v>AV0100010217</v>
          </cell>
          <cell r="BC164">
            <v>0.2</v>
          </cell>
          <cell r="BR164" t="str">
            <v>TABACO</v>
          </cell>
          <cell r="BS164" t="str">
            <v>NAPOLITANA-CUERO GAMUZA</v>
          </cell>
          <cell r="BT164" t="str">
            <v>CUE0000050</v>
          </cell>
          <cell r="BU164">
            <v>0.71</v>
          </cell>
          <cell r="BV164" t="str">
            <v>AV0100010214</v>
          </cell>
          <cell r="BW164">
            <v>0.2</v>
          </cell>
          <cell r="EX164">
            <v>0</v>
          </cell>
          <cell r="EY164">
            <v>0.02</v>
          </cell>
          <cell r="FR164">
            <v>0</v>
          </cell>
          <cell r="FS164">
            <v>0.02</v>
          </cell>
          <cell r="GL164">
            <v>0</v>
          </cell>
          <cell r="GM164">
            <v>0.02</v>
          </cell>
          <cell r="KD164">
            <v>6</v>
          </cell>
          <cell r="KE164">
            <v>6</v>
          </cell>
          <cell r="KF164">
            <v>6</v>
          </cell>
          <cell r="KG164">
            <v>6</v>
          </cell>
          <cell r="KH164">
            <v>6</v>
          </cell>
          <cell r="KI164">
            <v>6</v>
          </cell>
          <cell r="KJ164">
            <v>0</v>
          </cell>
          <cell r="KM164">
            <v>0</v>
          </cell>
          <cell r="KP164">
            <v>0</v>
          </cell>
          <cell r="KS164">
            <v>0</v>
          </cell>
          <cell r="KV164">
            <v>0</v>
          </cell>
          <cell r="KY164">
            <v>0</v>
          </cell>
          <cell r="LB164">
            <v>0</v>
          </cell>
          <cell r="LE164">
            <v>0</v>
          </cell>
          <cell r="LH164">
            <v>0</v>
          </cell>
          <cell r="LK164">
            <v>0</v>
          </cell>
          <cell r="LO164">
            <v>45819</v>
          </cell>
          <cell r="LP164" t="str">
            <v>COMPLETADO</v>
          </cell>
        </row>
        <row r="165">
          <cell r="A165">
            <v>1796</v>
          </cell>
          <cell r="B165" t="str">
            <v>LUCIANO</v>
          </cell>
          <cell r="C165" t="str">
            <v>PERDRIEL</v>
          </cell>
          <cell r="D165" t="str">
            <v>MARROQUINERIA CHICA</v>
          </cell>
          <cell r="E165">
            <v>50</v>
          </cell>
          <cell r="F165">
            <v>50</v>
          </cell>
          <cell r="G165">
            <v>50</v>
          </cell>
          <cell r="H165">
            <v>45809.812175925923</v>
          </cell>
          <cell r="I165" t="str">
            <v>CINTO FLORA 1</v>
          </cell>
          <cell r="J165">
            <v>45804</v>
          </cell>
          <cell r="K165">
            <v>45804</v>
          </cell>
          <cell r="L165">
            <v>45853</v>
          </cell>
          <cell r="M165">
            <v>30</v>
          </cell>
          <cell r="N165" t="str">
            <v>M181</v>
          </cell>
          <cell r="O165" t="str">
            <v>VAR0000045</v>
          </cell>
          <cell r="P165">
            <v>1</v>
          </cell>
          <cell r="Q165" t="str">
            <v>AV170134014</v>
          </cell>
          <cell r="R165">
            <v>0</v>
          </cell>
          <cell r="AS165" t="str">
            <v xml:space="preserve"> LLEVA 5 ORIFICIOS / VA SIN PINTURA /  LLEVA STICKER DE TALLE</v>
          </cell>
          <cell r="AU165" t="str">
            <v xml:space="preserve"> EL TALLE S/M SERA EL S DE CINTURON MIA 106 CM LARGO SIN HEBILLLA</v>
          </cell>
          <cell r="AV165" t="str">
            <v xml:space="preserve"> EL TALLE M/L SERA EL M DE CINTURON MIA 115 CM LARGO SIN HEBILLLA</v>
          </cell>
          <cell r="AW165" t="str">
            <v>3 GRABADOS "EL LUCERO ARGENTINA CHICO, MAS SIMBOLO "TODO CUERO" MAS LETRA TALLE "S M" O "M L"</v>
          </cell>
          <cell r="AX165" t="str">
            <v>TABACO</v>
          </cell>
          <cell r="AY165" t="str">
            <v>NAPOLITANA-CUERO GAMUZA</v>
          </cell>
          <cell r="AZ165" t="str">
            <v>CUE0000050</v>
          </cell>
          <cell r="BA165">
            <v>0.16</v>
          </cell>
          <cell r="BR165" t="str">
            <v>TABACO</v>
          </cell>
          <cell r="BS165" t="str">
            <v>NAPOLITANA-CUERO GAMUZA</v>
          </cell>
          <cell r="BT165" t="str">
            <v>CUE0000050</v>
          </cell>
          <cell r="BU165">
            <v>0.16</v>
          </cell>
          <cell r="CL165" t="str">
            <v>OLIVA</v>
          </cell>
          <cell r="CM165" t="str">
            <v>NAPOLITANA-CUERO GAMUZA</v>
          </cell>
          <cell r="CN165" t="str">
            <v>CUE0000047</v>
          </cell>
          <cell r="CO165">
            <v>0.16</v>
          </cell>
          <cell r="DF165" t="str">
            <v>OLIVA</v>
          </cell>
          <cell r="DG165" t="str">
            <v>NAPOLITANA-CUERO GAMUZA</v>
          </cell>
          <cell r="DH165" t="str">
            <v>CUE0000047</v>
          </cell>
          <cell r="DI165">
            <v>0.16</v>
          </cell>
          <cell r="DZ165" t="str">
            <v>CHOCOLATE</v>
          </cell>
          <cell r="EA165" t="str">
            <v>NAPOLITANA-CUERO GAMUZA</v>
          </cell>
          <cell r="EB165" t="str">
            <v>CUE0000040</v>
          </cell>
          <cell r="EC165">
            <v>0.16</v>
          </cell>
          <cell r="ET165" t="str">
            <v>CHOCOLATE</v>
          </cell>
          <cell r="EU165" t="str">
            <v>NAPOLITANA-CUERO GAMUZA</v>
          </cell>
          <cell r="EV165" t="str">
            <v>CUE0000040</v>
          </cell>
          <cell r="EW165">
            <v>0.16</v>
          </cell>
          <cell r="FN165" t="str">
            <v>GrisOscuro</v>
          </cell>
          <cell r="FO165" t="str">
            <v>NAPOLITANA-CUERO GAMUZA</v>
          </cell>
          <cell r="FP165" t="str">
            <v>CUE0000042</v>
          </cell>
          <cell r="FQ165">
            <v>0.16</v>
          </cell>
          <cell r="GH165" t="str">
            <v>GrisOscuro</v>
          </cell>
          <cell r="GI165" t="str">
            <v>NAPOLITANA-CUERO GAMUZA</v>
          </cell>
          <cell r="GJ165" t="str">
            <v>CUE0000042</v>
          </cell>
          <cell r="GK165">
            <v>0.16</v>
          </cell>
          <cell r="HB165" t="str">
            <v>MARSALA</v>
          </cell>
          <cell r="HC165" t="str">
            <v>NAPOLITANA-CUERO GAMUZA</v>
          </cell>
          <cell r="HD165" t="str">
            <v>CUE0000043</v>
          </cell>
          <cell r="HE165">
            <v>0.16</v>
          </cell>
          <cell r="HV165" t="str">
            <v>MARSALA</v>
          </cell>
          <cell r="HW165" t="str">
            <v>NAPOLITANA-CUERO GAMUZA</v>
          </cell>
          <cell r="HX165" t="str">
            <v>CUE0000043</v>
          </cell>
          <cell r="HY165">
            <v>0.16</v>
          </cell>
          <cell r="KD165">
            <v>5</v>
          </cell>
          <cell r="KE165">
            <v>5</v>
          </cell>
          <cell r="KF165">
            <v>5</v>
          </cell>
          <cell r="KG165">
            <v>5</v>
          </cell>
          <cell r="KH165">
            <v>5</v>
          </cell>
          <cell r="KI165">
            <v>5</v>
          </cell>
          <cell r="KJ165">
            <v>5</v>
          </cell>
          <cell r="KK165">
            <v>5</v>
          </cell>
          <cell r="KL165">
            <v>5</v>
          </cell>
          <cell r="KM165">
            <v>5</v>
          </cell>
          <cell r="KN165">
            <v>5</v>
          </cell>
          <cell r="KO165">
            <v>5</v>
          </cell>
          <cell r="KP165">
            <v>5</v>
          </cell>
          <cell r="KQ165">
            <v>5</v>
          </cell>
          <cell r="KR165">
            <v>5</v>
          </cell>
          <cell r="KS165">
            <v>5</v>
          </cell>
          <cell r="KT165">
            <v>5</v>
          </cell>
          <cell r="KU165">
            <v>5</v>
          </cell>
          <cell r="KV165">
            <v>5</v>
          </cell>
          <cell r="KW165">
            <v>5</v>
          </cell>
          <cell r="KX165">
            <v>5</v>
          </cell>
          <cell r="KY165">
            <v>5</v>
          </cell>
          <cell r="KZ165">
            <v>5</v>
          </cell>
          <cell r="LA165">
            <v>5</v>
          </cell>
          <cell r="LB165">
            <v>5</v>
          </cell>
          <cell r="LC165">
            <v>5</v>
          </cell>
          <cell r="LD165">
            <v>5</v>
          </cell>
          <cell r="LE165">
            <v>5</v>
          </cell>
          <cell r="LF165">
            <v>5</v>
          </cell>
          <cell r="LG165">
            <v>5</v>
          </cell>
          <cell r="LH165">
            <v>0</v>
          </cell>
          <cell r="LK165">
            <v>0</v>
          </cell>
          <cell r="LN165">
            <v>45804</v>
          </cell>
          <cell r="LO165">
            <v>45853</v>
          </cell>
          <cell r="LP165" t="str">
            <v>COMPLETADO</v>
          </cell>
          <cell r="LQ165" t="str">
            <v xml:space="preserve"> FRENTE Y REVES EN GAMUZA - TALLE S/M</v>
          </cell>
          <cell r="LR165" t="str">
            <v xml:space="preserve"> FRENTE Y REVES EN GAMUZA - TALLE M/L</v>
          </cell>
          <cell r="LS165" t="str">
            <v xml:space="preserve"> FRENTE Y REVES EN GAMUZA - TALLE S/M</v>
          </cell>
          <cell r="LT165" t="str">
            <v xml:space="preserve"> FRENTE Y REVES EN GAMUZA - TALLE M/L</v>
          </cell>
          <cell r="LU165" t="str">
            <v xml:space="preserve"> FRENTE Y REVES EN GAMUZA - TALLE S/M</v>
          </cell>
          <cell r="LV165" t="str">
            <v xml:space="preserve"> FRENTE Y REVES EN GAMUZA - TALLE M/L</v>
          </cell>
          <cell r="LW165" t="str">
            <v xml:space="preserve"> FRENTE Y REVES EN GAMUZA - TALLE S/M</v>
          </cell>
          <cell r="LX165" t="str">
            <v xml:space="preserve"> FRENTE Y REVES EN GAMUZA - TALLE M/L</v>
          </cell>
          <cell r="LY165" t="str">
            <v xml:space="preserve"> FRENTE Y REVES EN GAMUZA - TALLE S/M</v>
          </cell>
          <cell r="LZ165" t="str">
            <v xml:space="preserve"> FRENTE Y REVES EN GAMUZA - TALLE M/L</v>
          </cell>
        </row>
        <row r="166">
          <cell r="A166">
            <v>1816</v>
          </cell>
          <cell r="B166" t="str">
            <v>LUCIANO</v>
          </cell>
          <cell r="C166" t="str">
            <v>BARRACAS CHICA</v>
          </cell>
          <cell r="D166" t="str">
            <v>MARROQUINERIA CHICA</v>
          </cell>
          <cell r="E166">
            <v>12</v>
          </cell>
          <cell r="F166">
            <v>12</v>
          </cell>
          <cell r="G166">
            <v>12</v>
          </cell>
          <cell r="H166">
            <v>45810.476863425924</v>
          </cell>
          <cell r="I166" t="str">
            <v>PORTALENTES LUZ BI FAZ</v>
          </cell>
          <cell r="J166">
            <v>45805</v>
          </cell>
          <cell r="K166">
            <v>45805</v>
          </cell>
          <cell r="L166">
            <v>45853</v>
          </cell>
          <cell r="M166">
            <v>10</v>
          </cell>
          <cell r="N166" t="str">
            <v>M178</v>
          </cell>
          <cell r="O166" t="str">
            <v>AV170134014</v>
          </cell>
          <cell r="P166">
            <v>0</v>
          </cell>
          <cell r="AS166" t="str">
            <v>NO LLEVA CHANCHO</v>
          </cell>
          <cell r="AW166" t="str">
            <v>GRABADO EL LUCERO ARGENTINA CHICO, EN EL FRENTE, A 1.5CM DEL BORDE INFERIOR Y A 1.5 CM DEL BORDE DERECHO.</v>
          </cell>
          <cell r="AX166" t="str">
            <v>VERDE_REVES_SUELA</v>
          </cell>
          <cell r="AY166" t="str">
            <v>BIANCO-CUERO MODENA ESPESOR 1,4</v>
          </cell>
          <cell r="AZ166" t="str">
            <v>CUE0000148</v>
          </cell>
          <cell r="BA166">
            <v>0.03</v>
          </cell>
          <cell r="KD166">
            <v>12</v>
          </cell>
          <cell r="KE166">
            <v>12</v>
          </cell>
          <cell r="KF166">
            <v>12</v>
          </cell>
          <cell r="KG166">
            <v>0</v>
          </cell>
          <cell r="KJ166">
            <v>0</v>
          </cell>
          <cell r="KM166">
            <v>0</v>
          </cell>
          <cell r="KP166">
            <v>0</v>
          </cell>
          <cell r="KS166">
            <v>0</v>
          </cell>
          <cell r="KV166">
            <v>0</v>
          </cell>
          <cell r="KY166">
            <v>0</v>
          </cell>
          <cell r="LB166">
            <v>0</v>
          </cell>
          <cell r="LE166">
            <v>0</v>
          </cell>
          <cell r="LH166">
            <v>0</v>
          </cell>
          <cell r="LK166">
            <v>0</v>
          </cell>
          <cell r="LN166">
            <v>45805</v>
          </cell>
          <cell r="LO166">
            <v>45860</v>
          </cell>
          <cell r="LP166" t="str">
            <v>COMPLETADO</v>
          </cell>
        </row>
        <row r="167">
          <cell r="A167">
            <v>1812</v>
          </cell>
          <cell r="B167" t="str">
            <v>LUCIANO</v>
          </cell>
          <cell r="C167" t="str">
            <v>PERDRIEL</v>
          </cell>
          <cell r="D167" t="str">
            <v>MARROQUINERIA CHICA</v>
          </cell>
          <cell r="E167">
            <v>7</v>
          </cell>
          <cell r="F167">
            <v>7</v>
          </cell>
          <cell r="G167">
            <v>7</v>
          </cell>
          <cell r="H167">
            <v>45810.498240740744</v>
          </cell>
          <cell r="I167" t="str">
            <v>SET PORTAVASOS CIRCULAR (X 4)</v>
          </cell>
          <cell r="J167">
            <v>45805</v>
          </cell>
          <cell r="K167">
            <v>45805</v>
          </cell>
          <cell r="L167">
            <v>45805</v>
          </cell>
          <cell r="M167">
            <v>8</v>
          </cell>
          <cell r="N167" t="str">
            <v>M161</v>
          </cell>
          <cell r="AS167" t="str">
            <v xml:space="preserve">SE ENTREGARAN A VENTAS EN SET X4   </v>
          </cell>
          <cell r="AT167" t="str">
            <v>PORTA TIRA DE CUERO CON GEMELO</v>
          </cell>
          <cell r="AU167" t="str">
            <v>POSAVASO SIN PINTURA</v>
          </cell>
          <cell r="AV167" t="str">
            <v>TIRA CON PINTURA</v>
          </cell>
          <cell r="AW167" t="str">
            <v>GRABADO "EL LUCERO CHICO" ESQUINA INFERIOR DERECHA</v>
          </cell>
          <cell r="AX167" t="str">
            <v>TABACO</v>
          </cell>
          <cell r="AY167" t="str">
            <v>ARENA-CUERO BRIDGE</v>
          </cell>
          <cell r="AZ167" t="str">
            <v>CUE0000012</v>
          </cell>
          <cell r="BA167">
            <v>0.04</v>
          </cell>
          <cell r="BC167">
            <v>0.02</v>
          </cell>
          <cell r="BR167" t="str">
            <v>NEGRO</v>
          </cell>
          <cell r="BS167" t="str">
            <v>ARENA-CUERO BRIDGE</v>
          </cell>
          <cell r="BT167" t="str">
            <v>CUE0000009</v>
          </cell>
          <cell r="BU167">
            <v>0.02</v>
          </cell>
          <cell r="BV167" t="str">
            <v>FOR0000029</v>
          </cell>
          <cell r="BW167">
            <v>0.02</v>
          </cell>
          <cell r="CL167" t="str">
            <v>MALBEC</v>
          </cell>
          <cell r="CM167" t="str">
            <v>ARENA-CUERO BRIDGE</v>
          </cell>
          <cell r="CN167" t="str">
            <v>CUE0000008</v>
          </cell>
          <cell r="CO167">
            <v>0.02</v>
          </cell>
          <cell r="CP167" t="str">
            <v>FOR0000030</v>
          </cell>
          <cell r="CQ167">
            <v>0.02</v>
          </cell>
          <cell r="KD167">
            <v>2</v>
          </cell>
          <cell r="KE167">
            <v>2</v>
          </cell>
          <cell r="KF167">
            <v>2</v>
          </cell>
          <cell r="KG167">
            <v>4</v>
          </cell>
          <cell r="KH167">
            <v>4</v>
          </cell>
          <cell r="KI167">
            <v>4</v>
          </cell>
          <cell r="KJ167">
            <v>1</v>
          </cell>
          <cell r="KK167">
            <v>1</v>
          </cell>
          <cell r="KL167">
            <v>1</v>
          </cell>
          <cell r="KM167">
            <v>0</v>
          </cell>
          <cell r="KP167">
            <v>0</v>
          </cell>
          <cell r="KS167">
            <v>0</v>
          </cell>
          <cell r="KV167">
            <v>0</v>
          </cell>
          <cell r="KY167">
            <v>0</v>
          </cell>
          <cell r="LB167">
            <v>0</v>
          </cell>
          <cell r="LE167">
            <v>0</v>
          </cell>
          <cell r="LH167">
            <v>0</v>
          </cell>
          <cell r="LK167">
            <v>0</v>
          </cell>
          <cell r="LN167">
            <v>45805</v>
          </cell>
          <cell r="LO167">
            <v>45826</v>
          </cell>
          <cell r="LP167" t="str">
            <v>COMPLETADO</v>
          </cell>
        </row>
        <row r="168">
          <cell r="A168">
            <v>1813</v>
          </cell>
          <cell r="B168" t="str">
            <v>LUCIANO</v>
          </cell>
          <cell r="C168" t="str">
            <v>PERDRIEL</v>
          </cell>
          <cell r="D168" t="str">
            <v>MARROQUINERIA CHICA</v>
          </cell>
          <cell r="E168">
            <v>11</v>
          </cell>
          <cell r="F168">
            <v>11</v>
          </cell>
          <cell r="G168">
            <v>11</v>
          </cell>
          <cell r="H168">
            <v>45812.47115740741</v>
          </cell>
          <cell r="I168" t="str">
            <v>SET POSAVASOS CUADRADO (X 4)</v>
          </cell>
          <cell r="J168">
            <v>45805</v>
          </cell>
          <cell r="K168">
            <v>45805</v>
          </cell>
          <cell r="L168">
            <v>45805</v>
          </cell>
          <cell r="M168">
            <v>8</v>
          </cell>
          <cell r="N168" t="str">
            <v>M135</v>
          </cell>
          <cell r="O168" t="str">
            <v>AV170134014</v>
          </cell>
          <cell r="P168">
            <v>0</v>
          </cell>
          <cell r="AS168" t="str">
            <v>SE ENTREGARAN A VENTAN EN SET X4 ATADOS CON TIRA DE CUERO</v>
          </cell>
          <cell r="AU168" t="str">
            <v>POSAVASO SIN PINTURA</v>
          </cell>
          <cell r="AV168" t="str">
            <v>TIRA CON PINTURA</v>
          </cell>
          <cell r="AW168" t="str">
            <v>GRABADO "EL LUCERO ARGENTINA" CENTRADO EN TIRA</v>
          </cell>
          <cell r="AX168" t="str">
            <v>TABACO</v>
          </cell>
          <cell r="AY168" t="str">
            <v>ARENA-CUERO BRIDGE</v>
          </cell>
          <cell r="AZ168" t="str">
            <v>CUE0000012</v>
          </cell>
          <cell r="BA168">
            <v>0.02</v>
          </cell>
          <cell r="BB168" t="str">
            <v>FOR0000031</v>
          </cell>
          <cell r="BC168">
            <v>0.02</v>
          </cell>
          <cell r="BR168" t="str">
            <v>MALBEC</v>
          </cell>
          <cell r="BS168" t="str">
            <v>ARENA-CUERO BRIDGE</v>
          </cell>
          <cell r="BT168" t="str">
            <v>CUE0000008</v>
          </cell>
          <cell r="BU168">
            <v>0.02</v>
          </cell>
          <cell r="BV168" t="str">
            <v>FOR0000030</v>
          </cell>
          <cell r="BW168">
            <v>0.02</v>
          </cell>
          <cell r="CL168" t="str">
            <v>NEGRO</v>
          </cell>
          <cell r="CM168" t="str">
            <v>ARENA-CUERO NAPADO</v>
          </cell>
          <cell r="CN168" t="str">
            <v>CUE0000026</v>
          </cell>
          <cell r="CO168">
            <v>0.02</v>
          </cell>
          <cell r="CP168" t="str">
            <v>FOR0000029</v>
          </cell>
          <cell r="CQ168">
            <v>0.02</v>
          </cell>
          <cell r="DF168" t="str">
            <v>CARAMELO</v>
          </cell>
          <cell r="DG168" t="str">
            <v>ARENA-CUERO NAPADO</v>
          </cell>
          <cell r="DH168" t="str">
            <v>CUE0000022</v>
          </cell>
          <cell r="DI168">
            <v>0.02</v>
          </cell>
          <cell r="DJ168" t="str">
            <v>FOR0000028</v>
          </cell>
          <cell r="DK168">
            <v>0.02</v>
          </cell>
          <cell r="KD168">
            <v>4</v>
          </cell>
          <cell r="KE168">
            <v>4</v>
          </cell>
          <cell r="KF168">
            <v>4</v>
          </cell>
          <cell r="KG168">
            <v>2</v>
          </cell>
          <cell r="KH168">
            <v>2</v>
          </cell>
          <cell r="KI168">
            <v>2</v>
          </cell>
          <cell r="KJ168">
            <v>1</v>
          </cell>
          <cell r="KK168">
            <v>1</v>
          </cell>
          <cell r="KL168">
            <v>1</v>
          </cell>
          <cell r="KM168">
            <v>4</v>
          </cell>
          <cell r="KN168">
            <v>4</v>
          </cell>
          <cell r="KO168">
            <v>4</v>
          </cell>
          <cell r="KP168">
            <v>0</v>
          </cell>
          <cell r="KS168">
            <v>0</v>
          </cell>
          <cell r="KV168">
            <v>0</v>
          </cell>
          <cell r="KY168">
            <v>0</v>
          </cell>
          <cell r="LB168">
            <v>0</v>
          </cell>
          <cell r="LE168">
            <v>0</v>
          </cell>
          <cell r="LH168">
            <v>0</v>
          </cell>
          <cell r="LK168">
            <v>0</v>
          </cell>
          <cell r="LN168">
            <v>45805</v>
          </cell>
          <cell r="LO168">
            <v>45826</v>
          </cell>
          <cell r="LP168" t="str">
            <v>COMPLETADO</v>
          </cell>
        </row>
        <row r="169">
          <cell r="A169">
            <v>1800</v>
          </cell>
          <cell r="B169" t="str">
            <v>RUBEN</v>
          </cell>
          <cell r="C169" t="str">
            <v>BARRACAS GRANDE</v>
          </cell>
          <cell r="D169" t="str">
            <v>MARROQUINERIA GRANDE</v>
          </cell>
          <cell r="E169">
            <v>36</v>
          </cell>
          <cell r="F169">
            <v>24</v>
          </cell>
          <cell r="G169">
            <v>24</v>
          </cell>
          <cell r="H169">
            <v>45812.500671296293</v>
          </cell>
          <cell r="I169" t="str">
            <v>TOTE TILCARA</v>
          </cell>
          <cell r="J169">
            <v>45810</v>
          </cell>
          <cell r="K169">
            <v>45810</v>
          </cell>
          <cell r="M169">
            <v>20</v>
          </cell>
          <cell r="N169" t="str">
            <v>M188</v>
          </cell>
          <cell r="O169" t="str">
            <v>AV170129018</v>
          </cell>
          <cell r="P169">
            <v>0</v>
          </cell>
          <cell r="AW169" t="str">
            <v xml:space="preserve">GRABADO EN ESPALDA "EL LUCERO GRANDE" CENTRADO ABAJO A 2 CM DESDE EL PESPUNTE </v>
          </cell>
          <cell r="AX169" t="str">
            <v>NEGRO</v>
          </cell>
          <cell r="AY169" t="str">
            <v>ARENA-CUERO NAPADO</v>
          </cell>
          <cell r="AZ169" t="str">
            <v>CUE0000026</v>
          </cell>
          <cell r="BA169">
            <v>0.47</v>
          </cell>
          <cell r="BR169" t="str">
            <v>LONDON</v>
          </cell>
          <cell r="BS169" t="str">
            <v>ARENA-CUERO NAPADO</v>
          </cell>
          <cell r="BT169" t="str">
            <v>CUE0000024</v>
          </cell>
          <cell r="BU169">
            <v>0.47</v>
          </cell>
          <cell r="CL169" t="str">
            <v>CARAMELO</v>
          </cell>
          <cell r="CM169" t="str">
            <v>ARENA-CUERO NAPADO</v>
          </cell>
          <cell r="CN169" t="str">
            <v>CUE0000022</v>
          </cell>
          <cell r="CO169">
            <v>0.47</v>
          </cell>
          <cell r="DJ169" t="str">
            <v>FOR0000028</v>
          </cell>
          <cell r="DK169">
            <v>0.02</v>
          </cell>
          <cell r="KD169">
            <v>12</v>
          </cell>
          <cell r="KE169">
            <v>12</v>
          </cell>
          <cell r="KF169">
            <v>12</v>
          </cell>
          <cell r="KG169">
            <v>12</v>
          </cell>
          <cell r="KH169">
            <v>12</v>
          </cell>
          <cell r="KI169">
            <v>12</v>
          </cell>
          <cell r="KJ169">
            <v>12</v>
          </cell>
          <cell r="KK169">
            <v>0</v>
          </cell>
          <cell r="KL169">
            <v>0</v>
          </cell>
          <cell r="KM169">
            <v>0</v>
          </cell>
          <cell r="KP169">
            <v>0</v>
          </cell>
          <cell r="KS169">
            <v>0</v>
          </cell>
          <cell r="KV169">
            <v>0</v>
          </cell>
          <cell r="KY169">
            <v>0</v>
          </cell>
          <cell r="LB169">
            <v>0</v>
          </cell>
          <cell r="LE169">
            <v>0</v>
          </cell>
          <cell r="LH169">
            <v>0</v>
          </cell>
          <cell r="LK169">
            <v>0</v>
          </cell>
          <cell r="LO169">
            <v>45826</v>
          </cell>
          <cell r="LP169" t="str">
            <v>COMPLETADO</v>
          </cell>
        </row>
        <row r="170">
          <cell r="A170">
            <v>17932</v>
          </cell>
          <cell r="B170" t="str">
            <v>LUCIANO</v>
          </cell>
          <cell r="C170" t="str">
            <v>BARRACAS CHICA</v>
          </cell>
          <cell r="D170" t="str">
            <v>MARROQUINERIA CHICA</v>
          </cell>
          <cell r="E170">
            <v>10</v>
          </cell>
          <cell r="F170">
            <v>10</v>
          </cell>
          <cell r="G170">
            <v>10</v>
          </cell>
          <cell r="H170">
            <v>45813.455983796295</v>
          </cell>
          <cell r="I170" t="str">
            <v>BILLETERA ADAM</v>
          </cell>
          <cell r="J170">
            <v>45813</v>
          </cell>
          <cell r="K170">
            <v>45813</v>
          </cell>
          <cell r="L170">
            <v>45870</v>
          </cell>
          <cell r="M170">
            <v>50</v>
          </cell>
          <cell r="N170" t="str">
            <v>M012</v>
          </cell>
          <cell r="O170" t="str">
            <v>AV0700420101</v>
          </cell>
          <cell r="P170">
            <v>1</v>
          </cell>
          <cell r="Q170" t="str">
            <v>VAR0000002</v>
          </cell>
          <cell r="R170">
            <v>0.01</v>
          </cell>
          <cell r="S170" t="str">
            <v>AV170134014</v>
          </cell>
          <cell r="T170">
            <v>0</v>
          </cell>
          <cell r="AW170" t="str">
            <v xml:space="preserve">GRABADO "EL LUCERO ARGENTINA" CHICO - CENTRADO A 1 CM DESDE EL BORDE INFERIOR  </v>
          </cell>
          <cell r="AX170" t="str">
            <v>TABACO</v>
          </cell>
          <cell r="AY170" t="str">
            <v>ARENA-CUERO BRIDGE</v>
          </cell>
          <cell r="AZ170" t="str">
            <v>CUE0000012</v>
          </cell>
          <cell r="BA170">
            <v>0.11</v>
          </cell>
          <cell r="BB170" t="str">
            <v>AV1401250545</v>
          </cell>
          <cell r="BC170">
            <v>0</v>
          </cell>
          <cell r="BD170" t="str">
            <v>FOR0000015</v>
          </cell>
          <cell r="BE170">
            <v>0.08</v>
          </cell>
          <cell r="DJ170" t="str">
            <v>FOR0000028</v>
          </cell>
          <cell r="DK170">
            <v>0.02</v>
          </cell>
          <cell r="KD170">
            <v>10</v>
          </cell>
          <cell r="KE170">
            <v>10</v>
          </cell>
          <cell r="KF170">
            <v>10</v>
          </cell>
          <cell r="KG170">
            <v>0</v>
          </cell>
          <cell r="KJ170">
            <v>0</v>
          </cell>
          <cell r="KM170">
            <v>0</v>
          </cell>
          <cell r="KP170">
            <v>0</v>
          </cell>
          <cell r="KS170">
            <v>0</v>
          </cell>
          <cell r="KV170">
            <v>0</v>
          </cell>
          <cell r="KY170">
            <v>0</v>
          </cell>
          <cell r="LB170">
            <v>0</v>
          </cell>
          <cell r="LE170">
            <v>0</v>
          </cell>
          <cell r="LH170">
            <v>0</v>
          </cell>
          <cell r="LK170">
            <v>0</v>
          </cell>
          <cell r="LN170">
            <v>45813</v>
          </cell>
          <cell r="LO170">
            <v>45888</v>
          </cell>
          <cell r="LP170" t="str">
            <v>COMPLETADO</v>
          </cell>
        </row>
        <row r="171">
          <cell r="A171">
            <v>17942</v>
          </cell>
          <cell r="B171" t="str">
            <v>LUCIANO</v>
          </cell>
          <cell r="C171" t="str">
            <v>BARRACAS CHICA</v>
          </cell>
          <cell r="D171" t="str">
            <v>MARROQUINERIA CHICA</v>
          </cell>
          <cell r="E171">
            <v>5</v>
          </cell>
          <cell r="F171">
            <v>5</v>
          </cell>
          <cell r="G171">
            <v>5</v>
          </cell>
          <cell r="H171">
            <v>45813.460543981484</v>
          </cell>
          <cell r="I171" t="str">
            <v>BILLETERA ARLO</v>
          </cell>
          <cell r="J171">
            <v>45813</v>
          </cell>
          <cell r="K171">
            <v>45813</v>
          </cell>
          <cell r="L171">
            <v>45870</v>
          </cell>
          <cell r="M171">
            <v>50</v>
          </cell>
          <cell r="N171" t="str">
            <v>M162</v>
          </cell>
          <cell r="O171" t="str">
            <v>BAC0900100161</v>
          </cell>
          <cell r="P171">
            <v>0.1</v>
          </cell>
          <cell r="Q171" t="str">
            <v>AV170134014</v>
          </cell>
          <cell r="R171">
            <v>0</v>
          </cell>
          <cell r="AS171" t="str">
            <v>GRABADO EN TARJETERO "EL LUCERO ARGENTINA" CHICO ATRAS CENTRADO A 1 CM DESDE EL BORDE INFERIOR</v>
          </cell>
          <cell r="AT171" t="str">
            <v>LLEVA 2 GRABADOS</v>
          </cell>
          <cell r="AW171" t="str">
            <v>GRABADO EN INTERIOR  "EL LUCERO ARGENTINA" CHICO - CENTRADO A 1 CM DESDE EL BORDE INFERIOR</v>
          </cell>
          <cell r="AX171" t="str">
            <v>TABACO</v>
          </cell>
          <cell r="AY171" t="str">
            <v>ARENA-CUERO BRIDGE</v>
          </cell>
          <cell r="AZ171" t="str">
            <v>CUE0000012</v>
          </cell>
          <cell r="BA171">
            <v>0.11</v>
          </cell>
          <cell r="BB171" t="str">
            <v>FOR0000015</v>
          </cell>
          <cell r="BC171">
            <v>0.1</v>
          </cell>
          <cell r="DJ171" t="str">
            <v>FOR0000028</v>
          </cell>
          <cell r="DK171">
            <v>0.02</v>
          </cell>
          <cell r="KD171">
            <v>5</v>
          </cell>
          <cell r="KE171">
            <v>5</v>
          </cell>
          <cell r="KF171">
            <v>5</v>
          </cell>
          <cell r="KG171">
            <v>0</v>
          </cell>
          <cell r="KJ171">
            <v>0</v>
          </cell>
          <cell r="KM171">
            <v>0</v>
          </cell>
          <cell r="KP171">
            <v>0</v>
          </cell>
          <cell r="KS171">
            <v>0</v>
          </cell>
          <cell r="KV171">
            <v>0</v>
          </cell>
          <cell r="KY171">
            <v>0</v>
          </cell>
          <cell r="LB171">
            <v>0</v>
          </cell>
          <cell r="LE171">
            <v>0</v>
          </cell>
          <cell r="LH171">
            <v>0</v>
          </cell>
          <cell r="LK171">
            <v>0</v>
          </cell>
          <cell r="LN171">
            <v>45813</v>
          </cell>
          <cell r="LO171">
            <v>45870</v>
          </cell>
          <cell r="LP171" t="str">
            <v>COMPLETADO</v>
          </cell>
        </row>
        <row r="172">
          <cell r="A172">
            <v>1821</v>
          </cell>
          <cell r="B172" t="str">
            <v>LUCIANO</v>
          </cell>
          <cell r="C172" t="str">
            <v>BARRACAS CHICA</v>
          </cell>
          <cell r="D172" t="str">
            <v>MARROQUINERIA CHICA</v>
          </cell>
          <cell r="E172">
            <v>8</v>
          </cell>
          <cell r="F172">
            <v>8</v>
          </cell>
          <cell r="G172">
            <v>8</v>
          </cell>
          <cell r="H172">
            <v>45813.471388888887</v>
          </cell>
          <cell r="I172" t="str">
            <v>BILLETERA COPAHUE</v>
          </cell>
          <cell r="J172">
            <v>45813</v>
          </cell>
          <cell r="K172">
            <v>45813</v>
          </cell>
          <cell r="L172">
            <v>45813</v>
          </cell>
          <cell r="M172">
            <v>50</v>
          </cell>
          <cell r="N172" t="str">
            <v>M014</v>
          </cell>
          <cell r="O172" t="str">
            <v>VAR0000002</v>
          </cell>
          <cell r="P172">
            <v>0.01</v>
          </cell>
          <cell r="Q172" t="str">
            <v>BAC1300050727</v>
          </cell>
          <cell r="R172">
            <v>0.01</v>
          </cell>
          <cell r="S172" t="str">
            <v>AV0101070301</v>
          </cell>
          <cell r="T172">
            <v>1</v>
          </cell>
          <cell r="U172" t="str">
            <v>AV0600560101</v>
          </cell>
          <cell r="V172">
            <v>1</v>
          </cell>
          <cell r="W172" t="str">
            <v>AV0401380101</v>
          </cell>
          <cell r="X172">
            <v>1</v>
          </cell>
          <cell r="Y172" t="str">
            <v>AV170134014</v>
          </cell>
          <cell r="Z172">
            <v>0</v>
          </cell>
          <cell r="AA172" t="str">
            <v>BAC0200071027</v>
          </cell>
          <cell r="AB172">
            <v>0.01</v>
          </cell>
          <cell r="AW172" t="str">
            <v xml:space="preserve">GRABADO EL LUCERO EN SOLAPA FRONTAL CENTRADO A 1 CM DEL BORDE  </v>
          </cell>
          <cell r="AX172" t="str">
            <v>ROJO</v>
          </cell>
          <cell r="AY172" t="str">
            <v>ARENA-CUERO NAPADO</v>
          </cell>
          <cell r="AZ172" t="str">
            <v>CUE0000027</v>
          </cell>
          <cell r="BA172">
            <v>0.09</v>
          </cell>
          <cell r="BB172" t="str">
            <v>AV0100020313</v>
          </cell>
          <cell r="BC172">
            <v>0.12</v>
          </cell>
          <cell r="BD172" t="str">
            <v>FOR0000016</v>
          </cell>
          <cell r="BE172">
            <v>0.1</v>
          </cell>
          <cell r="BF172" t="str">
            <v>AV1401254460</v>
          </cell>
          <cell r="BG172">
            <v>0</v>
          </cell>
          <cell r="DJ172" t="str">
            <v>FOR0000028</v>
          </cell>
          <cell r="DK172">
            <v>0.02</v>
          </cell>
          <cell r="KD172">
            <v>8</v>
          </cell>
          <cell r="KE172">
            <v>8</v>
          </cell>
          <cell r="KF172">
            <v>8</v>
          </cell>
          <cell r="KG172">
            <v>0</v>
          </cell>
          <cell r="KJ172">
            <v>0</v>
          </cell>
          <cell r="KM172">
            <v>0</v>
          </cell>
          <cell r="KP172">
            <v>0</v>
          </cell>
          <cell r="KS172">
            <v>0</v>
          </cell>
          <cell r="KV172">
            <v>0</v>
          </cell>
          <cell r="KY172">
            <v>0</v>
          </cell>
          <cell r="LB172">
            <v>0</v>
          </cell>
          <cell r="LE172">
            <v>0</v>
          </cell>
          <cell r="LH172">
            <v>0</v>
          </cell>
          <cell r="LK172">
            <v>0</v>
          </cell>
          <cell r="LN172">
            <v>45813</v>
          </cell>
          <cell r="LO172">
            <v>45826</v>
          </cell>
          <cell r="LP172" t="str">
            <v>COMPLETADO</v>
          </cell>
        </row>
        <row r="173">
          <cell r="A173">
            <v>1822</v>
          </cell>
          <cell r="B173" t="str">
            <v>LUCIANO</v>
          </cell>
          <cell r="C173" t="str">
            <v>BARRACAS CHICA</v>
          </cell>
          <cell r="D173" t="str">
            <v>MARROQUINERIA CHICA</v>
          </cell>
          <cell r="E173">
            <v>10</v>
          </cell>
          <cell r="F173">
            <v>10</v>
          </cell>
          <cell r="G173">
            <v>10</v>
          </cell>
          <cell r="H173">
            <v>45813.477025462962</v>
          </cell>
          <cell r="I173" t="str">
            <v>BILLETERA PENNY</v>
          </cell>
          <cell r="J173">
            <v>45813</v>
          </cell>
          <cell r="K173">
            <v>45813</v>
          </cell>
          <cell r="M173">
            <v>60</v>
          </cell>
          <cell r="N173" t="str">
            <v>M025</v>
          </cell>
          <cell r="O173" t="str">
            <v>BAC1300050727</v>
          </cell>
          <cell r="P173">
            <v>0.03</v>
          </cell>
          <cell r="Q173" t="str">
            <v>BAC0900100161</v>
          </cell>
          <cell r="R173">
            <v>0.01</v>
          </cell>
          <cell r="S173" t="str">
            <v>AV0300440101</v>
          </cell>
          <cell r="T173">
            <v>1</v>
          </cell>
          <cell r="U173" t="str">
            <v>AV0101070301</v>
          </cell>
          <cell r="V173">
            <v>1</v>
          </cell>
          <cell r="W173" t="str">
            <v>AV0700650101</v>
          </cell>
          <cell r="X173">
            <v>1</v>
          </cell>
          <cell r="Y173" t="str">
            <v>AV0600560101</v>
          </cell>
          <cell r="Z173">
            <v>1</v>
          </cell>
          <cell r="AA173" t="str">
            <v>AV170134014</v>
          </cell>
          <cell r="AB173">
            <v>0</v>
          </cell>
          <cell r="AW173" t="str">
            <v>CHAPA LETRAS LUCERO, CENTRADA EN FRENTE SOBRE SOLAPA A 2 CM DEL BORDE INFERIOR</v>
          </cell>
          <cell r="AX173" t="str">
            <v>CARAMELO</v>
          </cell>
          <cell r="AY173" t="str">
            <v>ARENA-CUERO NAPADO</v>
          </cell>
          <cell r="AZ173" t="str">
            <v>CUE0000022</v>
          </cell>
          <cell r="BA173">
            <v>0.16</v>
          </cell>
          <cell r="BB173" t="str">
            <v>FOR0000015</v>
          </cell>
          <cell r="BC173">
            <v>0.19</v>
          </cell>
          <cell r="BD173" t="str">
            <v>AV0100020305</v>
          </cell>
          <cell r="BE173">
            <v>0.17</v>
          </cell>
          <cell r="BF173" t="str">
            <v>AV1401250545</v>
          </cell>
          <cell r="BG173">
            <v>0</v>
          </cell>
          <cell r="BH173" t="str">
            <v>AV1601300955</v>
          </cell>
          <cell r="BI173">
            <v>0</v>
          </cell>
          <cell r="BR173" t="str">
            <v>ROJO</v>
          </cell>
          <cell r="BS173" t="str">
            <v>ARENA-CUERO NAPADO</v>
          </cell>
          <cell r="BT173" t="str">
            <v>CUE0000027</v>
          </cell>
          <cell r="BU173">
            <v>0.16</v>
          </cell>
          <cell r="BV173" t="str">
            <v>FOR0000016</v>
          </cell>
          <cell r="BW173">
            <v>0.19</v>
          </cell>
          <cell r="BX173" t="str">
            <v>AV0100020313</v>
          </cell>
          <cell r="BY173">
            <v>0.17</v>
          </cell>
          <cell r="BZ173" t="str">
            <v>AV1401254460</v>
          </cell>
          <cell r="CA173">
            <v>0</v>
          </cell>
          <cell r="CB173" t="str">
            <v>AV1601300929</v>
          </cell>
          <cell r="CC173">
            <v>0</v>
          </cell>
          <cell r="DJ173" t="str">
            <v>FOR0000028</v>
          </cell>
          <cell r="DK173">
            <v>0.02</v>
          </cell>
          <cell r="KD173">
            <v>2</v>
          </cell>
          <cell r="KE173">
            <v>2</v>
          </cell>
          <cell r="KF173">
            <v>2</v>
          </cell>
          <cell r="KG173">
            <v>8</v>
          </cell>
          <cell r="KH173">
            <v>8</v>
          </cell>
          <cell r="KI173">
            <v>8</v>
          </cell>
          <cell r="KJ173">
            <v>0</v>
          </cell>
          <cell r="KM173">
            <v>0</v>
          </cell>
          <cell r="KP173">
            <v>0</v>
          </cell>
          <cell r="KS173">
            <v>0</v>
          </cell>
          <cell r="KV173">
            <v>0</v>
          </cell>
          <cell r="KY173">
            <v>0</v>
          </cell>
          <cell r="LB173">
            <v>0</v>
          </cell>
          <cell r="LE173">
            <v>0</v>
          </cell>
          <cell r="LH173">
            <v>0</v>
          </cell>
          <cell r="LK173">
            <v>0</v>
          </cell>
          <cell r="LO173">
            <v>45832</v>
          </cell>
          <cell r="LP173" t="str">
            <v>COMPLETADO</v>
          </cell>
        </row>
        <row r="174">
          <cell r="A174">
            <v>1823</v>
          </cell>
          <cell r="B174" t="str">
            <v>LUCIANO</v>
          </cell>
          <cell r="C174" t="str">
            <v>BARRACAS CHICA</v>
          </cell>
          <cell r="D174" t="str">
            <v>MARROQUINERIA CHICA</v>
          </cell>
          <cell r="E174">
            <v>6</v>
          </cell>
          <cell r="F174">
            <v>6</v>
          </cell>
          <cell r="G174">
            <v>6</v>
          </cell>
          <cell r="H174">
            <v>45813.530393518522</v>
          </cell>
          <cell r="I174" t="str">
            <v>BILLETERA FICHERO</v>
          </cell>
          <cell r="J174">
            <v>45813</v>
          </cell>
          <cell r="K174">
            <v>45813</v>
          </cell>
          <cell r="M174">
            <v>55</v>
          </cell>
          <cell r="N174" t="str">
            <v>M015</v>
          </cell>
          <cell r="O174" t="str">
            <v>BAC1300050727</v>
          </cell>
          <cell r="P174">
            <v>0.06</v>
          </cell>
          <cell r="Q174" t="str">
            <v>BAC0200071027</v>
          </cell>
          <cell r="R174">
            <v>0.04</v>
          </cell>
          <cell r="S174" t="str">
            <v>BAC0900100161</v>
          </cell>
          <cell r="T174">
            <v>0.01</v>
          </cell>
          <cell r="U174" t="str">
            <v>FOR0000032</v>
          </cell>
          <cell r="V174">
            <v>0.01</v>
          </cell>
          <cell r="W174" t="str">
            <v>AV0101070301</v>
          </cell>
          <cell r="X174">
            <v>1</v>
          </cell>
          <cell r="Y174" t="str">
            <v>AV0600560101</v>
          </cell>
          <cell r="Z174">
            <v>1</v>
          </cell>
          <cell r="AA174" t="str">
            <v>AV0600550101</v>
          </cell>
          <cell r="AB174">
            <v>1</v>
          </cell>
          <cell r="AC174" t="str">
            <v>AV0300400101</v>
          </cell>
          <cell r="AD174">
            <v>2</v>
          </cell>
          <cell r="AE174" t="str">
            <v>AV1000380101</v>
          </cell>
          <cell r="AF174">
            <v>2</v>
          </cell>
          <cell r="AG174" t="str">
            <v>AV0101040201</v>
          </cell>
          <cell r="AH174">
            <v>1</v>
          </cell>
          <cell r="AI174" t="str">
            <v>AV0300390101</v>
          </cell>
          <cell r="AJ174">
            <v>1</v>
          </cell>
          <cell r="AK174" t="str">
            <v>AV170134014</v>
          </cell>
          <cell r="AL174">
            <v>0</v>
          </cell>
          <cell r="AS174" t="str">
            <v>TIRACIERRE N2 : vuelta de tira con remache + grabado estrella lucero</v>
          </cell>
          <cell r="AT174" t="str">
            <v xml:space="preserve">CAMBIAR LADO DE LA PULSERA A LA IZQUIERDA    </v>
          </cell>
          <cell r="AW174" t="str">
            <v xml:space="preserve">GRABADO "EL LUCERO" CHICO EN FRENTE, CENTRADO A 2 CM DESDE BOCA  </v>
          </cell>
          <cell r="AX174" t="str">
            <v>ROJO</v>
          </cell>
          <cell r="AY174" t="str">
            <v>ARENA-CUERO NAPADO</v>
          </cell>
          <cell r="AZ174" t="str">
            <v>CUE0000027</v>
          </cell>
          <cell r="BA174">
            <v>0.21</v>
          </cell>
          <cell r="BB174" t="str">
            <v>AV0100010113</v>
          </cell>
          <cell r="BC174">
            <v>0.45</v>
          </cell>
          <cell r="BD174" t="str">
            <v>AV0100020313</v>
          </cell>
          <cell r="BE174">
            <v>0.16</v>
          </cell>
          <cell r="BF174" t="str">
            <v>FOR0000016</v>
          </cell>
          <cell r="BG174">
            <v>0.16</v>
          </cell>
          <cell r="DJ174" t="str">
            <v>FOR0000028</v>
          </cell>
          <cell r="DK174">
            <v>0.02</v>
          </cell>
          <cell r="KD174">
            <v>6</v>
          </cell>
          <cell r="KE174">
            <v>6</v>
          </cell>
          <cell r="KF174">
            <v>6</v>
          </cell>
          <cell r="KG174">
            <v>0</v>
          </cell>
          <cell r="KJ174">
            <v>0</v>
          </cell>
          <cell r="KM174">
            <v>0</v>
          </cell>
          <cell r="KP174">
            <v>0</v>
          </cell>
          <cell r="KS174">
            <v>0</v>
          </cell>
          <cell r="KV174">
            <v>0</v>
          </cell>
          <cell r="KY174">
            <v>0</v>
          </cell>
          <cell r="LB174">
            <v>0</v>
          </cell>
          <cell r="LE174">
            <v>0</v>
          </cell>
          <cell r="LH174">
            <v>0</v>
          </cell>
          <cell r="LK174">
            <v>0</v>
          </cell>
          <cell r="LO174">
            <v>45832</v>
          </cell>
          <cell r="LP174" t="str">
            <v>COMPLETADO</v>
          </cell>
        </row>
        <row r="175">
          <cell r="A175">
            <v>1826</v>
          </cell>
          <cell r="B175" t="str">
            <v>LUCIANO</v>
          </cell>
          <cell r="C175" t="str">
            <v>BARRACAS CHICA</v>
          </cell>
          <cell r="D175" t="str">
            <v>MARROQUINERIA CHICA</v>
          </cell>
          <cell r="E175">
            <v>8</v>
          </cell>
          <cell r="F175">
            <v>8</v>
          </cell>
          <cell r="G175">
            <v>8</v>
          </cell>
          <cell r="H175">
            <v>45813.533275462964</v>
          </cell>
          <cell r="I175" t="str">
            <v>CARTUCHERA MONT</v>
          </cell>
          <cell r="J175">
            <v>45813</v>
          </cell>
          <cell r="K175">
            <v>45813</v>
          </cell>
          <cell r="L175">
            <v>45839</v>
          </cell>
          <cell r="M175">
            <v>25</v>
          </cell>
          <cell r="N175" t="str">
            <v>M046</v>
          </cell>
          <cell r="O175" t="str">
            <v>AV0101040201</v>
          </cell>
          <cell r="P175">
            <v>1</v>
          </cell>
          <cell r="Q175" t="str">
            <v>AV0300390101</v>
          </cell>
          <cell r="R175">
            <v>1</v>
          </cell>
          <cell r="S175" t="str">
            <v>AV170134014</v>
          </cell>
          <cell r="T175">
            <v>0</v>
          </cell>
          <cell r="AS175" t="str">
            <v>TIRACIERRE N 2 - VUELTA DE TIRA DE CUERO CON REMACHE + GRABADO "L"</v>
          </cell>
          <cell r="AW175" t="str">
            <v xml:space="preserve">GRABADO EL LUCERO ARGENTINA CHICO - LATERAL DERECHO   </v>
          </cell>
          <cell r="AX175" t="str">
            <v>ROJO</v>
          </cell>
          <cell r="AY175" t="str">
            <v>ARENA-CUERO BRIDGE</v>
          </cell>
          <cell r="AZ175" t="str">
            <v>CUE0000010</v>
          </cell>
          <cell r="BA175">
            <v>0.06</v>
          </cell>
          <cell r="BB175" t="str">
            <v>FOR0000020</v>
          </cell>
          <cell r="BC175">
            <v>0.06</v>
          </cell>
          <cell r="BD175" t="str">
            <v>AV0100010113</v>
          </cell>
          <cell r="BE175">
            <v>0.26</v>
          </cell>
          <cell r="BF175" t="str">
            <v>AV1401254460</v>
          </cell>
          <cell r="BG175">
            <v>0</v>
          </cell>
          <cell r="BH175" t="str">
            <v>AV1601300929</v>
          </cell>
          <cell r="BI175">
            <v>0</v>
          </cell>
          <cell r="BR175" t="str">
            <v>AZUL_REVES_AZUL</v>
          </cell>
          <cell r="BS175" t="str">
            <v>BIANCO-CUERO MODENA ESPESOR 1,4</v>
          </cell>
          <cell r="BT175" t="str">
            <v>CUE0000119</v>
          </cell>
          <cell r="BU175">
            <v>0.06</v>
          </cell>
          <cell r="BV175" t="str">
            <v>FOR0000020</v>
          </cell>
          <cell r="BW175">
            <v>0.06</v>
          </cell>
          <cell r="BX175" t="str">
            <v>AV0100010115</v>
          </cell>
          <cell r="BY175">
            <v>0.26</v>
          </cell>
          <cell r="BZ175" t="str">
            <v>AV1401254360</v>
          </cell>
          <cell r="CA175">
            <v>0</v>
          </cell>
          <cell r="CB175" t="str">
            <v>AV1601300956</v>
          </cell>
          <cell r="CC175">
            <v>0</v>
          </cell>
          <cell r="DJ175" t="str">
            <v>FOR0000028</v>
          </cell>
          <cell r="DK175">
            <v>0.02</v>
          </cell>
          <cell r="KD175">
            <v>2</v>
          </cell>
          <cell r="KE175">
            <v>2</v>
          </cell>
          <cell r="KF175">
            <v>2</v>
          </cell>
          <cell r="KG175">
            <v>6</v>
          </cell>
          <cell r="KH175">
            <v>6</v>
          </cell>
          <cell r="KI175">
            <v>6</v>
          </cell>
          <cell r="KJ175">
            <v>0</v>
          </cell>
          <cell r="KM175">
            <v>0</v>
          </cell>
          <cell r="KP175">
            <v>0</v>
          </cell>
          <cell r="KS175">
            <v>0</v>
          </cell>
          <cell r="KV175">
            <v>0</v>
          </cell>
          <cell r="KY175">
            <v>0</v>
          </cell>
          <cell r="LB175">
            <v>0</v>
          </cell>
          <cell r="LE175">
            <v>0</v>
          </cell>
          <cell r="LH175">
            <v>0</v>
          </cell>
          <cell r="LK175">
            <v>0</v>
          </cell>
          <cell r="LN175">
            <v>45839</v>
          </cell>
          <cell r="LO175">
            <v>45839</v>
          </cell>
          <cell r="LP175" t="str">
            <v>COMPLETADO</v>
          </cell>
        </row>
        <row r="176">
          <cell r="A176">
            <v>17902</v>
          </cell>
          <cell r="B176" t="str">
            <v>RUBEN</v>
          </cell>
          <cell r="C176" t="str">
            <v>BARRACAS GRANDE</v>
          </cell>
          <cell r="D176" t="str">
            <v>MARROQUINERIA GRANDE</v>
          </cell>
          <cell r="E176">
            <v>9</v>
          </cell>
          <cell r="F176">
            <v>9</v>
          </cell>
          <cell r="G176">
            <v>9</v>
          </cell>
          <cell r="H176">
            <v>45815.801377314812</v>
          </cell>
          <cell r="I176" t="str">
            <v>TOTE CACHI</v>
          </cell>
          <cell r="J176">
            <v>45797</v>
          </cell>
          <cell r="K176">
            <v>45797</v>
          </cell>
          <cell r="M176">
            <v>20</v>
          </cell>
          <cell r="N176" t="str">
            <v>M169</v>
          </cell>
          <cell r="O176" t="str">
            <v>AV170129018</v>
          </cell>
          <cell r="P176">
            <v>0</v>
          </cell>
          <cell r="AS176" t="str">
            <v>CORREA 2 CM / SIN PINTURA</v>
          </cell>
          <cell r="AT176" t="str">
            <v xml:space="preserve"> PEGAR ETIQUETA DE CUERO AL FRENTE</v>
          </cell>
          <cell r="AU176" t="str">
            <v>HILO AL TONO CON HILO GRUESO N 20</v>
          </cell>
          <cell r="AW176" t="str">
            <v>GRABADO ETIQUETA EN NAPADO 7,5CM X 5,5 CM  "EL LUCERO HIGH QUALITY GOODS"</v>
          </cell>
          <cell r="AX176" t="str">
            <v>CAFE_GAMUZA_CHOCOLATE</v>
          </cell>
          <cell r="AY176" t="str">
            <v>NAPOLITANA-CUERO GAMUZA</v>
          </cell>
          <cell r="AZ176" t="str">
            <v>CUE0000039</v>
          </cell>
          <cell r="BA176">
            <v>0.45</v>
          </cell>
          <cell r="BB176" t="str">
            <v>CUE0000005</v>
          </cell>
          <cell r="BC176">
            <v>0</v>
          </cell>
          <cell r="DJ176" t="str">
            <v>FOR0000028</v>
          </cell>
          <cell r="DK176">
            <v>0.02</v>
          </cell>
          <cell r="KD176">
            <v>9</v>
          </cell>
          <cell r="KE176">
            <v>9</v>
          </cell>
          <cell r="KF176">
            <v>9</v>
          </cell>
          <cell r="KG176">
            <v>0</v>
          </cell>
          <cell r="KJ176">
            <v>0</v>
          </cell>
          <cell r="KM176">
            <v>0</v>
          </cell>
          <cell r="KP176">
            <v>0</v>
          </cell>
          <cell r="KS176">
            <v>0</v>
          </cell>
          <cell r="KV176">
            <v>0</v>
          </cell>
          <cell r="KY176">
            <v>0</v>
          </cell>
          <cell r="LB176">
            <v>0</v>
          </cell>
          <cell r="LE176">
            <v>0</v>
          </cell>
          <cell r="LH176">
            <v>0</v>
          </cell>
          <cell r="LK176">
            <v>0</v>
          </cell>
          <cell r="LO176">
            <v>45805</v>
          </cell>
          <cell r="LP176" t="str">
            <v>COMPLETADO</v>
          </cell>
        </row>
        <row r="177">
          <cell r="A177">
            <v>1824</v>
          </cell>
          <cell r="B177" t="str">
            <v>LUCIANO</v>
          </cell>
          <cell r="C177" t="str">
            <v>BARRACAS CHICA</v>
          </cell>
          <cell r="D177" t="str">
            <v>MARROQUINERIA CHICA</v>
          </cell>
          <cell r="E177">
            <v>11</v>
          </cell>
          <cell r="F177">
            <v>6</v>
          </cell>
          <cell r="G177">
            <v>6</v>
          </cell>
          <cell r="H177">
            <v>45815.809166666666</v>
          </cell>
          <cell r="I177" t="str">
            <v>BILLETERA OSADIA</v>
          </cell>
          <cell r="J177">
            <v>45814</v>
          </cell>
          <cell r="K177">
            <v>45814</v>
          </cell>
          <cell r="M177">
            <v>50</v>
          </cell>
          <cell r="N177" t="str">
            <v>M024</v>
          </cell>
          <cell r="O177" t="str">
            <v>AV0101030201</v>
          </cell>
          <cell r="P177">
            <v>1</v>
          </cell>
          <cell r="Q177" t="str">
            <v>AV0600540101</v>
          </cell>
          <cell r="R177">
            <v>1</v>
          </cell>
          <cell r="S177" t="str">
            <v>AV0101070301</v>
          </cell>
          <cell r="T177">
            <v>1</v>
          </cell>
          <cell r="U177" t="str">
            <v>AV0600560101</v>
          </cell>
          <cell r="V177">
            <v>1</v>
          </cell>
          <cell r="W177" t="str">
            <v>AV1000380101</v>
          </cell>
          <cell r="X177">
            <v>1</v>
          </cell>
          <cell r="Y177" t="str">
            <v>AV0600550101</v>
          </cell>
          <cell r="Z177">
            <v>1</v>
          </cell>
          <cell r="AA177" t="str">
            <v>AV0300400101</v>
          </cell>
          <cell r="AB177">
            <v>1</v>
          </cell>
          <cell r="AC177" t="str">
            <v>BAC1300050727</v>
          </cell>
          <cell r="AD177">
            <v>0.05</v>
          </cell>
          <cell r="AE177" t="str">
            <v>BAC0200071027</v>
          </cell>
          <cell r="AF177">
            <v>0.03</v>
          </cell>
          <cell r="AG177" t="str">
            <v>AV170134014</v>
          </cell>
          <cell r="AH177">
            <v>0</v>
          </cell>
          <cell r="AW177" t="str">
            <v>GRABADO "EL LUCERO" CHICO CENTRADO EN EL FRENTE, A 2 CM DEL CIERRE</v>
          </cell>
          <cell r="AX177" t="str">
            <v>ROJO</v>
          </cell>
          <cell r="AY177" t="str">
            <v>ARENA-CUERO NAPADO</v>
          </cell>
          <cell r="AZ177" t="str">
            <v>CUE0000027</v>
          </cell>
          <cell r="BA177">
            <v>0.14000000000000001</v>
          </cell>
          <cell r="BB177" t="str">
            <v>FOR0000016</v>
          </cell>
          <cell r="BC177">
            <v>0.12</v>
          </cell>
          <cell r="BD177" t="str">
            <v>AV0100010113</v>
          </cell>
          <cell r="BE177">
            <v>0.4</v>
          </cell>
          <cell r="BF177" t="str">
            <v>AV0100020313</v>
          </cell>
          <cell r="BG177">
            <v>0.14000000000000001</v>
          </cell>
          <cell r="BR177" t="str">
            <v>CARAMELO</v>
          </cell>
          <cell r="BS177" t="str">
            <v>ARENA-CUERO NAPADO</v>
          </cell>
          <cell r="BT177" t="str">
            <v>CUE0000022</v>
          </cell>
          <cell r="BU177">
            <v>0.14000000000000001</v>
          </cell>
          <cell r="BV177" t="str">
            <v>FOR0000015</v>
          </cell>
          <cell r="BW177">
            <v>0.12</v>
          </cell>
          <cell r="BX177" t="str">
            <v>AV0100010105</v>
          </cell>
          <cell r="BY177">
            <v>0.4</v>
          </cell>
          <cell r="BZ177" t="str">
            <v>AV0100020305</v>
          </cell>
          <cell r="CA177">
            <v>0.14000000000000001</v>
          </cell>
          <cell r="CL177" t="str">
            <v>AZUL_REVES_AZUL</v>
          </cell>
          <cell r="CM177" t="str">
            <v>BIANCO-CUERO MODENA ESPESOR 1,4</v>
          </cell>
          <cell r="CN177" t="str">
            <v>CUE0000119</v>
          </cell>
          <cell r="CO177">
            <v>0.14000000000000001</v>
          </cell>
          <cell r="CP177" t="str">
            <v>FOR0000014</v>
          </cell>
          <cell r="CQ177">
            <v>0.12</v>
          </cell>
          <cell r="CR177" t="str">
            <v>AV0100010115</v>
          </cell>
          <cell r="CS177">
            <v>0.4</v>
          </cell>
          <cell r="CT177" t="str">
            <v>AV0100020336</v>
          </cell>
          <cell r="CU177">
            <v>0.14000000000000001</v>
          </cell>
          <cell r="DJ177" t="str">
            <v>FOR0000028</v>
          </cell>
          <cell r="DK177">
            <v>0.02</v>
          </cell>
          <cell r="KD177">
            <v>6</v>
          </cell>
          <cell r="KE177">
            <v>6</v>
          </cell>
          <cell r="KF177">
            <v>6</v>
          </cell>
          <cell r="KG177">
            <v>3</v>
          </cell>
          <cell r="KH177">
            <v>0</v>
          </cell>
          <cell r="KI177">
            <v>0</v>
          </cell>
          <cell r="KJ177">
            <v>2</v>
          </cell>
          <cell r="KK177">
            <v>0</v>
          </cell>
          <cell r="KL177">
            <v>0</v>
          </cell>
          <cell r="KM177">
            <v>0</v>
          </cell>
          <cell r="KP177">
            <v>0</v>
          </cell>
          <cell r="KS177">
            <v>0</v>
          </cell>
          <cell r="KV177">
            <v>0</v>
          </cell>
          <cell r="KY177">
            <v>0</v>
          </cell>
          <cell r="LB177">
            <v>0</v>
          </cell>
          <cell r="LE177">
            <v>0</v>
          </cell>
          <cell r="LH177">
            <v>0</v>
          </cell>
          <cell r="LK177">
            <v>0</v>
          </cell>
          <cell r="LO177">
            <v>45826</v>
          </cell>
          <cell r="LP177" t="str">
            <v>COMPLETADO</v>
          </cell>
        </row>
        <row r="178">
          <cell r="A178">
            <v>1825</v>
          </cell>
          <cell r="B178" t="str">
            <v>LUCIANO</v>
          </cell>
          <cell r="C178" t="str">
            <v>BARRACAS CHICA</v>
          </cell>
          <cell r="D178" t="str">
            <v>MARROQUINERIA CHICA</v>
          </cell>
          <cell r="E178">
            <v>36</v>
          </cell>
          <cell r="F178">
            <v>30</v>
          </cell>
          <cell r="G178">
            <v>30</v>
          </cell>
          <cell r="H178">
            <v>45815.812592592592</v>
          </cell>
          <cell r="I178" t="str">
            <v>TARJETERO ARIES BI FAZ</v>
          </cell>
          <cell r="J178">
            <v>45814</v>
          </cell>
          <cell r="K178">
            <v>45814</v>
          </cell>
          <cell r="L178">
            <v>45826</v>
          </cell>
          <cell r="M178">
            <v>10</v>
          </cell>
          <cell r="N178" t="str">
            <v>M187</v>
          </cell>
          <cell r="O178" t="str">
            <v>AV170134014</v>
          </cell>
          <cell r="P178">
            <v>0</v>
          </cell>
          <cell r="AW178" t="str">
            <v xml:space="preserve">GRABADO " EL LUCERO ARGENTINA" CHICO EN TIRA DEL FRENTE, CENTRADO   </v>
          </cell>
          <cell r="AX178" t="str">
            <v>NEGRO</v>
          </cell>
          <cell r="AY178" t="str">
            <v>ARENA-CUERO BRIDGE</v>
          </cell>
          <cell r="AZ178" t="str">
            <v>CUE0000009</v>
          </cell>
          <cell r="BA178">
            <v>0.02</v>
          </cell>
          <cell r="BB178" t="str">
            <v>AV1401254060</v>
          </cell>
          <cell r="BC178">
            <v>0</v>
          </cell>
          <cell r="BD178" t="str">
            <v>AV1601300926</v>
          </cell>
          <cell r="BE178">
            <v>0</v>
          </cell>
          <cell r="BR178" t="str">
            <v>ROJO</v>
          </cell>
          <cell r="BS178" t="str">
            <v>ARENA-CUERO BRIDGE</v>
          </cell>
          <cell r="BT178" t="str">
            <v>CUE0000010</v>
          </cell>
          <cell r="BU178">
            <v>0.02</v>
          </cell>
          <cell r="BV178" t="str">
            <v>AV1401254460</v>
          </cell>
          <cell r="BW178">
            <v>0</v>
          </cell>
          <cell r="BX178" t="str">
            <v>AV1601300929</v>
          </cell>
          <cell r="BY178">
            <v>0</v>
          </cell>
          <cell r="CL178" t="str">
            <v>TABACO</v>
          </cell>
          <cell r="CM178" t="str">
            <v>ARENA-CUERO BRIDGE</v>
          </cell>
          <cell r="CN178" t="str">
            <v>CUE0000012</v>
          </cell>
          <cell r="CO178">
            <v>0.02</v>
          </cell>
          <cell r="CP178" t="str">
            <v>AV1401250545</v>
          </cell>
          <cell r="CQ178">
            <v>0</v>
          </cell>
          <cell r="CR178" t="str">
            <v>AV1601300954</v>
          </cell>
          <cell r="CS178">
            <v>0</v>
          </cell>
          <cell r="DF178" t="str">
            <v>CEDRO</v>
          </cell>
          <cell r="DG178" t="str">
            <v>BIANCO-CUERO FIORENTINO</v>
          </cell>
          <cell r="DH178" t="str">
            <v>CUE0000055</v>
          </cell>
          <cell r="DI178">
            <v>0.02</v>
          </cell>
          <cell r="DJ178" t="str">
            <v>AV1401250545</v>
          </cell>
          <cell r="DK178">
            <v>0</v>
          </cell>
          <cell r="DL178" t="str">
            <v>AV1601300955</v>
          </cell>
          <cell r="DM178">
            <v>0</v>
          </cell>
          <cell r="KD178">
            <v>6</v>
          </cell>
          <cell r="KE178">
            <v>6</v>
          </cell>
          <cell r="KF178">
            <v>6</v>
          </cell>
          <cell r="KG178">
            <v>14</v>
          </cell>
          <cell r="KH178">
            <v>14</v>
          </cell>
          <cell r="KI178">
            <v>14</v>
          </cell>
          <cell r="KJ178">
            <v>10</v>
          </cell>
          <cell r="KK178">
            <v>10</v>
          </cell>
          <cell r="KL178">
            <v>10</v>
          </cell>
          <cell r="KM178">
            <v>6</v>
          </cell>
          <cell r="KN178">
            <v>0</v>
          </cell>
          <cell r="KO178">
            <v>0</v>
          </cell>
          <cell r="KP178">
            <v>0</v>
          </cell>
          <cell r="KS178">
            <v>0</v>
          </cell>
          <cell r="KV178">
            <v>0</v>
          </cell>
          <cell r="KY178">
            <v>0</v>
          </cell>
          <cell r="LB178">
            <v>0</v>
          </cell>
          <cell r="LE178">
            <v>0</v>
          </cell>
          <cell r="LH178">
            <v>0</v>
          </cell>
          <cell r="LK178">
            <v>0</v>
          </cell>
          <cell r="LN178">
            <v>45814</v>
          </cell>
          <cell r="LO178">
            <v>45826</v>
          </cell>
          <cell r="LP178" t="str">
            <v>COMPLETADO</v>
          </cell>
        </row>
        <row r="179">
          <cell r="A179">
            <v>1827</v>
          </cell>
          <cell r="B179" t="str">
            <v>LUCIANO</v>
          </cell>
          <cell r="C179" t="str">
            <v>BARRACAS CHICA</v>
          </cell>
          <cell r="D179" t="str">
            <v>MARROQUINERIA CHICA</v>
          </cell>
          <cell r="E179">
            <v>11</v>
          </cell>
          <cell r="F179">
            <v>11</v>
          </cell>
          <cell r="G179">
            <v>11</v>
          </cell>
          <cell r="H179">
            <v>45815.861608796295</v>
          </cell>
          <cell r="I179" t="str">
            <v>NECESSAIRE TOM</v>
          </cell>
          <cell r="J179">
            <v>45813</v>
          </cell>
          <cell r="K179">
            <v>45813</v>
          </cell>
          <cell r="L179">
            <v>45840</v>
          </cell>
          <cell r="M179">
            <v>26</v>
          </cell>
          <cell r="N179" t="str">
            <v>M138</v>
          </cell>
          <cell r="O179" t="str">
            <v>AV170134014</v>
          </cell>
          <cell r="P179">
            <v>0</v>
          </cell>
          <cell r="Q179" t="str">
            <v>AV0101040201</v>
          </cell>
          <cell r="R179">
            <v>1</v>
          </cell>
          <cell r="S179" t="str">
            <v>AV0300400101</v>
          </cell>
          <cell r="T179">
            <v>1</v>
          </cell>
          <cell r="AS179" t="str">
            <v>TIRACIERRE N 2 - VUELTA DE TIRA DE CUERO CON REMACHE + GRABADO "L"</v>
          </cell>
          <cell r="AW179" t="str">
            <v xml:space="preserve">GRABADO EL LUCERO ARGENTINA GRANDE: EN LATERAL DERECHO, CENTRADO IDEM MUESTRA  </v>
          </cell>
          <cell r="AX179" t="str">
            <v>CHOCOLATE</v>
          </cell>
          <cell r="AY179" t="str">
            <v>ARENA-CUERO BRIDGE</v>
          </cell>
          <cell r="AZ179" t="str">
            <v>CUE0000005</v>
          </cell>
          <cell r="BA179">
            <v>0.1</v>
          </cell>
          <cell r="BB179" t="str">
            <v>FOR0000021</v>
          </cell>
          <cell r="BC179">
            <v>7.0000000000000007E-2</v>
          </cell>
          <cell r="BD179" t="str">
            <v>AV0100010111</v>
          </cell>
          <cell r="BE179">
            <v>0.32</v>
          </cell>
          <cell r="BR179" t="str">
            <v>TABACO</v>
          </cell>
          <cell r="BS179" t="str">
            <v>ARENA-CUERO BRIDGE</v>
          </cell>
          <cell r="BT179" t="str">
            <v>CUE0000012</v>
          </cell>
          <cell r="BU179">
            <v>0.1</v>
          </cell>
          <cell r="BV179" t="str">
            <v>FOR0000021</v>
          </cell>
          <cell r="BW179">
            <v>7.0000000000000007E-2</v>
          </cell>
          <cell r="BX179" t="str">
            <v>AV0100010114</v>
          </cell>
          <cell r="BY179">
            <v>0.32</v>
          </cell>
          <cell r="CL179" t="str">
            <v>NEGRO</v>
          </cell>
          <cell r="CM179" t="str">
            <v>VANESKA-CUERO NAPADO DUNA</v>
          </cell>
          <cell r="CN179" t="str">
            <v>CUE0000059</v>
          </cell>
          <cell r="CO179">
            <v>0.1</v>
          </cell>
          <cell r="CP179" t="str">
            <v>FOR0000020</v>
          </cell>
          <cell r="CQ179">
            <v>7.0000000000000007E-2</v>
          </cell>
          <cell r="CR179" t="str">
            <v>AV0100010103</v>
          </cell>
          <cell r="CS179">
            <v>0.32</v>
          </cell>
          <cell r="KD179">
            <v>2</v>
          </cell>
          <cell r="KE179">
            <v>2</v>
          </cell>
          <cell r="KF179">
            <v>2</v>
          </cell>
          <cell r="KG179">
            <v>6</v>
          </cell>
          <cell r="KH179">
            <v>6</v>
          </cell>
          <cell r="KI179">
            <v>6</v>
          </cell>
          <cell r="KJ179">
            <v>3</v>
          </cell>
          <cell r="KK179">
            <v>3</v>
          </cell>
          <cell r="KL179">
            <v>3</v>
          </cell>
          <cell r="KM179">
            <v>0</v>
          </cell>
          <cell r="KP179">
            <v>0</v>
          </cell>
          <cell r="KS179">
            <v>0</v>
          </cell>
          <cell r="KV179">
            <v>0</v>
          </cell>
          <cell r="KY179">
            <v>0</v>
          </cell>
          <cell r="LB179">
            <v>0</v>
          </cell>
          <cell r="LE179">
            <v>0</v>
          </cell>
          <cell r="LH179">
            <v>0</v>
          </cell>
          <cell r="LK179">
            <v>0</v>
          </cell>
          <cell r="LN179">
            <v>45840</v>
          </cell>
          <cell r="LO179">
            <v>45846</v>
          </cell>
          <cell r="LP179" t="str">
            <v>COMPLETADO</v>
          </cell>
        </row>
        <row r="180">
          <cell r="A180">
            <v>1829</v>
          </cell>
          <cell r="B180" t="str">
            <v>LUCIANO</v>
          </cell>
          <cell r="C180" t="str">
            <v>BARRACAS CHICA</v>
          </cell>
          <cell r="D180" t="str">
            <v>MARROQUINERIA CHICA</v>
          </cell>
          <cell r="E180">
            <v>22</v>
          </cell>
          <cell r="F180">
            <v>22</v>
          </cell>
          <cell r="G180">
            <v>22</v>
          </cell>
          <cell r="H180">
            <v>45815.866886574076</v>
          </cell>
          <cell r="I180" t="str">
            <v>PORTABILLETES CORVUS</v>
          </cell>
          <cell r="J180">
            <v>45814</v>
          </cell>
          <cell r="K180">
            <v>45814</v>
          </cell>
          <cell r="L180">
            <v>45846</v>
          </cell>
          <cell r="M180">
            <v>23</v>
          </cell>
          <cell r="N180" t="str">
            <v>M079</v>
          </cell>
          <cell r="O180" t="str">
            <v>AV0400150124</v>
          </cell>
          <cell r="P180">
            <v>1</v>
          </cell>
          <cell r="Q180" t="str">
            <v>AV170134014</v>
          </cell>
          <cell r="R180">
            <v>0</v>
          </cell>
          <cell r="AW180" t="str">
            <v>GRABADO "EL LUCERO ARG" CHICO EN PARTE INTERIOR DERECHA, CENTRADO EN EL BORDE INFERIOR.</v>
          </cell>
          <cell r="AX180" t="str">
            <v>NEGRO</v>
          </cell>
          <cell r="AY180" t="str">
            <v>ARENA-CUERO BRIDGE</v>
          </cell>
          <cell r="AZ180" t="str">
            <v>CUE0000009</v>
          </cell>
          <cell r="BA180">
            <v>0.08</v>
          </cell>
          <cell r="BB180" t="str">
            <v>AV1401254060</v>
          </cell>
          <cell r="BC180">
            <v>0</v>
          </cell>
          <cell r="BR180" t="str">
            <v>CARAMELO</v>
          </cell>
          <cell r="BS180" t="str">
            <v>ARENA-CUERO BRIDGE</v>
          </cell>
          <cell r="BT180" t="str">
            <v>CUE0000004</v>
          </cell>
          <cell r="BU180">
            <v>0.08</v>
          </cell>
          <cell r="BV180" t="str">
            <v>AV1401250545</v>
          </cell>
          <cell r="BW180">
            <v>0</v>
          </cell>
          <cell r="CL180" t="str">
            <v>TABACO</v>
          </cell>
          <cell r="CM180" t="str">
            <v>ARENA-CUERO BRIDGE</v>
          </cell>
          <cell r="CN180" t="str">
            <v>CUE0000012</v>
          </cell>
          <cell r="CO180">
            <v>0.08</v>
          </cell>
          <cell r="CP180" t="str">
            <v>AV1401250545</v>
          </cell>
          <cell r="CQ180">
            <v>0</v>
          </cell>
          <cell r="KD180">
            <v>8</v>
          </cell>
          <cell r="KE180">
            <v>8</v>
          </cell>
          <cell r="KF180">
            <v>8</v>
          </cell>
          <cell r="KG180">
            <v>6</v>
          </cell>
          <cell r="KH180">
            <v>6</v>
          </cell>
          <cell r="KI180">
            <v>6</v>
          </cell>
          <cell r="KJ180">
            <v>8</v>
          </cell>
          <cell r="KK180">
            <v>8</v>
          </cell>
          <cell r="KL180">
            <v>8</v>
          </cell>
          <cell r="KM180">
            <v>0</v>
          </cell>
          <cell r="KP180">
            <v>0</v>
          </cell>
          <cell r="KS180">
            <v>0</v>
          </cell>
          <cell r="KV180">
            <v>0</v>
          </cell>
          <cell r="KY180">
            <v>0</v>
          </cell>
          <cell r="LB180">
            <v>0</v>
          </cell>
          <cell r="LE180">
            <v>0</v>
          </cell>
          <cell r="LH180">
            <v>0</v>
          </cell>
          <cell r="LK180">
            <v>0</v>
          </cell>
          <cell r="LN180">
            <v>45846</v>
          </cell>
          <cell r="LO180">
            <v>45846</v>
          </cell>
          <cell r="LP180" t="str">
            <v>COMPLETADO</v>
          </cell>
        </row>
        <row r="181">
          <cell r="A181">
            <v>1830</v>
          </cell>
          <cell r="B181" t="str">
            <v>LUCIANO</v>
          </cell>
          <cell r="C181" t="str">
            <v>INTERNO JAVIER</v>
          </cell>
          <cell r="D181" t="str">
            <v>MARROQUINERIA CHICA</v>
          </cell>
          <cell r="E181">
            <v>6</v>
          </cell>
          <cell r="F181">
            <v>6</v>
          </cell>
          <cell r="G181">
            <v>6</v>
          </cell>
          <cell r="H181">
            <v>45815.8747337963</v>
          </cell>
          <cell r="I181" t="str">
            <v>PORTAVINO CAFAYATE</v>
          </cell>
          <cell r="J181">
            <v>45814</v>
          </cell>
          <cell r="K181">
            <v>45814</v>
          </cell>
          <cell r="M181">
            <v>15</v>
          </cell>
          <cell r="N181" t="str">
            <v>M156</v>
          </cell>
          <cell r="O181" t="str">
            <v>AV0700420101</v>
          </cell>
          <cell r="P181">
            <v>1</v>
          </cell>
          <cell r="Q181" t="str">
            <v>AV170134014</v>
          </cell>
          <cell r="R181">
            <v>0</v>
          </cell>
          <cell r="AW181" t="str">
            <v>GRABADO "EL LUCERO ARGENTINA " EN LA PARTE DE ATRAS A 2 CM DESDE BASE CENTRADO</v>
          </cell>
          <cell r="AX181" t="str">
            <v>SUELA</v>
          </cell>
          <cell r="AY181" t="str">
            <v>LA HERMIDA-CUERO VACHETTA LADO COLOR</v>
          </cell>
          <cell r="AZ181" t="str">
            <v>CUE0000065</v>
          </cell>
          <cell r="BA181">
            <v>0.14000000000000001</v>
          </cell>
          <cell r="KD181">
            <v>6</v>
          </cell>
          <cell r="KE181">
            <v>6</v>
          </cell>
          <cell r="KF181">
            <v>6</v>
          </cell>
          <cell r="KG181">
            <v>0</v>
          </cell>
          <cell r="KJ181">
            <v>0</v>
          </cell>
          <cell r="KM181">
            <v>0</v>
          </cell>
          <cell r="KP181">
            <v>0</v>
          </cell>
          <cell r="KS181">
            <v>0</v>
          </cell>
          <cell r="KV181">
            <v>0</v>
          </cell>
          <cell r="KY181">
            <v>0</v>
          </cell>
          <cell r="LB181">
            <v>0</v>
          </cell>
          <cell r="LE181">
            <v>0</v>
          </cell>
          <cell r="LH181">
            <v>0</v>
          </cell>
          <cell r="LK181">
            <v>0</v>
          </cell>
          <cell r="LO181">
            <v>45826</v>
          </cell>
          <cell r="LP181" t="str">
            <v>COMPLETADO</v>
          </cell>
        </row>
        <row r="182">
          <cell r="A182">
            <v>1831</v>
          </cell>
          <cell r="B182" t="str">
            <v>LUCIANO</v>
          </cell>
          <cell r="C182" t="str">
            <v>INTERNO JAVIER</v>
          </cell>
          <cell r="D182" t="str">
            <v>MARROQUINERIA CHICA</v>
          </cell>
          <cell r="E182">
            <v>8</v>
          </cell>
          <cell r="F182">
            <v>8</v>
          </cell>
          <cell r="G182">
            <v>8</v>
          </cell>
          <cell r="H182">
            <v>45815.879027777781</v>
          </cell>
          <cell r="I182" t="str">
            <v>PORTAVINO TANDIL</v>
          </cell>
          <cell r="J182">
            <v>45814</v>
          </cell>
          <cell r="K182">
            <v>45814</v>
          </cell>
          <cell r="M182">
            <v>35</v>
          </cell>
          <cell r="N182" t="str">
            <v>M165</v>
          </cell>
          <cell r="O182" t="str">
            <v>AV170134014</v>
          </cell>
          <cell r="P182">
            <v>0</v>
          </cell>
          <cell r="AS182" t="str">
            <v>PEGAR ETIQUETA DE CUERO AL FRENTE HILO AL TONO CON HILO GRUESO N 20</v>
          </cell>
          <cell r="AW182" t="str">
            <v>GRABADO ETIQUETA EN VINTAGE MEDIO  7,5CM X 5,5 CM  "EL LUCERO HIGH QUALITY GOODS"</v>
          </cell>
          <cell r="AX182" t="str">
            <v>NEGRO</v>
          </cell>
          <cell r="AY182" t="str">
            <v>ARENA-CUERO BRIDGE</v>
          </cell>
          <cell r="AZ182" t="str">
            <v>CUE0000009</v>
          </cell>
          <cell r="BA182">
            <v>0.21</v>
          </cell>
          <cell r="BR182" t="str">
            <v>TABACO</v>
          </cell>
          <cell r="BS182" t="str">
            <v>ARENA-CUERO BRIDGE</v>
          </cell>
          <cell r="BT182" t="str">
            <v>CUE0000012</v>
          </cell>
          <cell r="BU182">
            <v>0.21</v>
          </cell>
          <cell r="KD182">
            <v>4</v>
          </cell>
          <cell r="KE182">
            <v>4</v>
          </cell>
          <cell r="KF182">
            <v>4</v>
          </cell>
          <cell r="KG182">
            <v>4</v>
          </cell>
          <cell r="KH182">
            <v>4</v>
          </cell>
          <cell r="KI182">
            <v>4</v>
          </cell>
          <cell r="KJ182">
            <v>0</v>
          </cell>
          <cell r="KM182">
            <v>0</v>
          </cell>
          <cell r="KP182">
            <v>0</v>
          </cell>
          <cell r="KS182">
            <v>0</v>
          </cell>
          <cell r="KV182">
            <v>0</v>
          </cell>
          <cell r="KY182">
            <v>0</v>
          </cell>
          <cell r="LB182">
            <v>0</v>
          </cell>
          <cell r="LE182">
            <v>0</v>
          </cell>
          <cell r="LH182">
            <v>0</v>
          </cell>
          <cell r="LK182">
            <v>0</v>
          </cell>
          <cell r="LO182">
            <v>45832</v>
          </cell>
          <cell r="LP182" t="str">
            <v>COMPLETADO</v>
          </cell>
        </row>
        <row r="183">
          <cell r="A183">
            <v>1832</v>
          </cell>
          <cell r="B183" t="str">
            <v>LUCIANO</v>
          </cell>
          <cell r="C183" t="str">
            <v>INTERNO JAVIER</v>
          </cell>
          <cell r="D183" t="str">
            <v>MARROQUINERIA CHICA</v>
          </cell>
          <cell r="E183">
            <v>4</v>
          </cell>
          <cell r="F183">
            <v>4</v>
          </cell>
          <cell r="G183">
            <v>4</v>
          </cell>
          <cell r="H183">
            <v>45815.881863425922</v>
          </cell>
          <cell r="I183" t="str">
            <v>PORTAVINO UCO</v>
          </cell>
          <cell r="J183">
            <v>45814</v>
          </cell>
          <cell r="K183">
            <v>45814</v>
          </cell>
          <cell r="M183">
            <v>37</v>
          </cell>
          <cell r="N183" t="str">
            <v>M166</v>
          </cell>
          <cell r="O183" t="str">
            <v>AV170129018</v>
          </cell>
          <cell r="P183">
            <v>0</v>
          </cell>
          <cell r="AS183" t="str">
            <v>PEGAR ETIQUETA DE CUERO AL FRENTE HILO AL TONO CON HILO GRUESO N 20</v>
          </cell>
          <cell r="AW183" t="str">
            <v>GRABADO ETIQUETA EN VINTAGE MEDIO  7,5CM X 5,5 CM  "EL LUCERO HIGH QUALITY GOODS"</v>
          </cell>
          <cell r="AX183" t="str">
            <v>CARAMELO</v>
          </cell>
          <cell r="AY183" t="str">
            <v>ARENA-CUERO BRIDGE</v>
          </cell>
          <cell r="AZ183" t="str">
            <v>CUE0000004</v>
          </cell>
          <cell r="BA183">
            <v>0.28000000000000003</v>
          </cell>
          <cell r="BR183" t="str">
            <v>TABACO</v>
          </cell>
          <cell r="BS183" t="str">
            <v>ARENA-CUERO BRIDGE</v>
          </cell>
          <cell r="BT183" t="str">
            <v>CUE0000012</v>
          </cell>
          <cell r="BU183">
            <v>0.28000000000000003</v>
          </cell>
          <cell r="KD183">
            <v>1</v>
          </cell>
          <cell r="KE183">
            <v>1</v>
          </cell>
          <cell r="KF183">
            <v>1</v>
          </cell>
          <cell r="KG183">
            <v>3</v>
          </cell>
          <cell r="KH183">
            <v>3</v>
          </cell>
          <cell r="KI183">
            <v>3</v>
          </cell>
          <cell r="KJ183">
            <v>0</v>
          </cell>
          <cell r="KM183">
            <v>0</v>
          </cell>
          <cell r="KP183">
            <v>0</v>
          </cell>
          <cell r="KS183">
            <v>0</v>
          </cell>
          <cell r="KV183">
            <v>0</v>
          </cell>
          <cell r="KY183">
            <v>0</v>
          </cell>
          <cell r="LB183">
            <v>0</v>
          </cell>
          <cell r="LE183">
            <v>0</v>
          </cell>
          <cell r="LH183">
            <v>0</v>
          </cell>
          <cell r="LK183">
            <v>0</v>
          </cell>
          <cell r="LO183">
            <v>45832</v>
          </cell>
          <cell r="LP183" t="str">
            <v>COMPLETADO</v>
          </cell>
        </row>
        <row r="184">
          <cell r="A184">
            <v>1833</v>
          </cell>
          <cell r="B184" t="str">
            <v>LUCIANO</v>
          </cell>
          <cell r="C184" t="str">
            <v>BARRACAS CHICA</v>
          </cell>
          <cell r="D184" t="str">
            <v>MARROQUINERIA CHICA</v>
          </cell>
          <cell r="E184">
            <v>41</v>
          </cell>
          <cell r="F184">
            <v>41</v>
          </cell>
          <cell r="G184">
            <v>40</v>
          </cell>
          <cell r="H184">
            <v>45816.288726851853</v>
          </cell>
          <cell r="I184" t="str">
            <v>LLAVERO ABC</v>
          </cell>
          <cell r="J184">
            <v>45814</v>
          </cell>
          <cell r="K184">
            <v>45814</v>
          </cell>
          <cell r="L184">
            <v>45859</v>
          </cell>
          <cell r="M184">
            <v>10</v>
          </cell>
          <cell r="N184" t="str">
            <v>M168</v>
          </cell>
          <cell r="O184" t="str">
            <v>AV0701570101</v>
          </cell>
          <cell r="P184">
            <v>1</v>
          </cell>
          <cell r="Q184" t="str">
            <v>VAR0000040</v>
          </cell>
          <cell r="R184">
            <v>1</v>
          </cell>
          <cell r="S184" t="str">
            <v>AV0400770101</v>
          </cell>
          <cell r="T184">
            <v>1</v>
          </cell>
          <cell r="U184" t="str">
            <v>VAR0000009</v>
          </cell>
          <cell r="V184">
            <v>1</v>
          </cell>
          <cell r="W184" t="str">
            <v>VAR0000041</v>
          </cell>
          <cell r="X184">
            <v>0.02</v>
          </cell>
          <cell r="Y184" t="str">
            <v>BAC1300020827</v>
          </cell>
          <cell r="Z184">
            <v>0.02</v>
          </cell>
          <cell r="AA184" t="str">
            <v>AV170134014</v>
          </cell>
          <cell r="AB184">
            <v>0</v>
          </cell>
          <cell r="AS184" t="str">
            <v xml:space="preserve"> CON TROQUEL</v>
          </cell>
          <cell r="AT184" t="str">
            <v>CUERO DE RETAZOS</v>
          </cell>
          <cell r="AX184" t="str">
            <v>AZUL_GAMUZA_MALBEC</v>
          </cell>
          <cell r="AY184" t="str">
            <v>NAPOLITANA-CUERO GAMUZA</v>
          </cell>
          <cell r="AZ184" t="str">
            <v>CUE0000038</v>
          </cell>
          <cell r="BA184">
            <v>0.02</v>
          </cell>
          <cell r="BB184" t="str">
            <v>CUE0000038</v>
          </cell>
          <cell r="BC184">
            <v>0.02</v>
          </cell>
          <cell r="BR184" t="str">
            <v>OLIVA_GAMUZA_SUELA</v>
          </cell>
          <cell r="BS184" t="str">
            <v>NAPOLITANA-CUERO GAMUZA</v>
          </cell>
          <cell r="BT184" t="str">
            <v>CUE0000047</v>
          </cell>
          <cell r="BU184">
            <v>0.02</v>
          </cell>
          <cell r="BV184" t="str">
            <v>CUE0000047</v>
          </cell>
          <cell r="BW184">
            <v>0.02</v>
          </cell>
          <cell r="CL184" t="str">
            <v>OXIDO_GAMUZA_CARAMELO</v>
          </cell>
          <cell r="CM184" t="str">
            <v>NAPOLITANA-CUERO GAMUZA</v>
          </cell>
          <cell r="CN184" t="str">
            <v>CUE0000048</v>
          </cell>
          <cell r="CO184">
            <v>0.02</v>
          </cell>
          <cell r="CP184" t="str">
            <v>CUE0000004</v>
          </cell>
          <cell r="CQ184">
            <v>0.02</v>
          </cell>
          <cell r="DF184" t="str">
            <v>AZUL_GAMUZA_MALBEC</v>
          </cell>
          <cell r="DG184" t="str">
            <v>NAPOLITANA-CUERO GAMUZA</v>
          </cell>
          <cell r="DH184" t="str">
            <v>CUE0000038</v>
          </cell>
          <cell r="DI184">
            <v>0.02</v>
          </cell>
          <cell r="DJ184" t="str">
            <v>CUE0000038</v>
          </cell>
          <cell r="DK184">
            <v>0.02</v>
          </cell>
          <cell r="DZ184" t="str">
            <v>OXIDO_GAMUZA_CARAMELO</v>
          </cell>
          <cell r="EA184" t="str">
            <v>NAPOLITANA-CUERO GAMUZA</v>
          </cell>
          <cell r="EB184" t="str">
            <v>CUE0000048</v>
          </cell>
          <cell r="EC184">
            <v>0.02</v>
          </cell>
          <cell r="ED184" t="str">
            <v>CUE0000004</v>
          </cell>
          <cell r="EE184">
            <v>0.02</v>
          </cell>
          <cell r="ET184" t="str">
            <v>OLIVA_GAMUZA_SUELA</v>
          </cell>
          <cell r="EU184" t="str">
            <v>NAPOLITANA-CUERO GAMUZA</v>
          </cell>
          <cell r="EV184" t="str">
            <v>CUE0000047</v>
          </cell>
          <cell r="EW184">
            <v>0.02</v>
          </cell>
          <cell r="EX184" t="str">
            <v>CUE0000047</v>
          </cell>
          <cell r="EY184">
            <v>0.02</v>
          </cell>
          <cell r="FN184" t="str">
            <v>OLIVA_GAMUZA_SUELA</v>
          </cell>
          <cell r="FO184" t="str">
            <v>NAPOLITANA-CUERO GAMUZA</v>
          </cell>
          <cell r="FP184" t="str">
            <v>CUE0000047</v>
          </cell>
          <cell r="FQ184">
            <v>0.02</v>
          </cell>
          <cell r="FR184" t="str">
            <v>CUE0000047</v>
          </cell>
          <cell r="FS184">
            <v>0.02</v>
          </cell>
          <cell r="GH184" t="str">
            <v>AVELLANA_GAMUZA_MALBEC</v>
          </cell>
          <cell r="GI184" t="str">
            <v>NAPOLITANA-CUERO GAMUZA</v>
          </cell>
          <cell r="GJ184" t="str">
            <v>CUE0000037</v>
          </cell>
          <cell r="GK184">
            <v>0.02</v>
          </cell>
          <cell r="GL184" t="str">
            <v>CUE0000038</v>
          </cell>
          <cell r="GM184">
            <v>0.02</v>
          </cell>
          <cell r="HB184" t="str">
            <v>OLIVA_GAMUZA_SUELA</v>
          </cell>
          <cell r="HC184" t="str">
            <v>NAPOLITANA-CUERO GAMUZA</v>
          </cell>
          <cell r="HD184" t="str">
            <v>CUE0000047</v>
          </cell>
          <cell r="HE184">
            <v>0.02</v>
          </cell>
          <cell r="HF184" t="str">
            <v>CUE0000047</v>
          </cell>
          <cell r="HG184">
            <v>0.02</v>
          </cell>
          <cell r="KD184">
            <v>6</v>
          </cell>
          <cell r="KE184">
            <v>6</v>
          </cell>
          <cell r="KF184">
            <v>5</v>
          </cell>
          <cell r="KG184">
            <v>6</v>
          </cell>
          <cell r="KH184">
            <v>6</v>
          </cell>
          <cell r="KI184">
            <v>6</v>
          </cell>
          <cell r="KJ184">
            <v>4</v>
          </cell>
          <cell r="KK184">
            <v>4</v>
          </cell>
          <cell r="KL184">
            <v>4</v>
          </cell>
          <cell r="KM184">
            <v>6</v>
          </cell>
          <cell r="KN184">
            <v>6</v>
          </cell>
          <cell r="KO184">
            <v>6</v>
          </cell>
          <cell r="KP184">
            <v>2</v>
          </cell>
          <cell r="KQ184">
            <v>2</v>
          </cell>
          <cell r="KR184">
            <v>2</v>
          </cell>
          <cell r="KS184">
            <v>6</v>
          </cell>
          <cell r="KT184">
            <v>6</v>
          </cell>
          <cell r="KU184">
            <v>6</v>
          </cell>
          <cell r="KV184">
            <v>2</v>
          </cell>
          <cell r="KW184">
            <v>2</v>
          </cell>
          <cell r="KX184">
            <v>2</v>
          </cell>
          <cell r="KY184">
            <v>6</v>
          </cell>
          <cell r="KZ184">
            <v>6</v>
          </cell>
          <cell r="LA184">
            <v>6</v>
          </cell>
          <cell r="LB184">
            <v>3</v>
          </cell>
          <cell r="LC184">
            <v>3</v>
          </cell>
          <cell r="LD184">
            <v>3</v>
          </cell>
          <cell r="LE184">
            <v>0</v>
          </cell>
          <cell r="LH184">
            <v>0</v>
          </cell>
          <cell r="LK184">
            <v>0</v>
          </cell>
          <cell r="LN184">
            <v>45814</v>
          </cell>
          <cell r="LO184">
            <v>45895</v>
          </cell>
          <cell r="LP184" t="str">
            <v>COMPLETADO</v>
          </cell>
          <cell r="LQ184" t="str">
            <v>LETRA A</v>
          </cell>
          <cell r="LR184" t="str">
            <v>LETRA A</v>
          </cell>
          <cell r="LS184" t="str">
            <v>LETRA B</v>
          </cell>
          <cell r="LT184" t="str">
            <v>LETRA D</v>
          </cell>
          <cell r="LU184" t="str">
            <v>LETRA D</v>
          </cell>
          <cell r="LV184" t="str">
            <v>LETRA C</v>
          </cell>
          <cell r="LW184" t="str">
            <v>LETRA H</v>
          </cell>
          <cell r="LX184" t="str">
            <v>LETRA M</v>
          </cell>
          <cell r="LY184" t="str">
            <v>LETRA N</v>
          </cell>
        </row>
        <row r="185">
          <cell r="A185">
            <v>18332</v>
          </cell>
          <cell r="B185" t="str">
            <v>LUCIANO</v>
          </cell>
          <cell r="C185" t="str">
            <v>BARRACAS CHICA</v>
          </cell>
          <cell r="D185" t="str">
            <v>MARROQUINERIA CHICA</v>
          </cell>
          <cell r="E185">
            <v>39</v>
          </cell>
          <cell r="F185">
            <v>39</v>
          </cell>
          <cell r="G185">
            <v>39</v>
          </cell>
          <cell r="H185">
            <v>45816.349583333336</v>
          </cell>
          <cell r="I185" t="str">
            <v>LLAVERO ABC</v>
          </cell>
          <cell r="J185">
            <v>45814</v>
          </cell>
          <cell r="K185">
            <v>45814</v>
          </cell>
          <cell r="L185">
            <v>45874</v>
          </cell>
          <cell r="M185">
            <v>10</v>
          </cell>
          <cell r="N185" t="str">
            <v>M168</v>
          </cell>
          <cell r="O185" t="str">
            <v>AV0701570101</v>
          </cell>
          <cell r="P185">
            <v>1</v>
          </cell>
          <cell r="Q185" t="str">
            <v>VAR0000040</v>
          </cell>
          <cell r="R185">
            <v>1</v>
          </cell>
          <cell r="S185" t="str">
            <v>AV0400770101</v>
          </cell>
          <cell r="T185">
            <v>1</v>
          </cell>
          <cell r="U185" t="str">
            <v>VAR0000009</v>
          </cell>
          <cell r="V185">
            <v>1</v>
          </cell>
          <cell r="W185" t="str">
            <v>VAR0000041</v>
          </cell>
          <cell r="X185">
            <v>0.02</v>
          </cell>
          <cell r="Y185" t="str">
            <v>BAC1300020827</v>
          </cell>
          <cell r="Z185">
            <v>0.02</v>
          </cell>
          <cell r="AA185" t="str">
            <v>AV170134014</v>
          </cell>
          <cell r="AB185">
            <v>0</v>
          </cell>
          <cell r="AS185" t="str">
            <v xml:space="preserve"> CON TROQUEL</v>
          </cell>
          <cell r="AT185" t="str">
            <v>CUERO DE RETAZOS</v>
          </cell>
          <cell r="AX185" t="str">
            <v>AZUL_GAMUZA_MALBEC</v>
          </cell>
          <cell r="AY185" t="str">
            <v>NAPOLITANA-CUERO GAMUZA</v>
          </cell>
          <cell r="AZ185" t="str">
            <v>CUE0000038</v>
          </cell>
          <cell r="BA185">
            <v>0.02</v>
          </cell>
          <cell r="BB185" t="str">
            <v>CUE0000008</v>
          </cell>
          <cell r="BC185">
            <v>0.02</v>
          </cell>
          <cell r="BR185" t="str">
            <v>OLIVA_GAMUZA_SUELA</v>
          </cell>
          <cell r="BS185" t="str">
            <v>NAPOLITANA-CUERO GAMUZA</v>
          </cell>
          <cell r="BT185" t="str">
            <v>CUE0000047</v>
          </cell>
          <cell r="BU185">
            <v>0.02</v>
          </cell>
          <cell r="BV185" t="str">
            <v>CUE0000011</v>
          </cell>
          <cell r="BW185">
            <v>0.02</v>
          </cell>
          <cell r="CL185" t="str">
            <v>OXIDO_GAMUZA_NEGRO</v>
          </cell>
          <cell r="CM185" t="str">
            <v>NAPOLITANA-CUERO GAMUZA</v>
          </cell>
          <cell r="CN185" t="str">
            <v>CUE0000048</v>
          </cell>
          <cell r="CO185">
            <v>0.02</v>
          </cell>
          <cell r="CP185" t="str">
            <v>CUE0000009</v>
          </cell>
          <cell r="CQ185">
            <v>0.02</v>
          </cell>
          <cell r="DF185" t="str">
            <v>OLIVA_GAMUZA_SUELA</v>
          </cell>
          <cell r="DG185" t="str">
            <v>NAPOLITANA-CUERO GAMUZA</v>
          </cell>
          <cell r="DH185" t="str">
            <v>CUE0000047</v>
          </cell>
          <cell r="DI185">
            <v>0.02</v>
          </cell>
          <cell r="DJ185" t="str">
            <v>CUE0000047</v>
          </cell>
          <cell r="DK185">
            <v>0.02</v>
          </cell>
          <cell r="DZ185" t="str">
            <v>OXIDO_GAMUZA_CARAMELO</v>
          </cell>
          <cell r="EA185" t="str">
            <v>NAPOLITANA-CUERO GAMUZA</v>
          </cell>
          <cell r="EB185" t="str">
            <v>CUE0000048</v>
          </cell>
          <cell r="EC185">
            <v>0.02</v>
          </cell>
          <cell r="ED185" t="str">
            <v>CUE0000004</v>
          </cell>
          <cell r="EE185">
            <v>0.02</v>
          </cell>
          <cell r="ET185" t="str">
            <v>OLIVA_GAMUZA_SUELA</v>
          </cell>
          <cell r="EU185" t="str">
            <v>NAPOLITANA-CUERO GAMUZA</v>
          </cell>
          <cell r="EV185" t="str">
            <v>CUE0000047</v>
          </cell>
          <cell r="EW185">
            <v>0.02</v>
          </cell>
          <cell r="EX185" t="str">
            <v>CUE0000047</v>
          </cell>
          <cell r="EY185">
            <v>0.02</v>
          </cell>
          <cell r="FN185" t="str">
            <v>AZUL_GAMUZA_MALBEC</v>
          </cell>
          <cell r="FO185" t="str">
            <v>NAPOLITANA-CUERO GAMUZA</v>
          </cell>
          <cell r="FP185" t="str">
            <v>CUE0000038</v>
          </cell>
          <cell r="FQ185">
            <v>0.02</v>
          </cell>
          <cell r="FR185" t="str">
            <v>CUE0000038</v>
          </cell>
          <cell r="FS185">
            <v>0.02</v>
          </cell>
          <cell r="GH185" t="str">
            <v>OXIDO_GAMUZA_NEGRO</v>
          </cell>
          <cell r="GI185" t="str">
            <v>NAPOLITANA-CUERO GAMUZA</v>
          </cell>
          <cell r="GJ185" t="str">
            <v>CUE0000048</v>
          </cell>
          <cell r="GK185">
            <v>0.02</v>
          </cell>
          <cell r="GL185" t="str">
            <v>CUE0000048</v>
          </cell>
          <cell r="GM185">
            <v>0.02</v>
          </cell>
          <cell r="HB185" t="str">
            <v>OLIVA_GAMUZA_SUELA</v>
          </cell>
          <cell r="HC185" t="str">
            <v>NAPOLITANA-CUERO GAMUZA</v>
          </cell>
          <cell r="HD185" t="str">
            <v>CUE0000047</v>
          </cell>
          <cell r="HE185">
            <v>0.02</v>
          </cell>
          <cell r="HF185" t="str">
            <v>CUE0000047</v>
          </cell>
          <cell r="HG185">
            <v>0.02</v>
          </cell>
          <cell r="HV185" t="str">
            <v>AZUL_GAMUZA_MALBEC</v>
          </cell>
          <cell r="HW185" t="str">
            <v>NAPOLITANA-CUERO GAMUZA</v>
          </cell>
          <cell r="HX185" t="str">
            <v>CUE0000038</v>
          </cell>
          <cell r="HY185">
            <v>0.02</v>
          </cell>
          <cell r="HZ185" t="str">
            <v>CUE0000038</v>
          </cell>
          <cell r="IA185">
            <v>0.02</v>
          </cell>
          <cell r="KD185">
            <v>6</v>
          </cell>
          <cell r="KE185">
            <v>6</v>
          </cell>
          <cell r="KF185">
            <v>6</v>
          </cell>
          <cell r="KG185">
            <v>2</v>
          </cell>
          <cell r="KH185">
            <v>2</v>
          </cell>
          <cell r="KI185">
            <v>2</v>
          </cell>
          <cell r="KJ185">
            <v>2</v>
          </cell>
          <cell r="KK185">
            <v>2</v>
          </cell>
          <cell r="KL185">
            <v>2</v>
          </cell>
          <cell r="KM185">
            <v>3</v>
          </cell>
          <cell r="KN185">
            <v>3</v>
          </cell>
          <cell r="KO185">
            <v>3</v>
          </cell>
          <cell r="KP185">
            <v>4</v>
          </cell>
          <cell r="KQ185">
            <v>4</v>
          </cell>
          <cell r="KR185">
            <v>4</v>
          </cell>
          <cell r="KS185">
            <v>3</v>
          </cell>
          <cell r="KT185">
            <v>3</v>
          </cell>
          <cell r="KU185">
            <v>3</v>
          </cell>
          <cell r="KV185">
            <v>6</v>
          </cell>
          <cell r="KW185">
            <v>6</v>
          </cell>
          <cell r="KX185">
            <v>6</v>
          </cell>
          <cell r="KY185">
            <v>6</v>
          </cell>
          <cell r="KZ185">
            <v>6</v>
          </cell>
          <cell r="LA185">
            <v>6</v>
          </cell>
          <cell r="LB185">
            <v>3</v>
          </cell>
          <cell r="LC185">
            <v>3</v>
          </cell>
          <cell r="LD185">
            <v>3</v>
          </cell>
          <cell r="LE185">
            <v>4</v>
          </cell>
          <cell r="LF185">
            <v>4</v>
          </cell>
          <cell r="LG185">
            <v>4</v>
          </cell>
          <cell r="LH185">
            <v>0</v>
          </cell>
          <cell r="LK185">
            <v>0</v>
          </cell>
          <cell r="LN185">
            <v>45814</v>
          </cell>
          <cell r="LO185">
            <v>45881</v>
          </cell>
          <cell r="LP185" t="str">
            <v>COMPLETADO</v>
          </cell>
          <cell r="LQ185" t="str">
            <v>LETRA P</v>
          </cell>
          <cell r="LR185" t="str">
            <v>LETRA R</v>
          </cell>
          <cell r="LS185" t="str">
            <v>LETRA T</v>
          </cell>
          <cell r="LT185" t="str">
            <v>LETRA V</v>
          </cell>
          <cell r="LU185" t="str">
            <v>LETRA G</v>
          </cell>
          <cell r="LV185" t="str">
            <v>LETRA G</v>
          </cell>
          <cell r="LW185" t="str">
            <v>LETRA G</v>
          </cell>
          <cell r="LX185" t="str">
            <v>LETRA J</v>
          </cell>
          <cell r="LY185" t="str">
            <v>LETRA J</v>
          </cell>
          <cell r="LZ185" t="str">
            <v>LETRA J</v>
          </cell>
        </row>
        <row r="186">
          <cell r="A186">
            <v>1834</v>
          </cell>
          <cell r="B186" t="str">
            <v>LUCIANO</v>
          </cell>
          <cell r="C186" t="str">
            <v>BARRACAS CHICA</v>
          </cell>
          <cell r="D186" t="str">
            <v>MARROQUINERIA CHICA</v>
          </cell>
          <cell r="E186">
            <v>4</v>
          </cell>
          <cell r="F186">
            <v>4</v>
          </cell>
          <cell r="G186">
            <v>4</v>
          </cell>
          <cell r="H186">
            <v>45816.357835648145</v>
          </cell>
          <cell r="I186" t="str">
            <v>MONEDERO CIRCULAR</v>
          </cell>
          <cell r="J186">
            <v>45813</v>
          </cell>
          <cell r="K186">
            <v>45813</v>
          </cell>
          <cell r="L186">
            <v>45860</v>
          </cell>
          <cell r="M186">
            <v>32</v>
          </cell>
          <cell r="N186" t="str">
            <v>M159</v>
          </cell>
          <cell r="O186" t="str">
            <v>AV0101030201</v>
          </cell>
          <cell r="P186">
            <v>1</v>
          </cell>
          <cell r="Q186" t="str">
            <v>AV0300390101</v>
          </cell>
          <cell r="R186">
            <v>1</v>
          </cell>
          <cell r="S186" t="str">
            <v>ALE12</v>
          </cell>
          <cell r="T186">
            <v>1</v>
          </cell>
          <cell r="U186" t="str">
            <v>BAC1300020827</v>
          </cell>
          <cell r="V186">
            <v>0.04</v>
          </cell>
          <cell r="W186" t="str">
            <v>AV1000380101</v>
          </cell>
          <cell r="X186">
            <v>1</v>
          </cell>
          <cell r="Y186" t="str">
            <v>BAC0200071027</v>
          </cell>
          <cell r="Z186">
            <v>0.01</v>
          </cell>
          <cell r="AA186" t="str">
            <v>AV170134014</v>
          </cell>
          <cell r="AB186">
            <v>0</v>
          </cell>
          <cell r="AS186" t="str">
            <v xml:space="preserve"> TIRACIERRE N 2 - VUELTA DE TIRA DE CUERO CON REMACHE  + GRABADO "L"</v>
          </cell>
          <cell r="AX186" t="str">
            <v>ROJO</v>
          </cell>
          <cell r="AY186" t="str">
            <v>ARENA-CUERO BRIDGE</v>
          </cell>
          <cell r="AZ186" t="str">
            <v>CUE0000010</v>
          </cell>
          <cell r="BA186">
            <v>0.04</v>
          </cell>
          <cell r="BB186" t="str">
            <v>FOR0000030</v>
          </cell>
          <cell r="BC186">
            <v>0.03</v>
          </cell>
          <cell r="BD186" t="str">
            <v>AV0100010113</v>
          </cell>
          <cell r="BE186">
            <v>0.3</v>
          </cell>
          <cell r="BW186">
            <v>0.02</v>
          </cell>
          <cell r="CQ186">
            <v>0.02</v>
          </cell>
          <cell r="DK186">
            <v>0.02</v>
          </cell>
          <cell r="ED186" t="str">
            <v>CUE0000004</v>
          </cell>
          <cell r="EE186">
            <v>0.02</v>
          </cell>
          <cell r="EY186">
            <v>0.02</v>
          </cell>
          <cell r="FS186">
            <v>0.02</v>
          </cell>
          <cell r="GM186">
            <v>0.02</v>
          </cell>
          <cell r="HG186">
            <v>0.02</v>
          </cell>
          <cell r="IA186">
            <v>0.02</v>
          </cell>
          <cell r="KD186">
            <v>4</v>
          </cell>
          <cell r="KE186">
            <v>4</v>
          </cell>
          <cell r="KF186">
            <v>4</v>
          </cell>
          <cell r="KG186">
            <v>0</v>
          </cell>
          <cell r="KJ186">
            <v>0</v>
          </cell>
          <cell r="KM186">
            <v>0</v>
          </cell>
          <cell r="KP186">
            <v>0</v>
          </cell>
          <cell r="KQ186">
            <v>0</v>
          </cell>
          <cell r="KS186">
            <v>0</v>
          </cell>
          <cell r="KV186">
            <v>0</v>
          </cell>
          <cell r="KY186">
            <v>0</v>
          </cell>
          <cell r="LB186">
            <v>0</v>
          </cell>
          <cell r="LE186">
            <v>0</v>
          </cell>
          <cell r="LH186">
            <v>0</v>
          </cell>
          <cell r="LK186">
            <v>0</v>
          </cell>
          <cell r="LN186">
            <v>45813</v>
          </cell>
          <cell r="LO186">
            <v>45860</v>
          </cell>
          <cell r="LP186" t="str">
            <v>COMPLETADO</v>
          </cell>
        </row>
        <row r="187">
          <cell r="A187">
            <v>1828</v>
          </cell>
          <cell r="B187" t="str">
            <v>LUCIANO</v>
          </cell>
          <cell r="C187" t="str">
            <v>BARRACAS CHICA</v>
          </cell>
          <cell r="D187" t="str">
            <v>MARROQUINERIA CHICA</v>
          </cell>
          <cell r="E187">
            <v>4</v>
          </cell>
          <cell r="F187">
            <v>4</v>
          </cell>
          <cell r="G187">
            <v>4</v>
          </cell>
          <cell r="H187">
            <v>45827.552789351852</v>
          </cell>
          <cell r="I187" t="str">
            <v>INDIVIDUAL CURVO</v>
          </cell>
          <cell r="J187">
            <v>45834</v>
          </cell>
          <cell r="K187">
            <v>45834</v>
          </cell>
          <cell r="L187">
            <v>45840</v>
          </cell>
          <cell r="M187">
            <v>10</v>
          </cell>
          <cell r="N187" t="str">
            <v>M133</v>
          </cell>
          <cell r="O187" t="str">
            <v>AV170134014</v>
          </cell>
          <cell r="P187">
            <v>0</v>
          </cell>
          <cell r="AW187" t="str">
            <v xml:space="preserve">GRABADO "EL LUCERO CHICO" ESQUINA INFERIOR DERECHA    </v>
          </cell>
          <cell r="AX187" t="str">
            <v>SUELA</v>
          </cell>
          <cell r="AY187" t="str">
            <v>ARENA-CUERO NAPADO</v>
          </cell>
          <cell r="AZ187" t="str">
            <v>CUE0000028</v>
          </cell>
          <cell r="BA187">
            <v>0.13</v>
          </cell>
          <cell r="BB187">
            <v>0</v>
          </cell>
          <cell r="BC187">
            <v>0.13</v>
          </cell>
          <cell r="KD187">
            <v>4</v>
          </cell>
          <cell r="KE187">
            <v>4</v>
          </cell>
          <cell r="KF187">
            <v>4</v>
          </cell>
          <cell r="KG187">
            <v>0</v>
          </cell>
          <cell r="KJ187">
            <v>0</v>
          </cell>
          <cell r="KM187">
            <v>0</v>
          </cell>
          <cell r="KP187">
            <v>0</v>
          </cell>
          <cell r="KS187">
            <v>0</v>
          </cell>
          <cell r="KV187">
            <v>0</v>
          </cell>
          <cell r="KY187">
            <v>0</v>
          </cell>
          <cell r="LB187">
            <v>0</v>
          </cell>
          <cell r="LE187">
            <v>0</v>
          </cell>
          <cell r="LH187">
            <v>0</v>
          </cell>
          <cell r="LK187">
            <v>0</v>
          </cell>
          <cell r="LN187">
            <v>45834</v>
          </cell>
          <cell r="LO187">
            <v>45853</v>
          </cell>
          <cell r="LP187" t="str">
            <v>COMPLETADO</v>
          </cell>
        </row>
        <row r="188">
          <cell r="A188">
            <v>1835</v>
          </cell>
          <cell r="B188" t="str">
            <v>RUBEN</v>
          </cell>
          <cell r="C188" t="str">
            <v>BARRACAS GRANDE</v>
          </cell>
          <cell r="D188" t="str">
            <v>MARROQUINERIA GRANDE</v>
          </cell>
          <cell r="E188">
            <v>3</v>
          </cell>
          <cell r="F188">
            <v>3</v>
          </cell>
          <cell r="G188">
            <v>3</v>
          </cell>
          <cell r="H188">
            <v>45827.557037037041</v>
          </cell>
          <cell r="I188" t="str">
            <v>BANDOLERA YARA</v>
          </cell>
          <cell r="J188">
            <v>45819</v>
          </cell>
          <cell r="K188">
            <v>45819</v>
          </cell>
          <cell r="L188">
            <v>45846</v>
          </cell>
          <cell r="M188">
            <v>90</v>
          </cell>
          <cell r="N188" t="str">
            <v>M011</v>
          </cell>
          <cell r="O188" t="str">
            <v>BAC1300020827</v>
          </cell>
          <cell r="P188">
            <v>0.01</v>
          </cell>
          <cell r="Q188" t="str">
            <v>AV1000780101</v>
          </cell>
          <cell r="R188">
            <v>2</v>
          </cell>
          <cell r="S188" t="str">
            <v>AV0600580101</v>
          </cell>
          <cell r="T188">
            <v>2</v>
          </cell>
          <cell r="U188" t="str">
            <v>AV0101030201</v>
          </cell>
          <cell r="V188">
            <v>2</v>
          </cell>
          <cell r="W188" t="str">
            <v>AV0300260101</v>
          </cell>
          <cell r="X188">
            <v>1</v>
          </cell>
          <cell r="Y188" t="str">
            <v>AV0400900101</v>
          </cell>
          <cell r="Z188">
            <v>1</v>
          </cell>
          <cell r="AA188" t="str">
            <v>AV1000380101</v>
          </cell>
          <cell r="AB188">
            <v>2</v>
          </cell>
          <cell r="AC188" t="str">
            <v>AV0300390101</v>
          </cell>
          <cell r="AD188">
            <v>2</v>
          </cell>
          <cell r="AE188" t="str">
            <v>AV170129018</v>
          </cell>
          <cell r="AF188">
            <v>0</v>
          </cell>
          <cell r="AS188" t="str">
            <v>TIRACIERRES N1 - ARGOLLITA CON TIRA DE CUERO</v>
          </cell>
          <cell r="AT188" t="str">
            <v>CON REMACHE + GRABADO ESTRELLA</v>
          </cell>
          <cell r="AW188" t="str">
            <v>GRABADO "EL LUCERO" GRANDE - CENTRADO EN ESPALDA A 3 CM DESDE BORDE SUPERIOR</v>
          </cell>
          <cell r="AX188" t="str">
            <v>MALBEC</v>
          </cell>
          <cell r="AY188" t="str">
            <v>ARENA-CUERO BRIDGE</v>
          </cell>
          <cell r="AZ188" t="str">
            <v>CUE0000008</v>
          </cell>
          <cell r="BA188">
            <v>0.2</v>
          </cell>
          <cell r="BB188" t="str">
            <v>FOR0000020</v>
          </cell>
          <cell r="BC188">
            <v>0.17</v>
          </cell>
          <cell r="BD188" t="str">
            <v>AV0100010261</v>
          </cell>
          <cell r="BE188">
            <v>0.62</v>
          </cell>
          <cell r="BF188" t="str">
            <v>AV1101170526</v>
          </cell>
          <cell r="BG188">
            <v>0.68</v>
          </cell>
          <cell r="BH188" t="str">
            <v>AV1102130726</v>
          </cell>
          <cell r="BI188">
            <v>1.5</v>
          </cell>
          <cell r="BJ188" t="str">
            <v>AV1401240545</v>
          </cell>
          <cell r="BK188">
            <v>0</v>
          </cell>
          <cell r="KD188">
            <v>3</v>
          </cell>
          <cell r="KE188">
            <v>3</v>
          </cell>
          <cell r="KF188">
            <v>3</v>
          </cell>
          <cell r="KG188">
            <v>0</v>
          </cell>
          <cell r="KJ188">
            <v>0</v>
          </cell>
          <cell r="KM188">
            <v>0</v>
          </cell>
          <cell r="KP188">
            <v>0</v>
          </cell>
          <cell r="KS188">
            <v>0</v>
          </cell>
          <cell r="KV188">
            <v>0</v>
          </cell>
          <cell r="KY188">
            <v>0</v>
          </cell>
          <cell r="LB188">
            <v>0</v>
          </cell>
          <cell r="LE188">
            <v>0</v>
          </cell>
          <cell r="LH188">
            <v>0</v>
          </cell>
          <cell r="LK188">
            <v>0</v>
          </cell>
          <cell r="LN188">
            <v>45846</v>
          </cell>
          <cell r="LO188">
            <v>45846</v>
          </cell>
          <cell r="LP188" t="str">
            <v>COMPLETADO</v>
          </cell>
        </row>
        <row r="189">
          <cell r="A189">
            <v>1837</v>
          </cell>
          <cell r="B189" t="str">
            <v>LUCIANO</v>
          </cell>
          <cell r="C189" t="str">
            <v>PERDRIEL</v>
          </cell>
          <cell r="D189" t="str">
            <v>MARROQUINERIA CHICA</v>
          </cell>
          <cell r="E189">
            <v>8</v>
          </cell>
          <cell r="F189">
            <v>8</v>
          </cell>
          <cell r="G189">
            <v>8</v>
          </cell>
          <cell r="H189">
            <v>45827.570127314815</v>
          </cell>
          <cell r="I189" t="str">
            <v>BANDEJA CHICA PELO</v>
          </cell>
          <cell r="J189">
            <v>45826</v>
          </cell>
          <cell r="K189">
            <v>45826</v>
          </cell>
          <cell r="L189">
            <v>45840</v>
          </cell>
          <cell r="N189" t="str">
            <v>M175</v>
          </cell>
          <cell r="O189" t="str">
            <v>VAR0000043</v>
          </cell>
          <cell r="P189">
            <v>4</v>
          </cell>
          <cell r="Q189" t="str">
            <v>AV170134014</v>
          </cell>
          <cell r="R189">
            <v>0</v>
          </cell>
          <cell r="AS189" t="str">
            <v>NUEVO</v>
          </cell>
          <cell r="AT189" t="str">
            <v>SIN PINTUTURA</v>
          </cell>
          <cell r="AX189" t="str">
            <v>PELO_HEREFORD</v>
          </cell>
          <cell r="AY189" t="str">
            <v>LEDER-PELO</v>
          </cell>
          <cell r="AZ189" t="str">
            <v>CUE0000117</v>
          </cell>
          <cell r="BA189">
            <v>0</v>
          </cell>
          <cell r="BR189" t="str">
            <v>PELO_HOLANDO</v>
          </cell>
          <cell r="BS189" t="str">
            <v>LEDER-PELO</v>
          </cell>
          <cell r="BT189" t="str">
            <v>CUE0000116</v>
          </cell>
          <cell r="BU189">
            <v>0</v>
          </cell>
          <cell r="KD189">
            <v>6</v>
          </cell>
          <cell r="KE189">
            <v>6</v>
          </cell>
          <cell r="KF189">
            <v>6</v>
          </cell>
          <cell r="KG189">
            <v>2</v>
          </cell>
          <cell r="KH189">
            <v>2</v>
          </cell>
          <cell r="KI189">
            <v>2</v>
          </cell>
          <cell r="KJ189">
            <v>0</v>
          </cell>
          <cell r="KM189">
            <v>0</v>
          </cell>
          <cell r="KP189">
            <v>0</v>
          </cell>
          <cell r="KS189">
            <v>0</v>
          </cell>
          <cell r="KV189">
            <v>0</v>
          </cell>
          <cell r="KY189">
            <v>0</v>
          </cell>
          <cell r="LB189">
            <v>0</v>
          </cell>
          <cell r="LE189">
            <v>0</v>
          </cell>
          <cell r="LH189">
            <v>0</v>
          </cell>
          <cell r="LK189">
            <v>0</v>
          </cell>
          <cell r="LN189">
            <v>45826</v>
          </cell>
          <cell r="LO189">
            <v>45853</v>
          </cell>
          <cell r="LP189" t="str">
            <v>COMPLETADO</v>
          </cell>
          <cell r="LQ189" t="str">
            <v xml:space="preserve"> QUE SE VEA LA MANCHA SI NO SALE DE RETAZOS, USAR PLACA!</v>
          </cell>
          <cell r="LR189" t="str">
            <v xml:space="preserve"> QUE SE VEA LA MANCHA SI NO SALE DE RETAZOS, USAR PLACA!</v>
          </cell>
        </row>
        <row r="190">
          <cell r="A190">
            <v>1841</v>
          </cell>
          <cell r="B190" t="str">
            <v>LUCIANO</v>
          </cell>
          <cell r="C190" t="str">
            <v>BARRACAS CHICA</v>
          </cell>
          <cell r="D190" t="str">
            <v>MARROQUINERIA CHICA</v>
          </cell>
          <cell r="E190">
            <v>14</v>
          </cell>
          <cell r="F190">
            <v>14</v>
          </cell>
          <cell r="G190">
            <v>14</v>
          </cell>
          <cell r="H190">
            <v>45827.583935185183</v>
          </cell>
          <cell r="I190" t="str">
            <v>BILLETERA ADAM</v>
          </cell>
          <cell r="J190">
            <v>45826</v>
          </cell>
          <cell r="K190">
            <v>45826</v>
          </cell>
          <cell r="L190">
            <v>45870</v>
          </cell>
          <cell r="M190">
            <v>50</v>
          </cell>
          <cell r="N190" t="str">
            <v>M012</v>
          </cell>
          <cell r="O190" t="str">
            <v>AV0700420101</v>
          </cell>
          <cell r="P190">
            <v>1</v>
          </cell>
          <cell r="Q190" t="str">
            <v>VAR0000002</v>
          </cell>
          <cell r="R190">
            <v>0.01</v>
          </cell>
          <cell r="S190" t="str">
            <v>AV170134014</v>
          </cell>
          <cell r="T190">
            <v>0</v>
          </cell>
          <cell r="AW190" t="str">
            <v xml:space="preserve">GRABADO "EL LUCERO ARGENTINA" CHICO - CENTRADO A 1 CM DESDE EL BORDE INFERIOR  </v>
          </cell>
          <cell r="AX190" t="str">
            <v>TABACO</v>
          </cell>
          <cell r="AY190" t="str">
            <v>ARENA-CUERO BRIDGE</v>
          </cell>
          <cell r="AZ190" t="str">
            <v>CUE0000012</v>
          </cell>
          <cell r="BA190">
            <v>0.11</v>
          </cell>
          <cell r="BB190" t="str">
            <v>AV1401250545</v>
          </cell>
          <cell r="BC190">
            <v>0</v>
          </cell>
          <cell r="BD190" t="str">
            <v>FOR0000015</v>
          </cell>
          <cell r="BE190">
            <v>0.08</v>
          </cell>
          <cell r="BR190" t="str">
            <v>CHOCOLATE</v>
          </cell>
          <cell r="BS190" t="str">
            <v>ARENA-CUERO BRIDGE</v>
          </cell>
          <cell r="BT190" t="str">
            <v>CUE0000005</v>
          </cell>
          <cell r="BU190">
            <v>0.11</v>
          </cell>
          <cell r="BV190" t="str">
            <v>AV1401250545</v>
          </cell>
          <cell r="BW190">
            <v>0</v>
          </cell>
          <cell r="BX190" t="str">
            <v>FOR0000015</v>
          </cell>
          <cell r="BY190">
            <v>0.08</v>
          </cell>
          <cell r="KD190">
            <v>6</v>
          </cell>
          <cell r="KE190">
            <v>6</v>
          </cell>
          <cell r="KF190">
            <v>6</v>
          </cell>
          <cell r="KG190">
            <v>8</v>
          </cell>
          <cell r="KH190">
            <v>8</v>
          </cell>
          <cell r="KI190">
            <v>8</v>
          </cell>
          <cell r="KJ190">
            <v>0</v>
          </cell>
          <cell r="KM190">
            <v>0</v>
          </cell>
          <cell r="KP190">
            <v>0</v>
          </cell>
          <cell r="KS190">
            <v>0</v>
          </cell>
          <cell r="KV190">
            <v>0</v>
          </cell>
          <cell r="KY190">
            <v>0</v>
          </cell>
          <cell r="LB190">
            <v>0</v>
          </cell>
          <cell r="LE190">
            <v>0</v>
          </cell>
          <cell r="LH190">
            <v>0</v>
          </cell>
          <cell r="LK190">
            <v>0</v>
          </cell>
          <cell r="LN190">
            <v>45826</v>
          </cell>
          <cell r="LO190">
            <v>45888</v>
          </cell>
          <cell r="LP190" t="str">
            <v>COMPLETADO</v>
          </cell>
        </row>
        <row r="191">
          <cell r="A191">
            <v>1842</v>
          </cell>
          <cell r="B191" t="str">
            <v>LUCIANO</v>
          </cell>
          <cell r="C191" t="str">
            <v>PERDRIEL</v>
          </cell>
          <cell r="D191" t="str">
            <v>MARROQUINERIA CHICA</v>
          </cell>
          <cell r="E191">
            <v>14</v>
          </cell>
          <cell r="F191">
            <v>14</v>
          </cell>
          <cell r="G191">
            <v>14</v>
          </cell>
          <cell r="H191">
            <v>45827.586550925924</v>
          </cell>
          <cell r="I191" t="str">
            <v>BILLETERA ARLO</v>
          </cell>
          <cell r="J191">
            <v>45826</v>
          </cell>
          <cell r="K191">
            <v>45826</v>
          </cell>
          <cell r="L191">
            <v>45852</v>
          </cell>
          <cell r="M191">
            <v>50</v>
          </cell>
          <cell r="N191" t="str">
            <v>M162</v>
          </cell>
          <cell r="O191" t="str">
            <v>BAC0900100161</v>
          </cell>
          <cell r="P191">
            <v>0.1</v>
          </cell>
          <cell r="Q191" t="str">
            <v>AV170134014</v>
          </cell>
          <cell r="R191">
            <v>0</v>
          </cell>
          <cell r="AS191" t="str">
            <v>GRABADO EN TARJETERO "EL LUCERO ARGENTINA" CHICO ATRAS CENTRADO A 1 CM DESDE EL BORDE INFERIOR</v>
          </cell>
          <cell r="AT191" t="str">
            <v>LLEVA 2 GRABADOS</v>
          </cell>
          <cell r="AW191" t="str">
            <v>GRABADO EN INTERIOR  "EL LUCERO ARGENTINA" CHICO - CENTRADO A 1 CM DESDE EL BORDE INFERIOR</v>
          </cell>
          <cell r="AX191" t="str">
            <v>CHOCOLATE</v>
          </cell>
          <cell r="AY191" t="str">
            <v>ARENA-CUERO BRIDGE</v>
          </cell>
          <cell r="AZ191" t="str">
            <v>CUE0000005</v>
          </cell>
          <cell r="BA191">
            <v>0.11</v>
          </cell>
          <cell r="BB191" t="str">
            <v>FOR0000015</v>
          </cell>
          <cell r="BC191">
            <v>0.1</v>
          </cell>
          <cell r="BR191" t="str">
            <v>NEGRO</v>
          </cell>
          <cell r="BS191" t="str">
            <v>ARENA-CUERO BRIDGE</v>
          </cell>
          <cell r="BT191" t="str">
            <v>CUE0000009</v>
          </cell>
          <cell r="BU191">
            <v>0.11</v>
          </cell>
          <cell r="BV191" t="str">
            <v>FOR0000018</v>
          </cell>
          <cell r="BW191">
            <v>0.1</v>
          </cell>
          <cell r="CL191" t="str">
            <v>TABACO</v>
          </cell>
          <cell r="CM191" t="str">
            <v>ARENA-CUERO BRIDGE</v>
          </cell>
          <cell r="CN191" t="str">
            <v>CUE0000012</v>
          </cell>
          <cell r="CO191">
            <v>0.11</v>
          </cell>
          <cell r="CP191" t="str">
            <v>FOR0000015</v>
          </cell>
          <cell r="CQ191">
            <v>0.1</v>
          </cell>
          <cell r="KD191">
            <v>6</v>
          </cell>
          <cell r="KE191">
            <v>6</v>
          </cell>
          <cell r="KF191">
            <v>6</v>
          </cell>
          <cell r="KG191">
            <v>4</v>
          </cell>
          <cell r="KH191">
            <v>4</v>
          </cell>
          <cell r="KI191">
            <v>4</v>
          </cell>
          <cell r="KJ191">
            <v>4</v>
          </cell>
          <cell r="KK191">
            <v>4</v>
          </cell>
          <cell r="KL191">
            <v>4</v>
          </cell>
          <cell r="KM191">
            <v>0</v>
          </cell>
          <cell r="KP191">
            <v>0</v>
          </cell>
          <cell r="KS191">
            <v>0</v>
          </cell>
          <cell r="KV191">
            <v>0</v>
          </cell>
          <cell r="KY191">
            <v>0</v>
          </cell>
          <cell r="LB191">
            <v>0</v>
          </cell>
          <cell r="LE191">
            <v>0</v>
          </cell>
          <cell r="LH191">
            <v>0</v>
          </cell>
          <cell r="LK191">
            <v>0</v>
          </cell>
          <cell r="LN191">
            <v>45826</v>
          </cell>
          <cell r="LO191">
            <v>45860</v>
          </cell>
          <cell r="LP191" t="str">
            <v>COMPLETADO</v>
          </cell>
        </row>
        <row r="192">
          <cell r="A192">
            <v>1843</v>
          </cell>
          <cell r="B192" t="str">
            <v>LUCIANO</v>
          </cell>
          <cell r="C192" t="str">
            <v>PERDRIEL</v>
          </cell>
          <cell r="D192" t="str">
            <v>MARROQUINERIA CHICA</v>
          </cell>
          <cell r="E192">
            <v>10</v>
          </cell>
          <cell r="F192">
            <v>10</v>
          </cell>
          <cell r="G192">
            <v>10</v>
          </cell>
          <cell r="H192">
            <v>45827.591689814813</v>
          </cell>
          <cell r="I192" t="str">
            <v>BILLETERA LIAM</v>
          </cell>
          <cell r="J192">
            <v>45826</v>
          </cell>
          <cell r="K192">
            <v>45826</v>
          </cell>
          <cell r="L192">
            <v>45846</v>
          </cell>
          <cell r="M192">
            <v>65</v>
          </cell>
          <cell r="N192" t="str">
            <v>M020</v>
          </cell>
          <cell r="O192" t="str">
            <v>BAC1300050727</v>
          </cell>
          <cell r="P192">
            <v>0.02</v>
          </cell>
          <cell r="Q192" t="str">
            <v>VAR0000002</v>
          </cell>
          <cell r="R192">
            <v>0.01</v>
          </cell>
          <cell r="S192" t="str">
            <v>AV0401380101</v>
          </cell>
          <cell r="T192">
            <v>1</v>
          </cell>
          <cell r="U192" t="str">
            <v>AV170134014</v>
          </cell>
          <cell r="V192">
            <v>0</v>
          </cell>
          <cell r="AW192" t="str">
            <v xml:space="preserve">GRABADO "EL LUCERO ARGENTINA" CHICO -CENTRADO A 1 CM DESDE EL BORDE INFERIOR  </v>
          </cell>
          <cell r="AX192" t="str">
            <v>NEGRO</v>
          </cell>
          <cell r="AY192" t="str">
            <v>ARENA-CUERO NAPADO</v>
          </cell>
          <cell r="AZ192" t="str">
            <v>CUE0000026</v>
          </cell>
          <cell r="BA192">
            <v>0.16</v>
          </cell>
          <cell r="BB192" t="str">
            <v>FOR0000018</v>
          </cell>
          <cell r="BC192">
            <v>0.24</v>
          </cell>
          <cell r="BD192" t="str">
            <v>AV1401254060</v>
          </cell>
          <cell r="BE192">
            <v>0</v>
          </cell>
          <cell r="BR192" t="str">
            <v>CHOCOLATE</v>
          </cell>
          <cell r="BS192" t="str">
            <v>ARENA-CUERO NAPADO</v>
          </cell>
          <cell r="BT192" t="str">
            <v>CUE0000110</v>
          </cell>
          <cell r="BU192">
            <v>0.16</v>
          </cell>
          <cell r="BV192" t="str">
            <v>FOR0000015</v>
          </cell>
          <cell r="BW192">
            <v>0.24</v>
          </cell>
          <cell r="BX192" t="str">
            <v>AV1401250545</v>
          </cell>
          <cell r="BY192">
            <v>0</v>
          </cell>
          <cell r="CL192" t="str">
            <v>SUELA</v>
          </cell>
          <cell r="CM192" t="str">
            <v>ARENA-CUERO NAPADO</v>
          </cell>
          <cell r="CN192" t="str">
            <v>CUE0000028</v>
          </cell>
          <cell r="CO192">
            <v>0.16</v>
          </cell>
          <cell r="CP192" t="str">
            <v>FOR0000015</v>
          </cell>
          <cell r="CQ192">
            <v>0.24</v>
          </cell>
          <cell r="CR192" t="str">
            <v>AV1401250545</v>
          </cell>
          <cell r="CS192">
            <v>0</v>
          </cell>
          <cell r="KD192">
            <v>5</v>
          </cell>
          <cell r="KE192">
            <v>5</v>
          </cell>
          <cell r="KF192">
            <v>5</v>
          </cell>
          <cell r="KG192">
            <v>4</v>
          </cell>
          <cell r="KH192">
            <v>4</v>
          </cell>
          <cell r="KI192">
            <v>4</v>
          </cell>
          <cell r="KJ192">
            <v>1</v>
          </cell>
          <cell r="KK192">
            <v>1</v>
          </cell>
          <cell r="KL192">
            <v>1</v>
          </cell>
          <cell r="KM192">
            <v>0</v>
          </cell>
          <cell r="KP192">
            <v>0</v>
          </cell>
          <cell r="KS192">
            <v>0</v>
          </cell>
          <cell r="KV192">
            <v>0</v>
          </cell>
          <cell r="KY192">
            <v>0</v>
          </cell>
          <cell r="LB192">
            <v>0</v>
          </cell>
          <cell r="LE192">
            <v>0</v>
          </cell>
          <cell r="LH192">
            <v>0</v>
          </cell>
          <cell r="LK192">
            <v>0</v>
          </cell>
          <cell r="LN192">
            <v>45826</v>
          </cell>
          <cell r="LO192">
            <v>45860</v>
          </cell>
          <cell r="LP192" t="str">
            <v>COMPLETADO</v>
          </cell>
        </row>
        <row r="193">
          <cell r="A193">
            <v>1844</v>
          </cell>
          <cell r="B193" t="str">
            <v>LUCIANO</v>
          </cell>
          <cell r="C193" t="str">
            <v>PERDRIEL</v>
          </cell>
          <cell r="D193" t="str">
            <v>MARROQUINERIA CHICA</v>
          </cell>
          <cell r="E193">
            <v>6</v>
          </cell>
          <cell r="F193">
            <v>6</v>
          </cell>
          <cell r="G193">
            <v>6</v>
          </cell>
          <cell r="H193">
            <v>45827.597824074073</v>
          </cell>
          <cell r="I193" t="str">
            <v>BILLETERA MILO SIMPLE</v>
          </cell>
          <cell r="J193">
            <v>45826</v>
          </cell>
          <cell r="K193">
            <v>45826</v>
          </cell>
          <cell r="M193">
            <v>40</v>
          </cell>
          <cell r="N193" t="str">
            <v>M023</v>
          </cell>
          <cell r="O193" t="str">
            <v>BAC0900100161</v>
          </cell>
          <cell r="P193">
            <v>0.01</v>
          </cell>
          <cell r="Q193" t="str">
            <v>AV170134014</v>
          </cell>
          <cell r="R193">
            <v>0</v>
          </cell>
          <cell r="AS193" t="str">
            <v>SIN ELASTICO</v>
          </cell>
          <cell r="AW193" t="str">
            <v xml:space="preserve">GRABADO "LUCERO ARGENTINA" CHICO A 1CMDEL BORDE INFERIOR, EN SOLAPA INTERNA   </v>
          </cell>
          <cell r="AX193" t="str">
            <v>SUELA</v>
          </cell>
          <cell r="AY193" t="str">
            <v>ARENA-CUERO NAPADO</v>
          </cell>
          <cell r="AZ193" t="str">
            <v>CUE0000028</v>
          </cell>
          <cell r="BA193">
            <v>0.09</v>
          </cell>
          <cell r="BB193" t="str">
            <v>FOR0000015</v>
          </cell>
          <cell r="BC193">
            <v>0.11</v>
          </cell>
          <cell r="BD193" t="str">
            <v>AV1401250545</v>
          </cell>
          <cell r="BE193">
            <v>0</v>
          </cell>
          <cell r="BF193" t="str">
            <v>AV1601300955</v>
          </cell>
          <cell r="BG193">
            <v>0</v>
          </cell>
          <cell r="KD193">
            <v>6</v>
          </cell>
          <cell r="KE193">
            <v>6</v>
          </cell>
          <cell r="KF193">
            <v>6</v>
          </cell>
          <cell r="KG193">
            <v>0</v>
          </cell>
          <cell r="KJ193">
            <v>0</v>
          </cell>
          <cell r="KM193">
            <v>0</v>
          </cell>
          <cell r="KP193">
            <v>0</v>
          </cell>
          <cell r="KS193">
            <v>0</v>
          </cell>
          <cell r="KV193">
            <v>0</v>
          </cell>
          <cell r="KY193">
            <v>0</v>
          </cell>
          <cell r="LB193">
            <v>0</v>
          </cell>
          <cell r="LE193">
            <v>0</v>
          </cell>
          <cell r="LH193">
            <v>0</v>
          </cell>
          <cell r="LK193">
            <v>0</v>
          </cell>
          <cell r="LO193">
            <v>45839</v>
          </cell>
          <cell r="LP193" t="str">
            <v>COMPLETADO</v>
          </cell>
        </row>
        <row r="194">
          <cell r="A194">
            <v>1856</v>
          </cell>
          <cell r="B194" t="str">
            <v>LUCIANO</v>
          </cell>
          <cell r="C194" t="str">
            <v>BARRACAS CHICA</v>
          </cell>
          <cell r="D194" t="str">
            <v>MARROQUINERIA CHICA</v>
          </cell>
          <cell r="E194">
            <v>9</v>
          </cell>
          <cell r="F194">
            <v>9</v>
          </cell>
          <cell r="G194">
            <v>9</v>
          </cell>
          <cell r="H194">
            <v>45829.869525462964</v>
          </cell>
          <cell r="I194" t="str">
            <v>MONEDERO AMBAR</v>
          </cell>
          <cell r="J194">
            <v>45831</v>
          </cell>
          <cell r="K194">
            <v>45831</v>
          </cell>
          <cell r="L194">
            <v>45848</v>
          </cell>
          <cell r="M194">
            <v>38</v>
          </cell>
          <cell r="N194" t="str">
            <v>M062</v>
          </cell>
          <cell r="O194" t="str">
            <v>BAC0200071027</v>
          </cell>
          <cell r="P194">
            <v>0.01</v>
          </cell>
          <cell r="Q194" t="str">
            <v>BAC1300050727</v>
          </cell>
          <cell r="R194">
            <v>0.01</v>
          </cell>
          <cell r="S194" t="str">
            <v>AV0101070301</v>
          </cell>
          <cell r="T194">
            <v>1</v>
          </cell>
          <cell r="U194" t="str">
            <v>AV0600560101</v>
          </cell>
          <cell r="V194">
            <v>1</v>
          </cell>
          <cell r="W194" t="str">
            <v>AV0401380101</v>
          </cell>
          <cell r="X194">
            <v>1</v>
          </cell>
          <cell r="Y194" t="str">
            <v>AV170134014</v>
          </cell>
          <cell r="Z194">
            <v>0</v>
          </cell>
          <cell r="AW194" t="str">
            <v xml:space="preserve">GRABADO EL LUCERO ENSOLAPA FRONTAL CENTRADO A 1 CM DEL BORDE  </v>
          </cell>
          <cell r="AX194" t="str">
            <v>NEGRO</v>
          </cell>
          <cell r="AY194" t="str">
            <v>VANESKA-CUERO NAPADO DUNA</v>
          </cell>
          <cell r="AZ194" t="str">
            <v>CUE0000059</v>
          </cell>
          <cell r="BA194">
            <v>7.0000000000000007E-2</v>
          </cell>
          <cell r="BB194" t="str">
            <v>AV1401254060</v>
          </cell>
          <cell r="BC194">
            <v>0</v>
          </cell>
          <cell r="BD194" t="str">
            <v>FOR0000018</v>
          </cell>
          <cell r="BE194">
            <v>0.01</v>
          </cell>
          <cell r="BF194" t="str">
            <v>AV0100020303</v>
          </cell>
          <cell r="BG194">
            <v>0.01</v>
          </cell>
          <cell r="BH194" t="str">
            <v>AV0100020303</v>
          </cell>
          <cell r="BI194">
            <v>0.01</v>
          </cell>
          <cell r="BR194" t="str">
            <v>TABACO</v>
          </cell>
          <cell r="BS194" t="str">
            <v>ARENA-CUERO NAPADO</v>
          </cell>
          <cell r="BT194" t="str">
            <v>CUE0000029</v>
          </cell>
          <cell r="BU194">
            <v>7.0000000000000007E-2</v>
          </cell>
          <cell r="BV194" t="str">
            <v>AV1401250545</v>
          </cell>
          <cell r="BW194">
            <v>0</v>
          </cell>
          <cell r="BX194" t="str">
            <v>FOR0000015</v>
          </cell>
          <cell r="BY194">
            <v>0.01</v>
          </cell>
          <cell r="BZ194" t="str">
            <v>CIE0000004</v>
          </cell>
          <cell r="CA194">
            <v>0.01</v>
          </cell>
          <cell r="CB194" t="str">
            <v>CIE0000004</v>
          </cell>
          <cell r="CC194">
            <v>0.01</v>
          </cell>
          <cell r="CL194" t="str">
            <v>ROJO</v>
          </cell>
          <cell r="CM194" t="str">
            <v>ARENA-CUERO NAPADO</v>
          </cell>
          <cell r="CN194" t="str">
            <v>CUE0000027</v>
          </cell>
          <cell r="CO194">
            <v>7.0000000000000007E-2</v>
          </cell>
          <cell r="CP194" t="str">
            <v>AV1401254460</v>
          </cell>
          <cell r="CQ194">
            <v>0</v>
          </cell>
          <cell r="CR194" t="str">
            <v>FOR0000016</v>
          </cell>
          <cell r="CS194">
            <v>0.01</v>
          </cell>
          <cell r="CT194" t="str">
            <v>AV0100020313</v>
          </cell>
          <cell r="CU194">
            <v>0.01</v>
          </cell>
          <cell r="CV194" t="str">
            <v>AV0100020313</v>
          </cell>
          <cell r="CW194">
            <v>0.01</v>
          </cell>
          <cell r="KD194">
            <v>3</v>
          </cell>
          <cell r="KE194">
            <v>3</v>
          </cell>
          <cell r="KF194">
            <v>3</v>
          </cell>
          <cell r="KG194">
            <v>3</v>
          </cell>
          <cell r="KH194">
            <v>3</v>
          </cell>
          <cell r="KI194">
            <v>3</v>
          </cell>
          <cell r="KJ194">
            <v>3</v>
          </cell>
          <cell r="KK194">
            <v>3</v>
          </cell>
          <cell r="KL194">
            <v>3</v>
          </cell>
          <cell r="KM194">
            <v>0</v>
          </cell>
          <cell r="KP194">
            <v>0</v>
          </cell>
          <cell r="KS194">
            <v>0</v>
          </cell>
          <cell r="KV194">
            <v>0</v>
          </cell>
          <cell r="KY194">
            <v>0</v>
          </cell>
          <cell r="LB194">
            <v>0</v>
          </cell>
          <cell r="LE194">
            <v>0</v>
          </cell>
          <cell r="LH194">
            <v>0</v>
          </cell>
          <cell r="LK194">
            <v>0</v>
          </cell>
          <cell r="LN194">
            <v>45831</v>
          </cell>
          <cell r="LO194">
            <v>45860</v>
          </cell>
          <cell r="LP194" t="str">
            <v>COMPLETADO</v>
          </cell>
        </row>
        <row r="195">
          <cell r="A195">
            <v>1857</v>
          </cell>
          <cell r="B195" t="str">
            <v>LUCIANO</v>
          </cell>
          <cell r="C195" t="str">
            <v>PERDRIEL</v>
          </cell>
          <cell r="D195" t="str">
            <v>MARROQUINERIA CHICA</v>
          </cell>
          <cell r="E195">
            <v>12</v>
          </cell>
          <cell r="F195">
            <v>12</v>
          </cell>
          <cell r="G195">
            <v>12</v>
          </cell>
          <cell r="H195">
            <v>45829.964490740742</v>
          </cell>
          <cell r="I195" t="str">
            <v>MONEDERO GRACE</v>
          </cell>
          <cell r="J195">
            <v>45831</v>
          </cell>
          <cell r="K195">
            <v>45831</v>
          </cell>
          <cell r="L195">
            <v>45846</v>
          </cell>
          <cell r="M195">
            <v>15</v>
          </cell>
          <cell r="N195" t="str">
            <v>M143</v>
          </cell>
          <cell r="O195" t="str">
            <v>AV0101070301</v>
          </cell>
          <cell r="P195">
            <v>1</v>
          </cell>
          <cell r="Q195" t="str">
            <v>AV0600560101</v>
          </cell>
          <cell r="R195">
            <v>1</v>
          </cell>
          <cell r="AS195" t="str">
            <v>TIRACIERRE LUCERO CHICO</v>
          </cell>
          <cell r="AW195" t="str">
            <v>GRABADO "EL LUCERO ARGENTINA" CHICO" EN EL FRENTE, CENTRADO, A 3,5 CM DE LA UNION DE LA BASE</v>
          </cell>
          <cell r="AX195" t="str">
            <v>ROJO</v>
          </cell>
          <cell r="AY195" t="str">
            <v>ARENA-CUERO BRIDGE</v>
          </cell>
          <cell r="AZ195" t="str">
            <v>CUE0000010</v>
          </cell>
          <cell r="BA195">
            <v>0.04</v>
          </cell>
          <cell r="BB195" t="str">
            <v>AV0100020313</v>
          </cell>
          <cell r="BC195">
            <v>0.2</v>
          </cell>
          <cell r="BR195" t="str">
            <v>CARAMELO</v>
          </cell>
          <cell r="BS195" t="str">
            <v>ARENA-CUERO BRIDGE</v>
          </cell>
          <cell r="BT195" t="str">
            <v>CUE0000004</v>
          </cell>
          <cell r="BU195">
            <v>0.04</v>
          </cell>
          <cell r="BV195" t="str">
            <v>AV0100020305</v>
          </cell>
          <cell r="BW195">
            <v>0.2</v>
          </cell>
          <cell r="KD195">
            <v>6</v>
          </cell>
          <cell r="KE195">
            <v>6</v>
          </cell>
          <cell r="KF195">
            <v>6</v>
          </cell>
          <cell r="KG195">
            <v>6</v>
          </cell>
          <cell r="KH195">
            <v>6</v>
          </cell>
          <cell r="KI195">
            <v>6</v>
          </cell>
          <cell r="KJ195">
            <v>0</v>
          </cell>
          <cell r="KM195">
            <v>0</v>
          </cell>
          <cell r="KP195">
            <v>0</v>
          </cell>
          <cell r="KS195">
            <v>0</v>
          </cell>
          <cell r="KV195">
            <v>0</v>
          </cell>
          <cell r="KY195">
            <v>0</v>
          </cell>
          <cell r="LB195">
            <v>0</v>
          </cell>
          <cell r="LE195">
            <v>0</v>
          </cell>
          <cell r="LH195">
            <v>0</v>
          </cell>
          <cell r="LK195">
            <v>0</v>
          </cell>
          <cell r="LN195">
            <v>45846</v>
          </cell>
          <cell r="LO195">
            <v>45846</v>
          </cell>
          <cell r="LP195" t="str">
            <v>COMPLETADO</v>
          </cell>
        </row>
        <row r="196">
          <cell r="A196">
            <v>1863</v>
          </cell>
          <cell r="B196" t="str">
            <v>RUBEN</v>
          </cell>
          <cell r="C196" t="str">
            <v>PERDRIEL</v>
          </cell>
          <cell r="D196" t="str">
            <v>MARROQUINERIA CHICA</v>
          </cell>
          <cell r="E196">
            <v>65</v>
          </cell>
          <cell r="F196">
            <v>65</v>
          </cell>
          <cell r="G196">
            <v>65</v>
          </cell>
          <cell r="H196">
            <v>45829.969594907408</v>
          </cell>
          <cell r="I196" t="str">
            <v>PORTALENTES ORION</v>
          </cell>
          <cell r="J196">
            <v>45831</v>
          </cell>
          <cell r="K196">
            <v>45831</v>
          </cell>
          <cell r="L196">
            <v>45846</v>
          </cell>
          <cell r="M196">
            <v>11</v>
          </cell>
          <cell r="N196" t="str">
            <v>M100</v>
          </cell>
          <cell r="O196" t="str">
            <v>AV0101070301</v>
          </cell>
          <cell r="P196">
            <v>1</v>
          </cell>
          <cell r="Q196" t="str">
            <v>AV1001010101</v>
          </cell>
          <cell r="R196">
            <v>1</v>
          </cell>
          <cell r="S196" t="str">
            <v>AV1300130101</v>
          </cell>
          <cell r="T196">
            <v>1</v>
          </cell>
          <cell r="U196" t="str">
            <v>AV170134014</v>
          </cell>
          <cell r="V196">
            <v>0</v>
          </cell>
          <cell r="AS196" t="str">
            <v>TIRACIERRE N 12 - TIRA FINITA CON REMACHE</v>
          </cell>
          <cell r="AW196" t="str">
            <v xml:space="preserve">GRABADO " EL LUCERO ARG." CHICO EN EL FRENTE CENTRADO, A 1,5 CM DEL BORDE INFERIOR </v>
          </cell>
          <cell r="AX196" t="str">
            <v>ROJO</v>
          </cell>
          <cell r="AY196" t="str">
            <v>ARENA-CUERO NAPADO</v>
          </cell>
          <cell r="AZ196" t="str">
            <v>CUE0000027</v>
          </cell>
          <cell r="BA196">
            <v>0.02</v>
          </cell>
          <cell r="BB196" t="str">
            <v>AV0100020313</v>
          </cell>
          <cell r="BC196">
            <v>0.2</v>
          </cell>
          <cell r="BD196" t="str">
            <v>AV1401254460</v>
          </cell>
          <cell r="BE196">
            <v>0</v>
          </cell>
          <cell r="BF196" t="str">
            <v>AV1601300929</v>
          </cell>
          <cell r="BG196">
            <v>0</v>
          </cell>
          <cell r="BR196" t="str">
            <v>MALBEC</v>
          </cell>
          <cell r="BS196" t="str">
            <v>ARENA-CUERO NAPADO</v>
          </cell>
          <cell r="BT196" t="str">
            <v>CUE0000025</v>
          </cell>
          <cell r="BU196">
            <v>0.02</v>
          </cell>
          <cell r="BV196" t="str">
            <v>CIE0000003</v>
          </cell>
          <cell r="BW196">
            <v>0.2</v>
          </cell>
          <cell r="BX196" t="str">
            <v>AV1401250545</v>
          </cell>
          <cell r="BY196">
            <v>0</v>
          </cell>
          <cell r="BZ196" t="str">
            <v>PIN00000001</v>
          </cell>
          <cell r="CA196">
            <v>0</v>
          </cell>
          <cell r="CL196" t="str">
            <v>NEGRO</v>
          </cell>
          <cell r="CM196" t="str">
            <v>ARENA-CUERO NAPADO</v>
          </cell>
          <cell r="CN196" t="str">
            <v>CUE0000026</v>
          </cell>
          <cell r="CO196">
            <v>0.02</v>
          </cell>
          <cell r="CP196" t="str">
            <v>AV0100020303</v>
          </cell>
          <cell r="CQ196">
            <v>0.2</v>
          </cell>
          <cell r="CR196" t="str">
            <v>AV1401254060</v>
          </cell>
          <cell r="CS196">
            <v>0</v>
          </cell>
          <cell r="CT196" t="str">
            <v>AV1601300926</v>
          </cell>
          <cell r="CU196">
            <v>0</v>
          </cell>
          <cell r="DF196" t="str">
            <v>CARAMELO</v>
          </cell>
          <cell r="DG196" t="str">
            <v>ARENA-CUERO BRIDGE</v>
          </cell>
          <cell r="DH196" t="str">
            <v>CUE0000004</v>
          </cell>
          <cell r="DI196">
            <v>0.02</v>
          </cell>
          <cell r="DJ196" t="str">
            <v>AV0100020305</v>
          </cell>
          <cell r="DK196">
            <v>0.2</v>
          </cell>
          <cell r="DL196" t="str">
            <v>AV1401250545</v>
          </cell>
          <cell r="DM196">
            <v>0</v>
          </cell>
          <cell r="DN196" t="str">
            <v>AV1601300955</v>
          </cell>
          <cell r="DO196">
            <v>0</v>
          </cell>
          <cell r="DZ196" t="str">
            <v>TABACO</v>
          </cell>
          <cell r="EA196" t="str">
            <v>ARENA-CUERO BRIDGE</v>
          </cell>
          <cell r="EB196" t="str">
            <v>CUE0000012</v>
          </cell>
          <cell r="EC196">
            <v>0.02</v>
          </cell>
          <cell r="ED196" t="str">
            <v>AV0100020305</v>
          </cell>
          <cell r="EE196">
            <v>0.2</v>
          </cell>
          <cell r="EF196" t="str">
            <v>AV1401264540</v>
          </cell>
          <cell r="EG196">
            <v>0</v>
          </cell>
          <cell r="EH196" t="str">
            <v>AV1601300954</v>
          </cell>
          <cell r="EI196">
            <v>0</v>
          </cell>
          <cell r="KD196">
            <v>12</v>
          </cell>
          <cell r="KE196">
            <v>12</v>
          </cell>
          <cell r="KF196">
            <v>12</v>
          </cell>
          <cell r="KG196">
            <v>12</v>
          </cell>
          <cell r="KH196">
            <v>12</v>
          </cell>
          <cell r="KI196">
            <v>12</v>
          </cell>
          <cell r="KJ196">
            <v>12</v>
          </cell>
          <cell r="KK196">
            <v>12</v>
          </cell>
          <cell r="KL196">
            <v>12</v>
          </cell>
          <cell r="KM196">
            <v>9</v>
          </cell>
          <cell r="KN196">
            <v>9</v>
          </cell>
          <cell r="KO196">
            <v>9</v>
          </cell>
          <cell r="KP196">
            <v>20</v>
          </cell>
          <cell r="KQ196">
            <v>20</v>
          </cell>
          <cell r="KR196">
            <v>20</v>
          </cell>
          <cell r="KS196">
            <v>0</v>
          </cell>
          <cell r="KV196">
            <v>0</v>
          </cell>
          <cell r="KY196">
            <v>0</v>
          </cell>
          <cell r="LB196">
            <v>0</v>
          </cell>
          <cell r="LE196">
            <v>0</v>
          </cell>
          <cell r="LH196">
            <v>0</v>
          </cell>
          <cell r="LK196">
            <v>0</v>
          </cell>
          <cell r="LN196">
            <v>45846</v>
          </cell>
          <cell r="LO196">
            <v>45846</v>
          </cell>
          <cell r="LP196" t="str">
            <v>COMPLETADO</v>
          </cell>
        </row>
        <row r="197">
          <cell r="A197">
            <v>1881</v>
          </cell>
          <cell r="B197" t="str">
            <v>LUCIANO</v>
          </cell>
          <cell r="C197" t="str">
            <v>PERDRIEL</v>
          </cell>
          <cell r="D197" t="str">
            <v>MARROQUINERIA CHICA</v>
          </cell>
          <cell r="E197">
            <v>13</v>
          </cell>
          <cell r="F197">
            <v>13</v>
          </cell>
          <cell r="G197">
            <v>13</v>
          </cell>
          <cell r="H197">
            <v>45829.979317129626</v>
          </cell>
          <cell r="I197" t="str">
            <v>PORTALENTES LUZ PELO</v>
          </cell>
          <cell r="J197">
            <v>45831</v>
          </cell>
          <cell r="K197">
            <v>45831</v>
          </cell>
          <cell r="L197">
            <v>45840</v>
          </cell>
          <cell r="N197" t="str">
            <v>M177</v>
          </cell>
          <cell r="O197" t="str">
            <v>AV170134014</v>
          </cell>
          <cell r="P197">
            <v>0</v>
          </cell>
          <cell r="AS197" t="str">
            <v>SIN PINTUTURA</v>
          </cell>
          <cell r="AT197" t="str">
            <v>ENVIAR A RACHI A PASAR EL CORDON DE NAPADO X TODO EL CONTORNO</v>
          </cell>
          <cell r="AX197" t="str">
            <v>PELO_HEREFORD</v>
          </cell>
          <cell r="AY197" t="str">
            <v>LEDER-PELO</v>
          </cell>
          <cell r="AZ197" t="str">
            <v>CUE0000117</v>
          </cell>
          <cell r="BA197">
            <v>0.03</v>
          </cell>
          <cell r="BB197" t="str">
            <v>FOR0000028</v>
          </cell>
          <cell r="BC197">
            <v>0.03</v>
          </cell>
          <cell r="BR197" t="str">
            <v>PELO_HOLANDO</v>
          </cell>
          <cell r="BS197" t="str">
            <v>LEDER-PELO</v>
          </cell>
          <cell r="BT197" t="str">
            <v>CUE0000116</v>
          </cell>
          <cell r="BU197">
            <v>0.03</v>
          </cell>
          <cell r="BV197" t="str">
            <v>FOR0000029</v>
          </cell>
          <cell r="BW197">
            <v>0.03</v>
          </cell>
          <cell r="KD197">
            <v>9</v>
          </cell>
          <cell r="KE197">
            <v>9</v>
          </cell>
          <cell r="KF197">
            <v>9</v>
          </cell>
          <cell r="KG197">
            <v>4</v>
          </cell>
          <cell r="KH197">
            <v>4</v>
          </cell>
          <cell r="KI197">
            <v>4</v>
          </cell>
          <cell r="KJ197">
            <v>0</v>
          </cell>
          <cell r="KM197">
            <v>0</v>
          </cell>
          <cell r="KP197">
            <v>0</v>
          </cell>
          <cell r="KS197">
            <v>0</v>
          </cell>
          <cell r="KV197">
            <v>0</v>
          </cell>
          <cell r="KY197">
            <v>0</v>
          </cell>
          <cell r="LB197">
            <v>0</v>
          </cell>
          <cell r="LE197">
            <v>0</v>
          </cell>
          <cell r="LH197">
            <v>0</v>
          </cell>
          <cell r="LK197">
            <v>0</v>
          </cell>
          <cell r="LN197">
            <v>45831</v>
          </cell>
          <cell r="LO197">
            <v>45853</v>
          </cell>
          <cell r="LP197" t="str">
            <v>COMPLETADO</v>
          </cell>
          <cell r="LQ197" t="str">
            <v>QUE SE VEA LA MANCHA SI NO SALE DE RETAZOS, USAR PLACA! - CORDON  CONTORNO CUERO  NAPADO COLOR TABACO</v>
          </cell>
          <cell r="LR197" t="str">
            <v>QUE SE VEA LA MANCHA SI NO SALE DE RETAZOS, USAR PLACA! - CORDON  CONTORNO CUERO  NAPADO COLOR NEGRO</v>
          </cell>
        </row>
        <row r="198">
          <cell r="A198">
            <v>1770</v>
          </cell>
          <cell r="B198" t="str">
            <v>LUCIANO</v>
          </cell>
          <cell r="C198" t="str">
            <v>BARRACAS CHICA</v>
          </cell>
          <cell r="D198" t="str">
            <v>MARROQUINERIA CHICA</v>
          </cell>
          <cell r="E198">
            <v>26</v>
          </cell>
          <cell r="F198">
            <v>26</v>
          </cell>
          <cell r="G198">
            <v>26</v>
          </cell>
          <cell r="H198">
            <v>45781.532858796294</v>
          </cell>
          <cell r="I198" t="str">
            <v>PORTAVINO TANDIL</v>
          </cell>
          <cell r="J198">
            <v>45779</v>
          </cell>
          <cell r="K198">
            <v>45779</v>
          </cell>
          <cell r="L198">
            <v>45819</v>
          </cell>
          <cell r="M198">
            <v>35</v>
          </cell>
          <cell r="N198" t="str">
            <v>M165</v>
          </cell>
          <cell r="O198" t="str">
            <v>AV170134014</v>
          </cell>
          <cell r="P198">
            <v>0</v>
          </cell>
          <cell r="AH198">
            <v>0</v>
          </cell>
          <cell r="AS198" t="str">
            <v>PEGAR ETIQUETA DE CUERO AL FRENTE HILO AL TONO CON HILO GRUESO N 20</v>
          </cell>
          <cell r="AW198" t="str">
            <v>GRABADO ETIQUETA EN VINTAGE MEDIO  7,5CM X 5,5 CM  "EL LUCERO HIGH QUALITY GOODS"</v>
          </cell>
          <cell r="AX198" t="str">
            <v>PELO_HEREFORD</v>
          </cell>
          <cell r="AY198" t="str">
            <v>LEDER-PELO</v>
          </cell>
          <cell r="AZ198" t="str">
            <v>CUE0000117</v>
          </cell>
          <cell r="BA198">
            <v>0.21</v>
          </cell>
          <cell r="BB198" t="str">
            <v>CUE0000012</v>
          </cell>
          <cell r="BC198">
            <v>0</v>
          </cell>
          <cell r="BO198">
            <v>0</v>
          </cell>
          <cell r="BQ198">
            <v>0</v>
          </cell>
          <cell r="BR198" t="str">
            <v>PELO_HOLANDO</v>
          </cell>
          <cell r="BS198" t="str">
            <v>LEDER-PELO</v>
          </cell>
          <cell r="BT198" t="str">
            <v>CUE0000116</v>
          </cell>
          <cell r="BU198">
            <v>0.21</v>
          </cell>
          <cell r="BV198" t="str">
            <v>CUE0000009</v>
          </cell>
          <cell r="BW198">
            <v>0</v>
          </cell>
          <cell r="CL198" t="str">
            <v>TABACO</v>
          </cell>
          <cell r="CM198" t="str">
            <v>ARENA-CUERO BRIDGE</v>
          </cell>
          <cell r="CN198" t="str">
            <v>CUE0000012</v>
          </cell>
          <cell r="CO198">
            <v>0.21</v>
          </cell>
          <cell r="DF198" t="str">
            <v>CARAMELO</v>
          </cell>
          <cell r="DG198" t="str">
            <v>ARENA-CUERO BRIDGE</v>
          </cell>
          <cell r="DH198" t="str">
            <v>CUE0000004</v>
          </cell>
          <cell r="DI198">
            <v>0.21</v>
          </cell>
          <cell r="DZ198" t="str">
            <v>NEGRO</v>
          </cell>
          <cell r="EA198" t="str">
            <v>ARENA-CUERO BRIDGE</v>
          </cell>
          <cell r="EB198" t="str">
            <v>CUE0000009</v>
          </cell>
          <cell r="EC198">
            <v>0.21</v>
          </cell>
          <cell r="KD198">
            <v>6</v>
          </cell>
          <cell r="KE198">
            <v>6</v>
          </cell>
          <cell r="KF198">
            <v>6</v>
          </cell>
          <cell r="KG198">
            <v>6</v>
          </cell>
          <cell r="KH198">
            <v>6</v>
          </cell>
          <cell r="KI198">
            <v>6</v>
          </cell>
          <cell r="KJ198">
            <v>8</v>
          </cell>
          <cell r="KK198">
            <v>8</v>
          </cell>
          <cell r="KL198">
            <v>8</v>
          </cell>
          <cell r="KM198">
            <v>2</v>
          </cell>
          <cell r="KN198">
            <v>2</v>
          </cell>
          <cell r="KO198">
            <v>2</v>
          </cell>
          <cell r="KP198">
            <v>4</v>
          </cell>
          <cell r="KQ198">
            <v>4</v>
          </cell>
          <cell r="KR198">
            <v>4</v>
          </cell>
          <cell r="KS198">
            <v>0</v>
          </cell>
          <cell r="KV198">
            <v>0</v>
          </cell>
          <cell r="KY198">
            <v>0</v>
          </cell>
          <cell r="LB198">
            <v>0</v>
          </cell>
          <cell r="LE198">
            <v>0</v>
          </cell>
          <cell r="LH198">
            <v>0</v>
          </cell>
          <cell r="LK198">
            <v>0</v>
          </cell>
          <cell r="LO198">
            <v>45819</v>
          </cell>
          <cell r="LP198" t="str">
            <v>COMPLETADO</v>
          </cell>
        </row>
        <row r="199">
          <cell r="A199">
            <v>1858</v>
          </cell>
          <cell r="B199" t="str">
            <v>LUCIANO</v>
          </cell>
          <cell r="C199" t="str">
            <v>BARRACAS CHICA</v>
          </cell>
          <cell r="D199" t="str">
            <v>MARROQUINERIA CHICA</v>
          </cell>
          <cell r="E199">
            <v>22</v>
          </cell>
          <cell r="F199">
            <v>22</v>
          </cell>
          <cell r="G199">
            <v>21</v>
          </cell>
          <cell r="H199">
            <v>45830.731886574074</v>
          </cell>
          <cell r="I199" t="str">
            <v>MOUSEPAD</v>
          </cell>
          <cell r="J199">
            <v>45831</v>
          </cell>
          <cell r="K199">
            <v>45831</v>
          </cell>
          <cell r="L199">
            <v>45853</v>
          </cell>
          <cell r="M199">
            <v>9</v>
          </cell>
          <cell r="N199" t="str">
            <v>M136</v>
          </cell>
          <cell r="O199" t="str">
            <v>AV170134014</v>
          </cell>
          <cell r="P199">
            <v>0</v>
          </cell>
          <cell r="AW199" t="str">
            <v xml:space="preserve">GRABADO "EL LUCERO CHICO" ESQUINA INFERIOR DERECHA    </v>
          </cell>
          <cell r="AX199" t="str">
            <v>NEGRO</v>
          </cell>
          <cell r="AY199" t="str">
            <v>ARENA-CUERO BRIDGE</v>
          </cell>
          <cell r="AZ199" t="str">
            <v>CUE0000009</v>
          </cell>
          <cell r="BA199">
            <v>0.04</v>
          </cell>
          <cell r="BB199" t="str">
            <v>FOR0000029</v>
          </cell>
          <cell r="BC199">
            <v>0.04</v>
          </cell>
          <cell r="BR199" t="str">
            <v>TABACO</v>
          </cell>
          <cell r="BS199" t="str">
            <v>ARENA-CUERO BRIDGE</v>
          </cell>
          <cell r="BT199" t="str">
            <v>CUE0000012</v>
          </cell>
          <cell r="BU199">
            <v>0.04</v>
          </cell>
          <cell r="BV199" t="str">
            <v>FOR0000031</v>
          </cell>
          <cell r="BW199">
            <v>0.04</v>
          </cell>
          <cell r="CL199" t="str">
            <v>ROJO</v>
          </cell>
          <cell r="CM199" t="str">
            <v>ARENA-CUERO BRIDGE</v>
          </cell>
          <cell r="CN199" t="str">
            <v>CUE0000010</v>
          </cell>
          <cell r="CO199">
            <v>0.04</v>
          </cell>
          <cell r="CP199" t="str">
            <v>FOR0000030</v>
          </cell>
          <cell r="CQ199">
            <v>0.04</v>
          </cell>
          <cell r="DF199" t="str">
            <v>CARAMELO</v>
          </cell>
          <cell r="DG199" t="str">
            <v>ARENA-CUERO BRIDGE</v>
          </cell>
          <cell r="DH199" t="str">
            <v>CUE0000004</v>
          </cell>
          <cell r="DI199">
            <v>0.04</v>
          </cell>
          <cell r="DJ199" t="str">
            <v>FOR0000028</v>
          </cell>
          <cell r="DK199">
            <v>0.04</v>
          </cell>
          <cell r="KD199">
            <v>4</v>
          </cell>
          <cell r="KE199">
            <v>4</v>
          </cell>
          <cell r="KF199">
            <v>4</v>
          </cell>
          <cell r="KG199">
            <v>6</v>
          </cell>
          <cell r="KH199">
            <v>6</v>
          </cell>
          <cell r="KI199">
            <v>6</v>
          </cell>
          <cell r="KJ199">
            <v>6</v>
          </cell>
          <cell r="KK199">
            <v>6</v>
          </cell>
          <cell r="KL199">
            <v>6</v>
          </cell>
          <cell r="KM199">
            <v>6</v>
          </cell>
          <cell r="KN199">
            <v>6</v>
          </cell>
          <cell r="KO199">
            <v>5</v>
          </cell>
          <cell r="KP199">
            <v>0</v>
          </cell>
          <cell r="KS199">
            <v>0</v>
          </cell>
          <cell r="KV199">
            <v>0</v>
          </cell>
          <cell r="KY199">
            <v>0</v>
          </cell>
          <cell r="LB199">
            <v>0</v>
          </cell>
          <cell r="LE199">
            <v>0</v>
          </cell>
          <cell r="LH199">
            <v>0</v>
          </cell>
          <cell r="LK199">
            <v>0</v>
          </cell>
          <cell r="LN199">
            <v>45831</v>
          </cell>
          <cell r="LO199">
            <v>45853</v>
          </cell>
          <cell r="LP199" t="str">
            <v>COMPLETADO</v>
          </cell>
        </row>
        <row r="200">
          <cell r="A200">
            <v>1839</v>
          </cell>
          <cell r="B200" t="str">
            <v>RUBEN</v>
          </cell>
          <cell r="C200" t="str">
            <v>BARRACAS GRANDE</v>
          </cell>
          <cell r="D200" t="str">
            <v>MARROQUINERIA GRANDE</v>
          </cell>
          <cell r="E200">
            <v>10</v>
          </cell>
          <cell r="F200">
            <v>10</v>
          </cell>
          <cell r="G200">
            <v>10</v>
          </cell>
          <cell r="H200">
            <v>45832.432708333334</v>
          </cell>
          <cell r="I200" t="str">
            <v>BANDOLERA MATILDA</v>
          </cell>
          <cell r="J200">
            <v>45832</v>
          </cell>
          <cell r="K200">
            <v>45832</v>
          </cell>
          <cell r="L200">
            <v>45846</v>
          </cell>
          <cell r="M200">
            <v>30</v>
          </cell>
          <cell r="N200" t="str">
            <v>M171</v>
          </cell>
          <cell r="O200" t="str">
            <v>AV0300390101</v>
          </cell>
          <cell r="P200">
            <v>1</v>
          </cell>
          <cell r="Q200" t="str">
            <v>AV0400230101</v>
          </cell>
          <cell r="R200">
            <v>1</v>
          </cell>
          <cell r="S200" t="str">
            <v>VAR0000042</v>
          </cell>
          <cell r="T200">
            <v>1</v>
          </cell>
          <cell r="U200" t="str">
            <v>AV170129018</v>
          </cell>
          <cell r="V200">
            <v>0</v>
          </cell>
          <cell r="AS200" t="str">
            <v>LLEVA ESTE MODELO DE CERRADURA PERO CON BAÑO NIQUEL</v>
          </cell>
          <cell r="AX200" t="str">
            <v>PELO_HEREFORD</v>
          </cell>
          <cell r="AY200" t="str">
            <v>LEDER-PELO</v>
          </cell>
          <cell r="AZ200" t="str">
            <v>CUE0000117</v>
          </cell>
          <cell r="BA200">
            <v>0.22</v>
          </cell>
          <cell r="BB200" t="str">
            <v>CUE0000012</v>
          </cell>
          <cell r="BC200">
            <v>0</v>
          </cell>
          <cell r="BR200" t="str">
            <v>PELO_HOLANDO</v>
          </cell>
          <cell r="BS200" t="str">
            <v>LEDER-PELO</v>
          </cell>
          <cell r="BT200" t="str">
            <v>CUE0000116</v>
          </cell>
          <cell r="BU200">
            <v>0.22</v>
          </cell>
          <cell r="BV200" t="str">
            <v>CUE0000009</v>
          </cell>
          <cell r="BW200">
            <v>0</v>
          </cell>
          <cell r="KD200">
            <v>6</v>
          </cell>
          <cell r="KE200">
            <v>6</v>
          </cell>
          <cell r="KF200">
            <v>6</v>
          </cell>
          <cell r="KG200">
            <v>4</v>
          </cell>
          <cell r="KH200">
            <v>4</v>
          </cell>
          <cell r="KI200">
            <v>4</v>
          </cell>
          <cell r="KJ200">
            <v>0</v>
          </cell>
          <cell r="KM200">
            <v>0</v>
          </cell>
          <cell r="KP200">
            <v>0</v>
          </cell>
          <cell r="KS200">
            <v>0</v>
          </cell>
          <cell r="KV200">
            <v>0</v>
          </cell>
          <cell r="KY200">
            <v>0</v>
          </cell>
          <cell r="LB200">
            <v>0</v>
          </cell>
          <cell r="LE200">
            <v>0</v>
          </cell>
          <cell r="LH200">
            <v>0</v>
          </cell>
          <cell r="LK200">
            <v>0</v>
          </cell>
          <cell r="LN200">
            <v>45846</v>
          </cell>
          <cell r="LO200">
            <v>45846</v>
          </cell>
          <cell r="LP200" t="str">
            <v>COMPLETADO</v>
          </cell>
          <cell r="LQ200" t="str">
            <v>QUE SE VEA LA MANCHA SI NO SALE DE RETAZOS USAR PLACA</v>
          </cell>
          <cell r="LR200" t="str">
            <v>QUE SE VEA LA MANCHA SI NO SALE DE RETAZOS USAR PLACA</v>
          </cell>
        </row>
        <row r="201">
          <cell r="A201">
            <v>1845</v>
          </cell>
          <cell r="B201" t="str">
            <v>RUBEN</v>
          </cell>
          <cell r="C201" t="str">
            <v>BARRACAS GRANDE</v>
          </cell>
          <cell r="D201" t="str">
            <v>MARROQUINERIA GRANDE</v>
          </cell>
          <cell r="E201">
            <v>6</v>
          </cell>
          <cell r="F201">
            <v>6</v>
          </cell>
          <cell r="G201">
            <v>6</v>
          </cell>
          <cell r="H201">
            <v>45832.439062500001</v>
          </cell>
          <cell r="I201" t="str">
            <v>BOLSO LIHUEN</v>
          </cell>
          <cell r="J201">
            <v>45832</v>
          </cell>
          <cell r="K201">
            <v>45832</v>
          </cell>
          <cell r="L201">
            <v>45846</v>
          </cell>
          <cell r="M201">
            <v>60</v>
          </cell>
          <cell r="N201" t="str">
            <v>M028</v>
          </cell>
          <cell r="O201" t="str">
            <v>BAC1300020827</v>
          </cell>
          <cell r="P201">
            <v>0.01</v>
          </cell>
          <cell r="Q201" t="str">
            <v>AV0101040201</v>
          </cell>
          <cell r="R201">
            <v>2</v>
          </cell>
          <cell r="S201" t="str">
            <v>AV0400770101</v>
          </cell>
          <cell r="T201">
            <v>2</v>
          </cell>
          <cell r="U201" t="str">
            <v>AV0300260101</v>
          </cell>
          <cell r="V201">
            <v>1</v>
          </cell>
          <cell r="W201" t="str">
            <v>AV0700620101</v>
          </cell>
          <cell r="X201">
            <v>1</v>
          </cell>
          <cell r="Y201" t="str">
            <v>AV0400900101</v>
          </cell>
          <cell r="Z201">
            <v>1</v>
          </cell>
          <cell r="AA201" t="str">
            <v>AV1302250428</v>
          </cell>
          <cell r="AB201">
            <v>1.8</v>
          </cell>
          <cell r="AC201" t="str">
            <v>AV0300390101</v>
          </cell>
          <cell r="AD201">
            <v>2</v>
          </cell>
          <cell r="AE201" t="str">
            <v>AV170129018</v>
          </cell>
          <cell r="AF201">
            <v>0</v>
          </cell>
          <cell r="AS201" t="str">
            <v>TIRACIERRE N° 1 CON TIRA DE CUERO CON REMACHE</v>
          </cell>
          <cell r="AW201" t="str">
            <v xml:space="preserve">GRABADO EL LUCERO GRANDE EN ESPALDA INFERIOR, CENTRADO A LA ALTURA DE LAS MEDIALUNAS  </v>
          </cell>
          <cell r="AX201" t="str">
            <v>NEGRO</v>
          </cell>
          <cell r="AY201" t="str">
            <v>ARENA-CUERO BRIDGE</v>
          </cell>
          <cell r="AZ201" t="str">
            <v>CUE0000009</v>
          </cell>
          <cell r="BA201">
            <v>0.3</v>
          </cell>
          <cell r="BB201" t="str">
            <v>FOR0000020</v>
          </cell>
          <cell r="BC201">
            <v>0.19</v>
          </cell>
          <cell r="BD201" t="str">
            <v>AV0100010103</v>
          </cell>
          <cell r="BE201">
            <v>0.5</v>
          </cell>
          <cell r="BF201" t="str">
            <v>AV1101190526</v>
          </cell>
          <cell r="BG201">
            <v>1.3</v>
          </cell>
          <cell r="BH201" t="str">
            <v>AV1401244040</v>
          </cell>
          <cell r="BI201">
            <v>0</v>
          </cell>
          <cell r="BJ201" t="str">
            <v>AV1601300926</v>
          </cell>
          <cell r="BK201">
            <v>0</v>
          </cell>
          <cell r="BR201" t="str">
            <v>CHOCOLATE</v>
          </cell>
          <cell r="BS201" t="str">
            <v>ARENA-CUERO BRIDGE</v>
          </cell>
          <cell r="BT201" t="str">
            <v>CUE0000005</v>
          </cell>
          <cell r="BU201">
            <v>0.3</v>
          </cell>
          <cell r="BV201" t="str">
            <v>FOR0000021</v>
          </cell>
          <cell r="BW201">
            <v>0.19</v>
          </cell>
          <cell r="BX201" t="str">
            <v>AV0100010111</v>
          </cell>
          <cell r="BY201">
            <v>0.5</v>
          </cell>
          <cell r="BZ201" t="str">
            <v>AV1101200538</v>
          </cell>
          <cell r="CA201">
            <v>1.3</v>
          </cell>
          <cell r="CB201" t="str">
            <v>AV1401240545</v>
          </cell>
          <cell r="CC201">
            <v>0</v>
          </cell>
          <cell r="CD201" t="str">
            <v>AV1601300954</v>
          </cell>
          <cell r="CE201">
            <v>0</v>
          </cell>
          <cell r="KD201">
            <v>3</v>
          </cell>
          <cell r="KE201">
            <v>3</v>
          </cell>
          <cell r="KF201">
            <v>3</v>
          </cell>
          <cell r="KG201">
            <v>3</v>
          </cell>
          <cell r="KH201">
            <v>3</v>
          </cell>
          <cell r="KI201">
            <v>3</v>
          </cell>
          <cell r="KJ201">
            <v>0</v>
          </cell>
          <cell r="KM201">
            <v>0</v>
          </cell>
          <cell r="KP201">
            <v>0</v>
          </cell>
          <cell r="KS201">
            <v>0</v>
          </cell>
          <cell r="KV201">
            <v>0</v>
          </cell>
          <cell r="KY201">
            <v>0</v>
          </cell>
          <cell r="LB201">
            <v>0</v>
          </cell>
          <cell r="LE201">
            <v>0</v>
          </cell>
          <cell r="LH201">
            <v>0</v>
          </cell>
          <cell r="LK201">
            <v>0</v>
          </cell>
          <cell r="LN201">
            <v>45846</v>
          </cell>
          <cell r="LO201">
            <v>45846</v>
          </cell>
          <cell r="LP201" t="str">
            <v>COMPLETADO</v>
          </cell>
        </row>
        <row r="202">
          <cell r="A202">
            <v>1847</v>
          </cell>
          <cell r="B202" t="str">
            <v>RUBEN</v>
          </cell>
          <cell r="C202" t="str">
            <v>BARRACAS GRANDE</v>
          </cell>
          <cell r="D202" t="str">
            <v>MARROQUINERIA GRANDE</v>
          </cell>
          <cell r="E202">
            <v>9</v>
          </cell>
          <cell r="F202">
            <v>9</v>
          </cell>
          <cell r="G202">
            <v>9</v>
          </cell>
          <cell r="H202">
            <v>45832.444039351853</v>
          </cell>
          <cell r="I202" t="str">
            <v>CARTERA AMARILLA C/ CIERRE</v>
          </cell>
          <cell r="J202">
            <v>45832</v>
          </cell>
          <cell r="K202">
            <v>45832</v>
          </cell>
          <cell r="M202">
            <v>40</v>
          </cell>
          <cell r="N202" t="str">
            <v>M035</v>
          </cell>
          <cell r="O202" t="str">
            <v>AV0101030201</v>
          </cell>
          <cell r="P202">
            <v>1</v>
          </cell>
          <cell r="Q202" t="str">
            <v>AV1000380101</v>
          </cell>
          <cell r="R202">
            <v>3</v>
          </cell>
          <cell r="S202" t="str">
            <v>AV0600550101</v>
          </cell>
          <cell r="T202">
            <v>1</v>
          </cell>
          <cell r="U202" t="str">
            <v>AV0300400101</v>
          </cell>
          <cell r="V202">
            <v>1</v>
          </cell>
          <cell r="W202" t="str">
            <v>AV0300390101</v>
          </cell>
          <cell r="X202">
            <v>1</v>
          </cell>
          <cell r="Y202" t="str">
            <v>AV170129018</v>
          </cell>
          <cell r="Z202">
            <v>0</v>
          </cell>
          <cell r="AS202" t="str">
            <v>TIRACIERRE 1 : ARGOLLITA CON TIRA DE CUERO + REMACHE + GRABADO ESTRELLA</v>
          </cell>
          <cell r="AW202" t="str">
            <v xml:space="preserve">GRABADO "EL LUCERO" GRANDE - CENTRADO EN ESPALDA A 3 CM DESDE EL BORDE SUPERIOR  </v>
          </cell>
          <cell r="AX202" t="str">
            <v>MALBEC</v>
          </cell>
          <cell r="AY202" t="str">
            <v>ARENA-CUERO BRIDGE</v>
          </cell>
          <cell r="AZ202" t="str">
            <v>CUE0000008</v>
          </cell>
          <cell r="BA202">
            <v>0.55000000000000004</v>
          </cell>
          <cell r="BB202" t="str">
            <v>CUE0000008</v>
          </cell>
          <cell r="BC202">
            <v>0.06</v>
          </cell>
          <cell r="BD202" t="str">
            <v>AV1401240545</v>
          </cell>
          <cell r="BE202">
            <v>0</v>
          </cell>
          <cell r="BF202" t="str">
            <v>FOR0000020</v>
          </cell>
          <cell r="BG202">
            <v>0.1</v>
          </cell>
          <cell r="BH202" t="str">
            <v>AV0100010261</v>
          </cell>
          <cell r="BI202">
            <v>0.23</v>
          </cell>
          <cell r="BJ202" t="str">
            <v>AV1801370726</v>
          </cell>
          <cell r="BK202">
            <v>0</v>
          </cell>
          <cell r="BR202" t="str">
            <v>AZUL_REVES_AZUL</v>
          </cell>
          <cell r="BS202" t="str">
            <v>BIANCO-CUERO MODENA ESPESOR 1,4</v>
          </cell>
          <cell r="BT202" t="str">
            <v>CUE0000119</v>
          </cell>
          <cell r="BU202">
            <v>0.55000000000000004</v>
          </cell>
          <cell r="BV202" t="str">
            <v>CUE0000119</v>
          </cell>
          <cell r="BW202">
            <v>0.06</v>
          </cell>
          <cell r="BX202" t="str">
            <v>AV1401244340</v>
          </cell>
          <cell r="BY202">
            <v>0</v>
          </cell>
          <cell r="BZ202" t="str">
            <v>FOR0000020</v>
          </cell>
          <cell r="CA202">
            <v>0.1</v>
          </cell>
          <cell r="CB202" t="str">
            <v>AV0100010215</v>
          </cell>
          <cell r="CC202">
            <v>0.23</v>
          </cell>
          <cell r="CD202" t="str">
            <v>AV1801370726</v>
          </cell>
          <cell r="CE202">
            <v>0</v>
          </cell>
          <cell r="KD202">
            <v>6</v>
          </cell>
          <cell r="KE202">
            <v>6</v>
          </cell>
          <cell r="KF202">
            <v>6</v>
          </cell>
          <cell r="KG202">
            <v>3</v>
          </cell>
          <cell r="KH202">
            <v>3</v>
          </cell>
          <cell r="KI202">
            <v>3</v>
          </cell>
          <cell r="KJ202">
            <v>0</v>
          </cell>
          <cell r="KM202">
            <v>0</v>
          </cell>
          <cell r="KP202">
            <v>0</v>
          </cell>
          <cell r="KS202">
            <v>0</v>
          </cell>
          <cell r="KV202">
            <v>0</v>
          </cell>
          <cell r="KY202">
            <v>0</v>
          </cell>
          <cell r="LB202">
            <v>0</v>
          </cell>
          <cell r="LE202">
            <v>0</v>
          </cell>
          <cell r="LH202">
            <v>0</v>
          </cell>
          <cell r="LK202">
            <v>0</v>
          </cell>
          <cell r="LO202">
            <v>45839</v>
          </cell>
          <cell r="LP202" t="str">
            <v>COMPLETADO</v>
          </cell>
        </row>
        <row r="203">
          <cell r="A203">
            <v>1848</v>
          </cell>
          <cell r="B203" t="str">
            <v>RUBEN</v>
          </cell>
          <cell r="C203" t="str">
            <v>BARRACAS GRANDE</v>
          </cell>
          <cell r="D203" t="str">
            <v>MARROQUINERIA GRANDE</v>
          </cell>
          <cell r="E203">
            <v>11</v>
          </cell>
          <cell r="F203">
            <v>11</v>
          </cell>
          <cell r="G203">
            <v>0</v>
          </cell>
          <cell r="H203">
            <v>45832.456296296295</v>
          </cell>
          <cell r="I203" t="str">
            <v>CARTERA HARPER</v>
          </cell>
          <cell r="J203">
            <v>45832</v>
          </cell>
          <cell r="K203">
            <v>45832</v>
          </cell>
          <cell r="M203">
            <v>50</v>
          </cell>
          <cell r="N203" t="str">
            <v>M158</v>
          </cell>
          <cell r="O203" t="str">
            <v>BAC1300020827</v>
          </cell>
          <cell r="P203">
            <v>0.06</v>
          </cell>
          <cell r="Q203" t="str">
            <v>AV0700420101</v>
          </cell>
          <cell r="R203">
            <v>2</v>
          </cell>
          <cell r="S203" t="str">
            <v>AV0101040201</v>
          </cell>
          <cell r="T203">
            <v>2</v>
          </cell>
          <cell r="U203" t="str">
            <v>AV1000840101</v>
          </cell>
          <cell r="V203">
            <v>2</v>
          </cell>
          <cell r="W203" t="str">
            <v>AV0600540101</v>
          </cell>
          <cell r="X203">
            <v>2</v>
          </cell>
          <cell r="Y203" t="str">
            <v>AV170129018</v>
          </cell>
          <cell r="Z203">
            <v>0</v>
          </cell>
          <cell r="AS203" t="str">
            <v>NO LLEVA PINTURA</v>
          </cell>
          <cell r="AW203" t="str">
            <v>GRABADO "EL LUCERO" CHICO CENTRADO EN LA PRESILLA DERECHA</v>
          </cell>
          <cell r="AX203" t="str">
            <v>OLIVA_GAMUZA_TABACO</v>
          </cell>
          <cell r="AY203" t="str">
            <v>NAPOLITANA-CUERO GAMUZA</v>
          </cell>
          <cell r="AZ203" t="str">
            <v>CUE0000047</v>
          </cell>
          <cell r="BA203">
            <v>0.45</v>
          </cell>
          <cell r="BB203" t="str">
            <v>CUE0000012</v>
          </cell>
          <cell r="BC203">
            <v>0.18</v>
          </cell>
          <cell r="BD203" t="str">
            <v>FOR0000021</v>
          </cell>
          <cell r="BE203">
            <v>0.32</v>
          </cell>
          <cell r="BF203" t="str">
            <v>AV0100010114</v>
          </cell>
          <cell r="BG203">
            <v>0.83</v>
          </cell>
          <cell r="BR203" t="str">
            <v>VESUBIO_GAMUZA_TABACO</v>
          </cell>
          <cell r="BS203" t="str">
            <v>NAPOLITANA-CUERO GAMUZA</v>
          </cell>
          <cell r="BT203" t="str">
            <v>CUE0000053</v>
          </cell>
          <cell r="BU203">
            <v>0.45</v>
          </cell>
          <cell r="BV203" t="str">
            <v>CUE0000012</v>
          </cell>
          <cell r="BW203">
            <v>0.18</v>
          </cell>
          <cell r="BX203" t="str">
            <v>FOR0000021</v>
          </cell>
          <cell r="BY203">
            <v>0.32</v>
          </cell>
          <cell r="BZ203" t="str">
            <v>AV0100010114</v>
          </cell>
          <cell r="CA203">
            <v>0.83</v>
          </cell>
          <cell r="CL203" t="str">
            <v>AZUL_GAMUZA_TABACO</v>
          </cell>
          <cell r="CM203" t="str">
            <v>NAPOLITANA-CUERO GAMUZA</v>
          </cell>
          <cell r="CN203" t="str">
            <v>CUE0000038</v>
          </cell>
          <cell r="CO203">
            <v>0.45</v>
          </cell>
          <cell r="CP203" t="str">
            <v>CUE0000012</v>
          </cell>
          <cell r="CQ203">
            <v>0.18</v>
          </cell>
          <cell r="CR203" t="str">
            <v>FOR0000021</v>
          </cell>
          <cell r="CS203">
            <v>0.32</v>
          </cell>
          <cell r="CT203" t="str">
            <v>AV0100010114</v>
          </cell>
          <cell r="CU203">
            <v>0.83</v>
          </cell>
          <cell r="KD203">
            <v>5</v>
          </cell>
          <cell r="KE203">
            <v>5</v>
          </cell>
          <cell r="KG203">
            <v>4</v>
          </cell>
          <cell r="KH203">
            <v>4</v>
          </cell>
          <cell r="KJ203">
            <v>2</v>
          </cell>
          <cell r="KK203">
            <v>2</v>
          </cell>
          <cell r="KM203">
            <v>0</v>
          </cell>
          <cell r="KP203">
            <v>0</v>
          </cell>
          <cell r="KS203">
            <v>0</v>
          </cell>
          <cell r="KV203">
            <v>0</v>
          </cell>
          <cell r="KY203">
            <v>0</v>
          </cell>
          <cell r="LB203">
            <v>0</v>
          </cell>
          <cell r="LE203">
            <v>0</v>
          </cell>
          <cell r="LH203">
            <v>0</v>
          </cell>
          <cell r="LK203">
            <v>0</v>
          </cell>
          <cell r="LP203" t="str">
            <v>EN PRODUCCION</v>
          </cell>
        </row>
        <row r="204">
          <cell r="A204">
            <v>1849</v>
          </cell>
          <cell r="B204" t="str">
            <v>RUBEN</v>
          </cell>
          <cell r="C204" t="str">
            <v>BARRACAS GRANDE</v>
          </cell>
          <cell r="D204" t="str">
            <v>MARROQUINERIA GRANDE</v>
          </cell>
          <cell r="E204">
            <v>30</v>
          </cell>
          <cell r="F204">
            <v>30</v>
          </cell>
          <cell r="G204">
            <v>30</v>
          </cell>
          <cell r="H204">
            <v>45832.471319444441</v>
          </cell>
          <cell r="I204" t="str">
            <v>CARTERA INES</v>
          </cell>
          <cell r="J204">
            <v>45840</v>
          </cell>
          <cell r="K204">
            <v>45840</v>
          </cell>
          <cell r="L204">
            <v>45855</v>
          </cell>
          <cell r="N204" t="str">
            <v>M170</v>
          </cell>
          <cell r="O204" t="str">
            <v>AV0300460101</v>
          </cell>
          <cell r="P204">
            <v>1</v>
          </cell>
          <cell r="Q204" t="str">
            <v>AV170129018</v>
          </cell>
          <cell r="R204">
            <v>0</v>
          </cell>
          <cell r="AS204" t="str">
            <v>SIN FORRERIA</v>
          </cell>
          <cell r="AT204" t="str">
            <v>SIN PINTURA</v>
          </cell>
          <cell r="AW204" t="str">
            <v>GRABADO "EL LUCERO" CHICO CENTRADO EN PIEZA INTERNA PORTA IMAN TRASERA</v>
          </cell>
          <cell r="AX204" t="str">
            <v>NEGRO</v>
          </cell>
          <cell r="AY204" t="str">
            <v>ARENA-CUERO BRIDGE</v>
          </cell>
          <cell r="AZ204" t="str">
            <v>CUE0000009</v>
          </cell>
          <cell r="BA204">
            <v>0</v>
          </cell>
          <cell r="BR204" t="str">
            <v>MALBEC</v>
          </cell>
          <cell r="BS204" t="str">
            <v>ARENA-CUERO BRIDGE</v>
          </cell>
          <cell r="BT204" t="str">
            <v>CUE0000008</v>
          </cell>
          <cell r="BU204">
            <v>0</v>
          </cell>
          <cell r="CL204" t="str">
            <v>CARAMELO</v>
          </cell>
          <cell r="CM204" t="str">
            <v>ARENA-CUERO BRIDGE</v>
          </cell>
          <cell r="CN204" t="str">
            <v>CUE0000004</v>
          </cell>
          <cell r="CO204">
            <v>0</v>
          </cell>
          <cell r="DF204" t="str">
            <v>PELO_HEREFORD</v>
          </cell>
          <cell r="DG204" t="str">
            <v>LEDER-PELO</v>
          </cell>
          <cell r="DH204" t="str">
            <v>CUE0000117</v>
          </cell>
          <cell r="DI204">
            <v>0</v>
          </cell>
          <cell r="DJ204" t="str">
            <v>CUE0000012</v>
          </cell>
          <cell r="DK204">
            <v>0</v>
          </cell>
          <cell r="DZ204" t="str">
            <v>PELO_HOLANDO</v>
          </cell>
          <cell r="EA204" t="str">
            <v>LEDER-PELO</v>
          </cell>
          <cell r="EB204" t="str">
            <v>CUE0000116</v>
          </cell>
          <cell r="EC204">
            <v>0</v>
          </cell>
          <cell r="ED204" t="str">
            <v>CUE0000009</v>
          </cell>
          <cell r="EE204">
            <v>0</v>
          </cell>
          <cell r="KD204">
            <v>8</v>
          </cell>
          <cell r="KE204">
            <v>8</v>
          </cell>
          <cell r="KF204">
            <v>8</v>
          </cell>
          <cell r="KG204">
            <v>8</v>
          </cell>
          <cell r="KH204">
            <v>8</v>
          </cell>
          <cell r="KI204">
            <v>8</v>
          </cell>
          <cell r="KJ204">
            <v>4</v>
          </cell>
          <cell r="KK204">
            <v>4</v>
          </cell>
          <cell r="KL204">
            <v>4</v>
          </cell>
          <cell r="KM204">
            <v>8</v>
          </cell>
          <cell r="KN204">
            <v>8</v>
          </cell>
          <cell r="KO204">
            <v>8</v>
          </cell>
          <cell r="KP204">
            <v>2</v>
          </cell>
          <cell r="KQ204">
            <v>2</v>
          </cell>
          <cell r="KR204">
            <v>2</v>
          </cell>
          <cell r="KS204">
            <v>0</v>
          </cell>
          <cell r="KV204">
            <v>0</v>
          </cell>
          <cell r="KY204">
            <v>0</v>
          </cell>
          <cell r="LB204">
            <v>0</v>
          </cell>
          <cell r="LE204">
            <v>0</v>
          </cell>
          <cell r="LH204">
            <v>0</v>
          </cell>
          <cell r="LK204">
            <v>0</v>
          </cell>
          <cell r="LN204">
            <v>45840</v>
          </cell>
          <cell r="LO204">
            <v>45855</v>
          </cell>
          <cell r="LP204" t="str">
            <v>COMPLETADO</v>
          </cell>
          <cell r="LT204" t="str">
            <v>QUE SE VEA LA MANCHA SI NO SALE DE RETAZOS USAR PLACA</v>
          </cell>
          <cell r="LU204" t="str">
            <v>QUE SE VEA LA MANCHA SI NO SALE DE RETAZOS USAR PLACA</v>
          </cell>
        </row>
        <row r="205">
          <cell r="A205">
            <v>1850</v>
          </cell>
          <cell r="B205" t="str">
            <v>RUBEN</v>
          </cell>
          <cell r="C205" t="str">
            <v>BARRACAS GRANDE</v>
          </cell>
          <cell r="D205" t="str">
            <v>MARROQUINERIA GRANDE</v>
          </cell>
          <cell r="E205">
            <v>18</v>
          </cell>
          <cell r="F205">
            <v>18</v>
          </cell>
          <cell r="G205">
            <v>18</v>
          </cell>
          <cell r="H205">
            <v>45832.48946759259</v>
          </cell>
          <cell r="I205" t="str">
            <v>CARTERA LEANDRA</v>
          </cell>
          <cell r="J205">
            <v>45832</v>
          </cell>
          <cell r="K205">
            <v>45832</v>
          </cell>
          <cell r="M205">
            <v>40</v>
          </cell>
          <cell r="N205" t="str">
            <v>M042</v>
          </cell>
          <cell r="O205" t="str">
            <v>AV0101030201</v>
          </cell>
          <cell r="P205">
            <v>1</v>
          </cell>
          <cell r="Q205" t="str">
            <v>AV1000380101</v>
          </cell>
          <cell r="R205">
            <v>1</v>
          </cell>
          <cell r="S205" t="str">
            <v>AV0300390101</v>
          </cell>
          <cell r="T205">
            <v>1</v>
          </cell>
          <cell r="U205" t="str">
            <v>AV0300400101</v>
          </cell>
          <cell r="V205">
            <v>2</v>
          </cell>
          <cell r="W205" t="str">
            <v>BAC1300020827</v>
          </cell>
          <cell r="X205">
            <v>0.01</v>
          </cell>
          <cell r="Y205" t="str">
            <v>AV1000780101</v>
          </cell>
          <cell r="Z205">
            <v>2</v>
          </cell>
          <cell r="AA205" t="str">
            <v>AV0400980101</v>
          </cell>
          <cell r="AB205">
            <v>1</v>
          </cell>
          <cell r="AC205" t="str">
            <v>AV170129018</v>
          </cell>
          <cell r="AD205">
            <v>0</v>
          </cell>
          <cell r="AS205" t="str">
            <v>TIRACIERRE 1 CON ARGOLLITA: TIRA DE CUERO + REMACHE + GRABADO ESTRELLA</v>
          </cell>
          <cell r="AW205" t="str">
            <v xml:space="preserve">GRABADO EL LUCERO GRANDE ATRAS ABAJO    </v>
          </cell>
          <cell r="AX205" t="str">
            <v>NEGRO</v>
          </cell>
          <cell r="AY205" t="str">
            <v>ARENA-CUERO NAPADO</v>
          </cell>
          <cell r="AZ205" t="str">
            <v>CUE0000026</v>
          </cell>
          <cell r="BA205">
            <v>0.22</v>
          </cell>
          <cell r="BB205" t="str">
            <v>AV1401244040</v>
          </cell>
          <cell r="BC205">
            <v>0</v>
          </cell>
          <cell r="BD205" t="str">
            <v>FOR0000020</v>
          </cell>
          <cell r="BE205">
            <v>0.11</v>
          </cell>
          <cell r="BF205" t="str">
            <v>AV0100010103</v>
          </cell>
          <cell r="BG205">
            <v>0.25</v>
          </cell>
          <cell r="BR205" t="str">
            <v>MALBEC</v>
          </cell>
          <cell r="BS205" t="str">
            <v>ARENA-CUERO NAPADO</v>
          </cell>
          <cell r="BT205" t="str">
            <v>CUE0000025</v>
          </cell>
          <cell r="BU205">
            <v>0.22</v>
          </cell>
          <cell r="BV205" t="str">
            <v>AV1401240545</v>
          </cell>
          <cell r="BW205">
            <v>0</v>
          </cell>
          <cell r="BX205" t="str">
            <v>FOR0000020</v>
          </cell>
          <cell r="BY205">
            <v>0.11</v>
          </cell>
          <cell r="BZ205" t="str">
            <v>AV0100010161</v>
          </cell>
          <cell r="CA205">
            <v>0.25</v>
          </cell>
          <cell r="CO205">
            <v>0</v>
          </cell>
          <cell r="DJ205" t="str">
            <v>CUE0000012</v>
          </cell>
          <cell r="DK205">
            <v>0</v>
          </cell>
          <cell r="ED205" t="str">
            <v>CUE0000009</v>
          </cell>
          <cell r="EE205">
            <v>0</v>
          </cell>
          <cell r="KD205">
            <v>9</v>
          </cell>
          <cell r="KE205">
            <v>9</v>
          </cell>
          <cell r="KF205">
            <v>9</v>
          </cell>
          <cell r="KG205">
            <v>9</v>
          </cell>
          <cell r="KH205">
            <v>9</v>
          </cell>
          <cell r="KI205">
            <v>9</v>
          </cell>
          <cell r="KJ205">
            <v>0</v>
          </cell>
          <cell r="KM205">
            <v>0</v>
          </cell>
          <cell r="KN205">
            <v>0</v>
          </cell>
          <cell r="KP205">
            <v>0</v>
          </cell>
          <cell r="KQ205">
            <v>0</v>
          </cell>
          <cell r="KS205">
            <v>0</v>
          </cell>
          <cell r="KV205">
            <v>0</v>
          </cell>
          <cell r="KY205">
            <v>0</v>
          </cell>
          <cell r="LB205">
            <v>0</v>
          </cell>
          <cell r="LE205">
            <v>0</v>
          </cell>
          <cell r="LH205">
            <v>0</v>
          </cell>
          <cell r="LK205">
            <v>0</v>
          </cell>
          <cell r="LO205">
            <v>45839</v>
          </cell>
          <cell r="LP205" t="str">
            <v>COMPLETADO</v>
          </cell>
        </row>
        <row r="206">
          <cell r="A206">
            <v>1851</v>
          </cell>
          <cell r="B206" t="str">
            <v>RUBEN</v>
          </cell>
          <cell r="C206" t="str">
            <v>BARRACAS GRANDE</v>
          </cell>
          <cell r="D206" t="str">
            <v>MARROQUINERIA GRANDE</v>
          </cell>
          <cell r="E206">
            <v>32</v>
          </cell>
          <cell r="F206">
            <v>32</v>
          </cell>
          <cell r="G206">
            <v>32</v>
          </cell>
          <cell r="H206">
            <v>45832.496296296296</v>
          </cell>
          <cell r="I206" t="str">
            <v>CARTERA LONDRES</v>
          </cell>
          <cell r="J206">
            <v>45840</v>
          </cell>
          <cell r="K206">
            <v>45840</v>
          </cell>
          <cell r="L206">
            <v>45855</v>
          </cell>
          <cell r="M206">
            <v>50</v>
          </cell>
          <cell r="N206" t="str">
            <v>M043</v>
          </cell>
          <cell r="O206" t="str">
            <v>AV0101040201</v>
          </cell>
          <cell r="P206">
            <v>1</v>
          </cell>
          <cell r="Q206" t="str">
            <v>AV0300390101</v>
          </cell>
          <cell r="R206">
            <v>1</v>
          </cell>
          <cell r="S206" t="str">
            <v>AV0300400101</v>
          </cell>
          <cell r="T206">
            <v>4</v>
          </cell>
          <cell r="U206" t="str">
            <v>AV1000430101</v>
          </cell>
          <cell r="V206">
            <v>3</v>
          </cell>
          <cell r="W206" t="str">
            <v>BAC1300020827</v>
          </cell>
          <cell r="X206">
            <v>0.1</v>
          </cell>
          <cell r="Y206" t="str">
            <v>AV0300460101</v>
          </cell>
          <cell r="Z206">
            <v>1</v>
          </cell>
          <cell r="AA206" t="str">
            <v>AV170129018</v>
          </cell>
          <cell r="AB206">
            <v>0</v>
          </cell>
          <cell r="AS206" t="str">
            <v>TIRACIERRES N1 - TIRA CON REMACHE Y GRABADO ESTRELLITA</v>
          </cell>
          <cell r="AW206" t="str">
            <v>GRABADO EL LUCERO GRANDE EN ESPALDA A 3.5CM DEL BORDE SUPERIOR, CENTRADO</v>
          </cell>
          <cell r="AX206" t="str">
            <v>NEGRO</v>
          </cell>
          <cell r="AY206" t="str">
            <v>ARENA-CUERO BRIDGE</v>
          </cell>
          <cell r="AZ206" t="str">
            <v>CUE0000009</v>
          </cell>
          <cell r="BA206">
            <v>0.53</v>
          </cell>
          <cell r="BB206" t="str">
            <v>FOR0000020</v>
          </cell>
          <cell r="BC206">
            <v>0.32</v>
          </cell>
          <cell r="BD206" t="str">
            <v>AV1101170526</v>
          </cell>
          <cell r="BE206">
            <v>1.1499999999999999</v>
          </cell>
          <cell r="BF206" t="str">
            <v>AV0100010203</v>
          </cell>
          <cell r="BG206">
            <v>0.28000000000000003</v>
          </cell>
          <cell r="BR206" t="str">
            <v>TABACO</v>
          </cell>
          <cell r="BS206" t="str">
            <v>ARENA-CUERO BRIDGE</v>
          </cell>
          <cell r="BT206" t="str">
            <v>CUE0000012</v>
          </cell>
          <cell r="BU206">
            <v>0.53</v>
          </cell>
          <cell r="BV206" t="str">
            <v>FOR0000021</v>
          </cell>
          <cell r="BW206">
            <v>0.32</v>
          </cell>
          <cell r="BX206" t="str">
            <v>AV1101180538</v>
          </cell>
          <cell r="BY206">
            <v>1.1499999999999999</v>
          </cell>
          <cell r="BZ206" t="str">
            <v>AV0100010214</v>
          </cell>
          <cell r="CA206">
            <v>0.28000000000000003</v>
          </cell>
          <cell r="CL206" t="str">
            <v>CHOCOLATE</v>
          </cell>
          <cell r="CM206" t="str">
            <v>ARENA-CUERO BRIDGE</v>
          </cell>
          <cell r="CN206" t="str">
            <v>CUE0000005</v>
          </cell>
          <cell r="CO206">
            <v>0.53</v>
          </cell>
          <cell r="CP206" t="str">
            <v>FOR0000021</v>
          </cell>
          <cell r="CQ206">
            <v>0.32</v>
          </cell>
          <cell r="CR206" t="str">
            <v>AV1101180538</v>
          </cell>
          <cell r="CS206">
            <v>1.1499999999999999</v>
          </cell>
          <cell r="CT206" t="str">
            <v>CIE0000002</v>
          </cell>
          <cell r="CU206">
            <v>0.28000000000000003</v>
          </cell>
          <cell r="DF206" t="str">
            <v>ROJO</v>
          </cell>
          <cell r="DG206" t="str">
            <v>ARENA-CUERO BRIDGE</v>
          </cell>
          <cell r="DH206" t="str">
            <v>CUE0000010</v>
          </cell>
          <cell r="DI206">
            <v>0.53</v>
          </cell>
          <cell r="DJ206" t="str">
            <v>FOR0000020</v>
          </cell>
          <cell r="DK206">
            <v>0.32</v>
          </cell>
          <cell r="DL206" t="str">
            <v>AV1101170526</v>
          </cell>
          <cell r="DM206">
            <v>1.1499999999999999</v>
          </cell>
          <cell r="DN206" t="str">
            <v>AV0100010213</v>
          </cell>
          <cell r="DO206">
            <v>0.28000000000000003</v>
          </cell>
          <cell r="DZ206" t="str">
            <v>MALBEC</v>
          </cell>
          <cell r="EA206" t="str">
            <v>ARENA-CUERO BRIDGE</v>
          </cell>
          <cell r="EB206" t="str">
            <v>CUE0000008</v>
          </cell>
          <cell r="EC206">
            <v>0.53</v>
          </cell>
          <cell r="ED206" t="str">
            <v>FOR0000020</v>
          </cell>
          <cell r="EE206">
            <v>0.32</v>
          </cell>
          <cell r="EF206" t="str">
            <v>AV1101170526</v>
          </cell>
          <cell r="EG206">
            <v>1.1499999999999999</v>
          </cell>
          <cell r="EH206" t="str">
            <v>AV0100010261</v>
          </cell>
          <cell r="EI206">
            <v>0.28000000000000003</v>
          </cell>
          <cell r="ET206" t="str">
            <v>CARAMELO</v>
          </cell>
          <cell r="EU206" t="str">
            <v>ARENA-CUERO BRIDGE</v>
          </cell>
          <cell r="EV206" t="str">
            <v>CUE0000004</v>
          </cell>
          <cell r="EW206">
            <v>0.53</v>
          </cell>
          <cell r="EX206" t="str">
            <v>FOR0000021</v>
          </cell>
          <cell r="EY206">
            <v>0.32</v>
          </cell>
          <cell r="EZ206" t="str">
            <v>AV1101630525</v>
          </cell>
          <cell r="FA206">
            <v>1.1499999999999999</v>
          </cell>
          <cell r="FB206" t="str">
            <v>AV0100010205</v>
          </cell>
          <cell r="FC206">
            <v>0.28000000000000003</v>
          </cell>
          <cell r="KD206">
            <v>4</v>
          </cell>
          <cell r="KE206">
            <v>4</v>
          </cell>
          <cell r="KF206">
            <v>4</v>
          </cell>
          <cell r="KG206">
            <v>6</v>
          </cell>
          <cell r="KH206">
            <v>6</v>
          </cell>
          <cell r="KI206">
            <v>6</v>
          </cell>
          <cell r="KJ206">
            <v>8</v>
          </cell>
          <cell r="KK206">
            <v>8</v>
          </cell>
          <cell r="KL206">
            <v>8</v>
          </cell>
          <cell r="KM206">
            <v>4</v>
          </cell>
          <cell r="KN206">
            <v>4</v>
          </cell>
          <cell r="KO206">
            <v>4</v>
          </cell>
          <cell r="KP206">
            <v>6</v>
          </cell>
          <cell r="KQ206">
            <v>6</v>
          </cell>
          <cell r="KR206">
            <v>6</v>
          </cell>
          <cell r="KS206">
            <v>4</v>
          </cell>
          <cell r="KT206">
            <v>4</v>
          </cell>
          <cell r="KU206">
            <v>4</v>
          </cell>
          <cell r="KV206">
            <v>0</v>
          </cell>
          <cell r="KY206">
            <v>0</v>
          </cell>
          <cell r="LB206">
            <v>0</v>
          </cell>
          <cell r="LE206">
            <v>0</v>
          </cell>
          <cell r="LH206">
            <v>0</v>
          </cell>
          <cell r="LK206">
            <v>0</v>
          </cell>
          <cell r="LN206">
            <v>45840</v>
          </cell>
          <cell r="LO206">
            <v>45855</v>
          </cell>
          <cell r="LP206" t="str">
            <v>COMPLETADO</v>
          </cell>
        </row>
        <row r="207">
          <cell r="A207">
            <v>1846</v>
          </cell>
          <cell r="B207" t="str">
            <v>RUBEN</v>
          </cell>
          <cell r="C207" t="str">
            <v>BARRACAS GRANDE</v>
          </cell>
          <cell r="D207" t="str">
            <v>MARROQUINERIA GRANDE</v>
          </cell>
          <cell r="E207">
            <v>1</v>
          </cell>
          <cell r="F207">
            <v>1</v>
          </cell>
          <cell r="G207">
            <v>1</v>
          </cell>
          <cell r="H207">
            <v>45832.50953703704</v>
          </cell>
          <cell r="I207" t="str">
            <v>BOLSO TUBO GRANDE</v>
          </cell>
          <cell r="J207">
            <v>45832</v>
          </cell>
          <cell r="K207">
            <v>45832</v>
          </cell>
          <cell r="L207">
            <v>45839</v>
          </cell>
          <cell r="M207">
            <v>90</v>
          </cell>
          <cell r="N207" t="str">
            <v>M030</v>
          </cell>
          <cell r="O207" t="str">
            <v>BAC1300020827</v>
          </cell>
          <cell r="P207">
            <v>0.08</v>
          </cell>
          <cell r="Q207" t="str">
            <v>AV0101030201</v>
          </cell>
          <cell r="R207">
            <v>2</v>
          </cell>
          <cell r="S207" t="str">
            <v>AV0101040201</v>
          </cell>
          <cell r="T207">
            <v>1</v>
          </cell>
          <cell r="U207" t="str">
            <v>AV0300250101</v>
          </cell>
          <cell r="V207">
            <v>4</v>
          </cell>
          <cell r="W207" t="str">
            <v>AV0300410101</v>
          </cell>
          <cell r="X207">
            <v>9</v>
          </cell>
          <cell r="Y207" t="str">
            <v>AV1302250428</v>
          </cell>
          <cell r="Z207">
            <v>2</v>
          </cell>
          <cell r="AA207" t="str">
            <v>AV1302240428</v>
          </cell>
          <cell r="AB207">
            <v>0.8</v>
          </cell>
          <cell r="AC207" t="str">
            <v>AV1001450101</v>
          </cell>
          <cell r="AD207">
            <v>2</v>
          </cell>
          <cell r="AE207" t="str">
            <v>AV0700630101</v>
          </cell>
          <cell r="AF207">
            <v>2</v>
          </cell>
          <cell r="AG207" t="str">
            <v>AV0701130101</v>
          </cell>
          <cell r="AH207">
            <v>1</v>
          </cell>
          <cell r="AI207" t="str">
            <v>AV0600540101</v>
          </cell>
          <cell r="AJ207">
            <v>2</v>
          </cell>
          <cell r="AK207" t="str">
            <v>AV0300390101</v>
          </cell>
          <cell r="AL207">
            <v>1</v>
          </cell>
          <cell r="AM207" t="str">
            <v>AV170129018</v>
          </cell>
          <cell r="AN207">
            <v>0</v>
          </cell>
          <cell r="AS207" t="str">
            <v>TIRACIERRE INTERNO: N1 TIRA CON REMACHE + GRABADO ESTRELLITA</v>
          </cell>
          <cell r="AT207" t="str">
            <v>TIRACIERRES EXTERNOS "EL LUCERO" GRANDE</v>
          </cell>
          <cell r="AU207" t="str">
            <v>GAMUZA: CON VISTA DE CUERO EN BOLSILLO FRENTE</v>
          </cell>
          <cell r="AV207" t="str">
            <v>SIN CLAVOS DE FONDO / SIN BOLSILLO AL FRENTE / CORREA PUNTA REDONDEADA</v>
          </cell>
          <cell r="AW207" t="str">
            <v xml:space="preserve">EL LUCERO ARGENTINA TAMAÑO GRANDE, EN TROQUEL COCIDO DEBAJO DE VISTA DE CIERRE INTERNO </v>
          </cell>
          <cell r="AX207" t="str">
            <v>NEGRO_PELO_HOLANDO</v>
          </cell>
          <cell r="AY207" t="str">
            <v>ARENA-CUERO BRIDGE</v>
          </cell>
          <cell r="AZ207" t="str">
            <v>CUE0000009</v>
          </cell>
          <cell r="BA207">
            <v>0.82</v>
          </cell>
          <cell r="BB207" t="str">
            <v>CUE0000116</v>
          </cell>
          <cell r="BC207">
            <v>0.43</v>
          </cell>
          <cell r="BD207" t="str">
            <v>FOR0000021</v>
          </cell>
          <cell r="BE207">
            <v>0.72</v>
          </cell>
          <cell r="BF207" t="str">
            <v>AV0100010103</v>
          </cell>
          <cell r="BG207">
            <v>1.02</v>
          </cell>
          <cell r="BH207" t="str">
            <v>AV1801370726</v>
          </cell>
          <cell r="BI207">
            <v>2</v>
          </cell>
          <cell r="BJ207" t="str">
            <v>AV1401244040</v>
          </cell>
          <cell r="BK207">
            <v>0</v>
          </cell>
          <cell r="KD207">
            <v>1</v>
          </cell>
          <cell r="KE207">
            <v>1</v>
          </cell>
          <cell r="KF207">
            <v>1</v>
          </cell>
          <cell r="KG207">
            <v>0</v>
          </cell>
          <cell r="KJ207">
            <v>0</v>
          </cell>
          <cell r="KM207">
            <v>0</v>
          </cell>
          <cell r="KP207">
            <v>0</v>
          </cell>
          <cell r="KS207">
            <v>0</v>
          </cell>
          <cell r="KV207">
            <v>0</v>
          </cell>
          <cell r="KY207">
            <v>0</v>
          </cell>
          <cell r="LB207">
            <v>0</v>
          </cell>
          <cell r="LE207">
            <v>0</v>
          </cell>
          <cell r="LH207">
            <v>0</v>
          </cell>
          <cell r="LK207">
            <v>0</v>
          </cell>
          <cell r="LN207">
            <v>45832</v>
          </cell>
          <cell r="LO207">
            <v>45839</v>
          </cell>
          <cell r="LP207" t="str">
            <v>COMPLETADO</v>
          </cell>
        </row>
        <row r="208">
          <cell r="A208">
            <v>1860</v>
          </cell>
          <cell r="B208" t="str">
            <v>LUCIANO</v>
          </cell>
          <cell r="C208" t="str">
            <v>BARRACAS CHICA</v>
          </cell>
          <cell r="D208" t="str">
            <v>MARROQUINERIA CHICA</v>
          </cell>
          <cell r="E208">
            <v>10</v>
          </cell>
          <cell r="F208">
            <v>10</v>
          </cell>
          <cell r="G208">
            <v>10</v>
          </cell>
          <cell r="H208">
            <v>45840.786562499998</v>
          </cell>
          <cell r="I208" t="str">
            <v>NECESSAIRE MINI MARCOS</v>
          </cell>
          <cell r="J208">
            <v>45838</v>
          </cell>
          <cell r="K208">
            <v>45838</v>
          </cell>
          <cell r="L208">
            <v>45846</v>
          </cell>
          <cell r="M208">
            <v>40</v>
          </cell>
          <cell r="N208" t="str">
            <v>M073</v>
          </cell>
          <cell r="O208" t="str">
            <v>AV0101030201</v>
          </cell>
          <cell r="P208">
            <v>2</v>
          </cell>
          <cell r="Q208" t="str">
            <v>AV0400160101</v>
          </cell>
          <cell r="R208">
            <v>1</v>
          </cell>
          <cell r="S208" t="str">
            <v>AV1000380101</v>
          </cell>
          <cell r="T208">
            <v>1</v>
          </cell>
          <cell r="U208" t="str">
            <v>AV0300390101</v>
          </cell>
          <cell r="V208">
            <v>2</v>
          </cell>
          <cell r="W208" t="str">
            <v>AV170134014</v>
          </cell>
          <cell r="X208">
            <v>0</v>
          </cell>
          <cell r="AS208" t="str">
            <v>TIRACIERRE N 7 - LISO SIN MARCA + TIRA CON REMACHE Y GRABADO ESTRELLA</v>
          </cell>
          <cell r="AW208" t="str">
            <v xml:space="preserve">GRABADO "EL LUCERO ARGENTINA" GRANDE EN LATERAL DERECHO (EL QUE NO TIENE MANIJA) A 2 CM DESDE ABAJO </v>
          </cell>
          <cell r="AX208" t="str">
            <v>TABACO</v>
          </cell>
          <cell r="AY208" t="str">
            <v>ARENA-CUERO BRIDGE</v>
          </cell>
          <cell r="AZ208" t="str">
            <v>CUE0000012</v>
          </cell>
          <cell r="BA208">
            <v>0.23</v>
          </cell>
          <cell r="BB208" t="str">
            <v>AV1401250545</v>
          </cell>
          <cell r="BC208">
            <v>0</v>
          </cell>
          <cell r="BD208" t="str">
            <v>FOR0000021</v>
          </cell>
          <cell r="BE208">
            <v>0.26</v>
          </cell>
          <cell r="BF208" t="str">
            <v>AV0100010114</v>
          </cell>
          <cell r="BG208">
            <v>0.62</v>
          </cell>
          <cell r="BR208" t="str">
            <v>CHOCOLATE</v>
          </cell>
          <cell r="BS208" t="str">
            <v>ARENA-CUERO BRIDGE</v>
          </cell>
          <cell r="BT208" t="str">
            <v>CUE0000005</v>
          </cell>
          <cell r="BU208">
            <v>0.23</v>
          </cell>
          <cell r="BV208" t="str">
            <v>AV1401250545</v>
          </cell>
          <cell r="BW208">
            <v>0</v>
          </cell>
          <cell r="BX208" t="str">
            <v>AV0100010111</v>
          </cell>
          <cell r="BY208">
            <v>0.26</v>
          </cell>
          <cell r="BZ208" t="str">
            <v>FOR0000021</v>
          </cell>
          <cell r="CA208">
            <v>0.62</v>
          </cell>
          <cell r="CP208" t="str">
            <v>FOR0000030</v>
          </cell>
          <cell r="CQ208">
            <v>0.02</v>
          </cell>
          <cell r="KD208">
            <v>4</v>
          </cell>
          <cell r="KE208">
            <v>4</v>
          </cell>
          <cell r="KF208">
            <v>4</v>
          </cell>
          <cell r="KG208">
            <v>6</v>
          </cell>
          <cell r="KH208">
            <v>6</v>
          </cell>
          <cell r="KI208">
            <v>6</v>
          </cell>
          <cell r="KJ208">
            <v>0</v>
          </cell>
          <cell r="KM208">
            <v>0</v>
          </cell>
          <cell r="KP208">
            <v>0</v>
          </cell>
          <cell r="KS208">
            <v>0</v>
          </cell>
          <cell r="KV208">
            <v>0</v>
          </cell>
          <cell r="KY208">
            <v>0</v>
          </cell>
          <cell r="LB208">
            <v>0</v>
          </cell>
          <cell r="LE208">
            <v>0</v>
          </cell>
          <cell r="LH208">
            <v>0</v>
          </cell>
          <cell r="LK208">
            <v>0</v>
          </cell>
          <cell r="LN208">
            <v>45838</v>
          </cell>
          <cell r="LO208">
            <v>45846</v>
          </cell>
          <cell r="LP208" t="str">
            <v>COMPLETADO</v>
          </cell>
        </row>
        <row r="209">
          <cell r="A209">
            <v>1862</v>
          </cell>
          <cell r="B209" t="str">
            <v>RUBEN</v>
          </cell>
          <cell r="C209" t="str">
            <v>BARRACAS GRANDE</v>
          </cell>
          <cell r="D209" t="str">
            <v>MARROQUINERIA GRANDE</v>
          </cell>
          <cell r="E209">
            <v>8</v>
          </cell>
          <cell r="F209">
            <v>8</v>
          </cell>
          <cell r="G209">
            <v>8</v>
          </cell>
          <cell r="H209">
            <v>45840.809513888889</v>
          </cell>
          <cell r="I209" t="str">
            <v>PORTALAPTOP MILTON</v>
          </cell>
          <cell r="J209">
            <v>45838</v>
          </cell>
          <cell r="K209">
            <v>45838</v>
          </cell>
          <cell r="L209">
            <v>45860</v>
          </cell>
          <cell r="M209">
            <v>18</v>
          </cell>
          <cell r="N209" t="str">
            <v>M095</v>
          </cell>
          <cell r="O209" t="str">
            <v>AV170129018</v>
          </cell>
          <cell r="P209">
            <v>0</v>
          </cell>
          <cell r="AS209" t="str">
            <v>MODIFICAR EL MOLDE VA PUNTA REDONDEADA</v>
          </cell>
          <cell r="AW209" t="str">
            <v xml:space="preserve">GRABADO "EL LUCERO ARGENTINA" GRANDE EN ESPALDA, CENTRADO A 1,5 CM DESDE EL BORDE INFERIOR </v>
          </cell>
          <cell r="AX209" t="str">
            <v>MALBEC</v>
          </cell>
          <cell r="AY209" t="str">
            <v>ARENA-CUERO BRIDGE</v>
          </cell>
          <cell r="AZ209" t="str">
            <v>CUE0000008</v>
          </cell>
          <cell r="BA209">
            <v>0.27</v>
          </cell>
          <cell r="BB209" t="str">
            <v>AV1401240545</v>
          </cell>
          <cell r="BC209">
            <v>0</v>
          </cell>
          <cell r="BR209" t="str">
            <v>CARAMELO</v>
          </cell>
          <cell r="BS209" t="str">
            <v>ARENA-CUERO BRIDGE</v>
          </cell>
          <cell r="BT209" t="str">
            <v>CUE0000004</v>
          </cell>
          <cell r="BU209">
            <v>0.27</v>
          </cell>
          <cell r="BV209" t="str">
            <v>AV1401240545</v>
          </cell>
          <cell r="BW209">
            <v>0</v>
          </cell>
          <cell r="CL209" t="str">
            <v>TABACO</v>
          </cell>
          <cell r="CM209" t="str">
            <v>ARENA-CUERO BRIDGE</v>
          </cell>
          <cell r="CN209" t="str">
            <v>CUE0000012</v>
          </cell>
          <cell r="CO209">
            <v>0.27</v>
          </cell>
          <cell r="CP209" t="str">
            <v>AV1401240545</v>
          </cell>
          <cell r="CQ209">
            <v>0</v>
          </cell>
          <cell r="KD209">
            <v>4</v>
          </cell>
          <cell r="KE209">
            <v>4</v>
          </cell>
          <cell r="KF209">
            <v>4</v>
          </cell>
          <cell r="KG209">
            <v>2</v>
          </cell>
          <cell r="KH209">
            <v>2</v>
          </cell>
          <cell r="KI209">
            <v>2</v>
          </cell>
          <cell r="KJ209">
            <v>2</v>
          </cell>
          <cell r="KK209">
            <v>2</v>
          </cell>
          <cell r="KL209">
            <v>2</v>
          </cell>
          <cell r="KM209">
            <v>0</v>
          </cell>
          <cell r="KP209">
            <v>0</v>
          </cell>
          <cell r="KS209">
            <v>0</v>
          </cell>
          <cell r="KV209">
            <v>0</v>
          </cell>
          <cell r="KY209">
            <v>0</v>
          </cell>
          <cell r="LB209">
            <v>0</v>
          </cell>
          <cell r="LE209">
            <v>0</v>
          </cell>
          <cell r="LH209">
            <v>0</v>
          </cell>
          <cell r="LK209">
            <v>0</v>
          </cell>
          <cell r="LN209">
            <v>45838</v>
          </cell>
          <cell r="LO209">
            <v>45860</v>
          </cell>
          <cell r="LP209" t="str">
            <v>COMPLETADO</v>
          </cell>
        </row>
        <row r="210">
          <cell r="A210">
            <v>1865</v>
          </cell>
          <cell r="B210" t="str">
            <v>RUBEN</v>
          </cell>
          <cell r="C210" t="str">
            <v>BARRACAS GRANDE</v>
          </cell>
          <cell r="D210" t="str">
            <v>MARROQUINERIA GRANDE</v>
          </cell>
          <cell r="E210">
            <v>10</v>
          </cell>
          <cell r="F210">
            <v>10</v>
          </cell>
          <cell r="G210">
            <v>10</v>
          </cell>
          <cell r="H210">
            <v>45840.812939814816</v>
          </cell>
          <cell r="I210" t="str">
            <v>RIÑONERA EVAN GRANDE</v>
          </cell>
          <cell r="J210">
            <v>45838</v>
          </cell>
          <cell r="K210">
            <v>45838</v>
          </cell>
          <cell r="L210">
            <v>45846</v>
          </cell>
          <cell r="M210">
            <v>45</v>
          </cell>
          <cell r="N210" t="str">
            <v>M115</v>
          </cell>
          <cell r="O210" t="str">
            <v>AV0101030201</v>
          </cell>
          <cell r="P210">
            <v>2</v>
          </cell>
          <cell r="Q210" t="str">
            <v>AV0300260101</v>
          </cell>
          <cell r="R210">
            <v>1</v>
          </cell>
          <cell r="S210" t="str">
            <v>AV0400900101</v>
          </cell>
          <cell r="T210">
            <v>1</v>
          </cell>
          <cell r="U210" t="str">
            <v>AV0300390101</v>
          </cell>
          <cell r="V210">
            <v>2</v>
          </cell>
          <cell r="W210" t="str">
            <v>AV1000380101</v>
          </cell>
          <cell r="X210">
            <v>1</v>
          </cell>
          <cell r="Y210" t="str">
            <v>AV170129018</v>
          </cell>
          <cell r="Z210">
            <v>0</v>
          </cell>
          <cell r="AS210" t="str">
            <v>TIRACIERRE N° 4 , TIRA CONTRAPEGADA+ REMACHE + GRABADO "L" LUCERO</v>
          </cell>
          <cell r="AW210" t="str">
            <v xml:space="preserve">GRABADO EL LUCERO CHICO: ESPALDA CENTRADO A 2 CM DE BORDE INFERIOR  </v>
          </cell>
          <cell r="AX210" t="str">
            <v>NEGRO</v>
          </cell>
          <cell r="AY210" t="str">
            <v>ARENA-CUERO BRIDGE</v>
          </cell>
          <cell r="AZ210" t="str">
            <v>CUE0000009</v>
          </cell>
          <cell r="BA210">
            <v>0.27</v>
          </cell>
          <cell r="BB210" t="str">
            <v>FOR0000020</v>
          </cell>
          <cell r="BC210">
            <v>0.14000000000000001</v>
          </cell>
          <cell r="BD210" t="str">
            <v>AV1101190526</v>
          </cell>
          <cell r="BE210">
            <v>1.56</v>
          </cell>
          <cell r="BF210" t="str">
            <v>AV0100010103</v>
          </cell>
          <cell r="BG210">
            <v>0.53</v>
          </cell>
          <cell r="BH210" t="str">
            <v>AV1101170526</v>
          </cell>
          <cell r="BI210">
            <v>1.4</v>
          </cell>
          <cell r="BJ210" t="str">
            <v>AV1401244040</v>
          </cell>
          <cell r="BK210">
            <v>0</v>
          </cell>
          <cell r="BR210" t="str">
            <v>CHOCOLATE</v>
          </cell>
          <cell r="BS210" t="str">
            <v>ARENA-CUERO BRIDGE</v>
          </cell>
          <cell r="BT210" t="str">
            <v>CUE0000005</v>
          </cell>
          <cell r="BU210">
            <v>0.27</v>
          </cell>
          <cell r="BV210" t="str">
            <v>FOR0000021</v>
          </cell>
          <cell r="BW210">
            <v>0.14000000000000001</v>
          </cell>
          <cell r="BX210" t="str">
            <v>AV1101200538</v>
          </cell>
          <cell r="BY210">
            <v>1.56</v>
          </cell>
          <cell r="BZ210" t="str">
            <v>AV0100010111</v>
          </cell>
          <cell r="CA210">
            <v>0.53</v>
          </cell>
          <cell r="CB210" t="str">
            <v>AV1101180538</v>
          </cell>
          <cell r="CC210">
            <v>1.4</v>
          </cell>
          <cell r="CD210" t="str">
            <v>AV1401240545</v>
          </cell>
          <cell r="CE210">
            <v>0</v>
          </cell>
          <cell r="CF210" t="str">
            <v>AV1601300954</v>
          </cell>
          <cell r="CG210">
            <v>0</v>
          </cell>
          <cell r="CL210" t="str">
            <v>TABACO</v>
          </cell>
          <cell r="CM210" t="str">
            <v>ARENA-CUERO BRIDGE</v>
          </cell>
          <cell r="CN210" t="str">
            <v>CUE0000012</v>
          </cell>
          <cell r="CO210">
            <v>0.27</v>
          </cell>
          <cell r="CP210" t="str">
            <v>FOR0000021</v>
          </cell>
          <cell r="CQ210">
            <v>0.14000000000000001</v>
          </cell>
          <cell r="CR210" t="str">
            <v>AV1101200538</v>
          </cell>
          <cell r="CS210">
            <v>1.56</v>
          </cell>
          <cell r="CT210" t="str">
            <v>AV0100010114</v>
          </cell>
          <cell r="CU210">
            <v>0.53</v>
          </cell>
          <cell r="CV210" t="str">
            <v>AV1101180538</v>
          </cell>
          <cell r="CW210">
            <v>1.4</v>
          </cell>
          <cell r="CX210" t="str">
            <v>AV1401240545</v>
          </cell>
          <cell r="CY210">
            <v>0</v>
          </cell>
          <cell r="CZ210" t="str">
            <v>AV1601300954</v>
          </cell>
          <cell r="DA210">
            <v>0</v>
          </cell>
          <cell r="KD210">
            <v>2</v>
          </cell>
          <cell r="KE210">
            <v>2</v>
          </cell>
          <cell r="KF210">
            <v>2</v>
          </cell>
          <cell r="KG210">
            <v>4</v>
          </cell>
          <cell r="KH210">
            <v>4</v>
          </cell>
          <cell r="KI210">
            <v>4</v>
          </cell>
          <cell r="KJ210">
            <v>4</v>
          </cell>
          <cell r="KK210">
            <v>4</v>
          </cell>
          <cell r="KL210">
            <v>4</v>
          </cell>
          <cell r="KM210">
            <v>0</v>
          </cell>
          <cell r="KP210">
            <v>0</v>
          </cell>
          <cell r="KS210">
            <v>0</v>
          </cell>
          <cell r="KV210">
            <v>0</v>
          </cell>
          <cell r="KY210">
            <v>0</v>
          </cell>
          <cell r="LB210">
            <v>0</v>
          </cell>
          <cell r="LE210">
            <v>0</v>
          </cell>
          <cell r="LH210">
            <v>0</v>
          </cell>
          <cell r="LK210">
            <v>0</v>
          </cell>
          <cell r="LN210">
            <v>45838</v>
          </cell>
          <cell r="LO210">
            <v>45846</v>
          </cell>
          <cell r="LP210" t="str">
            <v>COMPLETADO</v>
          </cell>
        </row>
        <row r="211">
          <cell r="A211">
            <v>1866</v>
          </cell>
          <cell r="B211" t="str">
            <v>RUBEN</v>
          </cell>
          <cell r="C211" t="str">
            <v>BARRACAS GRANDE</v>
          </cell>
          <cell r="D211" t="str">
            <v>MARROQUINERIA GRANDE</v>
          </cell>
          <cell r="E211">
            <v>4</v>
          </cell>
          <cell r="F211">
            <v>4</v>
          </cell>
          <cell r="G211">
            <v>4</v>
          </cell>
          <cell r="H211">
            <v>45840.815462962964</v>
          </cell>
          <cell r="I211" t="str">
            <v>RIÑONERA EVAN GRANDE FULL BLACK</v>
          </cell>
          <cell r="J211">
            <v>45838</v>
          </cell>
          <cell r="K211">
            <v>45838</v>
          </cell>
          <cell r="L211">
            <v>45846</v>
          </cell>
          <cell r="M211">
            <v>45</v>
          </cell>
          <cell r="N211" t="str">
            <v>M116</v>
          </cell>
          <cell r="O211" t="str">
            <v>AV0101030201</v>
          </cell>
          <cell r="P211">
            <v>2</v>
          </cell>
          <cell r="Q211" t="str">
            <v>AV0300260101</v>
          </cell>
          <cell r="R211">
            <v>1</v>
          </cell>
          <cell r="S211" t="str">
            <v>AV0400900101</v>
          </cell>
          <cell r="T211">
            <v>1</v>
          </cell>
          <cell r="U211" t="str">
            <v>AV0300390101</v>
          </cell>
          <cell r="V211">
            <v>2</v>
          </cell>
          <cell r="W211" t="str">
            <v>AV1000380101</v>
          </cell>
          <cell r="X211">
            <v>1</v>
          </cell>
          <cell r="Y211" t="str">
            <v>AV170129018</v>
          </cell>
          <cell r="Z211">
            <v>0</v>
          </cell>
          <cell r="AS211" t="str">
            <v>TIRACIERRE 13 (TIRA DE CUERO COSIDA)</v>
          </cell>
          <cell r="AW211" t="str">
            <v xml:space="preserve">GRABADO EL LUCERO CHICO: ESPALDA CENTRADO A 2 CM DE BORDE INFERIOR  </v>
          </cell>
          <cell r="AX211" t="str">
            <v>NEGRO</v>
          </cell>
          <cell r="AY211" t="str">
            <v>ARENA-CUERO BRIDGE</v>
          </cell>
          <cell r="AZ211" t="str">
            <v>CUE0000009</v>
          </cell>
          <cell r="BA211">
            <v>0.27</v>
          </cell>
          <cell r="BB211" t="str">
            <v>FOR0000020</v>
          </cell>
          <cell r="BC211">
            <v>0.14000000000000001</v>
          </cell>
          <cell r="BD211" t="str">
            <v>AV1101190526</v>
          </cell>
          <cell r="BE211">
            <v>1.56</v>
          </cell>
          <cell r="BF211" t="str">
            <v>AV0100010103</v>
          </cell>
          <cell r="BG211">
            <v>0.53</v>
          </cell>
          <cell r="BH211" t="str">
            <v>AV1101170526</v>
          </cell>
          <cell r="BI211">
            <v>1.4</v>
          </cell>
          <cell r="KD211">
            <v>4</v>
          </cell>
          <cell r="KE211">
            <v>4</v>
          </cell>
          <cell r="KF211">
            <v>4</v>
          </cell>
          <cell r="KG211">
            <v>0</v>
          </cell>
          <cell r="KJ211">
            <v>0</v>
          </cell>
          <cell r="KM211">
            <v>0</v>
          </cell>
          <cell r="KP211">
            <v>0</v>
          </cell>
          <cell r="KS211">
            <v>0</v>
          </cell>
          <cell r="KV211">
            <v>0</v>
          </cell>
          <cell r="KY211">
            <v>0</v>
          </cell>
          <cell r="LB211">
            <v>0</v>
          </cell>
          <cell r="LE211">
            <v>0</v>
          </cell>
          <cell r="LH211">
            <v>0</v>
          </cell>
          <cell r="LK211">
            <v>0</v>
          </cell>
          <cell r="LN211">
            <v>45838</v>
          </cell>
          <cell r="LO211">
            <v>45846</v>
          </cell>
          <cell r="LP211" t="str">
            <v>COMPLETADO</v>
          </cell>
        </row>
        <row r="212">
          <cell r="A212">
            <v>1869</v>
          </cell>
          <cell r="B212" t="str">
            <v>RUBEN</v>
          </cell>
          <cell r="C212" t="str">
            <v>BARRACAS GRANDE</v>
          </cell>
          <cell r="D212" t="str">
            <v>MARROQUINERIA GRANDE</v>
          </cell>
          <cell r="E212">
            <v>42</v>
          </cell>
          <cell r="F212">
            <v>41</v>
          </cell>
          <cell r="G212">
            <v>41</v>
          </cell>
          <cell r="H212">
            <v>45840.819444444445</v>
          </cell>
          <cell r="I212" t="str">
            <v>TOTE IRUYA</v>
          </cell>
          <cell r="J212">
            <v>45838</v>
          </cell>
          <cell r="K212">
            <v>45838</v>
          </cell>
          <cell r="L212">
            <v>45855</v>
          </cell>
          <cell r="M212">
            <v>20</v>
          </cell>
          <cell r="N212" t="str">
            <v>M154</v>
          </cell>
          <cell r="O212" t="str">
            <v>AV170129018</v>
          </cell>
          <cell r="P212">
            <v>0</v>
          </cell>
          <cell r="AS212" t="str">
            <v>CORREA 2,5CM / SIN PINTURA</v>
          </cell>
          <cell r="AT212" t="str">
            <v>PEGAR ETIQUETA DE CUERO AL FRENTE HILO AL TONO CON HILO GRUESO N 20</v>
          </cell>
          <cell r="AW212" t="str">
            <v>GRABADO ETIQUETA EN NAPADO 7,5CM X 5,5 CM "EL LUCERO HIGH QUALITY GOODS</v>
          </cell>
          <cell r="AX212" t="str">
            <v>PELO_HOLANDO</v>
          </cell>
          <cell r="AY212" t="str">
            <v>LEDER-PELO</v>
          </cell>
          <cell r="AZ212" t="str">
            <v>CUE0000116</v>
          </cell>
          <cell r="BA212">
            <v>0.37</v>
          </cell>
          <cell r="BB212" t="str">
            <v>CUE0000009</v>
          </cell>
          <cell r="BC212">
            <v>0.1</v>
          </cell>
          <cell r="BR212" t="str">
            <v>PELO_HEREFORD</v>
          </cell>
          <cell r="BS212" t="str">
            <v>LEDER-PELO</v>
          </cell>
          <cell r="BT212" t="str">
            <v>CUE0000117</v>
          </cell>
          <cell r="BU212">
            <v>0.37</v>
          </cell>
          <cell r="BV212" t="str">
            <v>CUE0000012</v>
          </cell>
          <cell r="BW212">
            <v>0.1</v>
          </cell>
          <cell r="CL212" t="str">
            <v>SUELA</v>
          </cell>
          <cell r="CM212" t="str">
            <v>ARENA-CUERO NAPADO</v>
          </cell>
          <cell r="CN212" t="str">
            <v>CUE0000028</v>
          </cell>
          <cell r="CO212">
            <v>0.47</v>
          </cell>
          <cell r="DF212" t="str">
            <v>NEGRO</v>
          </cell>
          <cell r="DG212" t="str">
            <v>ARENA-CUERO NAPADO</v>
          </cell>
          <cell r="DH212" t="str">
            <v>CUE0000026</v>
          </cell>
          <cell r="DI212">
            <v>0.47</v>
          </cell>
          <cell r="DZ212" t="str">
            <v>MALBEC</v>
          </cell>
          <cell r="EA212" t="str">
            <v>ARENA-CUERO NAPADO</v>
          </cell>
          <cell r="EB212" t="str">
            <v>CUE0000025</v>
          </cell>
          <cell r="EC212">
            <v>0.47</v>
          </cell>
          <cell r="KD212">
            <v>9</v>
          </cell>
          <cell r="KE212">
            <v>8</v>
          </cell>
          <cell r="KF212">
            <v>8</v>
          </cell>
          <cell r="KG212">
            <v>14</v>
          </cell>
          <cell r="KH212">
            <v>14</v>
          </cell>
          <cell r="KI212">
            <v>14</v>
          </cell>
          <cell r="KJ212">
            <v>8</v>
          </cell>
          <cell r="KK212">
            <v>8</v>
          </cell>
          <cell r="KL212">
            <v>8</v>
          </cell>
          <cell r="KM212">
            <v>2</v>
          </cell>
          <cell r="KN212">
            <v>2</v>
          </cell>
          <cell r="KO212">
            <v>2</v>
          </cell>
          <cell r="KP212">
            <v>9</v>
          </cell>
          <cell r="KQ212">
            <v>9</v>
          </cell>
          <cell r="KR212">
            <v>9</v>
          </cell>
          <cell r="KS212">
            <v>0</v>
          </cell>
          <cell r="KV212">
            <v>0</v>
          </cell>
          <cell r="KY212">
            <v>0</v>
          </cell>
          <cell r="LB212">
            <v>0</v>
          </cell>
          <cell r="LE212">
            <v>0</v>
          </cell>
          <cell r="LH212">
            <v>0</v>
          </cell>
          <cell r="LK212">
            <v>0</v>
          </cell>
          <cell r="LN212">
            <v>45838</v>
          </cell>
          <cell r="LO212">
            <v>45855</v>
          </cell>
          <cell r="LP212" t="str">
            <v>COMPLETADO</v>
          </cell>
        </row>
        <row r="213">
          <cell r="A213">
            <v>1893</v>
          </cell>
          <cell r="B213" t="str">
            <v>LUCIANO</v>
          </cell>
          <cell r="C213" t="str">
            <v>BARRACAS CHICA</v>
          </cell>
          <cell r="D213" t="str">
            <v>MARROQUINERIA CHICA</v>
          </cell>
          <cell r="E213">
            <v>14</v>
          </cell>
          <cell r="F213">
            <v>14</v>
          </cell>
          <cell r="G213">
            <v>14</v>
          </cell>
          <cell r="H213">
            <v>45840.823587962965</v>
          </cell>
          <cell r="I213" t="str">
            <v>PORTALENTES JANO</v>
          </cell>
          <cell r="J213">
            <v>45839</v>
          </cell>
          <cell r="K213">
            <v>45839</v>
          </cell>
          <cell r="L213">
            <v>45840</v>
          </cell>
          <cell r="M213">
            <v>12</v>
          </cell>
          <cell r="N213" t="str">
            <v>M097</v>
          </cell>
          <cell r="O213" t="str">
            <v>AV0700510101</v>
          </cell>
          <cell r="P213">
            <v>1</v>
          </cell>
          <cell r="Q213" t="str">
            <v>AV0400550101</v>
          </cell>
          <cell r="R213">
            <v>1</v>
          </cell>
          <cell r="S213" t="str">
            <v>AV170134014</v>
          </cell>
          <cell r="T213">
            <v>0</v>
          </cell>
          <cell r="AW213" t="str">
            <v>NO SE GRABA</v>
          </cell>
          <cell r="AX213" t="str">
            <v>CARAMELO</v>
          </cell>
          <cell r="AY213" t="str">
            <v>ARENA-CUERO BRIDGE IGUANA</v>
          </cell>
          <cell r="AZ213" t="str">
            <v>CUE0000015</v>
          </cell>
          <cell r="BA213">
            <v>0.05</v>
          </cell>
          <cell r="BB213" t="str">
            <v>AV1401250545</v>
          </cell>
          <cell r="BC213">
            <v>0</v>
          </cell>
          <cell r="BV213" t="str">
            <v>CUE0000012</v>
          </cell>
          <cell r="BW213">
            <v>0.1</v>
          </cell>
          <cell r="CO213">
            <v>0.47</v>
          </cell>
          <cell r="DI213">
            <v>0.47</v>
          </cell>
          <cell r="EC213">
            <v>0.47</v>
          </cell>
          <cell r="KD213">
            <v>14</v>
          </cell>
          <cell r="KE213">
            <v>14</v>
          </cell>
          <cell r="KF213">
            <v>14</v>
          </cell>
          <cell r="KG213">
            <v>0</v>
          </cell>
          <cell r="KH213">
            <v>0</v>
          </cell>
          <cell r="KJ213">
            <v>0</v>
          </cell>
          <cell r="KM213">
            <v>0</v>
          </cell>
          <cell r="KP213">
            <v>0</v>
          </cell>
          <cell r="KS213">
            <v>0</v>
          </cell>
          <cell r="KV213">
            <v>0</v>
          </cell>
          <cell r="KY213">
            <v>0</v>
          </cell>
          <cell r="LB213">
            <v>0</v>
          </cell>
          <cell r="LE213">
            <v>0</v>
          </cell>
          <cell r="LH213">
            <v>0</v>
          </cell>
          <cell r="LK213">
            <v>0</v>
          </cell>
          <cell r="LN213">
            <v>45839</v>
          </cell>
          <cell r="LO213">
            <v>45860</v>
          </cell>
          <cell r="LP213" t="str">
            <v>COMPLETADO</v>
          </cell>
        </row>
        <row r="214">
          <cell r="A214">
            <v>1895</v>
          </cell>
          <cell r="B214" t="str">
            <v>LUCIANO</v>
          </cell>
          <cell r="C214" t="str">
            <v>BARRACAS CHICA</v>
          </cell>
          <cell r="D214" t="str">
            <v>MARROQUINERIA CHICA</v>
          </cell>
          <cell r="E214">
            <v>12</v>
          </cell>
          <cell r="F214">
            <v>12</v>
          </cell>
          <cell r="G214">
            <v>12</v>
          </cell>
          <cell r="H214">
            <v>45840.82607638889</v>
          </cell>
          <cell r="I214" t="str">
            <v>TARJETERO ARIES</v>
          </cell>
          <cell r="J214">
            <v>45839</v>
          </cell>
          <cell r="K214">
            <v>45839</v>
          </cell>
          <cell r="L214">
            <v>45849</v>
          </cell>
          <cell r="M214">
            <v>10</v>
          </cell>
          <cell r="N214" t="str">
            <v>M123</v>
          </cell>
          <cell r="O214" t="str">
            <v>AV170134014</v>
          </cell>
          <cell r="P214">
            <v>0</v>
          </cell>
          <cell r="AW214" t="str">
            <v xml:space="preserve">GRABADO " EL LUCERO ARGENTINA" CHICO EN TIRA DEL FRENTE, CENTRADO   </v>
          </cell>
          <cell r="AX214" t="str">
            <v>NEGRO</v>
          </cell>
          <cell r="AY214" t="str">
            <v>ARENA-CUERO BRIDGE</v>
          </cell>
          <cell r="AZ214" t="str">
            <v>CUE0000009</v>
          </cell>
          <cell r="BA214">
            <v>0.02</v>
          </cell>
          <cell r="BB214" t="str">
            <v>AV1401254060</v>
          </cell>
          <cell r="BC214">
            <v>0</v>
          </cell>
          <cell r="BD214" t="str">
            <v>AV1601300926</v>
          </cell>
          <cell r="BE214">
            <v>0</v>
          </cell>
          <cell r="BR214" t="str">
            <v>TABACO</v>
          </cell>
          <cell r="BS214" t="str">
            <v>ARENA-CUERO BRIDGE</v>
          </cell>
          <cell r="BT214" t="str">
            <v>CUE0000012</v>
          </cell>
          <cell r="BU214">
            <v>0.02</v>
          </cell>
          <cell r="BV214" t="str">
            <v>AV1401250545</v>
          </cell>
          <cell r="BW214">
            <v>0</v>
          </cell>
          <cell r="BX214" t="str">
            <v>AV1601300954</v>
          </cell>
          <cell r="BY214">
            <v>0</v>
          </cell>
          <cell r="CO214">
            <v>0.47</v>
          </cell>
          <cell r="DI214">
            <v>0.47</v>
          </cell>
          <cell r="EC214">
            <v>0.47</v>
          </cell>
          <cell r="KD214">
            <v>6</v>
          </cell>
          <cell r="KE214">
            <v>6</v>
          </cell>
          <cell r="KF214">
            <v>6</v>
          </cell>
          <cell r="KG214">
            <v>6</v>
          </cell>
          <cell r="KH214">
            <v>6</v>
          </cell>
          <cell r="KI214">
            <v>6</v>
          </cell>
          <cell r="KJ214">
            <v>0</v>
          </cell>
          <cell r="KM214">
            <v>0</v>
          </cell>
          <cell r="KP214">
            <v>0</v>
          </cell>
          <cell r="KS214">
            <v>0</v>
          </cell>
          <cell r="KV214">
            <v>0</v>
          </cell>
          <cell r="KY214">
            <v>0</v>
          </cell>
          <cell r="LB214">
            <v>0</v>
          </cell>
          <cell r="LE214">
            <v>0</v>
          </cell>
          <cell r="LH214">
            <v>0</v>
          </cell>
          <cell r="LK214">
            <v>0</v>
          </cell>
          <cell r="LN214">
            <v>45839</v>
          </cell>
          <cell r="LO214">
            <v>45860</v>
          </cell>
          <cell r="LP214" t="str">
            <v>COMPLETADO</v>
          </cell>
        </row>
        <row r="215">
          <cell r="A215">
            <v>1855</v>
          </cell>
          <cell r="B215" t="str">
            <v>RUBEN</v>
          </cell>
          <cell r="C215" t="str">
            <v>BARRACAS GRANDE</v>
          </cell>
          <cell r="D215" t="str">
            <v>MARROQUINERIA GRANDE</v>
          </cell>
          <cell r="E215">
            <v>34</v>
          </cell>
          <cell r="F215">
            <v>34</v>
          </cell>
          <cell r="G215">
            <v>26</v>
          </cell>
          <cell r="H215">
            <v>45840.864664351851</v>
          </cell>
          <cell r="I215" t="str">
            <v>MOCHILA PACARI</v>
          </cell>
          <cell r="J215">
            <v>45840</v>
          </cell>
          <cell r="K215">
            <v>45840</v>
          </cell>
          <cell r="L215">
            <v>45845</v>
          </cell>
          <cell r="M215">
            <v>52</v>
          </cell>
          <cell r="N215" t="str">
            <v>M056</v>
          </cell>
          <cell r="O215" t="str">
            <v>BAC0200081126</v>
          </cell>
          <cell r="P215">
            <v>0.12</v>
          </cell>
          <cell r="Q215" t="str">
            <v>BAC1300020827</v>
          </cell>
          <cell r="R215">
            <v>0.03</v>
          </cell>
          <cell r="S215" t="str">
            <v>AV0101040201</v>
          </cell>
          <cell r="T215">
            <v>1</v>
          </cell>
          <cell r="U215" t="str">
            <v>AV1000380101</v>
          </cell>
          <cell r="V215">
            <v>2</v>
          </cell>
          <cell r="W215" t="str">
            <v>VAR0000011</v>
          </cell>
          <cell r="X215">
            <v>0.23</v>
          </cell>
          <cell r="Y215" t="str">
            <v>AV0701130101</v>
          </cell>
          <cell r="Z215">
            <v>2</v>
          </cell>
          <cell r="AA215" t="str">
            <v>AV0300410101</v>
          </cell>
          <cell r="AB215">
            <v>2</v>
          </cell>
          <cell r="AC215" t="str">
            <v>AV0101060301</v>
          </cell>
          <cell r="AD215">
            <v>1</v>
          </cell>
          <cell r="AE215" t="str">
            <v>AV170129018</v>
          </cell>
          <cell r="AF215">
            <v>0</v>
          </cell>
          <cell r="AS215" t="str">
            <v>TIRACIERRE N1 - TIRA DE CUERO CON REMACHE Y GRABADO ESTRELLITA</v>
          </cell>
          <cell r="AU215" t="str">
            <v>*VERSIÓN PELO LA HACEMOS CON BRIDGE EN: CORREAS, MANIJA, ZÓCALO EN ESPALDA, DETALLES INTERNOS, TIRACIERRES</v>
          </cell>
          <cell r="AV215" t="str">
            <v>*VERSIÓN VINTAGE, TODO EN EL MISMO MATERIAL.</v>
          </cell>
          <cell r="AW215" t="str">
            <v>GRABADO "EL LUCERO" GRANDE EN ESPALDA, CENTRADO EN VISTA DEBAJO DE LAS CORREAS</v>
          </cell>
          <cell r="AX215" t="str">
            <v>PELO_HOLANDO</v>
          </cell>
          <cell r="AY215" t="str">
            <v>LEDER-PELO</v>
          </cell>
          <cell r="AZ215" t="str">
            <v>CUE0000116</v>
          </cell>
          <cell r="BA215">
            <v>0.78</v>
          </cell>
          <cell r="BB215" t="str">
            <v>CUE0000009</v>
          </cell>
          <cell r="BC215">
            <v>0</v>
          </cell>
          <cell r="BD215" t="str">
            <v>FOR0000021</v>
          </cell>
          <cell r="BE215">
            <v>0.42</v>
          </cell>
          <cell r="BF215" t="str">
            <v>AV0100010203</v>
          </cell>
          <cell r="BG215">
            <v>0.55000000000000004</v>
          </cell>
          <cell r="BH215" t="str">
            <v>AV1401244040</v>
          </cell>
          <cell r="BI215">
            <v>0</v>
          </cell>
          <cell r="BJ215" t="str">
            <v>AV0100010305</v>
          </cell>
          <cell r="BK215">
            <v>0.2</v>
          </cell>
          <cell r="BR215" t="str">
            <v>PELO_HEREFORD</v>
          </cell>
          <cell r="BS215" t="str">
            <v>LEDER-PELO</v>
          </cell>
          <cell r="BT215" t="str">
            <v>CUE0000117</v>
          </cell>
          <cell r="BU215">
            <v>0.78</v>
          </cell>
          <cell r="BV215" t="str">
            <v>CUE0000012</v>
          </cell>
          <cell r="BW215">
            <v>0</v>
          </cell>
          <cell r="BX215" t="str">
            <v>FOR0000020</v>
          </cell>
          <cell r="BY215">
            <v>0.42</v>
          </cell>
          <cell r="BZ215" t="str">
            <v>AV0100010214</v>
          </cell>
          <cell r="CA215">
            <v>0.55000000000000004</v>
          </cell>
          <cell r="CB215" t="str">
            <v>AV1401240545</v>
          </cell>
          <cell r="CC215">
            <v>0</v>
          </cell>
          <cell r="CD215" t="str">
            <v>AV0100010314</v>
          </cell>
          <cell r="CE215">
            <v>0.2</v>
          </cell>
          <cell r="CL215" t="str">
            <v>TABACO</v>
          </cell>
          <cell r="CM215" t="str">
            <v>ARENA-CUERO BRIDGE</v>
          </cell>
          <cell r="CN215" t="str">
            <v>CUE0000012</v>
          </cell>
          <cell r="CO215">
            <v>0.78</v>
          </cell>
          <cell r="CP215" t="str">
            <v>FOR0000020</v>
          </cell>
          <cell r="CQ215">
            <v>0.42</v>
          </cell>
          <cell r="CR215" t="str">
            <v>AV0100010214</v>
          </cell>
          <cell r="CS215">
            <v>0.55000000000000004</v>
          </cell>
          <cell r="CT215" t="str">
            <v>AV1401240545</v>
          </cell>
          <cell r="CU215">
            <v>0</v>
          </cell>
          <cell r="CV215" t="str">
            <v>AV0100010314</v>
          </cell>
          <cell r="CW215">
            <v>0.2</v>
          </cell>
          <cell r="DF215" t="str">
            <v>CUERO_VINTAGE_DARK</v>
          </cell>
          <cell r="DG215" t="str">
            <v>LEDER-CUERO</v>
          </cell>
          <cell r="DH215" t="str">
            <v>CUE0000101</v>
          </cell>
          <cell r="DI215">
            <v>0.78</v>
          </cell>
          <cell r="DJ215" t="str">
            <v>FOR0000021</v>
          </cell>
          <cell r="DK215">
            <v>0.42</v>
          </cell>
          <cell r="DL215" t="str">
            <v>AV0100010211</v>
          </cell>
          <cell r="DM215">
            <v>0.55000000000000004</v>
          </cell>
          <cell r="DN215" t="str">
            <v>CIE0000008</v>
          </cell>
          <cell r="DO215">
            <v>0.2</v>
          </cell>
          <cell r="DZ215" t="str">
            <v>CUERO_VINTAGE_LIGHT</v>
          </cell>
          <cell r="EA215" t="str">
            <v>LEDER-CUERO</v>
          </cell>
          <cell r="EB215" t="str">
            <v>CUE0000099</v>
          </cell>
          <cell r="EC215">
            <v>0.78</v>
          </cell>
          <cell r="ED215" t="str">
            <v>FOR0000021</v>
          </cell>
          <cell r="EE215">
            <v>0.42</v>
          </cell>
          <cell r="EF215" t="str">
            <v>AV0100010211</v>
          </cell>
          <cell r="EG215">
            <v>0.55000000000000004</v>
          </cell>
          <cell r="EH215" t="str">
            <v>CIE0000008</v>
          </cell>
          <cell r="EI215">
            <v>0.2</v>
          </cell>
          <cell r="ET215" t="str">
            <v>CUERO_VINTAGE_MEDIO</v>
          </cell>
          <cell r="EU215" t="str">
            <v>LEDER-CUERO</v>
          </cell>
          <cell r="EV215" t="str">
            <v>CUE0000100</v>
          </cell>
          <cell r="EW215">
            <v>0.78</v>
          </cell>
          <cell r="EX215" t="str">
            <v>FOR0000021</v>
          </cell>
          <cell r="EY215">
            <v>0.42</v>
          </cell>
          <cell r="EZ215" t="str">
            <v>AV0100010211</v>
          </cell>
          <cell r="FA215">
            <v>0.55000000000000004</v>
          </cell>
          <cell r="FB215" t="str">
            <v>CIE0000008</v>
          </cell>
          <cell r="FC215">
            <v>0.2</v>
          </cell>
          <cell r="KD215">
            <v>4</v>
          </cell>
          <cell r="KE215">
            <v>4</v>
          </cell>
          <cell r="KF215">
            <v>4</v>
          </cell>
          <cell r="KG215">
            <v>4</v>
          </cell>
          <cell r="KH215">
            <v>4</v>
          </cell>
          <cell r="KI215">
            <v>4</v>
          </cell>
          <cell r="KJ215">
            <v>2</v>
          </cell>
          <cell r="KK215">
            <v>2</v>
          </cell>
          <cell r="KL215">
            <v>2</v>
          </cell>
          <cell r="KM215">
            <v>8</v>
          </cell>
          <cell r="KN215">
            <v>8</v>
          </cell>
          <cell r="KO215">
            <v>8</v>
          </cell>
          <cell r="KP215">
            <v>8</v>
          </cell>
          <cell r="KQ215">
            <v>8</v>
          </cell>
          <cell r="KR215">
            <v>8</v>
          </cell>
          <cell r="KS215">
            <v>8</v>
          </cell>
          <cell r="KT215">
            <v>8</v>
          </cell>
          <cell r="KV215">
            <v>0</v>
          </cell>
          <cell r="KY215">
            <v>0</v>
          </cell>
          <cell r="LB215">
            <v>0</v>
          </cell>
          <cell r="LE215">
            <v>0</v>
          </cell>
          <cell r="LH215">
            <v>0</v>
          </cell>
          <cell r="LK215">
            <v>0</v>
          </cell>
          <cell r="LN215">
            <v>45840</v>
          </cell>
          <cell r="LO215">
            <v>45867</v>
          </cell>
          <cell r="LP215" t="str">
            <v>COMPLETADO</v>
          </cell>
        </row>
        <row r="216">
          <cell r="A216">
            <v>1897</v>
          </cell>
          <cell r="B216" t="str">
            <v>LUCIANO</v>
          </cell>
          <cell r="C216" t="str">
            <v>BARRACAS CHICA</v>
          </cell>
          <cell r="D216" t="str">
            <v>MARROQUINERIA CHICA</v>
          </cell>
          <cell r="E216">
            <v>27</v>
          </cell>
          <cell r="F216">
            <v>27</v>
          </cell>
          <cell r="G216">
            <v>27</v>
          </cell>
          <cell r="H216">
            <v>45840.932800925926</v>
          </cell>
          <cell r="I216" t="str">
            <v>TARJETERO HARRY</v>
          </cell>
          <cell r="J216">
            <v>45839</v>
          </cell>
          <cell r="K216">
            <v>45839</v>
          </cell>
          <cell r="L216">
            <v>45852</v>
          </cell>
          <cell r="M216">
            <v>20</v>
          </cell>
          <cell r="N216" t="str">
            <v>M125</v>
          </cell>
          <cell r="O216" t="str">
            <v>AV170134014</v>
          </cell>
          <cell r="P216">
            <v>0</v>
          </cell>
          <cell r="AW216" t="str">
            <v xml:space="preserve">GRABADO " EL LUCERO ARGENTINA" CHICO ENINTERIOR CENTRADO SOBRE LA DERECHA (VER MUESTRA)   </v>
          </cell>
          <cell r="AX216" t="str">
            <v>CARAMELO</v>
          </cell>
          <cell r="AY216" t="str">
            <v>ARENA-CUERO BRIDGE</v>
          </cell>
          <cell r="AZ216" t="str">
            <v>CUE0000004</v>
          </cell>
          <cell r="BA216">
            <v>0.05</v>
          </cell>
          <cell r="BB216">
            <v>0</v>
          </cell>
          <cell r="BC216">
            <v>0.02</v>
          </cell>
          <cell r="BD216" t="str">
            <v>FOR0000019</v>
          </cell>
          <cell r="BE216">
            <v>0.05</v>
          </cell>
          <cell r="BF216" t="str">
            <v>AV1401250545</v>
          </cell>
          <cell r="BG216">
            <v>0</v>
          </cell>
          <cell r="BR216" t="str">
            <v>NEGRO</v>
          </cell>
          <cell r="BS216" t="str">
            <v>ARENA-CUERO BRIDGE</v>
          </cell>
          <cell r="BT216" t="str">
            <v>CUE0000009</v>
          </cell>
          <cell r="BU216">
            <v>0.05</v>
          </cell>
          <cell r="BV216">
            <v>0</v>
          </cell>
          <cell r="BW216">
            <v>0.02</v>
          </cell>
          <cell r="BX216" t="str">
            <v>FOR0000019</v>
          </cell>
          <cell r="BY216">
            <v>0.05</v>
          </cell>
          <cell r="BZ216" t="str">
            <v>AV1401254060</v>
          </cell>
          <cell r="CA216">
            <v>0</v>
          </cell>
          <cell r="CL216" t="str">
            <v>ROJO</v>
          </cell>
          <cell r="CM216" t="str">
            <v>ARENA-CUERO BRIDGE</v>
          </cell>
          <cell r="CN216" t="str">
            <v>CUE0000010</v>
          </cell>
          <cell r="CO216">
            <v>0.05</v>
          </cell>
          <cell r="CP216">
            <v>0</v>
          </cell>
          <cell r="CQ216">
            <v>0.02</v>
          </cell>
          <cell r="CR216" t="str">
            <v>FOR0000019</v>
          </cell>
          <cell r="CS216">
            <v>0.05</v>
          </cell>
          <cell r="CT216" t="str">
            <v>AV1401254460</v>
          </cell>
          <cell r="CU216">
            <v>0</v>
          </cell>
          <cell r="DF216" t="str">
            <v>TABACO</v>
          </cell>
          <cell r="DG216" t="str">
            <v>ARENA-CUERO BRIDGE</v>
          </cell>
          <cell r="DH216" t="str">
            <v>CUE0000012</v>
          </cell>
          <cell r="DI216">
            <v>0.05</v>
          </cell>
          <cell r="DJ216">
            <v>0</v>
          </cell>
          <cell r="DK216">
            <v>0.02</v>
          </cell>
          <cell r="DL216" t="str">
            <v>FOR0000019</v>
          </cell>
          <cell r="DM216">
            <v>0.05</v>
          </cell>
          <cell r="DN216" t="str">
            <v>AV1401250545</v>
          </cell>
          <cell r="DO216">
            <v>0</v>
          </cell>
          <cell r="EW216">
            <v>0.78</v>
          </cell>
          <cell r="KD216">
            <v>6</v>
          </cell>
          <cell r="KE216">
            <v>6</v>
          </cell>
          <cell r="KF216">
            <v>6</v>
          </cell>
          <cell r="KG216">
            <v>6</v>
          </cell>
          <cell r="KH216">
            <v>6</v>
          </cell>
          <cell r="KI216">
            <v>6</v>
          </cell>
          <cell r="KJ216">
            <v>3</v>
          </cell>
          <cell r="KK216">
            <v>3</v>
          </cell>
          <cell r="KL216">
            <v>3</v>
          </cell>
          <cell r="KM216">
            <v>12</v>
          </cell>
          <cell r="KN216">
            <v>12</v>
          </cell>
          <cell r="KO216">
            <v>12</v>
          </cell>
          <cell r="KP216">
            <v>0</v>
          </cell>
          <cell r="KS216">
            <v>0</v>
          </cell>
          <cell r="KV216">
            <v>0</v>
          </cell>
          <cell r="KY216">
            <v>0</v>
          </cell>
          <cell r="LB216">
            <v>0</v>
          </cell>
          <cell r="LE216">
            <v>0</v>
          </cell>
          <cell r="LH216">
            <v>0</v>
          </cell>
          <cell r="LK216">
            <v>0</v>
          </cell>
          <cell r="LN216">
            <v>45839</v>
          </cell>
          <cell r="LO216">
            <v>45867</v>
          </cell>
          <cell r="LP216" t="str">
            <v>COMPLETADO</v>
          </cell>
        </row>
        <row r="217">
          <cell r="A217">
            <v>1861</v>
          </cell>
          <cell r="B217" t="str">
            <v>RUBEN</v>
          </cell>
          <cell r="C217" t="str">
            <v>BARRACAS GRANDE</v>
          </cell>
          <cell r="D217" t="str">
            <v>MARROQUINERIA GRANDE</v>
          </cell>
          <cell r="E217">
            <v>13</v>
          </cell>
          <cell r="F217">
            <v>13</v>
          </cell>
          <cell r="G217">
            <v>13</v>
          </cell>
          <cell r="H217">
            <v>45843.911273148151</v>
          </cell>
          <cell r="I217" t="str">
            <v>PHONEBAG TANIA</v>
          </cell>
          <cell r="J217">
            <v>45838</v>
          </cell>
          <cell r="K217">
            <v>45838</v>
          </cell>
          <cell r="L217">
            <v>45848</v>
          </cell>
          <cell r="M217">
            <v>20</v>
          </cell>
          <cell r="N217" t="str">
            <v>M076</v>
          </cell>
          <cell r="O217" t="str">
            <v>AV0700510101</v>
          </cell>
          <cell r="P217">
            <v>1</v>
          </cell>
          <cell r="Q217" t="str">
            <v>AV0400770101</v>
          </cell>
          <cell r="R217">
            <v>1</v>
          </cell>
          <cell r="S217" t="str">
            <v>AV0400230101</v>
          </cell>
          <cell r="T217">
            <v>1</v>
          </cell>
          <cell r="U217" t="str">
            <v>AV0300400101</v>
          </cell>
          <cell r="V217">
            <v>3</v>
          </cell>
          <cell r="W217" t="str">
            <v>AV170129018</v>
          </cell>
          <cell r="X217">
            <v>0</v>
          </cell>
          <cell r="AS217" t="str">
            <v>CORREA 0.13 CM / SIMPLE SIN CONTRAPEGAR / SIN PINTURA</v>
          </cell>
          <cell r="AU217" t="str">
            <v>VERSION PELO bridge en: correa y SOLAPA</v>
          </cell>
          <cell r="AV217" t="str">
            <v>VERSION VINTAGE, todo en el mismo material.</v>
          </cell>
          <cell r="AW217" t="str">
            <v>GRABADO "EL LUCERO ARGENTINA" EN PARTE DE ATRAS INFERIOR CENTRADO</v>
          </cell>
          <cell r="AX217" t="str">
            <v>TABACO</v>
          </cell>
          <cell r="AY217" t="str">
            <v>ARENA-CUERO BRIDGE</v>
          </cell>
          <cell r="AZ217" t="str">
            <v>CUE0000012</v>
          </cell>
          <cell r="BA217">
            <v>0.05</v>
          </cell>
          <cell r="BB217" t="str">
            <v>CUE0000139</v>
          </cell>
          <cell r="BC217">
            <v>0.04</v>
          </cell>
          <cell r="BD217" t="str">
            <v>AV1401250545</v>
          </cell>
          <cell r="BE217">
            <v>0</v>
          </cell>
          <cell r="BF217" t="str">
            <v>AV1601300954</v>
          </cell>
          <cell r="BG217">
            <v>0</v>
          </cell>
          <cell r="BR217" t="str">
            <v>CARAMELO</v>
          </cell>
          <cell r="BS217" t="str">
            <v>ARENA-CUERO BRIDGE</v>
          </cell>
          <cell r="BT217" t="str">
            <v>CUE0000004</v>
          </cell>
          <cell r="BU217">
            <v>0.05</v>
          </cell>
          <cell r="BV217" t="str">
            <v>CUE0000139</v>
          </cell>
          <cell r="BW217">
            <v>0.04</v>
          </cell>
          <cell r="BX217" t="str">
            <v>AV1401250545</v>
          </cell>
          <cell r="BY217">
            <v>0</v>
          </cell>
          <cell r="BZ217" t="str">
            <v>AV1601300955</v>
          </cell>
          <cell r="CA217">
            <v>0</v>
          </cell>
          <cell r="CL217" t="str">
            <v>NEGRO</v>
          </cell>
          <cell r="CM217" t="str">
            <v>ARENA-CUERO BRIDGE</v>
          </cell>
          <cell r="CN217" t="str">
            <v>CUE0000009</v>
          </cell>
          <cell r="CO217">
            <v>0.05</v>
          </cell>
          <cell r="CP217" t="str">
            <v>CUE0000139</v>
          </cell>
          <cell r="CQ217">
            <v>0.04</v>
          </cell>
          <cell r="CR217" t="str">
            <v>AV1401254060</v>
          </cell>
          <cell r="CS217">
            <v>0</v>
          </cell>
          <cell r="CT217" t="str">
            <v>AV1601300926</v>
          </cell>
          <cell r="CU217">
            <v>0</v>
          </cell>
          <cell r="DF217" t="str">
            <v>OLIVA_GAMUZA_TABACO</v>
          </cell>
          <cell r="DG217" t="str">
            <v>NAPOLITANA-CUERO O MA GAMUZA</v>
          </cell>
          <cell r="DH217" t="str">
            <v>CUE0000164</v>
          </cell>
          <cell r="DI217">
            <v>0.05</v>
          </cell>
          <cell r="DJ217" t="str">
            <v>CUE0000012</v>
          </cell>
          <cell r="DK217">
            <v>0.04</v>
          </cell>
          <cell r="DL217" t="str">
            <v>AV1401250545</v>
          </cell>
          <cell r="DM217">
            <v>0</v>
          </cell>
          <cell r="DN217" t="str">
            <v>AV1601300954</v>
          </cell>
          <cell r="DO217">
            <v>0</v>
          </cell>
          <cell r="DZ217" t="str">
            <v>ROJO</v>
          </cell>
          <cell r="EA217" t="str">
            <v>ARENA-CUERO BRIDGE</v>
          </cell>
          <cell r="EB217" t="str">
            <v>CUE0000010</v>
          </cell>
          <cell r="EC217">
            <v>0.09</v>
          </cell>
          <cell r="ED217" t="str">
            <v>AV1401254460</v>
          </cell>
          <cell r="EE217">
            <v>0</v>
          </cell>
          <cell r="EF217" t="str">
            <v>AV1601300929</v>
          </cell>
          <cell r="EG217">
            <v>0</v>
          </cell>
          <cell r="KD217">
            <v>2</v>
          </cell>
          <cell r="KE217">
            <v>2</v>
          </cell>
          <cell r="KF217">
            <v>2</v>
          </cell>
          <cell r="KG217">
            <v>4</v>
          </cell>
          <cell r="KH217">
            <v>4</v>
          </cell>
          <cell r="KI217">
            <v>4</v>
          </cell>
          <cell r="KJ217">
            <v>2</v>
          </cell>
          <cell r="KK217">
            <v>2</v>
          </cell>
          <cell r="KL217">
            <v>2</v>
          </cell>
          <cell r="KM217">
            <v>3</v>
          </cell>
          <cell r="KN217">
            <v>3</v>
          </cell>
          <cell r="KO217">
            <v>3</v>
          </cell>
          <cell r="KP217">
            <v>2</v>
          </cell>
          <cell r="KQ217">
            <v>2</v>
          </cell>
          <cell r="KR217">
            <v>2</v>
          </cell>
          <cell r="KS217">
            <v>0</v>
          </cell>
          <cell r="KV217">
            <v>0</v>
          </cell>
          <cell r="KY217">
            <v>0</v>
          </cell>
          <cell r="LB217">
            <v>0</v>
          </cell>
          <cell r="LE217">
            <v>0</v>
          </cell>
          <cell r="LH217">
            <v>0</v>
          </cell>
          <cell r="LK217">
            <v>0</v>
          </cell>
          <cell r="LN217">
            <v>45838</v>
          </cell>
          <cell r="LO217">
            <v>45916</v>
          </cell>
          <cell r="LP217" t="str">
            <v>COMPLETADO</v>
          </cell>
        </row>
        <row r="218">
          <cell r="A218">
            <v>1867</v>
          </cell>
          <cell r="B218" t="str">
            <v>LUCIANO</v>
          </cell>
          <cell r="C218" t="str">
            <v>PERDRIEL</v>
          </cell>
          <cell r="D218" t="str">
            <v>MARROQUINERIA CHICA</v>
          </cell>
          <cell r="E218">
            <v>12</v>
          </cell>
          <cell r="F218">
            <v>12</v>
          </cell>
          <cell r="G218">
            <v>12</v>
          </cell>
          <cell r="H218">
            <v>45843.928877314815</v>
          </cell>
          <cell r="I218" t="str">
            <v>TARJETERO RUBI</v>
          </cell>
          <cell r="J218">
            <v>45838</v>
          </cell>
          <cell r="K218">
            <v>45838</v>
          </cell>
          <cell r="L218">
            <v>45840</v>
          </cell>
          <cell r="M218">
            <v>10</v>
          </cell>
          <cell r="N218" t="str">
            <v>M129</v>
          </cell>
          <cell r="O218" t="str">
            <v>AV0700420101</v>
          </cell>
          <cell r="P218">
            <v>1</v>
          </cell>
          <cell r="Q218" t="str">
            <v>AV170134014</v>
          </cell>
          <cell r="R218">
            <v>0</v>
          </cell>
          <cell r="AW218" t="str">
            <v xml:space="preserve">GRABADO "EL LUCERO ARGENTINA " EN ESPALDA CENTRADO, BORDE INFERIOR </v>
          </cell>
          <cell r="AX218" t="str">
            <v>MALBEC</v>
          </cell>
          <cell r="AY218" t="str">
            <v>ARENA-CUERO BRIDGE</v>
          </cell>
          <cell r="AZ218" t="str">
            <v>CUE0000008</v>
          </cell>
          <cell r="BA218">
            <v>0.03</v>
          </cell>
          <cell r="BB218" t="str">
            <v>AV1401250545</v>
          </cell>
          <cell r="BC218">
            <v>0</v>
          </cell>
          <cell r="DJ218" t="str">
            <v>CUE0000012</v>
          </cell>
          <cell r="DK218">
            <v>0.04</v>
          </cell>
          <cell r="EC218">
            <v>0.09</v>
          </cell>
          <cell r="KD218">
            <v>12</v>
          </cell>
          <cell r="KE218">
            <v>12</v>
          </cell>
          <cell r="KF218">
            <v>12</v>
          </cell>
          <cell r="KG218">
            <v>0</v>
          </cell>
          <cell r="KJ218">
            <v>0</v>
          </cell>
          <cell r="KM218">
            <v>0</v>
          </cell>
          <cell r="KN218">
            <v>0</v>
          </cell>
          <cell r="KP218">
            <v>0</v>
          </cell>
          <cell r="KS218">
            <v>0</v>
          </cell>
          <cell r="KV218">
            <v>0</v>
          </cell>
          <cell r="KY218">
            <v>0</v>
          </cell>
          <cell r="LB218">
            <v>0</v>
          </cell>
          <cell r="LE218">
            <v>0</v>
          </cell>
          <cell r="LH218">
            <v>0</v>
          </cell>
          <cell r="LK218">
            <v>0</v>
          </cell>
          <cell r="LN218">
            <v>45838</v>
          </cell>
          <cell r="LO218">
            <v>45846</v>
          </cell>
          <cell r="LP218" t="str">
            <v>COMPLETADO</v>
          </cell>
        </row>
        <row r="219">
          <cell r="A219">
            <v>1879</v>
          </cell>
          <cell r="B219" t="str">
            <v>RUBEN</v>
          </cell>
          <cell r="C219" t="str">
            <v>BARRACAS GRANDE</v>
          </cell>
          <cell r="D219" t="str">
            <v>MARROQUINERIA GRANDE</v>
          </cell>
          <cell r="E219">
            <v>9</v>
          </cell>
          <cell r="F219">
            <v>9</v>
          </cell>
          <cell r="G219">
            <v>0</v>
          </cell>
          <cell r="H219">
            <v>45843.931307870371</v>
          </cell>
          <cell r="I219" t="str">
            <v>TOTE TILCARA</v>
          </cell>
          <cell r="J219">
            <v>45841</v>
          </cell>
          <cell r="K219">
            <v>45841</v>
          </cell>
          <cell r="M219">
            <v>20</v>
          </cell>
          <cell r="N219" t="str">
            <v>M188</v>
          </cell>
          <cell r="O219" t="str">
            <v>AV170129018</v>
          </cell>
          <cell r="P219">
            <v>0</v>
          </cell>
          <cell r="AW219" t="str">
            <v xml:space="preserve">GRABADO EN ESPALDA "EL LUCERO GRANDE" CENTRADO ABAJO A 2 CM DESDE EL PESPUNTE </v>
          </cell>
          <cell r="AX219" t="str">
            <v>NEGRO</v>
          </cell>
          <cell r="AY219" t="str">
            <v>ARENA-CUERO NAPADO</v>
          </cell>
          <cell r="AZ219" t="str">
            <v>CUE0000026</v>
          </cell>
          <cell r="BA219">
            <v>0.47</v>
          </cell>
          <cell r="BR219" t="str">
            <v>LONDON</v>
          </cell>
          <cell r="BS219" t="str">
            <v>ARENA-CUERO NAPADO</v>
          </cell>
          <cell r="BT219" t="str">
            <v>CUE0000024</v>
          </cell>
          <cell r="BU219">
            <v>0.47</v>
          </cell>
          <cell r="DJ219" t="str">
            <v>CUE0000012</v>
          </cell>
          <cell r="DK219">
            <v>0.04</v>
          </cell>
          <cell r="EC219">
            <v>0.09</v>
          </cell>
          <cell r="KD219">
            <v>6</v>
          </cell>
          <cell r="KE219">
            <v>6</v>
          </cell>
          <cell r="KG219">
            <v>3</v>
          </cell>
          <cell r="KH219">
            <v>3</v>
          </cell>
          <cell r="KJ219">
            <v>0</v>
          </cell>
          <cell r="KM219">
            <v>0</v>
          </cell>
          <cell r="KN219">
            <v>0</v>
          </cell>
          <cell r="KP219">
            <v>0</v>
          </cell>
          <cell r="KS219">
            <v>0</v>
          </cell>
          <cell r="KV219">
            <v>0</v>
          </cell>
          <cell r="KY219">
            <v>0</v>
          </cell>
          <cell r="LB219">
            <v>0</v>
          </cell>
          <cell r="LE219">
            <v>0</v>
          </cell>
          <cell r="LH219">
            <v>0</v>
          </cell>
          <cell r="LK219">
            <v>0</v>
          </cell>
          <cell r="LN219">
            <v>45841</v>
          </cell>
          <cell r="LP219" t="str">
            <v>EN PRODUCCION</v>
          </cell>
        </row>
        <row r="220">
          <cell r="A220">
            <v>1880</v>
          </cell>
          <cell r="B220" t="str">
            <v>LUCIANO</v>
          </cell>
          <cell r="C220" t="str">
            <v>BARRACAS GRANDE</v>
          </cell>
          <cell r="D220" t="str">
            <v>MARROQUINERIA GRANDE</v>
          </cell>
          <cell r="E220">
            <v>14</v>
          </cell>
          <cell r="F220">
            <v>14</v>
          </cell>
          <cell r="G220">
            <v>0</v>
          </cell>
          <cell r="H220">
            <v>45843.93372685185</v>
          </cell>
          <cell r="I220" t="str">
            <v>CARTERA KALI</v>
          </cell>
          <cell r="J220">
            <v>45841</v>
          </cell>
          <cell r="K220">
            <v>45841</v>
          </cell>
          <cell r="M220">
            <v>45</v>
          </cell>
          <cell r="N220" t="str">
            <v>M185</v>
          </cell>
          <cell r="O220" t="str">
            <v>AV0101030201</v>
          </cell>
          <cell r="P220">
            <v>1</v>
          </cell>
          <cell r="Q220" t="str">
            <v>AV0300460101</v>
          </cell>
          <cell r="R220">
            <v>1</v>
          </cell>
          <cell r="S220" t="str">
            <v>AV0300390101</v>
          </cell>
          <cell r="T220">
            <v>1</v>
          </cell>
          <cell r="U220" t="str">
            <v>VAR0000045</v>
          </cell>
          <cell r="V220">
            <v>1</v>
          </cell>
          <cell r="W220" t="str">
            <v>AV170129018</v>
          </cell>
          <cell r="X220">
            <v>0</v>
          </cell>
          <cell r="AS220" t="str">
            <v>TIRACIERRE 1</v>
          </cell>
          <cell r="AT220" t="str">
            <v xml:space="preserve"> ARGOLLITA + TIRA CON REMACHE + GRABADO ESTRELLA</v>
          </cell>
          <cell r="AU220" t="str">
            <v xml:space="preserve"> LA HEBILLA VA FORRADA EN GAMUZA</v>
          </cell>
          <cell r="AW220" t="str">
            <v>GRABADO "EL LUCERO " GRANDE - EN ZOCALO DE BOLSILLO INTERNO, CENTRADO ABAJO</v>
          </cell>
          <cell r="AX220" t="str">
            <v>OLIVA</v>
          </cell>
          <cell r="AY220" t="str">
            <v>NAPOLITANA-CUERO GAMUZA</v>
          </cell>
          <cell r="AZ220" t="str">
            <v>CUE0000047</v>
          </cell>
          <cell r="BA220">
            <v>0.71</v>
          </cell>
          <cell r="BB220" t="str">
            <v>AV0100010217</v>
          </cell>
          <cell r="BC220">
            <v>0.2</v>
          </cell>
          <cell r="BR220" t="str">
            <v>TABACO</v>
          </cell>
          <cell r="BS220" t="str">
            <v>NAPOLITANA-CUERO GAMUZA</v>
          </cell>
          <cell r="BT220" t="str">
            <v>CUE0000050</v>
          </cell>
          <cell r="BU220">
            <v>0.71</v>
          </cell>
          <cell r="BV220" t="str">
            <v>AV0100010214</v>
          </cell>
          <cell r="BW220">
            <v>0.2</v>
          </cell>
          <cell r="DJ220" t="str">
            <v>CUE0000012</v>
          </cell>
          <cell r="DK220">
            <v>0.04</v>
          </cell>
          <cell r="EC220">
            <v>0.09</v>
          </cell>
          <cell r="KD220">
            <v>8</v>
          </cell>
          <cell r="KE220">
            <v>8</v>
          </cell>
          <cell r="KG220">
            <v>6</v>
          </cell>
          <cell r="KH220">
            <v>6</v>
          </cell>
          <cell r="KJ220">
            <v>0</v>
          </cell>
          <cell r="KM220">
            <v>0</v>
          </cell>
          <cell r="KN220">
            <v>0</v>
          </cell>
          <cell r="KP220">
            <v>0</v>
          </cell>
          <cell r="KS220">
            <v>0</v>
          </cell>
          <cell r="KV220">
            <v>0</v>
          </cell>
          <cell r="KY220">
            <v>0</v>
          </cell>
          <cell r="LB220">
            <v>0</v>
          </cell>
          <cell r="LE220">
            <v>0</v>
          </cell>
          <cell r="LH220">
            <v>0</v>
          </cell>
          <cell r="LK220">
            <v>0</v>
          </cell>
          <cell r="LN220">
            <v>45841</v>
          </cell>
          <cell r="LP220" t="str">
            <v>EN PRODUCCION</v>
          </cell>
        </row>
        <row r="221">
          <cell r="A221">
            <v>1882</v>
          </cell>
          <cell r="B221" t="str">
            <v>LUCIANO</v>
          </cell>
          <cell r="C221" t="str">
            <v>INTERNO JAVIER</v>
          </cell>
          <cell r="D221" t="str">
            <v>MARROQUINERIA CHICA</v>
          </cell>
          <cell r="E221">
            <v>12</v>
          </cell>
          <cell r="F221">
            <v>12</v>
          </cell>
          <cell r="G221">
            <v>12</v>
          </cell>
          <cell r="H221">
            <v>45843.936412037037</v>
          </cell>
          <cell r="I221" t="str">
            <v>PORTAVINO CAFAYATE</v>
          </cell>
          <cell r="J221">
            <v>45841</v>
          </cell>
          <cell r="K221">
            <v>45841</v>
          </cell>
          <cell r="L221">
            <v>45856</v>
          </cell>
          <cell r="M221">
            <v>15</v>
          </cell>
          <cell r="N221" t="str">
            <v>M156</v>
          </cell>
          <cell r="O221" t="str">
            <v>AV0700420101</v>
          </cell>
          <cell r="P221">
            <v>1</v>
          </cell>
          <cell r="Q221" t="str">
            <v>AV170134014</v>
          </cell>
          <cell r="R221">
            <v>0</v>
          </cell>
          <cell r="AW221" t="str">
            <v>GRABADO "EL LUCERO ARGENTINA " EN LA PARTE DE ATRAS A 2 CM DESDE BASE CENTRADO</v>
          </cell>
          <cell r="AX221" t="str">
            <v>SUELA</v>
          </cell>
          <cell r="AY221" t="str">
            <v>LA HERMIDA-CUERO VACHETTA LADO COLOR</v>
          </cell>
          <cell r="AZ221" t="str">
            <v>CUE0000065</v>
          </cell>
          <cell r="BA221">
            <v>0.14000000000000001</v>
          </cell>
          <cell r="DJ221" t="str">
            <v>CUE0000012</v>
          </cell>
          <cell r="DK221">
            <v>0.04</v>
          </cell>
          <cell r="EC221">
            <v>0.09</v>
          </cell>
          <cell r="KD221">
            <v>12</v>
          </cell>
          <cell r="KE221">
            <v>12</v>
          </cell>
          <cell r="KF221">
            <v>12</v>
          </cell>
          <cell r="KG221">
            <v>0</v>
          </cell>
          <cell r="KJ221">
            <v>0</v>
          </cell>
          <cell r="KM221">
            <v>0</v>
          </cell>
          <cell r="KN221">
            <v>0</v>
          </cell>
          <cell r="KP221">
            <v>0</v>
          </cell>
          <cell r="KS221">
            <v>0</v>
          </cell>
          <cell r="KV221">
            <v>0</v>
          </cell>
          <cell r="KY221">
            <v>0</v>
          </cell>
          <cell r="LB221">
            <v>0</v>
          </cell>
          <cell r="LE221">
            <v>0</v>
          </cell>
          <cell r="LH221">
            <v>0</v>
          </cell>
          <cell r="LK221">
            <v>0</v>
          </cell>
          <cell r="LN221">
            <v>45841</v>
          </cell>
          <cell r="LO221">
            <v>45860</v>
          </cell>
          <cell r="LP221" t="str">
            <v>COMPLETADO</v>
          </cell>
        </row>
        <row r="222">
          <cell r="A222">
            <v>1883</v>
          </cell>
          <cell r="B222" t="str">
            <v>LUCIANO</v>
          </cell>
          <cell r="C222" t="str">
            <v>BARRACAS CHICA</v>
          </cell>
          <cell r="D222" t="str">
            <v>MARROQUINERIA CHICA</v>
          </cell>
          <cell r="E222">
            <v>12</v>
          </cell>
          <cell r="F222">
            <v>12</v>
          </cell>
          <cell r="G222">
            <v>12</v>
          </cell>
          <cell r="H222">
            <v>45843.938587962963</v>
          </cell>
          <cell r="I222" t="str">
            <v>PORTAVINO RIOJA</v>
          </cell>
          <cell r="J222">
            <v>45841</v>
          </cell>
          <cell r="K222">
            <v>45841</v>
          </cell>
          <cell r="L222">
            <v>45860</v>
          </cell>
          <cell r="M222">
            <v>15</v>
          </cell>
          <cell r="N222" t="str">
            <v>M155</v>
          </cell>
          <cell r="O222" t="str">
            <v>AV170134014</v>
          </cell>
          <cell r="P222">
            <v>0</v>
          </cell>
          <cell r="AW222" t="str">
            <v>GRABADO "EL LUCERO ARGENTINA " EN LA PARTE DE ATRAS A 2 CM DE LA COSTURA DE LA MANIJA</v>
          </cell>
          <cell r="AX222" t="str">
            <v>SUELA</v>
          </cell>
          <cell r="AY222" t="str">
            <v>LA HERMIDA-CUERO VACHETTA LADO COLOR</v>
          </cell>
          <cell r="AZ222" t="str">
            <v>CUE0000065</v>
          </cell>
          <cell r="BA222">
            <v>0.14000000000000001</v>
          </cell>
          <cell r="DJ222" t="str">
            <v>CUE0000012</v>
          </cell>
          <cell r="DK222">
            <v>0.04</v>
          </cell>
          <cell r="EC222">
            <v>0.09</v>
          </cell>
          <cell r="KD222">
            <v>12</v>
          </cell>
          <cell r="KE222">
            <v>12</v>
          </cell>
          <cell r="KF222">
            <v>12</v>
          </cell>
          <cell r="KG222">
            <v>0</v>
          </cell>
          <cell r="KJ222">
            <v>0</v>
          </cell>
          <cell r="KM222">
            <v>0</v>
          </cell>
          <cell r="KN222">
            <v>0</v>
          </cell>
          <cell r="KP222">
            <v>0</v>
          </cell>
          <cell r="KS222">
            <v>0</v>
          </cell>
          <cell r="KV222">
            <v>0</v>
          </cell>
          <cell r="KY222">
            <v>0</v>
          </cell>
          <cell r="LB222">
            <v>0</v>
          </cell>
          <cell r="LE222">
            <v>0</v>
          </cell>
          <cell r="LH222">
            <v>0</v>
          </cell>
          <cell r="LK222">
            <v>0</v>
          </cell>
          <cell r="LN222">
            <v>45841</v>
          </cell>
          <cell r="LO222">
            <v>45860</v>
          </cell>
          <cell r="LP222" t="str">
            <v>COMPLETADO</v>
          </cell>
        </row>
        <row r="223">
          <cell r="A223">
            <v>1884</v>
          </cell>
          <cell r="B223" t="str">
            <v>LUCIANO</v>
          </cell>
          <cell r="C223" t="str">
            <v>INTERNO JAVIER</v>
          </cell>
          <cell r="D223" t="str">
            <v>MARROQUINERIA CHICA</v>
          </cell>
          <cell r="E223">
            <v>22</v>
          </cell>
          <cell r="F223">
            <v>22</v>
          </cell>
          <cell r="G223">
            <v>22</v>
          </cell>
          <cell r="H223">
            <v>45843.940775462965</v>
          </cell>
          <cell r="I223" t="str">
            <v>PORTAVINO UCO</v>
          </cell>
          <cell r="J223">
            <v>45841</v>
          </cell>
          <cell r="K223">
            <v>45841</v>
          </cell>
          <cell r="L223">
            <v>45860</v>
          </cell>
          <cell r="M223">
            <v>37</v>
          </cell>
          <cell r="N223" t="str">
            <v>M166</v>
          </cell>
          <cell r="O223" t="str">
            <v>AV170129018</v>
          </cell>
          <cell r="P223">
            <v>0</v>
          </cell>
          <cell r="AS223" t="str">
            <v>PEGAR ETIQUETA DE CUERO AL FRENTE HILO AL TONO CON HILO GRUESO N 20</v>
          </cell>
          <cell r="AW223" t="str">
            <v>GRABADO ETIQUETA EN VINTAGE MEDIO  7,5CM X 5,5 CM  "EL LUCERO HIGH QUALITY GOODS"</v>
          </cell>
          <cell r="AX223" t="str">
            <v>PELO_MARRON_ROJIZO</v>
          </cell>
          <cell r="AY223" t="str">
            <v>LEDER-PELO</v>
          </cell>
          <cell r="AZ223" t="str">
            <v>CUE0000115</v>
          </cell>
          <cell r="BA223">
            <v>0.28000000000000003</v>
          </cell>
          <cell r="BB223" t="str">
            <v>CUE0000012</v>
          </cell>
          <cell r="BC223">
            <v>0</v>
          </cell>
          <cell r="BR223" t="str">
            <v>PELO_HOLANDO</v>
          </cell>
          <cell r="BS223" t="str">
            <v>LEDER-PELO</v>
          </cell>
          <cell r="BT223" t="str">
            <v>CUE0000116</v>
          </cell>
          <cell r="BU223">
            <v>0.28000000000000003</v>
          </cell>
          <cell r="BV223" t="str">
            <v>CUE0000009</v>
          </cell>
          <cell r="BW223">
            <v>0</v>
          </cell>
          <cell r="CL223" t="str">
            <v>NEGRO</v>
          </cell>
          <cell r="CM223" t="str">
            <v>ARENA-CUERO BRIDGE</v>
          </cell>
          <cell r="CN223" t="str">
            <v>CUE0000009</v>
          </cell>
          <cell r="CO223">
            <v>0.28000000000000003</v>
          </cell>
          <cell r="DF223" t="str">
            <v>TABACO</v>
          </cell>
          <cell r="DG223" t="str">
            <v>ARENA-CUERO BRIDGE</v>
          </cell>
          <cell r="DH223" t="str">
            <v>CUE0000012</v>
          </cell>
          <cell r="DI223">
            <v>0.28000000000000003</v>
          </cell>
          <cell r="DZ223" t="str">
            <v>MALBEC</v>
          </cell>
          <cell r="EA223" t="str">
            <v>ARENA-CUERO BRIDGE</v>
          </cell>
          <cell r="EB223" t="str">
            <v>CUE0000008</v>
          </cell>
          <cell r="EC223">
            <v>0.28000000000000003</v>
          </cell>
          <cell r="KD223">
            <v>2</v>
          </cell>
          <cell r="KE223">
            <v>2</v>
          </cell>
          <cell r="KF223">
            <v>2</v>
          </cell>
          <cell r="KG223">
            <v>4</v>
          </cell>
          <cell r="KH223">
            <v>4</v>
          </cell>
          <cell r="KI223">
            <v>4</v>
          </cell>
          <cell r="KJ223">
            <v>3</v>
          </cell>
          <cell r="KK223">
            <v>3</v>
          </cell>
          <cell r="KL223">
            <v>3</v>
          </cell>
          <cell r="KM223">
            <v>10</v>
          </cell>
          <cell r="KN223">
            <v>10</v>
          </cell>
          <cell r="KO223">
            <v>10</v>
          </cell>
          <cell r="KP223">
            <v>3</v>
          </cell>
          <cell r="KQ223">
            <v>3</v>
          </cell>
          <cell r="KR223">
            <v>3</v>
          </cell>
          <cell r="KS223">
            <v>0</v>
          </cell>
          <cell r="KV223">
            <v>0</v>
          </cell>
          <cell r="KY223">
            <v>0</v>
          </cell>
          <cell r="LB223">
            <v>0</v>
          </cell>
          <cell r="LE223">
            <v>0</v>
          </cell>
          <cell r="LH223">
            <v>0</v>
          </cell>
          <cell r="LK223">
            <v>0</v>
          </cell>
          <cell r="LN223">
            <v>45841</v>
          </cell>
          <cell r="LO223">
            <v>45860</v>
          </cell>
          <cell r="LP223" t="str">
            <v>COMPLETADO</v>
          </cell>
          <cell r="LQ223" t="str">
            <v>QUE SE VEA LA MANCHA SI NO SALE DE RETAZOS USAR PLACA</v>
          </cell>
          <cell r="LR223" t="str">
            <v>QUE SE VEA LA MANCHA SI NO SALE DE RETAZOS USAR PLACA</v>
          </cell>
        </row>
        <row r="224">
          <cell r="A224">
            <v>1885</v>
          </cell>
          <cell r="B224" t="str">
            <v>LUCIANO</v>
          </cell>
          <cell r="C224" t="str">
            <v>BARRACAS CHICA</v>
          </cell>
          <cell r="D224" t="str">
            <v>MARROQUINERIA CHICA</v>
          </cell>
          <cell r="E224">
            <v>14</v>
          </cell>
          <cell r="F224">
            <v>14</v>
          </cell>
          <cell r="G224">
            <v>14</v>
          </cell>
          <cell r="H224">
            <v>45843.948796296296</v>
          </cell>
          <cell r="I224" t="str">
            <v>PORTAVINO TANDIL</v>
          </cell>
          <cell r="J224">
            <v>45841</v>
          </cell>
          <cell r="K224">
            <v>45841</v>
          </cell>
          <cell r="L224">
            <v>45860</v>
          </cell>
          <cell r="M224">
            <v>35</v>
          </cell>
          <cell r="N224" t="str">
            <v>M165</v>
          </cell>
          <cell r="O224" t="str">
            <v>AV170134014</v>
          </cell>
          <cell r="P224">
            <v>0</v>
          </cell>
          <cell r="AS224" t="str">
            <v>PEGAR ETIQUETA DE CUERO AL FRENTE HILO AL TONO CON HILO GRUESO N 20</v>
          </cell>
          <cell r="AW224" t="str">
            <v>GRABADO ETIQUETA EN VINTAGE MEDIO  7,5CM X 5,5 CM  "EL LUCERO HIGH QUALITY GOODS"</v>
          </cell>
          <cell r="AX224" t="str">
            <v>PELO_HEREFORD</v>
          </cell>
          <cell r="AY224" t="str">
            <v>LEDER-PELO</v>
          </cell>
          <cell r="AZ224" t="str">
            <v>CUE0000117</v>
          </cell>
          <cell r="BA224">
            <v>0.21</v>
          </cell>
          <cell r="BB224" t="str">
            <v>CUE0000012</v>
          </cell>
          <cell r="BC224">
            <v>0</v>
          </cell>
          <cell r="BR224" t="str">
            <v>PELO_HOLANDO</v>
          </cell>
          <cell r="BS224" t="str">
            <v>LEDER-PELO</v>
          </cell>
          <cell r="BT224" t="str">
            <v>CUE0000116</v>
          </cell>
          <cell r="BU224">
            <v>0.21</v>
          </cell>
          <cell r="BV224" t="str">
            <v>CUE0000009</v>
          </cell>
          <cell r="BW224">
            <v>0</v>
          </cell>
          <cell r="CL224" t="str">
            <v>MALBEC</v>
          </cell>
          <cell r="CM224" t="str">
            <v>ARENA-CUERO BRIDGE</v>
          </cell>
          <cell r="CN224" t="str">
            <v>CUE0000008</v>
          </cell>
          <cell r="CO224">
            <v>0.21</v>
          </cell>
          <cell r="DI224">
            <v>0.28000000000000003</v>
          </cell>
          <cell r="EC224">
            <v>0.28000000000000003</v>
          </cell>
          <cell r="KD224">
            <v>6</v>
          </cell>
          <cell r="KE224">
            <v>6</v>
          </cell>
          <cell r="KF224">
            <v>6</v>
          </cell>
          <cell r="KG224">
            <v>2</v>
          </cell>
          <cell r="KH224">
            <v>2</v>
          </cell>
          <cell r="KI224">
            <v>2</v>
          </cell>
          <cell r="KJ224">
            <v>6</v>
          </cell>
          <cell r="KK224">
            <v>6</v>
          </cell>
          <cell r="KL224">
            <v>6</v>
          </cell>
          <cell r="KM224">
            <v>0</v>
          </cell>
          <cell r="KP224">
            <v>0</v>
          </cell>
          <cell r="KS224">
            <v>0</v>
          </cell>
          <cell r="KV224">
            <v>0</v>
          </cell>
          <cell r="KY224">
            <v>0</v>
          </cell>
          <cell r="LB224">
            <v>0</v>
          </cell>
          <cell r="LE224">
            <v>0</v>
          </cell>
          <cell r="LH224">
            <v>0</v>
          </cell>
          <cell r="LK224">
            <v>0</v>
          </cell>
          <cell r="LN224">
            <v>45841</v>
          </cell>
          <cell r="LO224">
            <v>45860</v>
          </cell>
          <cell r="LP224" t="str">
            <v>COMPLETADO</v>
          </cell>
          <cell r="LQ224" t="str">
            <v>QUE SE VEA LA MANCHA SI NO SALE DE RETAZOS USAR PLACA</v>
          </cell>
          <cell r="LR224" t="str">
            <v>QUE SE VEA LA MANCHA SI NO SALE DE RETAZOS USAR PLACA</v>
          </cell>
        </row>
        <row r="225">
          <cell r="A225">
            <v>1886</v>
          </cell>
          <cell r="B225" t="str">
            <v>RUBEN</v>
          </cell>
          <cell r="C225" t="str">
            <v>BARRACAS GRANDE</v>
          </cell>
          <cell r="D225" t="str">
            <v>MARROQUINERIA GRANDE</v>
          </cell>
          <cell r="E225">
            <v>5</v>
          </cell>
          <cell r="F225">
            <v>5</v>
          </cell>
          <cell r="G225">
            <v>5</v>
          </cell>
          <cell r="H225">
            <v>45843.974791666667</v>
          </cell>
          <cell r="I225" t="str">
            <v>BANDOLERA LENA</v>
          </cell>
          <cell r="J225">
            <v>45841</v>
          </cell>
          <cell r="K225">
            <v>45841</v>
          </cell>
          <cell r="L225">
            <v>45867</v>
          </cell>
          <cell r="M225">
            <v>50</v>
          </cell>
          <cell r="N225" t="str">
            <v>M004</v>
          </cell>
          <cell r="O225" t="str">
            <v>AV0101070301</v>
          </cell>
          <cell r="P225">
            <v>1</v>
          </cell>
          <cell r="Q225" t="str">
            <v>AV0600560101</v>
          </cell>
          <cell r="R225">
            <v>1</v>
          </cell>
          <cell r="S225" t="str">
            <v>AV1000880101</v>
          </cell>
          <cell r="T225">
            <v>1</v>
          </cell>
          <cell r="U225" t="str">
            <v>AV0300400101</v>
          </cell>
          <cell r="V225">
            <v>3</v>
          </cell>
          <cell r="W225" t="str">
            <v>AV0600570101</v>
          </cell>
          <cell r="X225">
            <v>2</v>
          </cell>
          <cell r="Y225" t="str">
            <v>AV1000780101</v>
          </cell>
          <cell r="Z225">
            <v>2</v>
          </cell>
          <cell r="AA225" t="str">
            <v>AV0300460101</v>
          </cell>
          <cell r="AB225">
            <v>2</v>
          </cell>
          <cell r="AC225" t="str">
            <v>BAC1300020827</v>
          </cell>
          <cell r="AD225">
            <v>0.05</v>
          </cell>
          <cell r="AE225" t="str">
            <v>AV0300390101</v>
          </cell>
          <cell r="AF225">
            <v>1</v>
          </cell>
          <cell r="AG225" t="str">
            <v>AV0101040201</v>
          </cell>
          <cell r="AH225">
            <v>1</v>
          </cell>
          <cell r="AI225" t="str">
            <v>AV170129018</v>
          </cell>
          <cell r="AJ225">
            <v>0</v>
          </cell>
          <cell r="AS225" t="str">
            <v>TIRACIERRE CON TIRA DE CUERO Y GRABADO L* LUCERO</v>
          </cell>
          <cell r="AW225" t="str">
            <v xml:space="preserve">GRABADO "EL LUCERO" CHICO EN LA VISTA DEL CIERRE, EN EL FRENTE CENTRADO. </v>
          </cell>
          <cell r="AX225" t="str">
            <v>SUELA</v>
          </cell>
          <cell r="AY225" t="str">
            <v>ARENA-CUERO NAPADO</v>
          </cell>
          <cell r="AZ225" t="str">
            <v>CUE0000028</v>
          </cell>
          <cell r="BA225">
            <v>0.4</v>
          </cell>
          <cell r="BB225" t="str">
            <v>FOR0000021</v>
          </cell>
          <cell r="BC225">
            <v>0.45</v>
          </cell>
          <cell r="BD225" t="str">
            <v>AV0100010107</v>
          </cell>
          <cell r="BE225">
            <v>0.32</v>
          </cell>
          <cell r="BF225" t="str">
            <v>AV0100020337</v>
          </cell>
          <cell r="BG225">
            <v>0.16</v>
          </cell>
          <cell r="BH225" t="str">
            <v>AV1401240545</v>
          </cell>
          <cell r="BI225">
            <v>0</v>
          </cell>
          <cell r="BV225" t="str">
            <v>CUE0000009</v>
          </cell>
          <cell r="BW225">
            <v>0</v>
          </cell>
          <cell r="CO225">
            <v>0.21</v>
          </cell>
          <cell r="DI225">
            <v>0.28000000000000003</v>
          </cell>
          <cell r="EC225">
            <v>0.28000000000000003</v>
          </cell>
          <cell r="KD225">
            <v>5</v>
          </cell>
          <cell r="KE225">
            <v>5</v>
          </cell>
          <cell r="KF225">
            <v>5</v>
          </cell>
          <cell r="KG225">
            <v>0</v>
          </cell>
          <cell r="KH225">
            <v>0</v>
          </cell>
          <cell r="KJ225">
            <v>0</v>
          </cell>
          <cell r="KM225">
            <v>0</v>
          </cell>
          <cell r="KP225">
            <v>0</v>
          </cell>
          <cell r="KS225">
            <v>0</v>
          </cell>
          <cell r="KV225">
            <v>0</v>
          </cell>
          <cell r="KY225">
            <v>0</v>
          </cell>
          <cell r="LB225">
            <v>0</v>
          </cell>
          <cell r="LE225">
            <v>0</v>
          </cell>
          <cell r="LH225">
            <v>0</v>
          </cell>
          <cell r="LK225">
            <v>0</v>
          </cell>
          <cell r="LN225">
            <v>45841</v>
          </cell>
          <cell r="LO225">
            <v>45867</v>
          </cell>
          <cell r="LP225" t="str">
            <v>COMPLETADO</v>
          </cell>
        </row>
        <row r="226">
          <cell r="A226">
            <v>1887</v>
          </cell>
          <cell r="B226" t="str">
            <v>RUBEN</v>
          </cell>
          <cell r="C226" t="str">
            <v>BARRACAS GRANDE</v>
          </cell>
          <cell r="D226" t="str">
            <v>MARROQUINERIA GRANDE</v>
          </cell>
          <cell r="E226">
            <v>10</v>
          </cell>
          <cell r="F226">
            <v>10</v>
          </cell>
          <cell r="G226">
            <v>10</v>
          </cell>
          <cell r="H226">
            <v>45843.977326388886</v>
          </cell>
          <cell r="I226" t="str">
            <v>CARTERA CHALTEN</v>
          </cell>
          <cell r="J226">
            <v>45841</v>
          </cell>
          <cell r="K226">
            <v>45841</v>
          </cell>
          <cell r="L226">
            <v>45860</v>
          </cell>
          <cell r="M226">
            <v>40</v>
          </cell>
          <cell r="N226" t="str">
            <v>M140</v>
          </cell>
          <cell r="O226" t="str">
            <v>AV170129018</v>
          </cell>
          <cell r="P226">
            <v>0</v>
          </cell>
          <cell r="Q226" t="str">
            <v>BAC1300020827</v>
          </cell>
          <cell r="R226">
            <v>0.01</v>
          </cell>
          <cell r="S226" t="str">
            <v>AV0401220101</v>
          </cell>
          <cell r="T226">
            <v>4</v>
          </cell>
          <cell r="U226" t="str">
            <v>AV0101040201</v>
          </cell>
          <cell r="V226">
            <v>1</v>
          </cell>
          <cell r="W226" t="str">
            <v>AV1000780101</v>
          </cell>
          <cell r="X226">
            <v>2</v>
          </cell>
          <cell r="Y226" t="str">
            <v>AV0400230101</v>
          </cell>
          <cell r="Z226">
            <v>1</v>
          </cell>
          <cell r="AA226" t="str">
            <v>AV0300390101</v>
          </cell>
          <cell r="AB226">
            <v>2</v>
          </cell>
          <cell r="AS226" t="str">
            <v>TIRACIERRE N1 - TIRA CONTRAPEGADA CON REMACHE + GRABADO ESTRELLA</v>
          </cell>
          <cell r="AW226" t="str">
            <v xml:space="preserve">GRABADO EL LUCERO EN PIEZA LATERAL    </v>
          </cell>
          <cell r="AX226" t="str">
            <v>ROJO</v>
          </cell>
          <cell r="AY226" t="str">
            <v>ARENA-CUERO BRIDGE</v>
          </cell>
          <cell r="AZ226" t="str">
            <v>CUE0000010</v>
          </cell>
          <cell r="BA226">
            <v>0.65</v>
          </cell>
          <cell r="BB226" t="str">
            <v>FOR0000020</v>
          </cell>
          <cell r="BC226">
            <v>0.27</v>
          </cell>
          <cell r="BD226" t="str">
            <v>AV0100010213</v>
          </cell>
          <cell r="BE226">
            <v>0.22</v>
          </cell>
          <cell r="BR226" t="str">
            <v>MALBEC</v>
          </cell>
          <cell r="BS226" t="str">
            <v>ARENA-CUERO BRIDGE</v>
          </cell>
          <cell r="BT226" t="str">
            <v>CUE0000008</v>
          </cell>
          <cell r="BU226">
            <v>0.65</v>
          </cell>
          <cell r="BV226" t="str">
            <v>FOR0000020</v>
          </cell>
          <cell r="BW226">
            <v>0.27</v>
          </cell>
          <cell r="BX226" t="str">
            <v>AV0100010261</v>
          </cell>
          <cell r="BY226">
            <v>0.22</v>
          </cell>
          <cell r="CL226" t="str">
            <v>NEGRO</v>
          </cell>
          <cell r="CM226" t="str">
            <v>ARENA-CUERO BRIDGE</v>
          </cell>
          <cell r="CN226" t="str">
            <v>CUE0000009</v>
          </cell>
          <cell r="CO226">
            <v>0.65</v>
          </cell>
          <cell r="CP226" t="str">
            <v>FOR0000020</v>
          </cell>
          <cell r="CQ226">
            <v>0.27</v>
          </cell>
          <cell r="CR226" t="str">
            <v>AV0100010203</v>
          </cell>
          <cell r="CS226">
            <v>0.22</v>
          </cell>
          <cell r="DF226" t="str">
            <v>TABACO</v>
          </cell>
          <cell r="DG226" t="str">
            <v>ARENA-CUERO BRIDGE</v>
          </cell>
          <cell r="DH226" t="str">
            <v>CUE0000012</v>
          </cell>
          <cell r="DI226">
            <v>0.65</v>
          </cell>
          <cell r="DJ226" t="str">
            <v>FOR0000021</v>
          </cell>
          <cell r="DK226">
            <v>0.27</v>
          </cell>
          <cell r="DL226" t="str">
            <v>AV0100010214</v>
          </cell>
          <cell r="DM226">
            <v>0.22</v>
          </cell>
          <cell r="EC226">
            <v>0.28000000000000003</v>
          </cell>
          <cell r="KD226">
            <v>2</v>
          </cell>
          <cell r="KE226">
            <v>2</v>
          </cell>
          <cell r="KF226">
            <v>2</v>
          </cell>
          <cell r="KG226">
            <v>2</v>
          </cell>
          <cell r="KH226">
            <v>2</v>
          </cell>
          <cell r="KI226">
            <v>2</v>
          </cell>
          <cell r="KJ226">
            <v>2</v>
          </cell>
          <cell r="KK226">
            <v>2</v>
          </cell>
          <cell r="KL226">
            <v>2</v>
          </cell>
          <cell r="KM226">
            <v>4</v>
          </cell>
          <cell r="KN226">
            <v>4</v>
          </cell>
          <cell r="KO226">
            <v>4</v>
          </cell>
          <cell r="KP226">
            <v>0</v>
          </cell>
          <cell r="KS226">
            <v>0</v>
          </cell>
          <cell r="KV226">
            <v>0</v>
          </cell>
          <cell r="KY226">
            <v>0</v>
          </cell>
          <cell r="LB226">
            <v>0</v>
          </cell>
          <cell r="LE226">
            <v>0</v>
          </cell>
          <cell r="LH226">
            <v>0</v>
          </cell>
          <cell r="LK226">
            <v>0</v>
          </cell>
          <cell r="LN226">
            <v>45841</v>
          </cell>
          <cell r="LO226">
            <v>45860</v>
          </cell>
          <cell r="LP226" t="str">
            <v>COMPLETADO</v>
          </cell>
        </row>
        <row r="227">
          <cell r="A227">
            <v>1888</v>
          </cell>
          <cell r="B227" t="str">
            <v>RUBEN</v>
          </cell>
          <cell r="C227" t="str">
            <v>BARRACAS GRANDE</v>
          </cell>
          <cell r="D227" t="str">
            <v>MARROQUINERIA GRANDE</v>
          </cell>
          <cell r="E227">
            <v>8</v>
          </cell>
          <cell r="F227">
            <v>8</v>
          </cell>
          <cell r="G227">
            <v>8</v>
          </cell>
          <cell r="H227">
            <v>45843.98064814815</v>
          </cell>
          <cell r="I227" t="str">
            <v>MOCHILA PORTIA</v>
          </cell>
          <cell r="J227">
            <v>45841</v>
          </cell>
          <cell r="K227">
            <v>45841</v>
          </cell>
          <cell r="L227">
            <v>45845</v>
          </cell>
          <cell r="M227">
            <v>120</v>
          </cell>
          <cell r="N227" t="str">
            <v>M059</v>
          </cell>
          <cell r="O227" t="str">
            <v>BAC1300020827</v>
          </cell>
          <cell r="P227">
            <v>0.03</v>
          </cell>
          <cell r="Q227" t="str">
            <v>BAC0200081126</v>
          </cell>
          <cell r="R227">
            <v>0.19</v>
          </cell>
          <cell r="S227" t="str">
            <v>AV0401150101</v>
          </cell>
          <cell r="T227">
            <v>2</v>
          </cell>
          <cell r="U227" t="str">
            <v>AV0101030201</v>
          </cell>
          <cell r="V227">
            <v>1</v>
          </cell>
          <cell r="W227" t="str">
            <v>AV0101060301</v>
          </cell>
          <cell r="X227">
            <v>2</v>
          </cell>
          <cell r="Y227" t="str">
            <v>AV0300410101</v>
          </cell>
          <cell r="Z227">
            <v>2</v>
          </cell>
          <cell r="AA227" t="str">
            <v>AV1001480101</v>
          </cell>
          <cell r="AB227">
            <v>1</v>
          </cell>
          <cell r="AC227" t="str">
            <v>AV0600540101</v>
          </cell>
          <cell r="AD227">
            <v>2</v>
          </cell>
          <cell r="AE227" t="str">
            <v>AV0400400101</v>
          </cell>
          <cell r="AF227">
            <v>1</v>
          </cell>
          <cell r="AG227" t="str">
            <v>AV0400410101</v>
          </cell>
          <cell r="AH227">
            <v>2</v>
          </cell>
          <cell r="AI227" t="str">
            <v>AV1001480101</v>
          </cell>
          <cell r="AJ227">
            <v>1</v>
          </cell>
          <cell r="AK227" t="str">
            <v>AV170129018</v>
          </cell>
          <cell r="AL227">
            <v>0</v>
          </cell>
          <cell r="AS227" t="str">
            <v>TIRACIERRE N1 - TIRA CON REMACHE EN INTERIOR</v>
          </cell>
          <cell r="AW227" t="str">
            <v xml:space="preserve">GRABADO "EL LUCERO" EN ESPALDA ENCIMA DE LA VISTA DE LAS CORREAS, CENTRADO </v>
          </cell>
          <cell r="AX227" t="str">
            <v>CHOCOLATE</v>
          </cell>
          <cell r="AY227" t="str">
            <v>ARENA-CUERO BRIDGE</v>
          </cell>
          <cell r="AZ227" t="str">
            <v>CUE0000005</v>
          </cell>
          <cell r="BA227">
            <v>0.6</v>
          </cell>
          <cell r="BB227" t="str">
            <v>FOR0000021</v>
          </cell>
          <cell r="BC227">
            <v>0.83</v>
          </cell>
          <cell r="BD227" t="str">
            <v>AV0100010111</v>
          </cell>
          <cell r="BE227">
            <v>0.85</v>
          </cell>
          <cell r="BF227" t="str">
            <v>CIE0000001</v>
          </cell>
          <cell r="BG227">
            <v>0.72</v>
          </cell>
          <cell r="BH227" t="str">
            <v>AV1101180538</v>
          </cell>
          <cell r="BI227">
            <v>2.5499999999999998</v>
          </cell>
          <cell r="BJ227" t="str">
            <v>AV1401240545</v>
          </cell>
          <cell r="BK227">
            <v>0</v>
          </cell>
          <cell r="BR227" t="str">
            <v>CARAMELO</v>
          </cell>
          <cell r="BS227" t="str">
            <v>ARENA-CUERO BRIDGE</v>
          </cell>
          <cell r="BT227" t="str">
            <v>CUE0000004</v>
          </cell>
          <cell r="BU227">
            <v>0.6</v>
          </cell>
          <cell r="BV227" t="str">
            <v>FOR0000021</v>
          </cell>
          <cell r="BW227">
            <v>0.83</v>
          </cell>
          <cell r="BX227" t="str">
            <v>AV0100010105</v>
          </cell>
          <cell r="BY227">
            <v>0.85</v>
          </cell>
          <cell r="BZ227" t="str">
            <v>AV0100020305</v>
          </cell>
          <cell r="CA227">
            <v>0.72</v>
          </cell>
          <cell r="CB227" t="str">
            <v>AV1101630525</v>
          </cell>
          <cell r="CC227">
            <v>2.5499999999999998</v>
          </cell>
          <cell r="CD227" t="str">
            <v>AV1401240545</v>
          </cell>
          <cell r="CE227">
            <v>0</v>
          </cell>
          <cell r="CF227" t="str">
            <v>AV1601300955</v>
          </cell>
          <cell r="CG227">
            <v>0</v>
          </cell>
          <cell r="EC227">
            <v>0.28000000000000003</v>
          </cell>
          <cell r="KD227">
            <v>5</v>
          </cell>
          <cell r="KE227">
            <v>5</v>
          </cell>
          <cell r="KF227">
            <v>5</v>
          </cell>
          <cell r="KG227">
            <v>3</v>
          </cell>
          <cell r="KH227">
            <v>3</v>
          </cell>
          <cell r="KI227">
            <v>3</v>
          </cell>
          <cell r="KJ227">
            <v>0</v>
          </cell>
          <cell r="KM227">
            <v>0</v>
          </cell>
          <cell r="KP227">
            <v>0</v>
          </cell>
          <cell r="KS227">
            <v>0</v>
          </cell>
          <cell r="KV227">
            <v>0</v>
          </cell>
          <cell r="KY227">
            <v>0</v>
          </cell>
          <cell r="LB227">
            <v>0</v>
          </cell>
          <cell r="LE227">
            <v>0</v>
          </cell>
          <cell r="LH227">
            <v>0</v>
          </cell>
          <cell r="LK227">
            <v>0</v>
          </cell>
          <cell r="LN227">
            <v>45841</v>
          </cell>
          <cell r="LO227">
            <v>45867</v>
          </cell>
          <cell r="LP227" t="str">
            <v>COMPLETADO</v>
          </cell>
        </row>
        <row r="228">
          <cell r="A228">
            <v>18812</v>
          </cell>
          <cell r="B228" t="str">
            <v>RUBEN</v>
          </cell>
          <cell r="C228" t="str">
            <v>BARRACAS GRANDE</v>
          </cell>
          <cell r="D228" t="str">
            <v>MARROQUINERIA GRANDE</v>
          </cell>
          <cell r="E228">
            <v>4</v>
          </cell>
          <cell r="F228">
            <v>4</v>
          </cell>
          <cell r="G228">
            <v>4</v>
          </cell>
          <cell r="H228">
            <v>45843.985636574071</v>
          </cell>
          <cell r="I228" t="str">
            <v>CARTERA VERA</v>
          </cell>
          <cell r="J228">
            <v>45841</v>
          </cell>
          <cell r="K228">
            <v>45841</v>
          </cell>
          <cell r="L228">
            <v>45841</v>
          </cell>
          <cell r="M228">
            <v>40</v>
          </cell>
          <cell r="N228" t="str">
            <v>M184</v>
          </cell>
          <cell r="O228" t="str">
            <v>BAC1300020827</v>
          </cell>
          <cell r="P228">
            <v>0.06</v>
          </cell>
          <cell r="Q228" t="str">
            <v>AV0101040201</v>
          </cell>
          <cell r="R228">
            <v>1</v>
          </cell>
          <cell r="S228" t="str">
            <v>AV0600540101</v>
          </cell>
          <cell r="T228">
            <v>1</v>
          </cell>
          <cell r="U228" t="str">
            <v>AV1000920101</v>
          </cell>
          <cell r="V228">
            <v>1</v>
          </cell>
          <cell r="W228" t="str">
            <v>AV0101030201</v>
          </cell>
          <cell r="X228">
            <v>1</v>
          </cell>
          <cell r="Y228" t="str">
            <v>AV1000380101</v>
          </cell>
          <cell r="Z228">
            <v>1</v>
          </cell>
          <cell r="AA228" t="str">
            <v>AV0300390101</v>
          </cell>
          <cell r="AB228">
            <v>1</v>
          </cell>
          <cell r="AC228" t="str">
            <v>AV170129018</v>
          </cell>
          <cell r="AD228">
            <v>0</v>
          </cell>
          <cell r="AS228" t="str">
            <v>TIRACIERRE N1 - TIRA DE CUERO CON REMACHE Y GRABADO ESTRELLITA</v>
          </cell>
          <cell r="AT228" t="str">
            <v>TOTAL 12 ORIFICIOS</v>
          </cell>
          <cell r="AW228" t="str">
            <v>GRABADO "EL LUCERO" GRANDE EN ZOCALO BOLSILLO INTERNO CENTRADO ABAJO</v>
          </cell>
          <cell r="AX228" t="str">
            <v>TABACO_GAMUZA_TABACO</v>
          </cell>
          <cell r="AY228" t="str">
            <v>NAPOLITANA-CUERO GAMUZA</v>
          </cell>
          <cell r="AZ228" t="str">
            <v>CUE0000050</v>
          </cell>
          <cell r="BA228">
            <v>0.49</v>
          </cell>
          <cell r="BB228" t="str">
            <v>CUE0000012</v>
          </cell>
          <cell r="BC228">
            <v>0.12</v>
          </cell>
          <cell r="BD228" t="str">
            <v>FOR0000021</v>
          </cell>
          <cell r="BE228">
            <v>0.4</v>
          </cell>
          <cell r="BF228" t="str">
            <v>AV0100010114</v>
          </cell>
          <cell r="BG228">
            <v>0.78</v>
          </cell>
          <cell r="EC228">
            <v>0.28000000000000003</v>
          </cell>
          <cell r="KD228">
            <v>4</v>
          </cell>
          <cell r="KE228">
            <v>4</v>
          </cell>
          <cell r="KF228">
            <v>4</v>
          </cell>
          <cell r="KG228">
            <v>0</v>
          </cell>
          <cell r="KJ228">
            <v>0</v>
          </cell>
          <cell r="KM228">
            <v>0</v>
          </cell>
          <cell r="KP228">
            <v>0</v>
          </cell>
          <cell r="KS228">
            <v>0</v>
          </cell>
          <cell r="KV228">
            <v>0</v>
          </cell>
          <cell r="KY228">
            <v>0</v>
          </cell>
          <cell r="LB228">
            <v>0</v>
          </cell>
          <cell r="LE228">
            <v>0</v>
          </cell>
          <cell r="LH228">
            <v>0</v>
          </cell>
          <cell r="LK228">
            <v>0</v>
          </cell>
          <cell r="LN228">
            <v>45841</v>
          </cell>
          <cell r="LO228">
            <v>45860</v>
          </cell>
          <cell r="LP228" t="str">
            <v>COMPLETADO</v>
          </cell>
        </row>
        <row r="229">
          <cell r="A229">
            <v>1868</v>
          </cell>
          <cell r="B229" t="str">
            <v>RUBEN</v>
          </cell>
          <cell r="C229" t="str">
            <v>BARRACAS GRANDE</v>
          </cell>
          <cell r="D229" t="str">
            <v>MARROQUINERIA GRANDE</v>
          </cell>
          <cell r="E229">
            <v>53</v>
          </cell>
          <cell r="F229">
            <v>41</v>
          </cell>
          <cell r="G229">
            <v>27</v>
          </cell>
          <cell r="H229">
            <v>45852.395752314813</v>
          </cell>
          <cell r="I229" t="str">
            <v>TOTE CACHI</v>
          </cell>
          <cell r="J229">
            <v>45838</v>
          </cell>
          <cell r="K229">
            <v>45838</v>
          </cell>
          <cell r="L229">
            <v>45846</v>
          </cell>
          <cell r="M229">
            <v>20</v>
          </cell>
          <cell r="N229" t="str">
            <v>M169</v>
          </cell>
          <cell r="O229" t="str">
            <v>AV170129018</v>
          </cell>
          <cell r="P229">
            <v>0</v>
          </cell>
          <cell r="AS229" t="str">
            <v>CORREA 2 CM / SIN PINTURA</v>
          </cell>
          <cell r="AT229" t="str">
            <v xml:space="preserve"> PEGAR ETIQUETA DE CUERO AL FRENTE</v>
          </cell>
          <cell r="AU229" t="str">
            <v>HILO AL TONO CON HILO GRUESO N 20</v>
          </cell>
          <cell r="AW229" t="str">
            <v>GRABADO ETIQUETA EN NAPADO 7,5CM X 5,5 CM  "EL LUCERO HIGH QUALITY GOODS"</v>
          </cell>
          <cell r="AX229" t="str">
            <v>OLIVA_GAMUZA_TABACO</v>
          </cell>
          <cell r="AY229" t="str">
            <v>NAPOLITANA-CUERO O MA GAMUZA</v>
          </cell>
          <cell r="AZ229" t="str">
            <v>CUE0000164</v>
          </cell>
          <cell r="BA229">
            <v>0.45</v>
          </cell>
          <cell r="BB229" t="str">
            <v>CUE0000012</v>
          </cell>
          <cell r="BC229">
            <v>0</v>
          </cell>
          <cell r="BR229" t="str">
            <v>CAFE_GAMUZA_TABACO</v>
          </cell>
          <cell r="BS229" t="str">
            <v>NAPOLITANA-CUERO O MA GAMUZA</v>
          </cell>
          <cell r="BT229" t="str">
            <v>CUE0000165</v>
          </cell>
          <cell r="BU229">
            <v>0.45</v>
          </cell>
          <cell r="BV229" t="str">
            <v>CUE0000012</v>
          </cell>
          <cell r="BW229">
            <v>0</v>
          </cell>
          <cell r="CL229" t="str">
            <v>MALBEC</v>
          </cell>
          <cell r="CM229" t="str">
            <v>ARENA-CUERO NAPADO</v>
          </cell>
          <cell r="CN229" t="str">
            <v>CUE0000025</v>
          </cell>
          <cell r="CO229">
            <v>0.45</v>
          </cell>
          <cell r="DF229" t="str">
            <v>SUELA</v>
          </cell>
          <cell r="DG229" t="str">
            <v>ARENA-CUERO NAPADO</v>
          </cell>
          <cell r="DH229" t="str">
            <v>CUE0000028</v>
          </cell>
          <cell r="DI229">
            <v>0.45</v>
          </cell>
          <cell r="DZ229" t="str">
            <v>PELO_HOLANDO</v>
          </cell>
          <cell r="EA229" t="str">
            <v>LEDER-PELO</v>
          </cell>
          <cell r="EB229" t="str">
            <v>CUE0000116</v>
          </cell>
          <cell r="EC229">
            <v>0.45</v>
          </cell>
          <cell r="ED229" t="str">
            <v>CUE0000009</v>
          </cell>
          <cell r="EE229">
            <v>0</v>
          </cell>
          <cell r="ET229" t="str">
            <v>PELO_HEREFORD</v>
          </cell>
          <cell r="EU229" t="str">
            <v>LEDER-PELO</v>
          </cell>
          <cell r="EV229" t="str">
            <v>CUE0000117</v>
          </cell>
          <cell r="EW229">
            <v>0.45</v>
          </cell>
          <cell r="EX229" t="str">
            <v>CUE0000012</v>
          </cell>
          <cell r="EY229">
            <v>0</v>
          </cell>
          <cell r="KD229">
            <v>12</v>
          </cell>
          <cell r="KE229">
            <v>0</v>
          </cell>
          <cell r="KF229">
            <v>0</v>
          </cell>
          <cell r="KG229">
            <v>6</v>
          </cell>
          <cell r="KH229">
            <v>6</v>
          </cell>
          <cell r="KI229">
            <v>6</v>
          </cell>
          <cell r="KJ229">
            <v>6</v>
          </cell>
          <cell r="KK229">
            <v>6</v>
          </cell>
          <cell r="KL229">
            <v>6</v>
          </cell>
          <cell r="KM229">
            <v>6</v>
          </cell>
          <cell r="KN229">
            <v>6</v>
          </cell>
          <cell r="KO229">
            <v>6</v>
          </cell>
          <cell r="KP229">
            <v>9</v>
          </cell>
          <cell r="KQ229">
            <v>9</v>
          </cell>
          <cell r="KR229">
            <v>9</v>
          </cell>
          <cell r="KS229">
            <v>14</v>
          </cell>
          <cell r="KT229">
            <v>14</v>
          </cell>
          <cell r="KV229">
            <v>0</v>
          </cell>
          <cell r="KY229">
            <v>0</v>
          </cell>
          <cell r="LB229">
            <v>0</v>
          </cell>
          <cell r="LE229">
            <v>0</v>
          </cell>
          <cell r="LH229">
            <v>0</v>
          </cell>
          <cell r="LK229">
            <v>0</v>
          </cell>
          <cell r="LN229">
            <v>45838</v>
          </cell>
          <cell r="LO229">
            <v>45846</v>
          </cell>
          <cell r="LP229" t="str">
            <v>COMPLETADO</v>
          </cell>
        </row>
        <row r="230">
          <cell r="A230">
            <v>1898</v>
          </cell>
          <cell r="B230" t="str">
            <v>LUCIANO</v>
          </cell>
          <cell r="C230" t="str">
            <v>BARRACAS CHICA</v>
          </cell>
          <cell r="D230" t="str">
            <v>MARROQUINERIA CHICA</v>
          </cell>
          <cell r="E230">
            <v>26</v>
          </cell>
          <cell r="F230">
            <v>26</v>
          </cell>
          <cell r="G230">
            <v>26</v>
          </cell>
          <cell r="H230">
            <v>45852.556307870371</v>
          </cell>
          <cell r="I230" t="str">
            <v>KENNY NUEVA</v>
          </cell>
          <cell r="J230">
            <v>45848</v>
          </cell>
          <cell r="K230">
            <v>45848</v>
          </cell>
          <cell r="L230">
            <v>45859</v>
          </cell>
          <cell r="M230">
            <v>40</v>
          </cell>
          <cell r="N230" t="str">
            <v>M141</v>
          </cell>
          <cell r="O230" t="str">
            <v>AV170134014</v>
          </cell>
          <cell r="P230">
            <v>0</v>
          </cell>
          <cell r="Q230" t="str">
            <v>AV0101030201</v>
          </cell>
          <cell r="R230">
            <v>1</v>
          </cell>
          <cell r="S230" t="str">
            <v>AV0600540101</v>
          </cell>
          <cell r="T230">
            <v>1</v>
          </cell>
          <cell r="AS230" t="str">
            <v>TIRACIERRE LUCERO GRANDE</v>
          </cell>
          <cell r="AW230" t="str">
            <v xml:space="preserve">GRABADO "EL LUCERO"MEDIANO EN EL FRENTE CENTRADO  </v>
          </cell>
          <cell r="AX230" t="str">
            <v>MALBEC</v>
          </cell>
          <cell r="AY230" t="str">
            <v>ARENA-CUERO BRIDGE</v>
          </cell>
          <cell r="AZ230" t="str">
            <v>CUE0000008</v>
          </cell>
          <cell r="BA230">
            <v>0.1</v>
          </cell>
          <cell r="BB230" t="str">
            <v>AV0100010161</v>
          </cell>
          <cell r="BC230">
            <v>0.4</v>
          </cell>
          <cell r="BD230" t="str">
            <v>FOR0000016</v>
          </cell>
          <cell r="BE230">
            <v>0.1</v>
          </cell>
          <cell r="BR230" t="str">
            <v>ROJO</v>
          </cell>
          <cell r="BS230" t="str">
            <v>ARENA-CUERO BRIDGE</v>
          </cell>
          <cell r="BT230" t="str">
            <v>CUE0000010</v>
          </cell>
          <cell r="BU230">
            <v>0.1</v>
          </cell>
          <cell r="BV230" t="str">
            <v>AV0100010113</v>
          </cell>
          <cell r="BW230">
            <v>0.4</v>
          </cell>
          <cell r="BX230" t="str">
            <v>FOR0000016</v>
          </cell>
          <cell r="BY230">
            <v>0.1</v>
          </cell>
          <cell r="CL230" t="str">
            <v>NEGRO</v>
          </cell>
          <cell r="CM230" t="str">
            <v>ARENA-CUERO BRIDGE</v>
          </cell>
          <cell r="CN230" t="str">
            <v>CUE0000009</v>
          </cell>
          <cell r="CO230">
            <v>0.1</v>
          </cell>
          <cell r="CP230" t="str">
            <v>AV0100010103</v>
          </cell>
          <cell r="CQ230">
            <v>0.4</v>
          </cell>
          <cell r="CR230" t="str">
            <v>FOR0000018</v>
          </cell>
          <cell r="CS230">
            <v>0.1</v>
          </cell>
          <cell r="DF230" t="str">
            <v>CARAMELO</v>
          </cell>
          <cell r="DG230" t="str">
            <v>ARENA-CUERO BRIDGE</v>
          </cell>
          <cell r="DH230" t="str">
            <v>CUE0000004</v>
          </cell>
          <cell r="DI230">
            <v>0.1</v>
          </cell>
          <cell r="DJ230" t="str">
            <v>AV0100010105</v>
          </cell>
          <cell r="DK230">
            <v>0.4</v>
          </cell>
          <cell r="DL230" t="str">
            <v>FOR0000015</v>
          </cell>
          <cell r="DM230">
            <v>0.1</v>
          </cell>
          <cell r="DZ230" t="str">
            <v>TABACO</v>
          </cell>
          <cell r="EA230" t="str">
            <v>ARENA-CUERO BRIDGE</v>
          </cell>
          <cell r="EB230" t="str">
            <v>CUE0000012</v>
          </cell>
          <cell r="EC230">
            <v>0.1</v>
          </cell>
          <cell r="ED230" t="str">
            <v>AV0100010114</v>
          </cell>
          <cell r="EE230">
            <v>0.4</v>
          </cell>
          <cell r="EF230" t="str">
            <v>FOR0000015</v>
          </cell>
          <cell r="EG230">
            <v>0.1</v>
          </cell>
          <cell r="KD230">
            <v>10</v>
          </cell>
          <cell r="KE230">
            <v>10</v>
          </cell>
          <cell r="KF230">
            <v>10</v>
          </cell>
          <cell r="KG230">
            <v>8</v>
          </cell>
          <cell r="KH230">
            <v>8</v>
          </cell>
          <cell r="KI230">
            <v>8</v>
          </cell>
          <cell r="KJ230">
            <v>3</v>
          </cell>
          <cell r="KK230">
            <v>3</v>
          </cell>
          <cell r="KL230">
            <v>3</v>
          </cell>
          <cell r="KM230">
            <v>1</v>
          </cell>
          <cell r="KN230">
            <v>1</v>
          </cell>
          <cell r="KO230">
            <v>1</v>
          </cell>
          <cell r="KP230">
            <v>4</v>
          </cell>
          <cell r="KQ230">
            <v>4</v>
          </cell>
          <cell r="KR230">
            <v>4</v>
          </cell>
          <cell r="KS230">
            <v>0</v>
          </cell>
          <cell r="KV230">
            <v>0</v>
          </cell>
          <cell r="KY230">
            <v>0</v>
          </cell>
          <cell r="LB230">
            <v>0</v>
          </cell>
          <cell r="LE230">
            <v>0</v>
          </cell>
          <cell r="LH230">
            <v>0</v>
          </cell>
          <cell r="LK230">
            <v>0</v>
          </cell>
          <cell r="LN230">
            <v>45848</v>
          </cell>
          <cell r="LO230">
            <v>45937</v>
          </cell>
          <cell r="LP230" t="str">
            <v>COMPLETADO</v>
          </cell>
        </row>
        <row r="231">
          <cell r="A231">
            <v>1891</v>
          </cell>
          <cell r="B231" t="str">
            <v>LUCIANO</v>
          </cell>
          <cell r="C231" t="str">
            <v>BARRACAS CHICA</v>
          </cell>
          <cell r="D231" t="str">
            <v>MARROQUINERIA CHICA</v>
          </cell>
          <cell r="E231">
            <v>10</v>
          </cell>
          <cell r="F231">
            <v>10</v>
          </cell>
          <cell r="G231">
            <v>10</v>
          </cell>
          <cell r="H231">
            <v>45852.56621527778</v>
          </cell>
          <cell r="I231" t="str">
            <v>MONEDERO LUISA</v>
          </cell>
          <cell r="J231">
            <v>45848</v>
          </cell>
          <cell r="K231">
            <v>45848</v>
          </cell>
          <cell r="L231">
            <v>45867</v>
          </cell>
          <cell r="M231">
            <v>50</v>
          </cell>
          <cell r="N231" t="str">
            <v>M064</v>
          </cell>
          <cell r="O231" t="str">
            <v>VAR0000002</v>
          </cell>
          <cell r="P231">
            <v>0.01</v>
          </cell>
          <cell r="Q231" t="str">
            <v>BAC0200071027</v>
          </cell>
          <cell r="R231">
            <v>0.01</v>
          </cell>
          <cell r="S231" t="str">
            <v>BAC1300050727</v>
          </cell>
          <cell r="T231">
            <v>0.02</v>
          </cell>
          <cell r="U231" t="str">
            <v>AV0700420101</v>
          </cell>
          <cell r="V231">
            <v>1</v>
          </cell>
          <cell r="W231" t="str">
            <v>AV0101070301</v>
          </cell>
          <cell r="X231">
            <v>1</v>
          </cell>
          <cell r="Y231" t="str">
            <v>AV0600560101</v>
          </cell>
          <cell r="Z231">
            <v>1</v>
          </cell>
          <cell r="AA231" t="str">
            <v>AV170134014</v>
          </cell>
          <cell r="AB231">
            <v>0</v>
          </cell>
          <cell r="AW231" t="str">
            <v>GRABADO EL LUCERO ARGENTINA PIEZA INTERNA IZQUIERDA ABAJO</v>
          </cell>
          <cell r="AX231" t="str">
            <v>MALBEC</v>
          </cell>
          <cell r="AY231" t="str">
            <v>ARENA-CUERO BRIDGE</v>
          </cell>
          <cell r="AZ231" t="str">
            <v>CUE0000008</v>
          </cell>
          <cell r="BA231">
            <v>0.08</v>
          </cell>
          <cell r="BB231" t="str">
            <v>AV1401250545</v>
          </cell>
          <cell r="BC231">
            <v>0</v>
          </cell>
          <cell r="BD231" t="str">
            <v>FOR0000016</v>
          </cell>
          <cell r="BE231">
            <v>0.08</v>
          </cell>
          <cell r="BF231" t="str">
            <v>CIE0000003</v>
          </cell>
          <cell r="BG231">
            <v>0.1</v>
          </cell>
          <cell r="BR231" t="str">
            <v>ROJO</v>
          </cell>
          <cell r="BS231" t="str">
            <v>ARENA-CUERO BRIDGE</v>
          </cell>
          <cell r="BT231" t="str">
            <v>CUE0000010</v>
          </cell>
          <cell r="BU231">
            <v>0.08</v>
          </cell>
          <cell r="BV231" t="str">
            <v>AV1401254460</v>
          </cell>
          <cell r="BW231">
            <v>0</v>
          </cell>
          <cell r="BX231" t="str">
            <v>FOR0000016</v>
          </cell>
          <cell r="BY231">
            <v>0.08</v>
          </cell>
          <cell r="BZ231" t="str">
            <v>AV0100020313</v>
          </cell>
          <cell r="CA231">
            <v>0.1</v>
          </cell>
          <cell r="CL231" t="str">
            <v>CARAMELO</v>
          </cell>
          <cell r="CM231" t="str">
            <v>ARENA-CUERO BRIDGE</v>
          </cell>
          <cell r="CN231" t="str">
            <v>CUE0000004</v>
          </cell>
          <cell r="CO231">
            <v>0.08</v>
          </cell>
          <cell r="CP231" t="str">
            <v>AV1401250545</v>
          </cell>
          <cell r="CQ231">
            <v>0</v>
          </cell>
          <cell r="CR231" t="str">
            <v>FOR0000015</v>
          </cell>
          <cell r="CS231">
            <v>0.08</v>
          </cell>
          <cell r="CT231" t="str">
            <v>AV0100020305</v>
          </cell>
          <cell r="CU231">
            <v>0.1</v>
          </cell>
          <cell r="KD231">
            <v>2</v>
          </cell>
          <cell r="KE231">
            <v>2</v>
          </cell>
          <cell r="KF231">
            <v>2</v>
          </cell>
          <cell r="KG231">
            <v>6</v>
          </cell>
          <cell r="KH231">
            <v>6</v>
          </cell>
          <cell r="KI231">
            <v>6</v>
          </cell>
          <cell r="KJ231">
            <v>2</v>
          </cell>
          <cell r="KK231">
            <v>2</v>
          </cell>
          <cell r="KL231">
            <v>2</v>
          </cell>
          <cell r="KM231">
            <v>0</v>
          </cell>
          <cell r="KP231">
            <v>0</v>
          </cell>
          <cell r="KS231">
            <v>0</v>
          </cell>
          <cell r="KV231">
            <v>0</v>
          </cell>
          <cell r="KY231">
            <v>0</v>
          </cell>
          <cell r="LB231">
            <v>0</v>
          </cell>
          <cell r="LE231">
            <v>0</v>
          </cell>
          <cell r="LH231">
            <v>0</v>
          </cell>
          <cell r="LK231">
            <v>0</v>
          </cell>
          <cell r="LN231">
            <v>45848</v>
          </cell>
          <cell r="LO231">
            <v>45874</v>
          </cell>
          <cell r="LP231" t="str">
            <v>COMPLETADO</v>
          </cell>
        </row>
        <row r="232">
          <cell r="A232">
            <v>1889</v>
          </cell>
          <cell r="B232" t="str">
            <v>LUCIANO</v>
          </cell>
          <cell r="C232" t="str">
            <v>BARRACAS CHICA</v>
          </cell>
          <cell r="D232" t="str">
            <v>MARROQUINERIA CHICA</v>
          </cell>
          <cell r="E232">
            <v>8</v>
          </cell>
          <cell r="F232">
            <v>8</v>
          </cell>
          <cell r="G232">
            <v>8</v>
          </cell>
          <cell r="H232">
            <v>45853.505254629628</v>
          </cell>
          <cell r="I232" t="str">
            <v>SOBRE MAJA PELO</v>
          </cell>
          <cell r="J232">
            <v>45848</v>
          </cell>
          <cell r="K232">
            <v>45848</v>
          </cell>
          <cell r="L232">
            <v>45849</v>
          </cell>
          <cell r="M232">
            <v>25</v>
          </cell>
          <cell r="N232" t="str">
            <v>M189</v>
          </cell>
          <cell r="O232" t="str">
            <v>VAR0000046</v>
          </cell>
          <cell r="P232">
            <v>1</v>
          </cell>
          <cell r="Q232" t="str">
            <v>AV170134014</v>
          </cell>
          <cell r="R232">
            <v>0</v>
          </cell>
          <cell r="AS232" t="str">
            <v>SIN PINTUTURA</v>
          </cell>
          <cell r="AX232" t="str">
            <v>PELO_HEREFORD</v>
          </cell>
          <cell r="AY232" t="str">
            <v>LEDER-PELO</v>
          </cell>
          <cell r="AZ232" t="str">
            <v>CUE0000117</v>
          </cell>
          <cell r="BA232">
            <v>0.06</v>
          </cell>
          <cell r="BB232" t="str">
            <v>CUE0000029</v>
          </cell>
          <cell r="BC232">
            <v>0.01</v>
          </cell>
          <cell r="BR232" t="str">
            <v>PELO_HOLANDO</v>
          </cell>
          <cell r="BS232" t="str">
            <v>LEDER-PELO</v>
          </cell>
          <cell r="BT232" t="str">
            <v>CUE0000116</v>
          </cell>
          <cell r="BU232">
            <v>0.06</v>
          </cell>
          <cell r="BV232" t="str">
            <v>CUE0000026</v>
          </cell>
          <cell r="BW232">
            <v>0.01</v>
          </cell>
          <cell r="KD232">
            <v>6</v>
          </cell>
          <cell r="KE232">
            <v>6</v>
          </cell>
          <cell r="KF232">
            <v>6</v>
          </cell>
          <cell r="KG232">
            <v>2</v>
          </cell>
          <cell r="KH232">
            <v>2</v>
          </cell>
          <cell r="KI232">
            <v>2</v>
          </cell>
          <cell r="KJ232">
            <v>0</v>
          </cell>
          <cell r="KM232">
            <v>0</v>
          </cell>
          <cell r="KP232">
            <v>0</v>
          </cell>
          <cell r="KS232">
            <v>0</v>
          </cell>
          <cell r="KV232">
            <v>0</v>
          </cell>
          <cell r="KY232">
            <v>0</v>
          </cell>
          <cell r="LB232">
            <v>0</v>
          </cell>
          <cell r="LE232">
            <v>0</v>
          </cell>
          <cell r="LH232">
            <v>0</v>
          </cell>
          <cell r="LK232">
            <v>0</v>
          </cell>
          <cell r="LN232">
            <v>45848</v>
          </cell>
          <cell r="LO232">
            <v>45860</v>
          </cell>
          <cell r="LP232" t="str">
            <v>COMPLETADO</v>
          </cell>
          <cell r="LQ232" t="str">
            <v xml:space="preserve"> QUE SE VEA LA MANCHA SI NO SALE DE RETAZOS, USAR PLACA! - CORDON  CONTORNO CUERO  NAPADO COLOR TABACO</v>
          </cell>
        </row>
        <row r="233">
          <cell r="A233">
            <v>1894</v>
          </cell>
          <cell r="B233" t="str">
            <v>LUCIANO</v>
          </cell>
          <cell r="C233" t="str">
            <v>PERDRIEL</v>
          </cell>
          <cell r="D233" t="str">
            <v>MARROQUINERIA CHICA</v>
          </cell>
          <cell r="E233">
            <v>20</v>
          </cell>
          <cell r="F233">
            <v>10</v>
          </cell>
          <cell r="G233">
            <v>10</v>
          </cell>
          <cell r="H233">
            <v>45853.519594907404</v>
          </cell>
          <cell r="I233" t="str">
            <v>PORTAPASAPORTE CHESTER</v>
          </cell>
          <cell r="J233">
            <v>45848</v>
          </cell>
          <cell r="K233">
            <v>45848</v>
          </cell>
          <cell r="L233">
            <v>45852</v>
          </cell>
          <cell r="M233">
            <v>10</v>
          </cell>
          <cell r="N233" t="str">
            <v>M104</v>
          </cell>
          <cell r="O233" t="str">
            <v>AV170134014</v>
          </cell>
          <cell r="P233">
            <v>0</v>
          </cell>
          <cell r="AW233" t="str">
            <v xml:space="preserve">GRABADO LUCERO ARGENTINA CHICO,CENTRADO EN ESPALDA A 1.5CM DEL BORDE INFERIOR  </v>
          </cell>
          <cell r="AX233" t="str">
            <v>ROJO</v>
          </cell>
          <cell r="AY233" t="str">
            <v>ARENA-CUERO BRIDGE</v>
          </cell>
          <cell r="AZ233" t="str">
            <v>CUE0000010</v>
          </cell>
          <cell r="BA233">
            <v>0.05</v>
          </cell>
          <cell r="BB233" t="str">
            <v>AV1401254460</v>
          </cell>
          <cell r="BC233">
            <v>0</v>
          </cell>
          <cell r="BR233" t="str">
            <v>TABACO</v>
          </cell>
          <cell r="BS233" t="str">
            <v>ARENA-CUERO BRIDGE</v>
          </cell>
          <cell r="BT233" t="str">
            <v>CUE0000012</v>
          </cell>
          <cell r="BU233">
            <v>0.05</v>
          </cell>
          <cell r="BV233" t="str">
            <v>AV1401250545</v>
          </cell>
          <cell r="BW233">
            <v>0</v>
          </cell>
          <cell r="KD233">
            <v>10</v>
          </cell>
          <cell r="KE233">
            <v>10</v>
          </cell>
          <cell r="KF233">
            <v>10</v>
          </cell>
          <cell r="KG233">
            <v>10</v>
          </cell>
          <cell r="KH233">
            <v>0</v>
          </cell>
          <cell r="KI233">
            <v>0</v>
          </cell>
          <cell r="KJ233">
            <v>0</v>
          </cell>
          <cell r="KM233">
            <v>0</v>
          </cell>
          <cell r="KP233">
            <v>0</v>
          </cell>
          <cell r="KS233">
            <v>0</v>
          </cell>
          <cell r="KV233">
            <v>0</v>
          </cell>
          <cell r="KY233">
            <v>0</v>
          </cell>
          <cell r="LB233">
            <v>0</v>
          </cell>
          <cell r="LE233">
            <v>0</v>
          </cell>
          <cell r="LH233">
            <v>0</v>
          </cell>
          <cell r="LK233">
            <v>0</v>
          </cell>
          <cell r="LN233">
            <v>45848</v>
          </cell>
          <cell r="LO233">
            <v>45860</v>
          </cell>
          <cell r="LP233" t="str">
            <v>COMPLETADO</v>
          </cell>
        </row>
        <row r="234">
          <cell r="A234">
            <v>1864</v>
          </cell>
          <cell r="B234" t="str">
            <v>LUCIANO</v>
          </cell>
          <cell r="C234" t="str">
            <v>PERDRIEL</v>
          </cell>
          <cell r="D234" t="str">
            <v>MARROQUINERIA CHICA</v>
          </cell>
          <cell r="E234">
            <v>18</v>
          </cell>
          <cell r="F234">
            <v>18</v>
          </cell>
          <cell r="G234">
            <v>18</v>
          </cell>
          <cell r="H234">
            <v>45855.49927083333</v>
          </cell>
          <cell r="I234" t="str">
            <v>PORTAPASAPORTE CHESTER BI FAZ</v>
          </cell>
          <cell r="J234">
            <v>45916</v>
          </cell>
          <cell r="K234">
            <v>45916</v>
          </cell>
          <cell r="L234">
            <v>45922</v>
          </cell>
          <cell r="M234">
            <v>10</v>
          </cell>
          <cell r="N234" t="str">
            <v>M179</v>
          </cell>
          <cell r="O234" t="str">
            <v>AV170134014</v>
          </cell>
          <cell r="P234">
            <v>0</v>
          </cell>
          <cell r="AW234" t="str">
            <v>GRABADO LUCERO ARGENTINA CHICO, CENTRADO EN ESPALDA A 1.5CM DEL BORDE INFERIOR</v>
          </cell>
          <cell r="AX234" t="str">
            <v>VERDE_REVES_SUELA</v>
          </cell>
          <cell r="AY234" t="str">
            <v>BIANCO-CUERO MODENA ESPESOR 1,4</v>
          </cell>
          <cell r="AZ234" t="str">
            <v>CUE0000148</v>
          </cell>
          <cell r="BA234">
            <v>0.05</v>
          </cell>
          <cell r="BR234" t="str">
            <v>AZUL_REVES_SUELA</v>
          </cell>
          <cell r="BS234" t="str">
            <v>BIANCO-CUERO MODENA ESPESOR 1,4</v>
          </cell>
          <cell r="BT234" t="str">
            <v>CUE0000140</v>
          </cell>
          <cell r="BU234">
            <v>0.05</v>
          </cell>
          <cell r="KD234">
            <v>9</v>
          </cell>
          <cell r="KE234">
            <v>9</v>
          </cell>
          <cell r="KF234">
            <v>9</v>
          </cell>
          <cell r="KG234">
            <v>9</v>
          </cell>
          <cell r="KH234">
            <v>9</v>
          </cell>
          <cell r="KI234">
            <v>9</v>
          </cell>
          <cell r="KJ234">
            <v>0</v>
          </cell>
          <cell r="KM234">
            <v>0</v>
          </cell>
          <cell r="KP234">
            <v>0</v>
          </cell>
          <cell r="KS234">
            <v>0</v>
          </cell>
          <cell r="KV234">
            <v>0</v>
          </cell>
          <cell r="KY234">
            <v>0</v>
          </cell>
          <cell r="LB234">
            <v>0</v>
          </cell>
          <cell r="LE234">
            <v>0</v>
          </cell>
          <cell r="LH234">
            <v>0</v>
          </cell>
          <cell r="LK234">
            <v>0</v>
          </cell>
          <cell r="LN234">
            <v>45916</v>
          </cell>
          <cell r="LO234">
            <v>45931</v>
          </cell>
          <cell r="LP234" t="str">
            <v>COMPLETADO</v>
          </cell>
        </row>
        <row r="235">
          <cell r="A235">
            <v>1896</v>
          </cell>
          <cell r="B235" t="str">
            <v>LUCIANO</v>
          </cell>
          <cell r="C235" t="str">
            <v>PERDRIEL</v>
          </cell>
          <cell r="D235" t="str">
            <v>MARROQUINERIA CHICA</v>
          </cell>
          <cell r="E235">
            <v>24</v>
          </cell>
          <cell r="F235">
            <v>24</v>
          </cell>
          <cell r="G235">
            <v>24</v>
          </cell>
          <cell r="H235">
            <v>45855.507673611108</v>
          </cell>
          <cell r="I235" t="str">
            <v>TARJETERO ARIES BI FAZ</v>
          </cell>
          <cell r="J235">
            <v>45855</v>
          </cell>
          <cell r="K235">
            <v>45855</v>
          </cell>
          <cell r="L235">
            <v>45860</v>
          </cell>
          <cell r="M235">
            <v>10</v>
          </cell>
          <cell r="N235" t="str">
            <v>M187</v>
          </cell>
          <cell r="O235" t="str">
            <v>AV170134014</v>
          </cell>
          <cell r="P235">
            <v>0</v>
          </cell>
          <cell r="AW235" t="str">
            <v xml:space="preserve">GRABADO " EL LUCERO ARGENTINA" CHICO EN TIRA DEL FRENTE, CENTRADO   </v>
          </cell>
          <cell r="AX235" t="str">
            <v>VERDE_REVES_SUELA</v>
          </cell>
          <cell r="AY235" t="str">
            <v>BIANCO-CUERO MODENA ESPESOR 1,4</v>
          </cell>
          <cell r="AZ235" t="str">
            <v>CUE0000148</v>
          </cell>
          <cell r="BA235">
            <v>0.02</v>
          </cell>
          <cell r="BB235" t="str">
            <v>AV1401254260</v>
          </cell>
          <cell r="BC235">
            <v>0</v>
          </cell>
          <cell r="BD235" t="str">
            <v>AV1601300957</v>
          </cell>
          <cell r="BE235">
            <v>0</v>
          </cell>
          <cell r="BR235" t="str">
            <v>AZUL_REVES_SUELA</v>
          </cell>
          <cell r="BS235" t="str">
            <v>BIANCO-CUERO MODENA ESPESOR 1,4</v>
          </cell>
          <cell r="BT235" t="str">
            <v>CUE0000140</v>
          </cell>
          <cell r="BU235">
            <v>0.02</v>
          </cell>
          <cell r="BV235" t="str">
            <v>AV1401254360</v>
          </cell>
          <cell r="BW235">
            <v>0</v>
          </cell>
          <cell r="BX235" t="str">
            <v>AV1601300956</v>
          </cell>
          <cell r="BY235">
            <v>0</v>
          </cell>
          <cell r="KD235">
            <v>12</v>
          </cell>
          <cell r="KE235">
            <v>12</v>
          </cell>
          <cell r="KF235">
            <v>12</v>
          </cell>
          <cell r="KG235">
            <v>12</v>
          </cell>
          <cell r="KH235">
            <v>12</v>
          </cell>
          <cell r="KI235">
            <v>12</v>
          </cell>
          <cell r="KJ235">
            <v>0</v>
          </cell>
          <cell r="KM235">
            <v>0</v>
          </cell>
          <cell r="KP235">
            <v>0</v>
          </cell>
          <cell r="KS235">
            <v>0</v>
          </cell>
          <cell r="KV235">
            <v>0</v>
          </cell>
          <cell r="KY235">
            <v>0</v>
          </cell>
          <cell r="LB235">
            <v>0</v>
          </cell>
          <cell r="LE235">
            <v>0</v>
          </cell>
          <cell r="LH235">
            <v>0</v>
          </cell>
          <cell r="LK235">
            <v>0</v>
          </cell>
          <cell r="LN235">
            <v>45855</v>
          </cell>
          <cell r="LO235">
            <v>45860</v>
          </cell>
          <cell r="LP235" t="str">
            <v>COMPLETADO</v>
          </cell>
        </row>
        <row r="236">
          <cell r="A236">
            <v>18253</v>
          </cell>
          <cell r="B236" t="str">
            <v>LUCIANO</v>
          </cell>
          <cell r="C236" t="str">
            <v>BARRACAS CHICA</v>
          </cell>
          <cell r="D236" t="str">
            <v>MARROQUINERIA CHICA</v>
          </cell>
          <cell r="E236">
            <v>12</v>
          </cell>
          <cell r="F236">
            <v>12</v>
          </cell>
          <cell r="G236">
            <v>12</v>
          </cell>
          <cell r="H236">
            <v>45855.556250000001</v>
          </cell>
          <cell r="I236" t="str">
            <v>TARJETERO ARIES BI FAZ</v>
          </cell>
          <cell r="J236">
            <v>45855</v>
          </cell>
          <cell r="K236">
            <v>45855</v>
          </cell>
          <cell r="L236">
            <v>45859</v>
          </cell>
          <cell r="M236">
            <v>10</v>
          </cell>
          <cell r="N236" t="str">
            <v>M187</v>
          </cell>
          <cell r="O236" t="str">
            <v>AV170134014</v>
          </cell>
          <cell r="P236">
            <v>0</v>
          </cell>
          <cell r="AW236" t="str">
            <v xml:space="preserve">GRABADO " EL LUCERO ARGENTINA" CHICO EN TIRA DEL FRENTE, CENTRADO   </v>
          </cell>
          <cell r="AX236" t="str">
            <v>VERDE_REVES_VERDE</v>
          </cell>
          <cell r="AY236" t="str">
            <v>BIANCO-CUERO MODENA ESPESOR 1,4</v>
          </cell>
          <cell r="AZ236" t="str">
            <v>CUE0000118</v>
          </cell>
          <cell r="BA236">
            <v>0.02</v>
          </cell>
          <cell r="BB236" t="str">
            <v>AV1401254260</v>
          </cell>
          <cell r="BC236">
            <v>0</v>
          </cell>
          <cell r="BD236" t="str">
            <v>AV1601300957</v>
          </cell>
          <cell r="BE236">
            <v>0</v>
          </cell>
          <cell r="KD236">
            <v>12</v>
          </cell>
          <cell r="KE236">
            <v>12</v>
          </cell>
          <cell r="KF236">
            <v>12</v>
          </cell>
          <cell r="KG236">
            <v>0</v>
          </cell>
          <cell r="KJ236">
            <v>0</v>
          </cell>
          <cell r="KM236">
            <v>0</v>
          </cell>
          <cell r="KP236">
            <v>0</v>
          </cell>
          <cell r="KS236">
            <v>0</v>
          </cell>
          <cell r="KV236">
            <v>0</v>
          </cell>
          <cell r="KY236">
            <v>0</v>
          </cell>
          <cell r="LB236">
            <v>0</v>
          </cell>
          <cell r="LE236">
            <v>0</v>
          </cell>
          <cell r="LH236">
            <v>0</v>
          </cell>
          <cell r="LK236">
            <v>0</v>
          </cell>
          <cell r="LN236">
            <v>45855</v>
          </cell>
          <cell r="LO236">
            <v>45867</v>
          </cell>
          <cell r="LP236" t="str">
            <v>COMPLETADO</v>
          </cell>
        </row>
        <row r="237">
          <cell r="A237">
            <v>1852</v>
          </cell>
          <cell r="B237" t="str">
            <v>LUCIANO</v>
          </cell>
          <cell r="C237" t="str">
            <v>BARRACAS CHICA</v>
          </cell>
          <cell r="D237" t="str">
            <v>MARROQUINERIA CHICA</v>
          </cell>
          <cell r="E237">
            <v>12</v>
          </cell>
          <cell r="F237">
            <v>12</v>
          </cell>
          <cell r="G237">
            <v>12</v>
          </cell>
          <cell r="H237">
            <v>45855.560023148151</v>
          </cell>
          <cell r="I237" t="str">
            <v>CINTO PELO MUJER</v>
          </cell>
          <cell r="J237">
            <v>45856</v>
          </cell>
          <cell r="K237">
            <v>45856</v>
          </cell>
          <cell r="L237">
            <v>45862</v>
          </cell>
          <cell r="N237" t="str">
            <v>M176</v>
          </cell>
          <cell r="O237" t="str">
            <v>AV170134014</v>
          </cell>
          <cell r="P237">
            <v>0</v>
          </cell>
          <cell r="Q237" t="str">
            <v>VAR0000044</v>
          </cell>
          <cell r="R237">
            <v>1</v>
          </cell>
          <cell r="AS237" t="str">
            <v>LLEVA 5 ORIFICIOS</v>
          </cell>
          <cell r="AT237" t="str">
            <v>LLEVA STICKER DE TALLE</v>
          </cell>
          <cell r="AU237" t="str">
            <v>EL TALLE S/M SERA EL S DE CINTURON MIA 106 CM LARGO SIN HEBILLLA</v>
          </cell>
          <cell r="AV237" t="str">
            <v>EL TALLE M/L SERA EL M DE CINTURON MIA 115 CM LARGO SIN HEBILLLA</v>
          </cell>
          <cell r="AW237" t="str">
            <v>GRABADO "EL LUCERO CHICO " EN PUNTERA, CENTRADO</v>
          </cell>
          <cell r="AX237" t="str">
            <v>PELO_MARRON_ROJIZO</v>
          </cell>
          <cell r="AY237" t="str">
            <v>LEDER-PELO</v>
          </cell>
          <cell r="AZ237" t="str">
            <v>CUE0000115</v>
          </cell>
          <cell r="BA237">
            <v>0</v>
          </cell>
          <cell r="BB237" t="str">
            <v>FOR0000026</v>
          </cell>
          <cell r="BC237">
            <v>0</v>
          </cell>
          <cell r="BR237" t="str">
            <v>PELO_MARRON_ROJIZO</v>
          </cell>
          <cell r="BS237" t="str">
            <v>LEDER-PELO</v>
          </cell>
          <cell r="BT237" t="str">
            <v>CUE0000115</v>
          </cell>
          <cell r="BU237">
            <v>0</v>
          </cell>
          <cell r="BV237" t="str">
            <v>FOR0000026</v>
          </cell>
          <cell r="BW237">
            <v>0</v>
          </cell>
          <cell r="CL237" t="str">
            <v>PELO_BEIGE</v>
          </cell>
          <cell r="CM237" t="str">
            <v>LEDER-PELO</v>
          </cell>
          <cell r="CN237" t="str">
            <v>CUE0000125</v>
          </cell>
          <cell r="CO237">
            <v>0</v>
          </cell>
          <cell r="CP237" t="str">
            <v>FOR0000026</v>
          </cell>
          <cell r="CQ237">
            <v>0</v>
          </cell>
          <cell r="DF237" t="str">
            <v>PELO_BEIGE</v>
          </cell>
          <cell r="DG237" t="str">
            <v>LEDER-PELO</v>
          </cell>
          <cell r="DH237" t="str">
            <v>CUE0000125</v>
          </cell>
          <cell r="DI237">
            <v>0</v>
          </cell>
          <cell r="DJ237" t="str">
            <v>FOR0000026</v>
          </cell>
          <cell r="DK237">
            <v>0</v>
          </cell>
          <cell r="KD237">
            <v>4</v>
          </cell>
          <cell r="KE237">
            <v>4</v>
          </cell>
          <cell r="KF237">
            <v>4</v>
          </cell>
          <cell r="KG237">
            <v>2</v>
          </cell>
          <cell r="KH237">
            <v>2</v>
          </cell>
          <cell r="KI237">
            <v>2</v>
          </cell>
          <cell r="KJ237">
            <v>4</v>
          </cell>
          <cell r="KK237">
            <v>4</v>
          </cell>
          <cell r="KL237">
            <v>4</v>
          </cell>
          <cell r="KM237">
            <v>2</v>
          </cell>
          <cell r="KN237">
            <v>2</v>
          </cell>
          <cell r="KO237">
            <v>2</v>
          </cell>
          <cell r="KP237">
            <v>0</v>
          </cell>
          <cell r="KS237">
            <v>0</v>
          </cell>
          <cell r="KV237">
            <v>0</v>
          </cell>
          <cell r="KY237">
            <v>0</v>
          </cell>
          <cell r="LB237">
            <v>0</v>
          </cell>
          <cell r="LE237">
            <v>0</v>
          </cell>
          <cell r="LH237">
            <v>0</v>
          </cell>
          <cell r="LK237">
            <v>0</v>
          </cell>
          <cell r="LN237">
            <v>45856</v>
          </cell>
          <cell r="LO237">
            <v>45874</v>
          </cell>
          <cell r="LP237" t="str">
            <v>COMPLETADO</v>
          </cell>
          <cell r="LQ237" t="str">
            <v>TALLE S/M</v>
          </cell>
          <cell r="LR237" t="str">
            <v>TALLE M/L</v>
          </cell>
        </row>
        <row r="238">
          <cell r="A238">
            <v>18462</v>
          </cell>
          <cell r="B238" t="str">
            <v>RUBEN</v>
          </cell>
          <cell r="C238" t="str">
            <v>BARRACAS GRANDE</v>
          </cell>
          <cell r="D238" t="str">
            <v>MARROQUINERIA GRANDE</v>
          </cell>
          <cell r="E238">
            <v>2</v>
          </cell>
          <cell r="F238">
            <v>2</v>
          </cell>
          <cell r="G238">
            <v>2</v>
          </cell>
          <cell r="H238">
            <v>45857.571087962962</v>
          </cell>
          <cell r="I238" t="str">
            <v>BOLSO TUBO GRANDE PELO</v>
          </cell>
          <cell r="J238">
            <v>45856</v>
          </cell>
          <cell r="K238">
            <v>45856</v>
          </cell>
          <cell r="L238">
            <v>45867</v>
          </cell>
          <cell r="M238">
            <v>90</v>
          </cell>
          <cell r="N238" t="str">
            <v>M190</v>
          </cell>
          <cell r="O238" t="str">
            <v>BAC1300020827</v>
          </cell>
          <cell r="P238">
            <v>0.08</v>
          </cell>
          <cell r="Q238" t="str">
            <v>AV0101030201</v>
          </cell>
          <cell r="R238">
            <v>2</v>
          </cell>
          <cell r="S238" t="str">
            <v>AV0101040201</v>
          </cell>
          <cell r="T238">
            <v>1</v>
          </cell>
          <cell r="U238" t="str">
            <v>AV0300250101</v>
          </cell>
          <cell r="V238">
            <v>4</v>
          </cell>
          <cell r="W238" t="str">
            <v>AV0300410101</v>
          </cell>
          <cell r="X238">
            <v>9</v>
          </cell>
          <cell r="Y238" t="str">
            <v>AV1302250428</v>
          </cell>
          <cell r="Z238">
            <v>2</v>
          </cell>
          <cell r="AA238" t="str">
            <v>AV1302240428</v>
          </cell>
          <cell r="AB238">
            <v>0.8</v>
          </cell>
          <cell r="AC238" t="str">
            <v>AV1001450101</v>
          </cell>
          <cell r="AD238">
            <v>2</v>
          </cell>
          <cell r="AE238" t="str">
            <v>AV0700630101</v>
          </cell>
          <cell r="AF238">
            <v>2</v>
          </cell>
          <cell r="AG238" t="str">
            <v>AV0701130101</v>
          </cell>
          <cell r="AH238">
            <v>1</v>
          </cell>
          <cell r="AI238" t="str">
            <v>AV0600540101</v>
          </cell>
          <cell r="AJ238">
            <v>2</v>
          </cell>
          <cell r="AK238" t="str">
            <v>AV0300390101</v>
          </cell>
          <cell r="AL238">
            <v>1</v>
          </cell>
          <cell r="AM238" t="str">
            <v>AV170129018</v>
          </cell>
          <cell r="AN238">
            <v>0</v>
          </cell>
          <cell r="AS238" t="str">
            <v>TIRACIERRE INTERNO: N1 TIRA CON REMACHE + GRABADO ESTRELLITA</v>
          </cell>
          <cell r="AT238" t="str">
            <v>TIRACIERRES EXTERNOS "EL LUCERO" GRANDE</v>
          </cell>
          <cell r="AU238" t="str">
            <v>GAMUZA: CON VISTA DE CUERO EN BOLSILLO FRENTE</v>
          </cell>
          <cell r="AV238" t="str">
            <v>SIN CLAVOS DE FONDO / SIN BOLSILLO AL FRENTE / CORREA PUNTA REDONDEADA</v>
          </cell>
          <cell r="AW238" t="str">
            <v xml:space="preserve">EL LUCERO ARGENTINA TAMAÑO GRANDE, EN TROQUEL COCIDO DEBAJO DE VISTA DE CIERRE INTERNO </v>
          </cell>
          <cell r="AX238" t="str">
            <v>CHOCOLATE_PELO_MARRON_ROJIZO</v>
          </cell>
          <cell r="AY238" t="str">
            <v>ARENA-CUERO BRIDGE</v>
          </cell>
          <cell r="AZ238" t="str">
            <v>CUE0000005</v>
          </cell>
          <cell r="BA238">
            <v>0.43</v>
          </cell>
          <cell r="BB238" t="str">
            <v>CUE0000115</v>
          </cell>
          <cell r="BC238">
            <v>0.82</v>
          </cell>
          <cell r="BD238" t="str">
            <v>FOR0000021</v>
          </cell>
          <cell r="BE238">
            <v>0.72</v>
          </cell>
          <cell r="BF238" t="str">
            <v>AV0100010114</v>
          </cell>
          <cell r="BG238">
            <v>1.02</v>
          </cell>
          <cell r="BH238" t="str">
            <v>AV1801370725</v>
          </cell>
          <cell r="BI238">
            <v>2</v>
          </cell>
          <cell r="BJ238" t="str">
            <v>AV1401240545</v>
          </cell>
          <cell r="BK238">
            <v>0</v>
          </cell>
          <cell r="BV238" t="str">
            <v>FOR0000026</v>
          </cell>
          <cell r="BW238">
            <v>0</v>
          </cell>
          <cell r="CP238" t="str">
            <v>FOR0000026</v>
          </cell>
          <cell r="CQ238">
            <v>0</v>
          </cell>
          <cell r="DJ238" t="str">
            <v>FOR0000026</v>
          </cell>
          <cell r="DK238">
            <v>0</v>
          </cell>
          <cell r="KD238">
            <v>2</v>
          </cell>
          <cell r="KE238">
            <v>2</v>
          </cell>
          <cell r="KF238">
            <v>2</v>
          </cell>
          <cell r="KG238">
            <v>0</v>
          </cell>
          <cell r="KJ238">
            <v>0</v>
          </cell>
          <cell r="KM238">
            <v>0</v>
          </cell>
          <cell r="KP238">
            <v>0</v>
          </cell>
          <cell r="KS238">
            <v>0</v>
          </cell>
          <cell r="KV238">
            <v>0</v>
          </cell>
          <cell r="KY238">
            <v>0</v>
          </cell>
          <cell r="LB238">
            <v>0</v>
          </cell>
          <cell r="LE238">
            <v>0</v>
          </cell>
          <cell r="LH238">
            <v>0</v>
          </cell>
          <cell r="LK238">
            <v>0</v>
          </cell>
          <cell r="LN238">
            <v>45856</v>
          </cell>
          <cell r="LO238">
            <v>45867</v>
          </cell>
          <cell r="LP238" t="str">
            <v>COMPLETADO</v>
          </cell>
        </row>
        <row r="239">
          <cell r="A239">
            <v>1890</v>
          </cell>
          <cell r="B239" t="str">
            <v>LUCIANO</v>
          </cell>
          <cell r="C239" t="str">
            <v>BARRACAS CHICA</v>
          </cell>
          <cell r="D239" t="str">
            <v>MARROQUINERIA CHICA</v>
          </cell>
          <cell r="E239">
            <v>12</v>
          </cell>
          <cell r="F239">
            <v>4</v>
          </cell>
          <cell r="G239">
            <v>4</v>
          </cell>
          <cell r="H239">
            <v>45857.807766203703</v>
          </cell>
          <cell r="I239" t="str">
            <v>BILLETERA COPAHUE</v>
          </cell>
          <cell r="J239">
            <v>45856</v>
          </cell>
          <cell r="K239">
            <v>45856</v>
          </cell>
          <cell r="L239">
            <v>45861</v>
          </cell>
          <cell r="M239">
            <v>50</v>
          </cell>
          <cell r="N239" t="str">
            <v>M014</v>
          </cell>
          <cell r="O239" t="str">
            <v>VAR0000002</v>
          </cell>
          <cell r="P239">
            <v>0.01</v>
          </cell>
          <cell r="Q239" t="str">
            <v>BAC1300050727</v>
          </cell>
          <cell r="R239">
            <v>0.01</v>
          </cell>
          <cell r="S239" t="str">
            <v>AV0101070301</v>
          </cell>
          <cell r="T239">
            <v>1</v>
          </cell>
          <cell r="U239" t="str">
            <v>AV0600560101</v>
          </cell>
          <cell r="V239">
            <v>1</v>
          </cell>
          <cell r="W239" t="str">
            <v>AV0401380101</v>
          </cell>
          <cell r="X239">
            <v>1</v>
          </cell>
          <cell r="Y239" t="str">
            <v>AV170134014</v>
          </cell>
          <cell r="Z239">
            <v>0</v>
          </cell>
          <cell r="AA239" t="str">
            <v>BAC0200071027</v>
          </cell>
          <cell r="AB239">
            <v>0.01</v>
          </cell>
          <cell r="AW239" t="str">
            <v xml:space="preserve">GRABADO EL LUCERO EN SOLAPA FRONTAL CENTRADO A 1 CM DEL BORDE  </v>
          </cell>
          <cell r="AX239" t="str">
            <v>ROJO</v>
          </cell>
          <cell r="AY239" t="str">
            <v>ARENA-CUERO NAPADO</v>
          </cell>
          <cell r="AZ239" t="str">
            <v>CUE0000027</v>
          </cell>
          <cell r="BA239">
            <v>0.09</v>
          </cell>
          <cell r="BB239" t="str">
            <v>AV0100020313</v>
          </cell>
          <cell r="BC239">
            <v>0.12</v>
          </cell>
          <cell r="BD239" t="str">
            <v>FOR0000016</v>
          </cell>
          <cell r="BE239">
            <v>0.1</v>
          </cell>
          <cell r="BF239" t="str">
            <v>AV1401254460</v>
          </cell>
          <cell r="BG239">
            <v>0</v>
          </cell>
          <cell r="BR239" t="str">
            <v>VERDE_REVES_VERDE</v>
          </cell>
          <cell r="BS239" t="str">
            <v>BIANCO-CUERO MODENA ESPESOR 1,4</v>
          </cell>
          <cell r="BT239" t="str">
            <v>CUE0000118</v>
          </cell>
          <cell r="BU239">
            <v>0.09</v>
          </cell>
          <cell r="BV239" t="str">
            <v>AV0100020317</v>
          </cell>
          <cell r="BW239">
            <v>0.12</v>
          </cell>
          <cell r="BX239" t="str">
            <v>FOR0000013</v>
          </cell>
          <cell r="BY239">
            <v>0.1</v>
          </cell>
          <cell r="BZ239" t="str">
            <v>AV1401254260</v>
          </cell>
          <cell r="CA239">
            <v>0</v>
          </cell>
          <cell r="CP239" t="str">
            <v>FOR0000026</v>
          </cell>
          <cell r="CQ239">
            <v>0</v>
          </cell>
          <cell r="DJ239" t="str">
            <v>FOR0000026</v>
          </cell>
          <cell r="DK239">
            <v>0</v>
          </cell>
          <cell r="KD239">
            <v>4</v>
          </cell>
          <cell r="KE239">
            <v>4</v>
          </cell>
          <cell r="KF239">
            <v>4</v>
          </cell>
          <cell r="KG239">
            <v>8</v>
          </cell>
          <cell r="KH239">
            <v>0</v>
          </cell>
          <cell r="KI239">
            <v>0</v>
          </cell>
          <cell r="KJ239">
            <v>0</v>
          </cell>
          <cell r="KM239">
            <v>0</v>
          </cell>
          <cell r="KP239">
            <v>0</v>
          </cell>
          <cell r="KS239">
            <v>0</v>
          </cell>
          <cell r="KV239">
            <v>0</v>
          </cell>
          <cell r="KY239">
            <v>0</v>
          </cell>
          <cell r="LB239">
            <v>0</v>
          </cell>
          <cell r="LE239">
            <v>0</v>
          </cell>
          <cell r="LH239">
            <v>0</v>
          </cell>
          <cell r="LK239">
            <v>0</v>
          </cell>
          <cell r="LN239">
            <v>45856</v>
          </cell>
          <cell r="LO239">
            <v>45874</v>
          </cell>
          <cell r="LP239" t="str">
            <v>COMPLETADO</v>
          </cell>
        </row>
        <row r="240">
          <cell r="A240">
            <v>1892</v>
          </cell>
          <cell r="B240" t="str">
            <v>LUCIANO</v>
          </cell>
          <cell r="C240" t="str">
            <v>BARRACAS CHICA</v>
          </cell>
          <cell r="D240" t="str">
            <v>MARROQUINERIA CHICA</v>
          </cell>
          <cell r="E240">
            <v>14</v>
          </cell>
          <cell r="F240">
            <v>14</v>
          </cell>
          <cell r="G240">
            <v>0</v>
          </cell>
          <cell r="H240">
            <v>45857.811145833337</v>
          </cell>
          <cell r="I240" t="str">
            <v>BILLETERA LUCA</v>
          </cell>
          <cell r="J240">
            <v>45856</v>
          </cell>
          <cell r="K240">
            <v>45856</v>
          </cell>
          <cell r="L240">
            <v>45859</v>
          </cell>
          <cell r="M240">
            <v>40</v>
          </cell>
          <cell r="N240" t="str">
            <v>M021</v>
          </cell>
          <cell r="O240" t="str">
            <v>AV170134014</v>
          </cell>
          <cell r="P240">
            <v>0</v>
          </cell>
          <cell r="AS240" t="str">
            <v>VENTANA EN PVC NO EN RED</v>
          </cell>
          <cell r="AW240" t="str">
            <v xml:space="preserve">GRABADO "EL LUCERO ARGENTINA"CHICO EN INTERIOR ESQUINA INFERIOR DERECHO  </v>
          </cell>
          <cell r="AX240" t="str">
            <v>VERDE_REVES_VERDE</v>
          </cell>
          <cell r="AY240" t="str">
            <v>BIANCO-CUERO MODENA ESPESOR 1,4</v>
          </cell>
          <cell r="AZ240" t="str">
            <v>CUE0000118</v>
          </cell>
          <cell r="BA240">
            <v>0.08</v>
          </cell>
          <cell r="BB240" t="str">
            <v>FOR0000013</v>
          </cell>
          <cell r="BC240">
            <v>0.06</v>
          </cell>
          <cell r="BD240" t="str">
            <v>AV1401254260</v>
          </cell>
          <cell r="BE240">
            <v>0</v>
          </cell>
          <cell r="CP240" t="str">
            <v>FOR0000026</v>
          </cell>
          <cell r="CQ240">
            <v>0</v>
          </cell>
          <cell r="DJ240" t="str">
            <v>FOR0000026</v>
          </cell>
          <cell r="DK240">
            <v>0</v>
          </cell>
          <cell r="KD240">
            <v>14</v>
          </cell>
          <cell r="KE240">
            <v>14</v>
          </cell>
          <cell r="KG240">
            <v>0</v>
          </cell>
          <cell r="KJ240">
            <v>0</v>
          </cell>
          <cell r="KM240">
            <v>0</v>
          </cell>
          <cell r="KP240">
            <v>0</v>
          </cell>
          <cell r="KS240">
            <v>0</v>
          </cell>
          <cell r="KV240">
            <v>0</v>
          </cell>
          <cell r="KY240">
            <v>0</v>
          </cell>
          <cell r="LB240">
            <v>0</v>
          </cell>
          <cell r="LE240">
            <v>0</v>
          </cell>
          <cell r="LH240">
            <v>0</v>
          </cell>
          <cell r="LK240">
            <v>0</v>
          </cell>
          <cell r="LN240">
            <v>45856</v>
          </cell>
          <cell r="LP240" t="str">
            <v>EN PRODUCCION</v>
          </cell>
        </row>
        <row r="241">
          <cell r="A241">
            <v>18942</v>
          </cell>
          <cell r="B241" t="str">
            <v>LUCIANO</v>
          </cell>
          <cell r="C241" t="str">
            <v>PERDRIEL</v>
          </cell>
          <cell r="D241" t="str">
            <v>MARROQUINERIA CHICA</v>
          </cell>
          <cell r="E241">
            <v>14</v>
          </cell>
          <cell r="F241">
            <v>13</v>
          </cell>
          <cell r="G241">
            <v>13</v>
          </cell>
          <cell r="H241">
            <v>45857.818738425929</v>
          </cell>
          <cell r="I241" t="str">
            <v>PORTAPASAPORTE CHESTER</v>
          </cell>
          <cell r="J241">
            <v>45855</v>
          </cell>
          <cell r="K241">
            <v>45855</v>
          </cell>
          <cell r="M241">
            <v>10</v>
          </cell>
          <cell r="N241" t="str">
            <v>M104</v>
          </cell>
          <cell r="O241" t="str">
            <v>AV170134014</v>
          </cell>
          <cell r="P241">
            <v>0</v>
          </cell>
          <cell r="AW241" t="str">
            <v xml:space="preserve">GRABADO LUCERO ARGENTINA CHICO,CENTRADO EN ESPALDA A 1.5CM DEL BORDE INFERIOR  </v>
          </cell>
          <cell r="AX241" t="str">
            <v>VERDE_REVES_VERDE</v>
          </cell>
          <cell r="AY241" t="str">
            <v>BIANCO-CUERO MODENA ESPESOR 1,4</v>
          </cell>
          <cell r="AZ241" t="str">
            <v>CUE0000118</v>
          </cell>
          <cell r="BA241">
            <v>0.05</v>
          </cell>
          <cell r="BB241" t="str">
            <v>AV1401254260</v>
          </cell>
          <cell r="BC241">
            <v>0</v>
          </cell>
          <cell r="CP241" t="str">
            <v>FOR0000026</v>
          </cell>
          <cell r="CQ241">
            <v>0</v>
          </cell>
          <cell r="DJ241" t="str">
            <v>FOR0000026</v>
          </cell>
          <cell r="DK241">
            <v>0</v>
          </cell>
          <cell r="KD241">
            <v>14</v>
          </cell>
          <cell r="KE241">
            <v>13</v>
          </cell>
          <cell r="KF241">
            <v>13</v>
          </cell>
          <cell r="KG241">
            <v>0</v>
          </cell>
          <cell r="KJ241">
            <v>0</v>
          </cell>
          <cell r="KM241">
            <v>0</v>
          </cell>
          <cell r="KP241">
            <v>0</v>
          </cell>
          <cell r="KS241">
            <v>0</v>
          </cell>
          <cell r="KV241">
            <v>0</v>
          </cell>
          <cell r="KY241">
            <v>0</v>
          </cell>
          <cell r="LB241">
            <v>0</v>
          </cell>
          <cell r="LE241">
            <v>0</v>
          </cell>
          <cell r="LH241">
            <v>0</v>
          </cell>
          <cell r="LK241">
            <v>0</v>
          </cell>
          <cell r="LN241">
            <v>45855</v>
          </cell>
          <cell r="LP241" t="str">
            <v>EN PRODUCCION</v>
          </cell>
        </row>
        <row r="242">
          <cell r="A242">
            <v>18972</v>
          </cell>
          <cell r="B242" t="str">
            <v>LUCIANO</v>
          </cell>
          <cell r="C242" t="str">
            <v>BARRACAS CHICA</v>
          </cell>
          <cell r="D242" t="str">
            <v>MARROQUINERIA CHICA</v>
          </cell>
          <cell r="E242">
            <v>8</v>
          </cell>
          <cell r="F242">
            <v>8</v>
          </cell>
          <cell r="G242">
            <v>0</v>
          </cell>
          <cell r="H242">
            <v>45857.826956018522</v>
          </cell>
          <cell r="I242" t="str">
            <v>TARJETERO HARRY</v>
          </cell>
          <cell r="J242">
            <v>45855</v>
          </cell>
          <cell r="K242">
            <v>45855</v>
          </cell>
          <cell r="L242">
            <v>45859</v>
          </cell>
          <cell r="M242">
            <v>20</v>
          </cell>
          <cell r="N242" t="str">
            <v>M125</v>
          </cell>
          <cell r="O242" t="str">
            <v>AV170134014</v>
          </cell>
          <cell r="P242">
            <v>0</v>
          </cell>
          <cell r="AW242" t="str">
            <v xml:space="preserve">GRABADO " EL LUCERO ARGENTINA" CHICO ENINTERIOR CENTRADO SOBRE LA DERECHA (VER MUESTRA)   </v>
          </cell>
          <cell r="AX242" t="str">
            <v>VERDE_REVES_VERDE</v>
          </cell>
          <cell r="AY242" t="str">
            <v>BIANCO-CUERO MODENA ESPESOR 1,4</v>
          </cell>
          <cell r="AZ242" t="str">
            <v>CUE0000118</v>
          </cell>
          <cell r="BA242">
            <v>0.05</v>
          </cell>
          <cell r="BB242">
            <v>0</v>
          </cell>
          <cell r="BC242">
            <v>0.02</v>
          </cell>
          <cell r="BD242" t="str">
            <v>FOR0000019</v>
          </cell>
          <cell r="BE242">
            <v>0.05</v>
          </cell>
          <cell r="BF242" t="str">
            <v>AV1401254360</v>
          </cell>
          <cell r="BG242">
            <v>0</v>
          </cell>
          <cell r="CP242" t="str">
            <v>FOR0000026</v>
          </cell>
          <cell r="CQ242">
            <v>0</v>
          </cell>
          <cell r="DJ242" t="str">
            <v>FOR0000026</v>
          </cell>
          <cell r="DK242">
            <v>0</v>
          </cell>
          <cell r="KD242">
            <v>8</v>
          </cell>
          <cell r="KE242">
            <v>8</v>
          </cell>
          <cell r="KG242">
            <v>0</v>
          </cell>
          <cell r="KJ242">
            <v>0</v>
          </cell>
          <cell r="KM242">
            <v>0</v>
          </cell>
          <cell r="KP242">
            <v>0</v>
          </cell>
          <cell r="KS242">
            <v>0</v>
          </cell>
          <cell r="KV242">
            <v>0</v>
          </cell>
          <cell r="KY242">
            <v>0</v>
          </cell>
          <cell r="LB242">
            <v>0</v>
          </cell>
          <cell r="LE242">
            <v>0</v>
          </cell>
          <cell r="LH242">
            <v>0</v>
          </cell>
          <cell r="LK242">
            <v>0</v>
          </cell>
          <cell r="LN242">
            <v>45855</v>
          </cell>
          <cell r="LP242" t="str">
            <v>EN PRODUCCION</v>
          </cell>
        </row>
        <row r="243">
          <cell r="A243">
            <v>1899</v>
          </cell>
          <cell r="B243" t="str">
            <v>LUCIANO</v>
          </cell>
          <cell r="C243" t="str">
            <v>PERDRIEL</v>
          </cell>
          <cell r="D243" t="str">
            <v>MARROQUINERIA CHICA</v>
          </cell>
          <cell r="E243">
            <v>10</v>
          </cell>
          <cell r="F243">
            <v>10</v>
          </cell>
          <cell r="G243">
            <v>10</v>
          </cell>
          <cell r="H243">
            <v>45862.420011574075</v>
          </cell>
          <cell r="I243" t="str">
            <v>PILUSO HILDA PELO</v>
          </cell>
          <cell r="J243">
            <v>45853</v>
          </cell>
          <cell r="K243">
            <v>45853</v>
          </cell>
          <cell r="L243">
            <v>45861</v>
          </cell>
          <cell r="M243">
            <v>22</v>
          </cell>
          <cell r="N243" t="str">
            <v>M191</v>
          </cell>
          <cell r="O243" t="str">
            <v>VAR0000032</v>
          </cell>
          <cell r="P243">
            <v>1</v>
          </cell>
          <cell r="Q243" t="str">
            <v>AV170134014</v>
          </cell>
          <cell r="R243">
            <v>0</v>
          </cell>
          <cell r="AS243" t="str">
            <v>SIN PINTUTURA</v>
          </cell>
          <cell r="AX243" t="str">
            <v>PELO_HEREFORD</v>
          </cell>
          <cell r="AY243" t="str">
            <v>LEDER-PELO</v>
          </cell>
          <cell r="AZ243" t="str">
            <v>CUE0000117</v>
          </cell>
          <cell r="BA243">
            <v>0.22</v>
          </cell>
          <cell r="BR243" t="str">
            <v>PELO_HOLANDO</v>
          </cell>
          <cell r="BS243" t="str">
            <v>LEDER-PELO</v>
          </cell>
          <cell r="BT243" t="str">
            <v>CUE0000116</v>
          </cell>
          <cell r="BU243">
            <v>0.22</v>
          </cell>
          <cell r="KD243">
            <v>6</v>
          </cell>
          <cell r="KE243">
            <v>6</v>
          </cell>
          <cell r="KF243">
            <v>6</v>
          </cell>
          <cell r="KG243">
            <v>4</v>
          </cell>
          <cell r="KH243">
            <v>4</v>
          </cell>
          <cell r="KI243">
            <v>4</v>
          </cell>
          <cell r="KJ243">
            <v>0</v>
          </cell>
          <cell r="KM243">
            <v>0</v>
          </cell>
          <cell r="KP243">
            <v>0</v>
          </cell>
          <cell r="KS243">
            <v>0</v>
          </cell>
          <cell r="KV243">
            <v>0</v>
          </cell>
          <cell r="KY243">
            <v>0</v>
          </cell>
          <cell r="LB243">
            <v>0</v>
          </cell>
          <cell r="LE243">
            <v>0</v>
          </cell>
          <cell r="LH243">
            <v>0</v>
          </cell>
          <cell r="LK243">
            <v>0</v>
          </cell>
          <cell r="LN243">
            <v>45853</v>
          </cell>
          <cell r="LO243">
            <v>45867</v>
          </cell>
          <cell r="LP243" t="str">
            <v>COMPLETADO</v>
          </cell>
          <cell r="LQ243" t="str">
            <v>QUE SE VEA LA MANCHA SI NO SALE DE RETAZOS, USAR PLACA!</v>
          </cell>
          <cell r="LR243" t="str">
            <v>QUE SE VEA LA MANCHA SI NO SALE DE RETAZOS, USAR PLACA!</v>
          </cell>
        </row>
        <row r="244">
          <cell r="A244">
            <v>1900</v>
          </cell>
          <cell r="B244" t="str">
            <v>RUBEN</v>
          </cell>
          <cell r="C244" t="str">
            <v>BARRACAS GRANDE</v>
          </cell>
          <cell r="D244" t="str">
            <v>MARROQUINERIA GRANDE</v>
          </cell>
          <cell r="E244">
            <v>8</v>
          </cell>
          <cell r="F244">
            <v>8</v>
          </cell>
          <cell r="G244">
            <v>8</v>
          </cell>
          <cell r="H244">
            <v>45862.466597222221</v>
          </cell>
          <cell r="I244" t="str">
            <v>CARTERA MANA</v>
          </cell>
          <cell r="J244">
            <v>45861</v>
          </cell>
          <cell r="K244">
            <v>45861</v>
          </cell>
          <cell r="L244">
            <v>45861</v>
          </cell>
          <cell r="M244">
            <v>55</v>
          </cell>
          <cell r="N244" t="str">
            <v>M192</v>
          </cell>
          <cell r="O244" t="str">
            <v>AV0300460101</v>
          </cell>
          <cell r="P244">
            <v>1</v>
          </cell>
          <cell r="Q244" t="str">
            <v>CUE0000124</v>
          </cell>
          <cell r="R244">
            <v>1</v>
          </cell>
          <cell r="S244" t="str">
            <v>AV170129018</v>
          </cell>
          <cell r="T244">
            <v>0</v>
          </cell>
          <cell r="AS244" t="str">
            <v>TRABAJO MANUAL ARTESANAL PESPUNTE</v>
          </cell>
          <cell r="AT244" t="str">
            <v>FLECOS EN EL MISMO MATERIAL</v>
          </cell>
          <cell r="AW244" t="str">
            <v>GRABADO EL LUCERO GRANDE ATRAS ARRIBA</v>
          </cell>
          <cell r="AX244" t="str">
            <v>CAOBA</v>
          </cell>
          <cell r="AY244" t="str">
            <v>ANAN-CUERO NAPOLE</v>
          </cell>
          <cell r="AZ244" t="str">
            <v>CUE0000179</v>
          </cell>
          <cell r="BA244">
            <v>0.98</v>
          </cell>
          <cell r="BR244" t="str">
            <v>TABACO</v>
          </cell>
          <cell r="BS244" t="str">
            <v>ANAN-CUERO NAPOLE</v>
          </cell>
          <cell r="BT244" t="str">
            <v>CUE0000178</v>
          </cell>
          <cell r="BU244">
            <v>0.98</v>
          </cell>
          <cell r="KD244">
            <v>4</v>
          </cell>
          <cell r="KE244">
            <v>4</v>
          </cell>
          <cell r="KF244">
            <v>4</v>
          </cell>
          <cell r="KG244">
            <v>4</v>
          </cell>
          <cell r="KH244">
            <v>4</v>
          </cell>
          <cell r="KI244">
            <v>4</v>
          </cell>
          <cell r="KJ244">
            <v>0</v>
          </cell>
          <cell r="KM244">
            <v>0</v>
          </cell>
          <cell r="KP244">
            <v>0</v>
          </cell>
          <cell r="KS244">
            <v>0</v>
          </cell>
          <cell r="KV244">
            <v>0</v>
          </cell>
          <cell r="KY244">
            <v>0</v>
          </cell>
          <cell r="LB244">
            <v>0</v>
          </cell>
          <cell r="LE244">
            <v>0</v>
          </cell>
          <cell r="LH244">
            <v>0</v>
          </cell>
          <cell r="LK244">
            <v>0</v>
          </cell>
          <cell r="LN244">
            <v>45861</v>
          </cell>
          <cell r="LO244">
            <v>45874</v>
          </cell>
          <cell r="LP244" t="str">
            <v>COMPLETADO</v>
          </cell>
        </row>
        <row r="245">
          <cell r="A245">
            <v>1901</v>
          </cell>
          <cell r="B245" t="str">
            <v>LUCIANO</v>
          </cell>
          <cell r="C245" t="str">
            <v>PERDRIEL</v>
          </cell>
          <cell r="D245" t="str">
            <v>MARROQUINERIA CHICA</v>
          </cell>
          <cell r="E245">
            <v>24</v>
          </cell>
          <cell r="F245">
            <v>24</v>
          </cell>
          <cell r="G245">
            <v>24</v>
          </cell>
          <cell r="H245">
            <v>45862.495289351849</v>
          </cell>
          <cell r="I245" t="str">
            <v>PORTALENTES  MUSAI</v>
          </cell>
          <cell r="J245">
            <v>45861</v>
          </cell>
          <cell r="K245">
            <v>45861</v>
          </cell>
          <cell r="L245">
            <v>45873</v>
          </cell>
          <cell r="M245">
            <v>18</v>
          </cell>
          <cell r="N245" t="str">
            <v>M193</v>
          </cell>
          <cell r="O245" t="str">
            <v>AV170134014</v>
          </cell>
          <cell r="P245">
            <v>0</v>
          </cell>
          <cell r="AS245" t="str">
            <v>TRABAJO MANUAL ARTESANAL PESPUNTE</v>
          </cell>
          <cell r="AW245" t="str">
            <v>NO SE GRABA</v>
          </cell>
          <cell r="AX245" t="str">
            <v>CAOBA</v>
          </cell>
          <cell r="AY245" t="str">
            <v>ANAN-CUERO NAPOLE</v>
          </cell>
          <cell r="AZ245" t="str">
            <v>CUE0000179</v>
          </cell>
          <cell r="BA245">
            <v>0.1</v>
          </cell>
          <cell r="BR245" t="str">
            <v>TABACO</v>
          </cell>
          <cell r="BS245" t="str">
            <v>ANAN-CUERO NAPOLE</v>
          </cell>
          <cell r="BT245" t="str">
            <v>CUE0000178</v>
          </cell>
          <cell r="BU245">
            <v>0.1</v>
          </cell>
          <cell r="KD245">
            <v>12</v>
          </cell>
          <cell r="KE245">
            <v>12</v>
          </cell>
          <cell r="KF245">
            <v>12</v>
          </cell>
          <cell r="KG245">
            <v>12</v>
          </cell>
          <cell r="KH245">
            <v>12</v>
          </cell>
          <cell r="KI245">
            <v>12</v>
          </cell>
          <cell r="KJ245">
            <v>0</v>
          </cell>
          <cell r="KM245">
            <v>0</v>
          </cell>
          <cell r="KP245">
            <v>0</v>
          </cell>
          <cell r="KS245">
            <v>0</v>
          </cell>
          <cell r="KV245">
            <v>0</v>
          </cell>
          <cell r="KY245">
            <v>0</v>
          </cell>
          <cell r="LB245">
            <v>0</v>
          </cell>
          <cell r="LE245">
            <v>0</v>
          </cell>
          <cell r="LH245">
            <v>0</v>
          </cell>
          <cell r="LK245">
            <v>0</v>
          </cell>
          <cell r="LN245">
            <v>45861</v>
          </cell>
          <cell r="LO245">
            <v>45881</v>
          </cell>
          <cell r="LP245" t="str">
            <v>COMPLETADO</v>
          </cell>
        </row>
        <row r="246">
          <cell r="A246">
            <v>1902</v>
          </cell>
          <cell r="B246" t="str">
            <v>RUBEN</v>
          </cell>
          <cell r="C246" t="str">
            <v>BARRACAS GRANDE</v>
          </cell>
          <cell r="D246" t="str">
            <v>MARROQUINERIA GRANDE</v>
          </cell>
          <cell r="E246">
            <v>12</v>
          </cell>
          <cell r="F246">
            <v>6</v>
          </cell>
          <cell r="G246">
            <v>6</v>
          </cell>
          <cell r="H246">
            <v>45862.504050925927</v>
          </cell>
          <cell r="I246" t="str">
            <v>TOTE MALVA</v>
          </cell>
          <cell r="J246">
            <v>45861</v>
          </cell>
          <cell r="K246">
            <v>45861</v>
          </cell>
          <cell r="L246">
            <v>45861</v>
          </cell>
          <cell r="M246">
            <v>60</v>
          </cell>
          <cell r="N246" t="str">
            <v>M194</v>
          </cell>
          <cell r="O246" t="str">
            <v>CUE0000124</v>
          </cell>
          <cell r="P246">
            <v>1</v>
          </cell>
          <cell r="Q246" t="str">
            <v>AV170129018</v>
          </cell>
          <cell r="R246">
            <v>0</v>
          </cell>
          <cell r="AS246" t="str">
            <v xml:space="preserve"> TRABAJO MANUAL ARTESANAL PESPUNTE</v>
          </cell>
          <cell r="AW246" t="str">
            <v>NO SE GRABA</v>
          </cell>
          <cell r="AX246" t="str">
            <v>OLIVA_GAMUZA_CARAMELO</v>
          </cell>
          <cell r="AY246" t="str">
            <v>NAPOLITANA-CUERO GAMUZA</v>
          </cell>
          <cell r="AZ246" t="str">
            <v>CUE0000047</v>
          </cell>
          <cell r="BA246">
            <v>0.43</v>
          </cell>
          <cell r="BB246" t="str">
            <v>CUE0000004</v>
          </cell>
          <cell r="BC246">
            <v>0.11</v>
          </cell>
          <cell r="BR246" t="str">
            <v>OXIDO_GAMUZA_TABACO</v>
          </cell>
          <cell r="BS246" t="str">
            <v>NAPOLITANA-CUERO GAMUZA</v>
          </cell>
          <cell r="BT246" t="str">
            <v>CUE0000048</v>
          </cell>
          <cell r="BU246">
            <v>0.43</v>
          </cell>
          <cell r="BV246" t="str">
            <v>CUE0000012</v>
          </cell>
          <cell r="BW246">
            <v>0.11</v>
          </cell>
          <cell r="KD246">
            <v>6</v>
          </cell>
          <cell r="KE246">
            <v>0</v>
          </cell>
          <cell r="KF246">
            <v>0</v>
          </cell>
          <cell r="KG246">
            <v>6</v>
          </cell>
          <cell r="KH246">
            <v>6</v>
          </cell>
          <cell r="KI246">
            <v>6</v>
          </cell>
          <cell r="KJ246">
            <v>0</v>
          </cell>
          <cell r="KM246">
            <v>0</v>
          </cell>
          <cell r="KP246">
            <v>0</v>
          </cell>
          <cell r="KS246">
            <v>0</v>
          </cell>
          <cell r="KV246">
            <v>0</v>
          </cell>
          <cell r="KY246">
            <v>0</v>
          </cell>
          <cell r="LB246">
            <v>0</v>
          </cell>
          <cell r="LE246">
            <v>0</v>
          </cell>
          <cell r="LH246">
            <v>0</v>
          </cell>
          <cell r="LK246">
            <v>0</v>
          </cell>
          <cell r="LN246">
            <v>45861</v>
          </cell>
          <cell r="LO246">
            <v>45874</v>
          </cell>
          <cell r="LP246" t="str">
            <v>COMPLETADO</v>
          </cell>
        </row>
        <row r="247">
          <cell r="A247">
            <v>1903</v>
          </cell>
          <cell r="B247" t="str">
            <v>RUBEN</v>
          </cell>
          <cell r="C247" t="str">
            <v>BARRACAS GRANDE</v>
          </cell>
          <cell r="D247" t="str">
            <v>MARROQUINERIA GRANDE</v>
          </cell>
          <cell r="E247">
            <v>12</v>
          </cell>
          <cell r="F247">
            <v>15</v>
          </cell>
          <cell r="G247">
            <v>15</v>
          </cell>
          <cell r="H247">
            <v>45862.588530092595</v>
          </cell>
          <cell r="I247" t="str">
            <v>MATERA RENATA</v>
          </cell>
          <cell r="J247">
            <v>45861</v>
          </cell>
          <cell r="K247">
            <v>45861</v>
          </cell>
          <cell r="L247">
            <v>45861</v>
          </cell>
          <cell r="M247">
            <v>70</v>
          </cell>
          <cell r="N247" t="str">
            <v>M195</v>
          </cell>
          <cell r="O247" t="str">
            <v>CUE0000124</v>
          </cell>
          <cell r="P247">
            <v>0.03</v>
          </cell>
          <cell r="Q247" t="str">
            <v>BAC1300050727</v>
          </cell>
          <cell r="R247">
            <v>0</v>
          </cell>
          <cell r="S247" t="str">
            <v>AV170129018</v>
          </cell>
          <cell r="T247">
            <v>0</v>
          </cell>
          <cell r="AS247" t="str">
            <v>TRABAJO MANUAL ARTESANAL PESPUNTE</v>
          </cell>
          <cell r="AW247" t="str">
            <v>NO SE GRABA</v>
          </cell>
          <cell r="AX247" t="str">
            <v>OLIVA_GAMUZA_CARAMELO</v>
          </cell>
          <cell r="AY247" t="str">
            <v>NAPOLITANA-CUERO GAMUZA</v>
          </cell>
          <cell r="AZ247" t="str">
            <v>CUE0000047</v>
          </cell>
          <cell r="BA247">
            <v>0.44</v>
          </cell>
          <cell r="BB247" t="str">
            <v>CUE0000004</v>
          </cell>
          <cell r="BC247">
            <v>0.14000000000000001</v>
          </cell>
          <cell r="BD247" t="str">
            <v>FOR0000021</v>
          </cell>
          <cell r="BE247">
            <v>1</v>
          </cell>
          <cell r="BR247" t="str">
            <v>OXIDO_GAMUZA_TABACO</v>
          </cell>
          <cell r="BS247" t="str">
            <v>NAPOLITANA-CUERO GAMUZA</v>
          </cell>
          <cell r="BT247" t="str">
            <v>CUE0000048</v>
          </cell>
          <cell r="BU247">
            <v>0.44</v>
          </cell>
          <cell r="BV247" t="str">
            <v>CUE0000012</v>
          </cell>
          <cell r="BW247">
            <v>0.14000000000000001</v>
          </cell>
          <cell r="BX247" t="str">
            <v>FOR0000021</v>
          </cell>
          <cell r="BY247">
            <v>1</v>
          </cell>
          <cell r="KD247">
            <v>6</v>
          </cell>
          <cell r="KE247">
            <v>9</v>
          </cell>
          <cell r="KF247">
            <v>9</v>
          </cell>
          <cell r="KG247">
            <v>6</v>
          </cell>
          <cell r="KH247">
            <v>6</v>
          </cell>
          <cell r="KI247">
            <v>6</v>
          </cell>
          <cell r="KJ247">
            <v>0</v>
          </cell>
          <cell r="KM247">
            <v>0</v>
          </cell>
          <cell r="KP247">
            <v>0</v>
          </cell>
          <cell r="KS247">
            <v>0</v>
          </cell>
          <cell r="KV247">
            <v>0</v>
          </cell>
          <cell r="KY247">
            <v>0</v>
          </cell>
          <cell r="LB247">
            <v>0</v>
          </cell>
          <cell r="LE247">
            <v>0</v>
          </cell>
          <cell r="LH247">
            <v>0</v>
          </cell>
          <cell r="LK247">
            <v>0</v>
          </cell>
          <cell r="LN247">
            <v>45861</v>
          </cell>
          <cell r="LO247">
            <v>45939</v>
          </cell>
          <cell r="LP247" t="str">
            <v>COMPLETADO</v>
          </cell>
        </row>
        <row r="248">
          <cell r="A248">
            <v>1904</v>
          </cell>
          <cell r="B248" t="str">
            <v>RUBEN</v>
          </cell>
          <cell r="C248" t="str">
            <v>BARRACAS GRANDE</v>
          </cell>
          <cell r="D248" t="str">
            <v>MARROQUINERIA GRANDE</v>
          </cell>
          <cell r="E248">
            <v>12</v>
          </cell>
          <cell r="F248">
            <v>15</v>
          </cell>
          <cell r="G248">
            <v>15</v>
          </cell>
          <cell r="H248">
            <v>45862.599074074074</v>
          </cell>
          <cell r="I248" t="str">
            <v>MATERA AVA</v>
          </cell>
          <cell r="J248">
            <v>45861</v>
          </cell>
          <cell r="K248">
            <v>45861</v>
          </cell>
          <cell r="L248">
            <v>45861</v>
          </cell>
          <cell r="M248">
            <v>55</v>
          </cell>
          <cell r="N248" t="str">
            <v>M196</v>
          </cell>
          <cell r="O248" t="str">
            <v>CUE0000124</v>
          </cell>
          <cell r="P248">
            <v>0.03</v>
          </cell>
          <cell r="Q248" t="str">
            <v>BAC1300050727</v>
          </cell>
          <cell r="R248">
            <v>0</v>
          </cell>
          <cell r="S248" t="str">
            <v>AV170129018</v>
          </cell>
          <cell r="T248">
            <v>0</v>
          </cell>
          <cell r="AS248" t="str">
            <v>TRABAJO MANUAL ARTESANAL TRENZADO</v>
          </cell>
          <cell r="AW248" t="str">
            <v>NO SE GRABA</v>
          </cell>
          <cell r="AX248" t="str">
            <v>OLIVA_GAMUZA_CARAMELO</v>
          </cell>
          <cell r="AY248" t="str">
            <v>NAPOLITANA-CUERO GAMUZA</v>
          </cell>
          <cell r="AZ248" t="str">
            <v>CUE0000047</v>
          </cell>
          <cell r="BA248">
            <v>0.44</v>
          </cell>
          <cell r="BB248" t="str">
            <v>CUE0000004</v>
          </cell>
          <cell r="BC248">
            <v>0.1</v>
          </cell>
          <cell r="BD248" t="str">
            <v>FOR0000021</v>
          </cell>
          <cell r="BE248">
            <v>1</v>
          </cell>
          <cell r="BR248" t="str">
            <v>OXIDO_GAMUZA_TABACO</v>
          </cell>
          <cell r="BS248" t="str">
            <v>NAPOLITANA-CUERO GAMUZA</v>
          </cell>
          <cell r="BT248" t="str">
            <v>CUE0000048</v>
          </cell>
          <cell r="BU248">
            <v>0.44</v>
          </cell>
          <cell r="BV248" t="str">
            <v>CUE0000012</v>
          </cell>
          <cell r="BW248">
            <v>0.1</v>
          </cell>
          <cell r="BX248" t="str">
            <v>FOR0000021</v>
          </cell>
          <cell r="BY248">
            <v>1</v>
          </cell>
          <cell r="KD248">
            <v>6</v>
          </cell>
          <cell r="KE248">
            <v>9</v>
          </cell>
          <cell r="KF248">
            <v>9</v>
          </cell>
          <cell r="KG248">
            <v>6</v>
          </cell>
          <cell r="KH248">
            <v>6</v>
          </cell>
          <cell r="KI248">
            <v>6</v>
          </cell>
          <cell r="KJ248">
            <v>0</v>
          </cell>
          <cell r="KM248">
            <v>0</v>
          </cell>
          <cell r="KP248">
            <v>0</v>
          </cell>
          <cell r="KS248">
            <v>0</v>
          </cell>
          <cell r="KV248">
            <v>0</v>
          </cell>
          <cell r="KY248">
            <v>0</v>
          </cell>
          <cell r="LB248">
            <v>0</v>
          </cell>
          <cell r="LE248">
            <v>0</v>
          </cell>
          <cell r="LH248">
            <v>0</v>
          </cell>
          <cell r="LK248">
            <v>0</v>
          </cell>
          <cell r="LN248">
            <v>45861</v>
          </cell>
          <cell r="LO248">
            <v>45939</v>
          </cell>
          <cell r="LP248" t="str">
            <v>COMPLETADO</v>
          </cell>
        </row>
        <row r="249">
          <cell r="A249">
            <v>1905</v>
          </cell>
          <cell r="B249" t="str">
            <v>LUCIANO</v>
          </cell>
          <cell r="C249" t="str">
            <v>BARRACAS CHICA</v>
          </cell>
          <cell r="D249" t="str">
            <v>MARROQUINERIA CHICA</v>
          </cell>
          <cell r="E249">
            <v>48</v>
          </cell>
          <cell r="F249">
            <v>48</v>
          </cell>
          <cell r="G249">
            <v>48</v>
          </cell>
          <cell r="H249">
            <v>45865.455451388887</v>
          </cell>
          <cell r="I249" t="str">
            <v>PORTALENTES  NOLE</v>
          </cell>
          <cell r="J249">
            <v>45859</v>
          </cell>
          <cell r="K249">
            <v>45859</v>
          </cell>
          <cell r="L249">
            <v>45868</v>
          </cell>
          <cell r="M249">
            <v>18</v>
          </cell>
          <cell r="N249" t="str">
            <v>M197</v>
          </cell>
          <cell r="O249" t="str">
            <v>AV170134014</v>
          </cell>
          <cell r="P249">
            <v>0</v>
          </cell>
          <cell r="AW249" t="str">
            <v xml:space="preserve"> GRABADO EL LUCERO ARGENTINA CHICO, EN EL FRENTE, A 1.5CM DEL BORDE INFERIOR CENTRADO</v>
          </cell>
          <cell r="AX249" t="str">
            <v>NEGRO</v>
          </cell>
          <cell r="AY249" t="str">
            <v>ARENA-CUERO NAPADO</v>
          </cell>
          <cell r="AZ249" t="str">
            <v>CUE0000026</v>
          </cell>
          <cell r="BA249">
            <v>0.1</v>
          </cell>
          <cell r="BR249" t="str">
            <v>CARAMELO</v>
          </cell>
          <cell r="BS249" t="str">
            <v>ARENA-CUERO NAPADO</v>
          </cell>
          <cell r="BT249" t="str">
            <v>CUE0000022</v>
          </cell>
          <cell r="BU249">
            <v>0.1</v>
          </cell>
          <cell r="CL249" t="str">
            <v>MALBEC</v>
          </cell>
          <cell r="CM249" t="str">
            <v>ARENA-CUERO NAPADO</v>
          </cell>
          <cell r="CN249" t="str">
            <v>CUE0000025</v>
          </cell>
          <cell r="CO249">
            <v>0.1</v>
          </cell>
          <cell r="DF249" t="str">
            <v>ROJO</v>
          </cell>
          <cell r="DG249" t="str">
            <v>ARENA-CUERO NAPADO</v>
          </cell>
          <cell r="DH249" t="str">
            <v>CUE0000027</v>
          </cell>
          <cell r="DI249">
            <v>0.1</v>
          </cell>
          <cell r="KD249">
            <v>12</v>
          </cell>
          <cell r="KE249">
            <v>12</v>
          </cell>
          <cell r="KF249">
            <v>12</v>
          </cell>
          <cell r="KG249">
            <v>12</v>
          </cell>
          <cell r="KH249">
            <v>12</v>
          </cell>
          <cell r="KI249">
            <v>12</v>
          </cell>
          <cell r="KJ249">
            <v>12</v>
          </cell>
          <cell r="KK249">
            <v>12</v>
          </cell>
          <cell r="KL249">
            <v>12</v>
          </cell>
          <cell r="KM249">
            <v>12</v>
          </cell>
          <cell r="KN249">
            <v>12</v>
          </cell>
          <cell r="KO249">
            <v>12</v>
          </cell>
          <cell r="KP249">
            <v>0</v>
          </cell>
          <cell r="KS249">
            <v>0</v>
          </cell>
          <cell r="KV249">
            <v>0</v>
          </cell>
          <cell r="KY249">
            <v>0</v>
          </cell>
          <cell r="LB249">
            <v>0</v>
          </cell>
          <cell r="LE249">
            <v>0</v>
          </cell>
          <cell r="LH249">
            <v>0</v>
          </cell>
          <cell r="LK249">
            <v>0</v>
          </cell>
          <cell r="LN249">
            <v>45859</v>
          </cell>
          <cell r="LO249">
            <v>45881</v>
          </cell>
          <cell r="LP249" t="str">
            <v>COMPLETADO</v>
          </cell>
        </row>
        <row r="250">
          <cell r="A250">
            <v>1906</v>
          </cell>
          <cell r="B250" t="str">
            <v>LUCIANO</v>
          </cell>
          <cell r="C250" t="str">
            <v>BARRACAS GRANDE</v>
          </cell>
          <cell r="D250" t="str">
            <v>MARROQUINERIA GRANDE</v>
          </cell>
          <cell r="E250">
            <v>15</v>
          </cell>
          <cell r="F250">
            <v>15</v>
          </cell>
          <cell r="G250">
            <v>15</v>
          </cell>
          <cell r="H250">
            <v>45865.542569444442</v>
          </cell>
          <cell r="I250" t="str">
            <v>MOCHILA ALAI</v>
          </cell>
          <cell r="J250">
            <v>45859</v>
          </cell>
          <cell r="K250">
            <v>45859</v>
          </cell>
          <cell r="L250">
            <v>45860</v>
          </cell>
          <cell r="M250">
            <v>40</v>
          </cell>
          <cell r="N250" t="str">
            <v>M198</v>
          </cell>
          <cell r="O250" t="str">
            <v>AV0300390101</v>
          </cell>
          <cell r="P250">
            <v>2</v>
          </cell>
          <cell r="Q250" t="str">
            <v>AV0101060301</v>
          </cell>
          <cell r="R250">
            <v>2</v>
          </cell>
          <cell r="S250" t="str">
            <v>AV1000380101</v>
          </cell>
          <cell r="T250">
            <v>2</v>
          </cell>
          <cell r="U250" t="str">
            <v>CUE0000124</v>
          </cell>
          <cell r="V250">
            <v>1</v>
          </cell>
          <cell r="AS250" t="str">
            <v xml:space="preserve"> TIRACIERRE N1 - TIRA DE CUERO CON REMACHE Y GRABADO ESTRELLITA</v>
          </cell>
          <cell r="AT250" t="str">
            <v>LARGO DE TIRA APROBADO DE LA MOCHILA 2.37MTS X LADO</v>
          </cell>
          <cell r="AW250" t="str">
            <v>GRABADO "EL LUCERO GRANDE" CENTRADO EN BOLSILLO INTERNO DEBAJO DEL CIERRE</v>
          </cell>
          <cell r="AX250" t="str">
            <v>NEGRO</v>
          </cell>
          <cell r="AY250" t="str">
            <v>ARENA-CUERO NAPADO</v>
          </cell>
          <cell r="AZ250" t="str">
            <v>CUE0000026</v>
          </cell>
          <cell r="BA250">
            <v>0.66</v>
          </cell>
          <cell r="BB250" t="str">
            <v>FOR0000020</v>
          </cell>
          <cell r="BC250">
            <v>0.33</v>
          </cell>
          <cell r="BD250" t="str">
            <v>AV0100010303</v>
          </cell>
          <cell r="BE250">
            <v>0.56999999999999995</v>
          </cell>
          <cell r="BR250" t="str">
            <v>SUELA</v>
          </cell>
          <cell r="BS250" t="str">
            <v>ARENA-CUERO NAPADO</v>
          </cell>
          <cell r="BT250" t="str">
            <v>CUE0000028</v>
          </cell>
          <cell r="BU250">
            <v>0.66</v>
          </cell>
          <cell r="BV250" t="str">
            <v>FOR0000021</v>
          </cell>
          <cell r="BW250">
            <v>0.33</v>
          </cell>
          <cell r="BX250" t="str">
            <v>CIE0000006</v>
          </cell>
          <cell r="BY250">
            <v>0.56999999999999995</v>
          </cell>
          <cell r="CL250" t="str">
            <v>MALBEC</v>
          </cell>
          <cell r="CM250" t="str">
            <v>ARENA-CUERO NAPADO</v>
          </cell>
          <cell r="CN250" t="str">
            <v>CUE0000025</v>
          </cell>
          <cell r="CO250">
            <v>0.66</v>
          </cell>
          <cell r="CP250" t="str">
            <v>FOR0000020</v>
          </cell>
          <cell r="CQ250">
            <v>0.33</v>
          </cell>
          <cell r="CR250" t="str">
            <v>CIE0000009</v>
          </cell>
          <cell r="CS250">
            <v>0.56999999999999995</v>
          </cell>
          <cell r="KD250">
            <v>6</v>
          </cell>
          <cell r="KE250">
            <v>6</v>
          </cell>
          <cell r="KF250">
            <v>6</v>
          </cell>
          <cell r="KG250">
            <v>6</v>
          </cell>
          <cell r="KH250">
            <v>6</v>
          </cell>
          <cell r="KI250">
            <v>6</v>
          </cell>
          <cell r="KJ250">
            <v>3</v>
          </cell>
          <cell r="KK250">
            <v>3</v>
          </cell>
          <cell r="KL250">
            <v>3</v>
          </cell>
          <cell r="KM250">
            <v>0</v>
          </cell>
          <cell r="KP250">
            <v>0</v>
          </cell>
          <cell r="KS250">
            <v>0</v>
          </cell>
          <cell r="KV250">
            <v>0</v>
          </cell>
          <cell r="KY250">
            <v>0</v>
          </cell>
          <cell r="LB250">
            <v>0</v>
          </cell>
          <cell r="LE250">
            <v>0</v>
          </cell>
          <cell r="LH250">
            <v>0</v>
          </cell>
          <cell r="LK250">
            <v>0</v>
          </cell>
          <cell r="LN250">
            <v>45859</v>
          </cell>
          <cell r="LO250">
            <v>45874</v>
          </cell>
          <cell r="LP250" t="str">
            <v>COMPLETADO</v>
          </cell>
        </row>
        <row r="251">
          <cell r="A251">
            <v>1907</v>
          </cell>
          <cell r="B251" t="str">
            <v>RUBEN</v>
          </cell>
          <cell r="C251" t="str">
            <v>BARRACAS GRANDE</v>
          </cell>
          <cell r="D251" t="str">
            <v>MARROQUINERIA GRANDE</v>
          </cell>
          <cell r="E251">
            <v>27</v>
          </cell>
          <cell r="F251">
            <v>27</v>
          </cell>
          <cell r="G251">
            <v>27</v>
          </cell>
          <cell r="H251">
            <v>45865.562881944446</v>
          </cell>
          <cell r="I251" t="str">
            <v>BANDOLERA JADE</v>
          </cell>
          <cell r="J251">
            <v>45859</v>
          </cell>
          <cell r="K251">
            <v>45859</v>
          </cell>
          <cell r="L251">
            <v>45859</v>
          </cell>
          <cell r="M251">
            <v>35</v>
          </cell>
          <cell r="N251" t="str">
            <v>M199</v>
          </cell>
          <cell r="O251" t="str">
            <v>CUE0000124</v>
          </cell>
          <cell r="P251">
            <v>1</v>
          </cell>
          <cell r="Q251" t="str">
            <v>AV170129018</v>
          </cell>
          <cell r="R251">
            <v>0</v>
          </cell>
          <cell r="AW251" t="str">
            <v>GRABADO "EL LUCERO ARGENTINA" CHICO ABAJO,  ATRAS CENTRADO.</v>
          </cell>
          <cell r="AX251" t="str">
            <v>NEGRO</v>
          </cell>
          <cell r="AY251" t="str">
            <v>ARENA-CUERO NAPADO</v>
          </cell>
          <cell r="AZ251" t="str">
            <v>CUE0000026</v>
          </cell>
          <cell r="BA251">
            <v>0.2</v>
          </cell>
          <cell r="BB251" t="str">
            <v>FOR0000020</v>
          </cell>
          <cell r="BC251">
            <v>7.0000000000000007E-2</v>
          </cell>
          <cell r="BR251" t="str">
            <v>MALBEC</v>
          </cell>
          <cell r="BS251" t="str">
            <v>ARENA-CUERO NAPADO</v>
          </cell>
          <cell r="BT251" t="str">
            <v>CUE0000025</v>
          </cell>
          <cell r="BU251">
            <v>0.2</v>
          </cell>
          <cell r="BV251" t="str">
            <v>FOR0000020</v>
          </cell>
          <cell r="BW251">
            <v>7.0000000000000007E-2</v>
          </cell>
          <cell r="CL251" t="str">
            <v>SUELA</v>
          </cell>
          <cell r="CM251" t="str">
            <v>ARENA-CUERO NAPADO</v>
          </cell>
          <cell r="CN251" t="str">
            <v>CUE0000028</v>
          </cell>
          <cell r="CO251">
            <v>0.2</v>
          </cell>
          <cell r="CP251" t="str">
            <v>FOR0000021</v>
          </cell>
          <cell r="CQ251">
            <v>7.0000000000000007E-2</v>
          </cell>
          <cell r="KD251">
            <v>9</v>
          </cell>
          <cell r="KE251">
            <v>9</v>
          </cell>
          <cell r="KF251">
            <v>9</v>
          </cell>
          <cell r="KG251">
            <v>9</v>
          </cell>
          <cell r="KH251">
            <v>9</v>
          </cell>
          <cell r="KI251">
            <v>9</v>
          </cell>
          <cell r="KJ251">
            <v>9</v>
          </cell>
          <cell r="KK251">
            <v>9</v>
          </cell>
          <cell r="KL251">
            <v>9</v>
          </cell>
          <cell r="KM251">
            <v>0</v>
          </cell>
          <cell r="KP251">
            <v>0</v>
          </cell>
          <cell r="KS251">
            <v>0</v>
          </cell>
          <cell r="KV251">
            <v>0</v>
          </cell>
          <cell r="KY251">
            <v>0</v>
          </cell>
          <cell r="LB251">
            <v>0</v>
          </cell>
          <cell r="LE251">
            <v>0</v>
          </cell>
          <cell r="LH251">
            <v>0</v>
          </cell>
          <cell r="LK251">
            <v>0</v>
          </cell>
          <cell r="LN251">
            <v>45859</v>
          </cell>
          <cell r="LO251">
            <v>45874</v>
          </cell>
          <cell r="LP251" t="str">
            <v>COMPLETADO</v>
          </cell>
        </row>
        <row r="252">
          <cell r="A252">
            <v>1908</v>
          </cell>
          <cell r="B252" t="str">
            <v>RUBEN</v>
          </cell>
          <cell r="C252" t="str">
            <v>PERDRIEL</v>
          </cell>
          <cell r="D252" t="str">
            <v>INDUMENTARIA</v>
          </cell>
          <cell r="E252">
            <v>12</v>
          </cell>
          <cell r="F252">
            <v>6</v>
          </cell>
          <cell r="G252">
            <v>6</v>
          </cell>
          <cell r="H252">
            <v>45865.571226851855</v>
          </cell>
          <cell r="I252" t="str">
            <v>CHALECO INDIGO</v>
          </cell>
          <cell r="J252">
            <v>45859</v>
          </cell>
          <cell r="K252">
            <v>45859</v>
          </cell>
          <cell r="L252">
            <v>45884</v>
          </cell>
          <cell r="M252">
            <v>20</v>
          </cell>
          <cell r="N252" t="str">
            <v>M200</v>
          </cell>
          <cell r="O252" t="str">
            <v>CUE0000124</v>
          </cell>
          <cell r="P252">
            <v>1</v>
          </cell>
          <cell r="Q252" t="str">
            <v>VAR0000047</v>
          </cell>
          <cell r="R252">
            <v>1</v>
          </cell>
          <cell r="S252" t="str">
            <v>AV170129018</v>
          </cell>
          <cell r="T252">
            <v>0</v>
          </cell>
          <cell r="AS252" t="str">
            <v xml:space="preserve"> NO VA PINTADO</v>
          </cell>
          <cell r="AT252" t="str">
            <v>TALLE UNICO</v>
          </cell>
          <cell r="AX252" t="str">
            <v>OXIDO</v>
          </cell>
          <cell r="AY252" t="str">
            <v>MA CUEROS-DESCARNE GAMUZADO 1/1.2</v>
          </cell>
          <cell r="AZ252" t="str">
            <v>CUE0000172</v>
          </cell>
          <cell r="BA252">
            <v>0.64</v>
          </cell>
          <cell r="BR252" t="str">
            <v>CHOCOLATE</v>
          </cell>
          <cell r="BS252" t="str">
            <v>MA CUEROS-DESCARNE GAMUZADO 1/1.2</v>
          </cell>
          <cell r="BT252" t="str">
            <v>CUE0000175</v>
          </cell>
          <cell r="BU252">
            <v>0.64</v>
          </cell>
          <cell r="KD252">
            <v>6</v>
          </cell>
          <cell r="KE252">
            <v>6</v>
          </cell>
          <cell r="KF252">
            <v>6</v>
          </cell>
          <cell r="KG252">
            <v>6</v>
          </cell>
          <cell r="KH252">
            <v>0</v>
          </cell>
          <cell r="KI252">
            <v>0</v>
          </cell>
          <cell r="KJ252">
            <v>0</v>
          </cell>
          <cell r="KM252">
            <v>0</v>
          </cell>
          <cell r="KP252">
            <v>0</v>
          </cell>
          <cell r="KS252">
            <v>0</v>
          </cell>
          <cell r="KV252">
            <v>0</v>
          </cell>
          <cell r="KY252">
            <v>0</v>
          </cell>
          <cell r="LB252">
            <v>0</v>
          </cell>
          <cell r="LE252">
            <v>0</v>
          </cell>
          <cell r="LH252">
            <v>0</v>
          </cell>
          <cell r="LK252">
            <v>0</v>
          </cell>
          <cell r="LN252">
            <v>45859</v>
          </cell>
          <cell r="LO252">
            <v>45888</v>
          </cell>
          <cell r="LP252" t="str">
            <v>COMPLETADO</v>
          </cell>
        </row>
        <row r="253">
          <cell r="A253">
            <v>1909</v>
          </cell>
          <cell r="B253" t="str">
            <v>RUBEN</v>
          </cell>
          <cell r="C253" t="str">
            <v>PERDRIEL</v>
          </cell>
          <cell r="D253" t="str">
            <v>INDUMENTARIA</v>
          </cell>
          <cell r="E253">
            <v>12</v>
          </cell>
          <cell r="F253">
            <v>6</v>
          </cell>
          <cell r="G253">
            <v>6</v>
          </cell>
          <cell r="H253">
            <v>45865.65111111111</v>
          </cell>
          <cell r="I253" t="str">
            <v>CHALECO TRINIDAD</v>
          </cell>
          <cell r="J253">
            <v>45859</v>
          </cell>
          <cell r="K253">
            <v>45859</v>
          </cell>
          <cell r="L253">
            <v>45884</v>
          </cell>
          <cell r="M253">
            <v>20</v>
          </cell>
          <cell r="N253" t="str">
            <v>M201</v>
          </cell>
          <cell r="O253" t="str">
            <v>CUE0000124</v>
          </cell>
          <cell r="P253">
            <v>1</v>
          </cell>
          <cell r="Q253" t="str">
            <v>VAR0000047</v>
          </cell>
          <cell r="R253">
            <v>1</v>
          </cell>
          <cell r="S253" t="str">
            <v>AV170129018</v>
          </cell>
          <cell r="T253">
            <v>0</v>
          </cell>
          <cell r="AS253" t="str">
            <v xml:space="preserve"> NO VA PINTADO</v>
          </cell>
          <cell r="AT253" t="str">
            <v>TALLE UNICO</v>
          </cell>
          <cell r="AX253" t="str">
            <v>OXIDO</v>
          </cell>
          <cell r="AY253" t="str">
            <v>MA CUEROS-DESCARNE GAMUZADO 1/1.2</v>
          </cell>
          <cell r="AZ253" t="str">
            <v>CUE0000172</v>
          </cell>
          <cell r="BA253">
            <v>0.64</v>
          </cell>
          <cell r="BR253" t="str">
            <v>CHOCOLATE</v>
          </cell>
          <cell r="BS253" t="str">
            <v>MA CUEROS-DESCARNE GAMUZADO 1/1.2</v>
          </cell>
          <cell r="BT253" t="str">
            <v>CUE0000175</v>
          </cell>
          <cell r="BU253">
            <v>0.64</v>
          </cell>
          <cell r="KD253">
            <v>6</v>
          </cell>
          <cell r="KE253">
            <v>6</v>
          </cell>
          <cell r="KF253">
            <v>6</v>
          </cell>
          <cell r="KG253">
            <v>6</v>
          </cell>
          <cell r="KH253">
            <v>0</v>
          </cell>
          <cell r="KI253">
            <v>0</v>
          </cell>
          <cell r="KJ253">
            <v>0</v>
          </cell>
          <cell r="KM253">
            <v>0</v>
          </cell>
          <cell r="KP253">
            <v>0</v>
          </cell>
          <cell r="KS253">
            <v>0</v>
          </cell>
          <cell r="KV253">
            <v>0</v>
          </cell>
          <cell r="KY253">
            <v>0</v>
          </cell>
          <cell r="LB253">
            <v>0</v>
          </cell>
          <cell r="LE253">
            <v>0</v>
          </cell>
          <cell r="LH253">
            <v>0</v>
          </cell>
          <cell r="LK253">
            <v>0</v>
          </cell>
          <cell r="LN253">
            <v>45859</v>
          </cell>
          <cell r="LO253">
            <v>45888</v>
          </cell>
          <cell r="LP253" t="str">
            <v>COMPLETADO</v>
          </cell>
        </row>
        <row r="254">
          <cell r="A254">
            <v>18692</v>
          </cell>
          <cell r="B254" t="str">
            <v>RUBEN</v>
          </cell>
          <cell r="C254" t="str">
            <v>BARRACAS GRANDE</v>
          </cell>
          <cell r="D254" t="str">
            <v>MARROQUINERIA GRANDE</v>
          </cell>
          <cell r="E254">
            <v>9</v>
          </cell>
          <cell r="F254">
            <v>9</v>
          </cell>
          <cell r="G254">
            <v>9</v>
          </cell>
          <cell r="H254">
            <v>45865.681157407409</v>
          </cell>
          <cell r="I254" t="str">
            <v>TOTE IRUYA</v>
          </cell>
          <cell r="J254">
            <v>45856</v>
          </cell>
          <cell r="K254">
            <v>45856</v>
          </cell>
          <cell r="L254">
            <v>45856</v>
          </cell>
          <cell r="M254">
            <v>20</v>
          </cell>
          <cell r="N254" t="str">
            <v>M154</v>
          </cell>
          <cell r="O254" t="str">
            <v>AV170129018</v>
          </cell>
          <cell r="P254">
            <v>0</v>
          </cell>
          <cell r="AS254" t="str">
            <v>CORREA 2,5CM / SIN PINTURA</v>
          </cell>
          <cell r="AT254" t="str">
            <v>PEGAR ETIQUETA DE CUERO AL FRENTE HILO AL TONO CON HILO GRUESO N 20</v>
          </cell>
          <cell r="AW254" t="str">
            <v>GRABADO ETIQUETA EN NAPADO 7,5CM X 5,5 CM "EL LUCERO HIGH QUALITY GOODS</v>
          </cell>
          <cell r="AX254" t="str">
            <v>PELO_BEIGE</v>
          </cell>
          <cell r="AY254" t="str">
            <v>LEDER-PELO</v>
          </cell>
          <cell r="AZ254" t="str">
            <v>CUE0000125</v>
          </cell>
          <cell r="BA254">
            <v>0.37</v>
          </cell>
          <cell r="BB254" t="str">
            <v>CUE0000012</v>
          </cell>
          <cell r="BC254">
            <v>0.1</v>
          </cell>
          <cell r="KD254">
            <v>9</v>
          </cell>
          <cell r="KE254">
            <v>9</v>
          </cell>
          <cell r="KF254">
            <v>9</v>
          </cell>
          <cell r="KG254">
            <v>0</v>
          </cell>
          <cell r="KJ254">
            <v>0</v>
          </cell>
          <cell r="KM254">
            <v>0</v>
          </cell>
          <cell r="KP254">
            <v>0</v>
          </cell>
          <cell r="KS254">
            <v>0</v>
          </cell>
          <cell r="KV254">
            <v>0</v>
          </cell>
          <cell r="KY254">
            <v>0</v>
          </cell>
          <cell r="LB254">
            <v>0</v>
          </cell>
          <cell r="LE254">
            <v>0</v>
          </cell>
          <cell r="LH254">
            <v>0</v>
          </cell>
          <cell r="LK254">
            <v>0</v>
          </cell>
          <cell r="LN254">
            <v>45856</v>
          </cell>
          <cell r="LO254">
            <v>45867</v>
          </cell>
          <cell r="LP254" t="str">
            <v>COMPLETADO</v>
          </cell>
        </row>
        <row r="255">
          <cell r="A255">
            <v>18952</v>
          </cell>
          <cell r="B255" t="str">
            <v>LUCIANO</v>
          </cell>
          <cell r="C255" t="str">
            <v>BARRACAS CHICA</v>
          </cell>
          <cell r="D255" t="str">
            <v>MARROQUINERIA CHICA</v>
          </cell>
          <cell r="E255">
            <v>12</v>
          </cell>
          <cell r="F255">
            <v>12</v>
          </cell>
          <cell r="G255">
            <v>12</v>
          </cell>
          <cell r="H255">
            <v>45865.740185185183</v>
          </cell>
          <cell r="I255" t="str">
            <v>TARJETERO ARIES</v>
          </cell>
          <cell r="J255">
            <v>45839</v>
          </cell>
          <cell r="K255">
            <v>45839</v>
          </cell>
          <cell r="L255">
            <v>45849</v>
          </cell>
          <cell r="M255">
            <v>10</v>
          </cell>
          <cell r="N255" t="str">
            <v>M123</v>
          </cell>
          <cell r="O255" t="str">
            <v>AV170134014</v>
          </cell>
          <cell r="P255">
            <v>0</v>
          </cell>
          <cell r="AW255" t="str">
            <v xml:space="preserve">GRABADO " EL LUCERO ARGENTINA" CHICO EN TIRA DEL FRENTE, CENTRADO   </v>
          </cell>
          <cell r="AX255" t="str">
            <v>VERDE_REVES_VERDE</v>
          </cell>
          <cell r="AY255" t="str">
            <v>BIANCO-CUERO MODENA ESPESOR 1,4</v>
          </cell>
          <cell r="AZ255" t="str">
            <v>CUE0000118</v>
          </cell>
          <cell r="BA255">
            <v>0.02</v>
          </cell>
          <cell r="BB255" t="str">
            <v>AV1401254260</v>
          </cell>
          <cell r="BC255">
            <v>0</v>
          </cell>
          <cell r="BD255" t="str">
            <v>AV1601300957</v>
          </cell>
          <cell r="BE255">
            <v>0</v>
          </cell>
          <cell r="KD255">
            <v>12</v>
          </cell>
          <cell r="KE255">
            <v>12</v>
          </cell>
          <cell r="KF255">
            <v>12</v>
          </cell>
          <cell r="KG255">
            <v>0</v>
          </cell>
          <cell r="KJ255">
            <v>0</v>
          </cell>
          <cell r="KM255">
            <v>0</v>
          </cell>
          <cell r="KP255">
            <v>0</v>
          </cell>
          <cell r="KS255">
            <v>0</v>
          </cell>
          <cell r="KV255">
            <v>0</v>
          </cell>
          <cell r="KY255">
            <v>0</v>
          </cell>
          <cell r="LB255">
            <v>0</v>
          </cell>
          <cell r="LE255">
            <v>0</v>
          </cell>
          <cell r="LH255">
            <v>0</v>
          </cell>
          <cell r="LK255">
            <v>0</v>
          </cell>
          <cell r="LN255">
            <v>45839</v>
          </cell>
          <cell r="LO255">
            <v>45849</v>
          </cell>
          <cell r="LP255" t="str">
            <v>COMPLETADO</v>
          </cell>
        </row>
        <row r="256">
          <cell r="A256">
            <v>1910</v>
          </cell>
          <cell r="B256" t="str">
            <v>LUCIANO</v>
          </cell>
          <cell r="C256" t="str">
            <v>EXT GABRIEL</v>
          </cell>
          <cell r="D256" t="str">
            <v>MARROQUINERIA CHICA</v>
          </cell>
          <cell r="E256">
            <v>53</v>
          </cell>
          <cell r="F256">
            <v>53</v>
          </cell>
          <cell r="G256">
            <v>53</v>
          </cell>
          <cell r="H256">
            <v>45870.489120370374</v>
          </cell>
          <cell r="I256" t="str">
            <v>PORTALENTES LUZ</v>
          </cell>
          <cell r="J256">
            <v>45867</v>
          </cell>
          <cell r="K256">
            <v>45867</v>
          </cell>
          <cell r="L256">
            <v>45869</v>
          </cell>
          <cell r="M256">
            <v>10</v>
          </cell>
          <cell r="N256" t="str">
            <v>M098</v>
          </cell>
          <cell r="O256" t="str">
            <v>AV170134014</v>
          </cell>
          <cell r="P256">
            <v>0</v>
          </cell>
          <cell r="AW256" t="str">
            <v xml:space="preserve">GRABADO EL LUCERO ARGENTINA CHICO, EN ELFRENTE, A 1.5CM DEL BORDE INFERIOR Y A 1.5 CM DEL BORDE DERECHO. </v>
          </cell>
          <cell r="AX256" t="str">
            <v>CHOCOLATE</v>
          </cell>
          <cell r="AY256" t="str">
            <v>ARENA-CUERO BRIDGE</v>
          </cell>
          <cell r="AZ256" t="str">
            <v>CUE0000005</v>
          </cell>
          <cell r="BA256">
            <v>0.03</v>
          </cell>
          <cell r="BB256">
            <v>0</v>
          </cell>
          <cell r="BC256">
            <v>0.03</v>
          </cell>
          <cell r="BD256" t="str">
            <v>AV1401250545</v>
          </cell>
          <cell r="BE256">
            <v>0</v>
          </cell>
          <cell r="BF256" t="str">
            <v>AV1601300954</v>
          </cell>
          <cell r="BG256">
            <v>0</v>
          </cell>
          <cell r="BR256" t="str">
            <v>TABACO</v>
          </cell>
          <cell r="BS256" t="str">
            <v>ARENA-CUERO BRIDGE</v>
          </cell>
          <cell r="BT256" t="str">
            <v>CUE0000012</v>
          </cell>
          <cell r="BU256">
            <v>0.03</v>
          </cell>
          <cell r="BV256">
            <v>0</v>
          </cell>
          <cell r="BW256">
            <v>0.03</v>
          </cell>
          <cell r="BX256" t="str">
            <v>AV1401250545</v>
          </cell>
          <cell r="BY256">
            <v>0</v>
          </cell>
          <cell r="BZ256" t="str">
            <v>AV1601300954</v>
          </cell>
          <cell r="CA256">
            <v>0</v>
          </cell>
          <cell r="CL256" t="str">
            <v>MALBEC</v>
          </cell>
          <cell r="CM256" t="str">
            <v>ARENA-CUERO BRIDGE</v>
          </cell>
          <cell r="CN256" t="str">
            <v>CUE0000008</v>
          </cell>
          <cell r="CO256">
            <v>0.03</v>
          </cell>
          <cell r="CP256">
            <v>0</v>
          </cell>
          <cell r="CQ256">
            <v>0.03</v>
          </cell>
          <cell r="CR256" t="str">
            <v>AV1401250545</v>
          </cell>
          <cell r="CS256">
            <v>0</v>
          </cell>
          <cell r="CT256" t="str">
            <v>PIN00000001</v>
          </cell>
          <cell r="CU256">
            <v>0</v>
          </cell>
          <cell r="DF256" t="str">
            <v>CARAMELO</v>
          </cell>
          <cell r="DG256" t="str">
            <v>ARENA-CUERO BRIDGE</v>
          </cell>
          <cell r="DH256" t="str">
            <v>CUE0000004</v>
          </cell>
          <cell r="DI256">
            <v>0.03</v>
          </cell>
          <cell r="DJ256">
            <v>0</v>
          </cell>
          <cell r="DK256">
            <v>0.03</v>
          </cell>
          <cell r="DL256" t="str">
            <v>AV1401250545</v>
          </cell>
          <cell r="DM256">
            <v>0</v>
          </cell>
          <cell r="DN256" t="str">
            <v>AV1601300955</v>
          </cell>
          <cell r="DO256">
            <v>0</v>
          </cell>
          <cell r="DZ256" t="str">
            <v>NEGRO</v>
          </cell>
          <cell r="EA256" t="str">
            <v>ARENA-CUERO NAPADO</v>
          </cell>
          <cell r="EB256" t="str">
            <v>CUE0000026</v>
          </cell>
          <cell r="EC256">
            <v>0.03</v>
          </cell>
          <cell r="ED256">
            <v>0</v>
          </cell>
          <cell r="EE256">
            <v>0.03</v>
          </cell>
          <cell r="EF256" t="str">
            <v>AV1401254060</v>
          </cell>
          <cell r="EG256">
            <v>0</v>
          </cell>
          <cell r="EH256" t="str">
            <v>AV1601300926</v>
          </cell>
          <cell r="EI256">
            <v>0</v>
          </cell>
          <cell r="ET256" t="str">
            <v>ROJO</v>
          </cell>
          <cell r="EU256" t="str">
            <v>ARENA-CUERO NAPADO</v>
          </cell>
          <cell r="EV256" t="str">
            <v>CUE0000027</v>
          </cell>
          <cell r="EW256">
            <v>0.03</v>
          </cell>
          <cell r="EX256">
            <v>0</v>
          </cell>
          <cell r="EY256">
            <v>0.03</v>
          </cell>
          <cell r="EZ256" t="str">
            <v>AV1401254460</v>
          </cell>
          <cell r="FA256">
            <v>0</v>
          </cell>
          <cell r="FB256" t="str">
            <v>AV1601300929</v>
          </cell>
          <cell r="FC256">
            <v>0</v>
          </cell>
          <cell r="FN256" t="str">
            <v>SUELA</v>
          </cell>
          <cell r="FO256" t="str">
            <v>ARENA-CUERO NAPADO</v>
          </cell>
          <cell r="FP256" t="str">
            <v>CUE0000028</v>
          </cell>
          <cell r="FQ256">
            <v>0.03</v>
          </cell>
          <cell r="FR256">
            <v>0</v>
          </cell>
          <cell r="FS256">
            <v>0.03</v>
          </cell>
          <cell r="FT256" t="str">
            <v>AV1401250545</v>
          </cell>
          <cell r="FU256">
            <v>0</v>
          </cell>
          <cell r="FV256" t="str">
            <v>AV1601300955</v>
          </cell>
          <cell r="FW256">
            <v>0</v>
          </cell>
          <cell r="KD256">
            <v>6</v>
          </cell>
          <cell r="KE256">
            <v>6</v>
          </cell>
          <cell r="KF256">
            <v>6</v>
          </cell>
          <cell r="KG256">
            <v>6</v>
          </cell>
          <cell r="KH256">
            <v>6</v>
          </cell>
          <cell r="KI256">
            <v>6</v>
          </cell>
          <cell r="KJ256">
            <v>12</v>
          </cell>
          <cell r="KK256">
            <v>12</v>
          </cell>
          <cell r="KL256">
            <v>12</v>
          </cell>
          <cell r="KM256">
            <v>4</v>
          </cell>
          <cell r="KN256">
            <v>4</v>
          </cell>
          <cell r="KO256">
            <v>4</v>
          </cell>
          <cell r="KP256">
            <v>4</v>
          </cell>
          <cell r="KQ256">
            <v>4</v>
          </cell>
          <cell r="KR256">
            <v>4</v>
          </cell>
          <cell r="KS256">
            <v>9</v>
          </cell>
          <cell r="KT256">
            <v>9</v>
          </cell>
          <cell r="KU256">
            <v>9</v>
          </cell>
          <cell r="KV256">
            <v>12</v>
          </cell>
          <cell r="KW256">
            <v>12</v>
          </cell>
          <cell r="KX256">
            <v>12</v>
          </cell>
          <cell r="KY256">
            <v>0</v>
          </cell>
          <cell r="LB256">
            <v>0</v>
          </cell>
          <cell r="LE256">
            <v>0</v>
          </cell>
          <cell r="LH256">
            <v>0</v>
          </cell>
          <cell r="LK256">
            <v>0</v>
          </cell>
          <cell r="LN256">
            <v>45867</v>
          </cell>
          <cell r="LO256">
            <v>45874</v>
          </cell>
          <cell r="LP256" t="str">
            <v>COMPLETADO</v>
          </cell>
        </row>
        <row r="257">
          <cell r="A257">
            <v>1911</v>
          </cell>
          <cell r="B257" t="str">
            <v>LUCIANO</v>
          </cell>
          <cell r="C257" t="str">
            <v>PERDRIEL</v>
          </cell>
          <cell r="D257" t="str">
            <v>MARROQUINERIA CHICA</v>
          </cell>
          <cell r="E257">
            <v>6</v>
          </cell>
          <cell r="F257">
            <v>4</v>
          </cell>
          <cell r="G257">
            <v>4</v>
          </cell>
          <cell r="H257">
            <v>45870.501574074071</v>
          </cell>
          <cell r="I257" t="str">
            <v>CINTO FLORA 1</v>
          </cell>
          <cell r="J257">
            <v>45869</v>
          </cell>
          <cell r="K257">
            <v>45869</v>
          </cell>
          <cell r="L257">
            <v>45881</v>
          </cell>
          <cell r="M257">
            <v>30</v>
          </cell>
          <cell r="N257" t="str">
            <v>M181</v>
          </cell>
          <cell r="O257" t="str">
            <v>VAR0000045</v>
          </cell>
          <cell r="P257">
            <v>1</v>
          </cell>
          <cell r="Q257" t="str">
            <v>AV170134014</v>
          </cell>
          <cell r="R257">
            <v>0</v>
          </cell>
          <cell r="S257" t="str">
            <v>CUE0000124</v>
          </cell>
          <cell r="T257">
            <v>1</v>
          </cell>
          <cell r="AS257" t="str">
            <v xml:space="preserve"> LLEVA 5 ORIFICIOS / VA SIN PINTURA /  LLEVA STICKER DE TALLE</v>
          </cell>
          <cell r="AU257" t="str">
            <v xml:space="preserve"> EL TALLE S/M SERA EL S DE CINTURON MIA 106 CM LARGO SIN HEBILLLA</v>
          </cell>
          <cell r="AV257" t="str">
            <v xml:space="preserve"> EL TALLE M/L SERA EL M DE CINTURON MIA 115 CM LARGO SIN HEBILLLA</v>
          </cell>
          <cell r="AW257" t="str">
            <v>NO SE GRABA</v>
          </cell>
          <cell r="AX257" t="str">
            <v>CHOCOLATE</v>
          </cell>
          <cell r="AY257" t="str">
            <v>NAPOLITANA-CUERO GAMUZA</v>
          </cell>
          <cell r="AZ257" t="str">
            <v>CUE0000040</v>
          </cell>
          <cell r="BA257">
            <v>0.16</v>
          </cell>
          <cell r="BR257" t="str">
            <v>CHOCOLATE</v>
          </cell>
          <cell r="BS257" t="str">
            <v>NAPOLITANA-CUERO GAMUZA</v>
          </cell>
          <cell r="BT257" t="str">
            <v>CUE0000040</v>
          </cell>
          <cell r="BU257">
            <v>0.16</v>
          </cell>
          <cell r="CL257" t="str">
            <v>VERDE</v>
          </cell>
          <cell r="CM257" t="str">
            <v>NAPOLITANA-CUERO GAMUZA</v>
          </cell>
          <cell r="CN257" t="str">
            <v>CUE0000052</v>
          </cell>
          <cell r="CO257">
            <v>0.16</v>
          </cell>
          <cell r="KD257">
            <v>2</v>
          </cell>
          <cell r="KE257">
            <v>1</v>
          </cell>
          <cell r="KF257">
            <v>1</v>
          </cell>
          <cell r="KG257">
            <v>2</v>
          </cell>
          <cell r="KH257">
            <v>1</v>
          </cell>
          <cell r="KI257">
            <v>1</v>
          </cell>
          <cell r="KJ257">
            <v>2</v>
          </cell>
          <cell r="KK257">
            <v>2</v>
          </cell>
          <cell r="KL257">
            <v>2</v>
          </cell>
          <cell r="KM257">
            <v>0</v>
          </cell>
          <cell r="KP257">
            <v>0</v>
          </cell>
          <cell r="KS257">
            <v>0</v>
          </cell>
          <cell r="KV257">
            <v>0</v>
          </cell>
          <cell r="KY257">
            <v>0</v>
          </cell>
          <cell r="LB257">
            <v>0</v>
          </cell>
          <cell r="LE257">
            <v>0</v>
          </cell>
          <cell r="LH257">
            <v>0</v>
          </cell>
          <cell r="LK257">
            <v>0</v>
          </cell>
          <cell r="LN257">
            <v>45869</v>
          </cell>
          <cell r="LO257">
            <v>45888</v>
          </cell>
          <cell r="LP257" t="str">
            <v>COMPLETADO</v>
          </cell>
          <cell r="LQ257" t="str">
            <v>TALLE S/M //  FRENTE Y REVES EN GAMUZA // NO HAY GAMUZA CHOCO IDEM PRIMER CORTE  USAR NOBUCK DEL LADO DEL DESCARNE</v>
          </cell>
          <cell r="LR257" t="str">
            <v>TALLE M/L //  FRENTE Y REVES EN GAMUZA // NO HAY GAMUZA CHOCO IDEM PRIMER CORTE  USAR NOBUCK DEL LADO DEL DESCARNE</v>
          </cell>
          <cell r="LS257" t="str">
            <v>TALLE S/M //  FRENTE Y REVES EN GAMUZA // NO HAY GAMUZA CHOCO IDEM PRIMER CORTE  USAR NOBUCK DEL LADO DEL DESCARNE</v>
          </cell>
        </row>
        <row r="258">
          <cell r="A258">
            <v>1912</v>
          </cell>
          <cell r="B258" t="str">
            <v>LUCIANO</v>
          </cell>
          <cell r="C258" t="str">
            <v>PERDRIEL</v>
          </cell>
          <cell r="D258" t="str">
            <v>MARROQUINERIA CHICA</v>
          </cell>
          <cell r="E258">
            <v>9</v>
          </cell>
          <cell r="F258">
            <v>7</v>
          </cell>
          <cell r="G258">
            <v>7</v>
          </cell>
          <cell r="H258">
            <v>45871.820868055554</v>
          </cell>
          <cell r="I258" t="str">
            <v>CINTO FLORA 2</v>
          </cell>
          <cell r="J258">
            <v>45869</v>
          </cell>
          <cell r="K258">
            <v>45869</v>
          </cell>
          <cell r="L258">
            <v>45881</v>
          </cell>
          <cell r="M258">
            <v>35</v>
          </cell>
          <cell r="N258" t="str">
            <v>M182</v>
          </cell>
          <cell r="O258" t="str">
            <v>VAR0000045</v>
          </cell>
          <cell r="P258">
            <v>1</v>
          </cell>
          <cell r="Q258" t="str">
            <v>AV170134014</v>
          </cell>
          <cell r="R258">
            <v>0</v>
          </cell>
          <cell r="AS258" t="str">
            <v xml:space="preserve"> LLEVA 5 ORIFICIOS / VA PINTADO</v>
          </cell>
          <cell r="AT258" t="str">
            <v>LLEVA STICKER DE TALLE</v>
          </cell>
          <cell r="AU258" t="str">
            <v>EL TALLE S/M SERA EL S DE CINTURON MIA 106 CM LARGO SIN HEBILLLA</v>
          </cell>
          <cell r="AV258" t="str">
            <v>EL TALLE M/L SERA EL M DE CINTURON MIA 115 CM LARGO SIN HEBILLLA</v>
          </cell>
          <cell r="AW258" t="str">
            <v>3 GRABADOS "EL LUCERO ARGENTINA CHICO, MAS SIMBOLO "TODO CUERO" MAS LETRA TALLE "S M" O "M L"</v>
          </cell>
          <cell r="AX258" t="str">
            <v>MARSALA_GAMUZA_NEGRO</v>
          </cell>
          <cell r="AY258" t="str">
            <v>NAPOLITANA-CUERO GAMUZA</v>
          </cell>
          <cell r="AZ258" t="str">
            <v>CUE0000043</v>
          </cell>
          <cell r="BA258">
            <v>0.09</v>
          </cell>
          <cell r="BB258" t="str">
            <v>CUE0000035</v>
          </cell>
          <cell r="BC258">
            <v>7.0000000000000007E-2</v>
          </cell>
          <cell r="BR258" t="str">
            <v>TABACO_GAMUZA_NEGRO</v>
          </cell>
          <cell r="BS258" t="str">
            <v>NAPOLITANA-CUERO GAMUZA</v>
          </cell>
          <cell r="BT258" t="str">
            <v>CUE0000050</v>
          </cell>
          <cell r="BU258">
            <v>0.09</v>
          </cell>
          <cell r="BV258" t="str">
            <v>CUE0000035</v>
          </cell>
          <cell r="BW258">
            <v>7.0000000000000007E-2</v>
          </cell>
          <cell r="CL258" t="str">
            <v>TABACO_GAMUZA_NEGRO</v>
          </cell>
          <cell r="CM258" t="str">
            <v>NAPOLITANA-CUERO GAMUZA</v>
          </cell>
          <cell r="CN258" t="str">
            <v>CUE0000050</v>
          </cell>
          <cell r="CO258">
            <v>0.09</v>
          </cell>
          <cell r="CP258" t="str">
            <v>CUE0000035</v>
          </cell>
          <cell r="CQ258">
            <v>7.0000000000000007E-2</v>
          </cell>
          <cell r="DF258" t="str">
            <v>GrisOscuro_GAMUZA_NEGRO</v>
          </cell>
          <cell r="DG258" t="str">
            <v>NAPOLITANA-CUERO GAMUZA</v>
          </cell>
          <cell r="DH258" t="str">
            <v>CUE0000042</v>
          </cell>
          <cell r="DI258">
            <v>0.09</v>
          </cell>
          <cell r="DJ258" t="str">
            <v>CUE0000035</v>
          </cell>
          <cell r="DK258">
            <v>7.0000000000000007E-2</v>
          </cell>
          <cell r="DZ258" t="str">
            <v>GrisOscuro_GAMUZA_NEGRO</v>
          </cell>
          <cell r="EA258" t="str">
            <v>NAPOLITANA-CUERO GAMUZA</v>
          </cell>
          <cell r="EB258" t="str">
            <v>CUE0000042</v>
          </cell>
          <cell r="EC258">
            <v>0.09</v>
          </cell>
          <cell r="ED258" t="str">
            <v>CUE0000035</v>
          </cell>
          <cell r="EE258">
            <v>7.0000000000000007E-2</v>
          </cell>
          <cell r="KD258">
            <v>1</v>
          </cell>
          <cell r="KE258">
            <v>1</v>
          </cell>
          <cell r="KF258">
            <v>1</v>
          </cell>
          <cell r="KG258">
            <v>2</v>
          </cell>
          <cell r="KH258">
            <v>2</v>
          </cell>
          <cell r="KI258">
            <v>2</v>
          </cell>
          <cell r="KJ258">
            <v>4</v>
          </cell>
          <cell r="KK258">
            <v>4</v>
          </cell>
          <cell r="KL258">
            <v>4</v>
          </cell>
          <cell r="KM258">
            <v>2</v>
          </cell>
          <cell r="KN258">
            <v>0</v>
          </cell>
          <cell r="KO258">
            <v>0</v>
          </cell>
          <cell r="KP258">
            <v>0</v>
          </cell>
          <cell r="KQ258">
            <v>0</v>
          </cell>
          <cell r="KS258">
            <v>0</v>
          </cell>
          <cell r="KV258">
            <v>0</v>
          </cell>
          <cell r="KY258">
            <v>0</v>
          </cell>
          <cell r="LB258">
            <v>0</v>
          </cell>
          <cell r="LE258">
            <v>0</v>
          </cell>
          <cell r="LH258">
            <v>0</v>
          </cell>
          <cell r="LK258">
            <v>0</v>
          </cell>
          <cell r="LN258">
            <v>45869</v>
          </cell>
          <cell r="LO258">
            <v>45888</v>
          </cell>
          <cell r="LP258" t="str">
            <v>COMPLETADO</v>
          </cell>
          <cell r="LQ258" t="str">
            <v>TALLE M/L</v>
          </cell>
          <cell r="LR258" t="str">
            <v>TALLE S/M</v>
          </cell>
          <cell r="LS258" t="str">
            <v xml:space="preserve"> TALLE M/L</v>
          </cell>
          <cell r="LT258" t="str">
            <v>TALLE S/M</v>
          </cell>
        </row>
        <row r="259">
          <cell r="A259" t="str">
            <v>1914-A</v>
          </cell>
          <cell r="B259" t="str">
            <v>RUBEN</v>
          </cell>
          <cell r="C259" t="str">
            <v>BARRACAS GRANDE</v>
          </cell>
          <cell r="D259" t="str">
            <v>MARROQUINERIA GRANDE</v>
          </cell>
          <cell r="E259">
            <v>38</v>
          </cell>
          <cell r="F259">
            <v>38</v>
          </cell>
          <cell r="G259">
            <v>38</v>
          </cell>
          <cell r="H259">
            <v>45871.828229166669</v>
          </cell>
          <cell r="I259" t="str">
            <v>TOTE CACHI</v>
          </cell>
          <cell r="J259">
            <v>45869</v>
          </cell>
          <cell r="K259">
            <v>45869</v>
          </cell>
          <cell r="L259">
            <v>45881</v>
          </cell>
          <cell r="M259">
            <v>30</v>
          </cell>
          <cell r="N259" t="str">
            <v>M169</v>
          </cell>
          <cell r="O259" t="str">
            <v>AV170129018</v>
          </cell>
          <cell r="P259">
            <v>0</v>
          </cell>
          <cell r="AS259" t="str">
            <v>CORREA 2 CM / SIN PINTURA</v>
          </cell>
          <cell r="AT259" t="str">
            <v xml:space="preserve"> PEGAR ETIQUETA DE CUERO AL FRENTE</v>
          </cell>
          <cell r="AU259" t="str">
            <v>HILO AL TONO CON HILO GRUESO N 20</v>
          </cell>
          <cell r="AW259" t="str">
            <v>GRABADO ETIQUETA EN NAPADO 7,5CM X 5,5 CM  "EL LUCERO HIGH QUALITY GOODS"</v>
          </cell>
          <cell r="AX259" t="str">
            <v>PELO_HOLANDO</v>
          </cell>
          <cell r="AY259" t="str">
            <v>LEDER-PELO</v>
          </cell>
          <cell r="AZ259" t="str">
            <v>CUE0000116</v>
          </cell>
          <cell r="BA259">
            <v>0.38</v>
          </cell>
          <cell r="BB259" t="str">
            <v>CUE0000009</v>
          </cell>
          <cell r="BC259">
            <v>0.09</v>
          </cell>
          <cell r="BR259" t="str">
            <v>PELO_HEREFORD</v>
          </cell>
          <cell r="BS259" t="str">
            <v>LEDER-PELO</v>
          </cell>
          <cell r="BT259" t="str">
            <v>CUE0000117</v>
          </cell>
          <cell r="BU259">
            <v>0.38</v>
          </cell>
          <cell r="BV259" t="str">
            <v>CUE0000012</v>
          </cell>
          <cell r="BW259">
            <v>0.09</v>
          </cell>
          <cell r="CL259" t="str">
            <v>SUELA</v>
          </cell>
          <cell r="CM259" t="str">
            <v>ARENA-CUERO NAPADO</v>
          </cell>
          <cell r="CN259" t="str">
            <v>CUE0000028</v>
          </cell>
          <cell r="CO259">
            <v>0.47</v>
          </cell>
          <cell r="DF259" t="str">
            <v>MALBEC</v>
          </cell>
          <cell r="DG259" t="str">
            <v>ARENA-CUERO NAPADO</v>
          </cell>
          <cell r="DH259" t="str">
            <v>CUE0000025</v>
          </cell>
          <cell r="DI259">
            <v>0.47</v>
          </cell>
          <cell r="KD259">
            <v>12</v>
          </cell>
          <cell r="KE259">
            <v>12</v>
          </cell>
          <cell r="KF259">
            <v>12</v>
          </cell>
          <cell r="KG259">
            <v>14</v>
          </cell>
          <cell r="KH259">
            <v>14</v>
          </cell>
          <cell r="KI259">
            <v>14</v>
          </cell>
          <cell r="KJ259">
            <v>4</v>
          </cell>
          <cell r="KK259">
            <v>4</v>
          </cell>
          <cell r="KL259">
            <v>4</v>
          </cell>
          <cell r="KM259">
            <v>8</v>
          </cell>
          <cell r="KN259">
            <v>8</v>
          </cell>
          <cell r="KO259">
            <v>8</v>
          </cell>
          <cell r="KP259">
            <v>0</v>
          </cell>
          <cell r="KS259">
            <v>0</v>
          </cell>
          <cell r="KV259">
            <v>0</v>
          </cell>
          <cell r="KY259">
            <v>0</v>
          </cell>
          <cell r="LB259">
            <v>0</v>
          </cell>
          <cell r="LE259">
            <v>0</v>
          </cell>
          <cell r="LH259">
            <v>0</v>
          </cell>
          <cell r="LK259">
            <v>0</v>
          </cell>
          <cell r="LN259">
            <v>45869</v>
          </cell>
          <cell r="LO259">
            <v>45881</v>
          </cell>
          <cell r="LP259" t="str">
            <v>COMPLETADO</v>
          </cell>
        </row>
        <row r="260">
          <cell r="A260">
            <v>1915</v>
          </cell>
          <cell r="B260" t="str">
            <v>RUBEN</v>
          </cell>
          <cell r="C260" t="str">
            <v>BARRACAS GRANDE</v>
          </cell>
          <cell r="D260" t="str">
            <v>MARROQUINERIA GRANDE</v>
          </cell>
          <cell r="E260">
            <v>28</v>
          </cell>
          <cell r="F260">
            <v>28</v>
          </cell>
          <cell r="G260">
            <v>28</v>
          </cell>
          <cell r="H260">
            <v>45871.835162037038</v>
          </cell>
          <cell r="I260" t="str">
            <v>TOTE IRUYA</v>
          </cell>
          <cell r="J260">
            <v>45869</v>
          </cell>
          <cell r="K260">
            <v>45869</v>
          </cell>
          <cell r="L260">
            <v>45881</v>
          </cell>
          <cell r="M260">
            <v>20</v>
          </cell>
          <cell r="N260" t="str">
            <v>M154</v>
          </cell>
          <cell r="O260" t="str">
            <v>AV170129018</v>
          </cell>
          <cell r="P260">
            <v>0</v>
          </cell>
          <cell r="AS260" t="str">
            <v>CORREA 2,5CM / SIN PINTURA</v>
          </cell>
          <cell r="AT260" t="str">
            <v>PEGAR ETIQUETA DE CUERO AL FRENTE HILO AL TONO CON HILO GRUESO N 20</v>
          </cell>
          <cell r="AW260" t="str">
            <v>GRABADO ETIQUETA EN NAPADO 7,5CM X 5,5 CM "EL LUCERO HIGH QUALITY GOODS</v>
          </cell>
          <cell r="AX260" t="str">
            <v>MALBEC</v>
          </cell>
          <cell r="AY260" t="str">
            <v>ARENA-CUERO NAPADO</v>
          </cell>
          <cell r="AZ260" t="str">
            <v>CUE0000025</v>
          </cell>
          <cell r="BA260">
            <v>0.47</v>
          </cell>
          <cell r="BR260" t="str">
            <v>PELO_HEREFORD</v>
          </cell>
          <cell r="BS260" t="str">
            <v>LEDER-PELO</v>
          </cell>
          <cell r="BT260" t="str">
            <v>CUE0000117</v>
          </cell>
          <cell r="BU260">
            <v>0.37</v>
          </cell>
          <cell r="BV260" t="str">
            <v>CUE0000012</v>
          </cell>
          <cell r="BW260">
            <v>0.1</v>
          </cell>
          <cell r="CL260" t="str">
            <v>NEGRO</v>
          </cell>
          <cell r="CM260" t="str">
            <v>BIANCO-CUERO FIORENTINO</v>
          </cell>
          <cell r="CN260" t="str">
            <v>CUE0000056</v>
          </cell>
          <cell r="CO260">
            <v>0.47</v>
          </cell>
          <cell r="DI260">
            <v>0.47</v>
          </cell>
          <cell r="KD260">
            <v>4</v>
          </cell>
          <cell r="KE260">
            <v>4</v>
          </cell>
          <cell r="KF260">
            <v>4</v>
          </cell>
          <cell r="KG260">
            <v>18</v>
          </cell>
          <cell r="KH260">
            <v>18</v>
          </cell>
          <cell r="KI260">
            <v>18</v>
          </cell>
          <cell r="KJ260">
            <v>6</v>
          </cell>
          <cell r="KK260">
            <v>6</v>
          </cell>
          <cell r="KL260">
            <v>6</v>
          </cell>
          <cell r="KM260">
            <v>0</v>
          </cell>
          <cell r="KP260">
            <v>0</v>
          </cell>
          <cell r="KS260">
            <v>0</v>
          </cell>
          <cell r="KV260">
            <v>0</v>
          </cell>
          <cell r="KY260">
            <v>0</v>
          </cell>
          <cell r="LB260">
            <v>0</v>
          </cell>
          <cell r="LE260">
            <v>0</v>
          </cell>
          <cell r="LH260">
            <v>0</v>
          </cell>
          <cell r="LK260">
            <v>0</v>
          </cell>
          <cell r="LN260">
            <v>45869</v>
          </cell>
          <cell r="LO260">
            <v>45881</v>
          </cell>
          <cell r="LP260" t="str">
            <v>COMPLETADO</v>
          </cell>
        </row>
        <row r="261">
          <cell r="A261">
            <v>1916</v>
          </cell>
          <cell r="B261" t="str">
            <v>RUBEN</v>
          </cell>
          <cell r="C261" t="str">
            <v>BARRACAS GRANDE</v>
          </cell>
          <cell r="D261" t="str">
            <v>MARROQUINERIA GRANDE</v>
          </cell>
          <cell r="E261">
            <v>26</v>
          </cell>
          <cell r="F261">
            <v>26</v>
          </cell>
          <cell r="G261">
            <v>26</v>
          </cell>
          <cell r="H261">
            <v>45871.846412037034</v>
          </cell>
          <cell r="I261" t="str">
            <v>TOTE TILCARA</v>
          </cell>
          <cell r="J261">
            <v>45869</v>
          </cell>
          <cell r="K261">
            <v>45869</v>
          </cell>
          <cell r="L261">
            <v>45881</v>
          </cell>
          <cell r="M261">
            <v>20</v>
          </cell>
          <cell r="N261" t="str">
            <v>M188</v>
          </cell>
          <cell r="O261" t="str">
            <v>AV170129018</v>
          </cell>
          <cell r="P261">
            <v>0</v>
          </cell>
          <cell r="AW261" t="str">
            <v xml:space="preserve">GRABADO EN ESPALDA "EL LUCERO GRANDE" CENTRADO ABAJO A 2 CM DESDE EL PESPUNTE </v>
          </cell>
          <cell r="AX261" t="str">
            <v>NEGRO</v>
          </cell>
          <cell r="AY261" t="str">
            <v>ARENA-CUERO NAPADO</v>
          </cell>
          <cell r="AZ261" t="str">
            <v>CUE0000026</v>
          </cell>
          <cell r="BA261">
            <v>0.47</v>
          </cell>
          <cell r="BR261" t="str">
            <v>LONDON</v>
          </cell>
          <cell r="BS261" t="str">
            <v>ARENA-CUERO NAPADO</v>
          </cell>
          <cell r="BT261" t="str">
            <v>CUE0000024</v>
          </cell>
          <cell r="BU261">
            <v>0.47</v>
          </cell>
          <cell r="DF261" t="str">
            <v>MALBEC</v>
          </cell>
          <cell r="DG261" t="str">
            <v>ARENA-CUERO NAPADO</v>
          </cell>
          <cell r="DH261" t="str">
            <v>CUE0000025</v>
          </cell>
          <cell r="DI261">
            <v>0.47</v>
          </cell>
          <cell r="KD261">
            <v>14</v>
          </cell>
          <cell r="KE261">
            <v>14</v>
          </cell>
          <cell r="KF261">
            <v>14</v>
          </cell>
          <cell r="KG261">
            <v>6</v>
          </cell>
          <cell r="KH261">
            <v>6</v>
          </cell>
          <cell r="KI261">
            <v>6</v>
          </cell>
          <cell r="KJ261">
            <v>0</v>
          </cell>
          <cell r="KM261">
            <v>6</v>
          </cell>
          <cell r="KN261">
            <v>6</v>
          </cell>
          <cell r="KO261">
            <v>6</v>
          </cell>
          <cell r="KP261">
            <v>0</v>
          </cell>
          <cell r="KS261">
            <v>0</v>
          </cell>
          <cell r="KV261">
            <v>0</v>
          </cell>
          <cell r="KY261">
            <v>0</v>
          </cell>
          <cell r="LB261">
            <v>0</v>
          </cell>
          <cell r="LE261">
            <v>0</v>
          </cell>
          <cell r="LH261">
            <v>0</v>
          </cell>
          <cell r="LK261">
            <v>0</v>
          </cell>
          <cell r="LN261">
            <v>45869</v>
          </cell>
          <cell r="LO261">
            <v>45881</v>
          </cell>
          <cell r="LP261" t="str">
            <v>COMPLETADO</v>
          </cell>
          <cell r="LR261" t="str">
            <v>SI QUEDA ALGO CORTAR Y AGOTAR!!</v>
          </cell>
        </row>
        <row r="262">
          <cell r="A262">
            <v>1918</v>
          </cell>
          <cell r="B262" t="str">
            <v>LUCIANO</v>
          </cell>
          <cell r="C262" t="str">
            <v>INTERNO JAVIER</v>
          </cell>
          <cell r="D262" t="str">
            <v>MARROQUINERIA CHICA</v>
          </cell>
          <cell r="E262">
            <v>21</v>
          </cell>
          <cell r="F262">
            <v>21</v>
          </cell>
          <cell r="G262">
            <v>21</v>
          </cell>
          <cell r="H262">
            <v>45871.856053240743</v>
          </cell>
          <cell r="I262" t="str">
            <v>PORTAVINO TANDIL</v>
          </cell>
          <cell r="J262">
            <v>45868</v>
          </cell>
          <cell r="K262">
            <v>45868</v>
          </cell>
          <cell r="L262">
            <v>45868</v>
          </cell>
          <cell r="M262">
            <v>35</v>
          </cell>
          <cell r="N262" t="str">
            <v>M165</v>
          </cell>
          <cell r="O262" t="str">
            <v>AV170134014</v>
          </cell>
          <cell r="P262">
            <v>0</v>
          </cell>
          <cell r="AS262" t="str">
            <v>PEGAR ETIQUETA DE CUERO AL FRENTE HILO AL TONO CON HILO GRUESO N 20</v>
          </cell>
          <cell r="AW262" t="str">
            <v>GRABADO ETIQUETA EN VINTAGE MEDIO  7,5CM X 5,5 CM  "EL LUCERO HIGH QUALITY GOODS"</v>
          </cell>
          <cell r="AX262" t="str">
            <v>TABACO</v>
          </cell>
          <cell r="AY262" t="str">
            <v>ARENA-CUERO BRIDGE</v>
          </cell>
          <cell r="AZ262" t="str">
            <v>CUE0000012</v>
          </cell>
          <cell r="BA262">
            <v>0.21</v>
          </cell>
          <cell r="BR262" t="str">
            <v>CARAMELO</v>
          </cell>
          <cell r="BS262" t="str">
            <v>ARENA-CUERO BRIDGE</v>
          </cell>
          <cell r="BT262" t="str">
            <v>CUE0000004</v>
          </cell>
          <cell r="BU262">
            <v>0.21</v>
          </cell>
          <cell r="CL262" t="str">
            <v>MALBEC</v>
          </cell>
          <cell r="CM262" t="str">
            <v>ARENA-CUERO BRIDGE</v>
          </cell>
          <cell r="CN262" t="str">
            <v>CUE0000008</v>
          </cell>
          <cell r="CO262">
            <v>0.21</v>
          </cell>
          <cell r="KD262">
            <v>12</v>
          </cell>
          <cell r="KE262">
            <v>12</v>
          </cell>
          <cell r="KF262">
            <v>12</v>
          </cell>
          <cell r="KG262">
            <v>6</v>
          </cell>
          <cell r="KH262">
            <v>6</v>
          </cell>
          <cell r="KI262">
            <v>6</v>
          </cell>
          <cell r="KJ262">
            <v>3</v>
          </cell>
          <cell r="KK262">
            <v>3</v>
          </cell>
          <cell r="KL262">
            <v>3</v>
          </cell>
          <cell r="KM262">
            <v>0</v>
          </cell>
          <cell r="KP262">
            <v>0</v>
          </cell>
          <cell r="KS262">
            <v>0</v>
          </cell>
          <cell r="KV262">
            <v>0</v>
          </cell>
          <cell r="KY262">
            <v>0</v>
          </cell>
          <cell r="LB262">
            <v>0</v>
          </cell>
          <cell r="LE262">
            <v>0</v>
          </cell>
          <cell r="LH262">
            <v>0</v>
          </cell>
          <cell r="LK262">
            <v>0</v>
          </cell>
          <cell r="LN262">
            <v>45868</v>
          </cell>
          <cell r="LO262">
            <v>45874</v>
          </cell>
          <cell r="LP262" t="str">
            <v>COMPLETADO</v>
          </cell>
        </row>
        <row r="263">
          <cell r="A263">
            <v>1919</v>
          </cell>
          <cell r="B263" t="str">
            <v>LUCIANO</v>
          </cell>
          <cell r="C263" t="str">
            <v>BARRACAS CHICA</v>
          </cell>
          <cell r="D263" t="str">
            <v>MARROQUINERIA CHICA</v>
          </cell>
          <cell r="E263">
            <v>18</v>
          </cell>
          <cell r="F263">
            <v>18</v>
          </cell>
          <cell r="G263">
            <v>18</v>
          </cell>
          <cell r="H263">
            <v>45871.86173611111</v>
          </cell>
          <cell r="I263" t="str">
            <v>PORTAVINO CAFAYATE</v>
          </cell>
          <cell r="J263">
            <v>45869</v>
          </cell>
          <cell r="K263">
            <v>45869</v>
          </cell>
          <cell r="L263">
            <v>45869</v>
          </cell>
          <cell r="M263">
            <v>15</v>
          </cell>
          <cell r="N263" t="str">
            <v>M156</v>
          </cell>
          <cell r="O263" t="str">
            <v>AV0700420101</v>
          </cell>
          <cell r="P263">
            <v>1</v>
          </cell>
          <cell r="Q263" t="str">
            <v>AV170134014</v>
          </cell>
          <cell r="R263">
            <v>0</v>
          </cell>
          <cell r="AW263" t="str">
            <v>GRABADO "EL LUCERO ARGENTINA " EN LA PARTE DE ATRAS A 2 CM DESDE BASE CENTRADO</v>
          </cell>
          <cell r="AX263" t="str">
            <v>SUELA</v>
          </cell>
          <cell r="AY263" t="str">
            <v>LA HERMIDA-CUERO VACHETTA LADO COLOR</v>
          </cell>
          <cell r="AZ263" t="str">
            <v>CUE0000065</v>
          </cell>
          <cell r="BA263">
            <v>0.14000000000000001</v>
          </cell>
          <cell r="BR263" t="str">
            <v>NEGRO</v>
          </cell>
          <cell r="BS263" t="str">
            <v>BIANCO-CUERO FIORENTINO</v>
          </cell>
          <cell r="BT263" t="str">
            <v>CUE0000056</v>
          </cell>
          <cell r="BU263">
            <v>0.14000000000000001</v>
          </cell>
          <cell r="CO263">
            <v>0.21</v>
          </cell>
          <cell r="KD263">
            <v>12</v>
          </cell>
          <cell r="KE263">
            <v>12</v>
          </cell>
          <cell r="KF263">
            <v>12</v>
          </cell>
          <cell r="KG263">
            <v>6</v>
          </cell>
          <cell r="KH263">
            <v>6</v>
          </cell>
          <cell r="KI263">
            <v>6</v>
          </cell>
          <cell r="KJ263">
            <v>0</v>
          </cell>
          <cell r="KM263">
            <v>0</v>
          </cell>
          <cell r="KP263">
            <v>0</v>
          </cell>
          <cell r="KS263">
            <v>0</v>
          </cell>
          <cell r="KV263">
            <v>0</v>
          </cell>
          <cell r="KY263">
            <v>0</v>
          </cell>
          <cell r="LB263">
            <v>0</v>
          </cell>
          <cell r="LE263">
            <v>0</v>
          </cell>
          <cell r="LH263">
            <v>0</v>
          </cell>
          <cell r="LK263">
            <v>0</v>
          </cell>
          <cell r="LN263">
            <v>45869</v>
          </cell>
          <cell r="LO263">
            <v>45888</v>
          </cell>
          <cell r="LP263" t="str">
            <v>COMPLETADO</v>
          </cell>
        </row>
        <row r="264">
          <cell r="A264">
            <v>1920</v>
          </cell>
          <cell r="B264" t="str">
            <v>LUCIANO</v>
          </cell>
          <cell r="C264" t="str">
            <v>BARRACAS CHICA</v>
          </cell>
          <cell r="D264" t="str">
            <v>MARROQUINERIA CHICA</v>
          </cell>
          <cell r="E264">
            <v>7</v>
          </cell>
          <cell r="F264">
            <v>7</v>
          </cell>
          <cell r="G264">
            <v>7</v>
          </cell>
          <cell r="H264">
            <v>45871.864236111112</v>
          </cell>
          <cell r="I264" t="str">
            <v>PORTAVINO UCO</v>
          </cell>
          <cell r="J264">
            <v>45868</v>
          </cell>
          <cell r="K264">
            <v>45868</v>
          </cell>
          <cell r="L264">
            <v>45868</v>
          </cell>
          <cell r="M264">
            <v>37</v>
          </cell>
          <cell r="N264" t="str">
            <v>M166</v>
          </cell>
          <cell r="O264" t="str">
            <v>AV170129018</v>
          </cell>
          <cell r="P264">
            <v>0</v>
          </cell>
          <cell r="AS264" t="str">
            <v>PEGAR ETIQUETA DE CUERO AL FRENTE HILO AL TONO CON HILO GRUESO N 20</v>
          </cell>
          <cell r="AW264" t="str">
            <v>GRABADO ETIQUETA EN VINTAGE MEDIO  7,5CM X 5,5 CM  "EL LUCERO HIGH QUALITY GOODS"</v>
          </cell>
          <cell r="AX264" t="str">
            <v>PELO_HEREFORD</v>
          </cell>
          <cell r="AY264" t="str">
            <v>LEDER-PELO</v>
          </cell>
          <cell r="AZ264" t="str">
            <v>CUE0000117</v>
          </cell>
          <cell r="BA264">
            <v>0.28000000000000003</v>
          </cell>
          <cell r="BB264" t="str">
            <v>CUE0000012</v>
          </cell>
          <cell r="BC264">
            <v>0</v>
          </cell>
          <cell r="BR264" t="str">
            <v>MALBEC</v>
          </cell>
          <cell r="BS264" t="str">
            <v>ARENA-CUERO BRIDGE</v>
          </cell>
          <cell r="BT264" t="str">
            <v>CUE0000008</v>
          </cell>
          <cell r="BU264">
            <v>0.28000000000000003</v>
          </cell>
          <cell r="CO264">
            <v>0.21</v>
          </cell>
          <cell r="KD264">
            <v>4</v>
          </cell>
          <cell r="KE264">
            <v>4</v>
          </cell>
          <cell r="KF264">
            <v>4</v>
          </cell>
          <cell r="KG264">
            <v>3</v>
          </cell>
          <cell r="KH264">
            <v>3</v>
          </cell>
          <cell r="KI264">
            <v>3</v>
          </cell>
          <cell r="KJ264">
            <v>0</v>
          </cell>
          <cell r="KM264">
            <v>0</v>
          </cell>
          <cell r="KP264">
            <v>0</v>
          </cell>
          <cell r="KS264">
            <v>0</v>
          </cell>
          <cell r="KV264">
            <v>0</v>
          </cell>
          <cell r="KY264">
            <v>0</v>
          </cell>
          <cell r="LB264">
            <v>0</v>
          </cell>
          <cell r="LE264">
            <v>0</v>
          </cell>
          <cell r="LH264">
            <v>0</v>
          </cell>
          <cell r="LK264">
            <v>0</v>
          </cell>
          <cell r="LN264">
            <v>45868</v>
          </cell>
          <cell r="LO264">
            <v>45888</v>
          </cell>
          <cell r="LP264" t="str">
            <v>COMPLETADO</v>
          </cell>
          <cell r="LQ264" t="str">
            <v xml:space="preserve"> QUE SE VEA LA MANCHA SI NO SALE DE RETAZOS USAR PLACA</v>
          </cell>
        </row>
        <row r="265">
          <cell r="A265">
            <v>1921</v>
          </cell>
          <cell r="B265" t="str">
            <v>LUCIANO</v>
          </cell>
          <cell r="C265" t="str">
            <v>BARRACAS CHICA</v>
          </cell>
          <cell r="D265" t="str">
            <v>MARROQUINERIA CHICA</v>
          </cell>
          <cell r="E265">
            <v>6</v>
          </cell>
          <cell r="F265">
            <v>6</v>
          </cell>
          <cell r="G265">
            <v>0</v>
          </cell>
          <cell r="H265">
            <v>45872.367685185185</v>
          </cell>
          <cell r="I265" t="str">
            <v>BILLETERA FICHERO</v>
          </cell>
          <cell r="J265">
            <v>45869</v>
          </cell>
          <cell r="K265">
            <v>45869</v>
          </cell>
          <cell r="M265">
            <v>55</v>
          </cell>
          <cell r="N265" t="str">
            <v>M015</v>
          </cell>
          <cell r="O265" t="str">
            <v>BAC1300050727</v>
          </cell>
          <cell r="P265">
            <v>0.06</v>
          </cell>
          <cell r="Q265" t="str">
            <v>BAC0200071027</v>
          </cell>
          <cell r="R265">
            <v>0.04</v>
          </cell>
          <cell r="S265" t="str">
            <v>BAC0900100161</v>
          </cell>
          <cell r="T265">
            <v>0.01</v>
          </cell>
          <cell r="U265" t="str">
            <v>FOR0000032</v>
          </cell>
          <cell r="V265">
            <v>0.01</v>
          </cell>
          <cell r="W265" t="str">
            <v>AV0101070301</v>
          </cell>
          <cell r="X265">
            <v>1</v>
          </cell>
          <cell r="Y265" t="str">
            <v>AV0600560101</v>
          </cell>
          <cell r="Z265">
            <v>1</v>
          </cell>
          <cell r="AA265" t="str">
            <v>AV0600550101</v>
          </cell>
          <cell r="AB265">
            <v>1</v>
          </cell>
          <cell r="AC265" t="str">
            <v>AV0300400101</v>
          </cell>
          <cell r="AD265">
            <v>2</v>
          </cell>
          <cell r="AE265" t="str">
            <v>AV1000380101</v>
          </cell>
          <cell r="AF265">
            <v>2</v>
          </cell>
          <cell r="AG265" t="str">
            <v>AV0101040201</v>
          </cell>
          <cell r="AH265">
            <v>1</v>
          </cell>
          <cell r="AI265" t="str">
            <v>AV0300390101</v>
          </cell>
          <cell r="AJ265">
            <v>1</v>
          </cell>
          <cell r="AK265" t="str">
            <v>AV170134014</v>
          </cell>
          <cell r="AL265">
            <v>0</v>
          </cell>
          <cell r="AS265" t="str">
            <v>TIRACIERRE N2 : vuelta de tira con remache + grabado estrella lucero</v>
          </cell>
          <cell r="AT265" t="str">
            <v xml:space="preserve">CAMBIAR LADO DE LA PULSERA A LA IZQUIERDA    </v>
          </cell>
          <cell r="AW265" t="str">
            <v xml:space="preserve">GRABADO "EL LUCERO" CHICO EN FRENTE, CENTRADO A 2 CM DESDE BOCA  </v>
          </cell>
          <cell r="AX265" t="str">
            <v>ROJO</v>
          </cell>
          <cell r="AY265" t="str">
            <v>ARENA-CUERO NAPADO</v>
          </cell>
          <cell r="AZ265" t="str">
            <v>CUE0000027</v>
          </cell>
          <cell r="BA265">
            <v>0.21</v>
          </cell>
          <cell r="BB265" t="str">
            <v>AV0100010113</v>
          </cell>
          <cell r="BC265">
            <v>0.45</v>
          </cell>
          <cell r="BD265" t="str">
            <v>AV0100020313</v>
          </cell>
          <cell r="BE265">
            <v>0.16</v>
          </cell>
          <cell r="BF265" t="str">
            <v>FOR0000016</v>
          </cell>
          <cell r="BG265">
            <v>0.16</v>
          </cell>
          <cell r="BU265">
            <v>0.28000000000000003</v>
          </cell>
          <cell r="CO265">
            <v>0.21</v>
          </cell>
          <cell r="KD265">
            <v>6</v>
          </cell>
          <cell r="KE265">
            <v>6</v>
          </cell>
          <cell r="KG265">
            <v>0</v>
          </cell>
          <cell r="KJ265">
            <v>0</v>
          </cell>
          <cell r="KM265">
            <v>0</v>
          </cell>
          <cell r="KP265">
            <v>0</v>
          </cell>
          <cell r="KS265">
            <v>0</v>
          </cell>
          <cell r="KV265">
            <v>0</v>
          </cell>
          <cell r="KY265">
            <v>0</v>
          </cell>
          <cell r="LB265">
            <v>0</v>
          </cell>
          <cell r="LE265">
            <v>0</v>
          </cell>
          <cell r="LH265">
            <v>0</v>
          </cell>
          <cell r="LK265">
            <v>0</v>
          </cell>
          <cell r="LN265">
            <v>45869</v>
          </cell>
          <cell r="LP265" t="str">
            <v>EN PRODUCCION</v>
          </cell>
        </row>
        <row r="266">
          <cell r="A266">
            <v>1922</v>
          </cell>
          <cell r="B266" t="str">
            <v>LUCIANO</v>
          </cell>
          <cell r="C266" t="str">
            <v>PERDRIEL</v>
          </cell>
          <cell r="D266" t="str">
            <v>MARROQUINERIA CHICA</v>
          </cell>
          <cell r="E266">
            <v>20</v>
          </cell>
          <cell r="F266">
            <v>15</v>
          </cell>
          <cell r="G266">
            <v>15</v>
          </cell>
          <cell r="H266">
            <v>45872.372094907405</v>
          </cell>
          <cell r="I266" t="str">
            <v>BILLETERA MILO SIMPLE</v>
          </cell>
          <cell r="J266">
            <v>45869</v>
          </cell>
          <cell r="K266">
            <v>45869</v>
          </cell>
          <cell r="L266">
            <v>45869</v>
          </cell>
          <cell r="M266">
            <v>40</v>
          </cell>
          <cell r="N266" t="str">
            <v>M023</v>
          </cell>
          <cell r="O266" t="str">
            <v>BAC0900100161</v>
          </cell>
          <cell r="P266">
            <v>0.01</v>
          </cell>
          <cell r="Q266" t="str">
            <v>AV170134014</v>
          </cell>
          <cell r="R266">
            <v>0</v>
          </cell>
          <cell r="AS266" t="str">
            <v>SIN ELASTICO</v>
          </cell>
          <cell r="AW266" t="str">
            <v xml:space="preserve">GRABADO "LUCERO ARGENTINA" CHICO A 1 CMDEL BORDE INFERIOR, EN SOLAPA INTERNA   </v>
          </cell>
          <cell r="AX266" t="str">
            <v>SUELA</v>
          </cell>
          <cell r="AY266" t="str">
            <v>NAPOLITANA-CUERO GAMUZA</v>
          </cell>
          <cell r="AZ266" t="str">
            <v>CUE0000049</v>
          </cell>
          <cell r="BA266">
            <v>0.09</v>
          </cell>
          <cell r="BB266" t="str">
            <v>FOR0000015</v>
          </cell>
          <cell r="BC266">
            <v>0.11</v>
          </cell>
          <cell r="BD266" t="str">
            <v>AV1401250545</v>
          </cell>
          <cell r="BE266">
            <v>0</v>
          </cell>
          <cell r="BF266" t="str">
            <v>AV1601300955</v>
          </cell>
          <cell r="BG266">
            <v>0</v>
          </cell>
          <cell r="BR266" t="str">
            <v>VERDE_REVES_VERDE</v>
          </cell>
          <cell r="BS266" t="str">
            <v>BIANCO-CUERO MODENA ESPESOR 1,4</v>
          </cell>
          <cell r="BT266" t="str">
            <v>CUE0000118</v>
          </cell>
          <cell r="BU266">
            <v>0.09</v>
          </cell>
          <cell r="BV266" t="str">
            <v>FOR0000013</v>
          </cell>
          <cell r="BW266">
            <v>0.11</v>
          </cell>
          <cell r="BX266" t="str">
            <v>AV1401254260</v>
          </cell>
          <cell r="BY266">
            <v>0</v>
          </cell>
          <cell r="BZ266" t="str">
            <v>AV1601300957</v>
          </cell>
          <cell r="CA266">
            <v>0</v>
          </cell>
          <cell r="CL266" t="str">
            <v>AZUL_REVES_AZUL</v>
          </cell>
          <cell r="CM266" t="str">
            <v>BIANCO-CUERO MODENA ESPESOR 1,4</v>
          </cell>
          <cell r="CN266" t="str">
            <v>CUE0000119</v>
          </cell>
          <cell r="CO266">
            <v>0.09</v>
          </cell>
          <cell r="CP266" t="str">
            <v>FOR0000014</v>
          </cell>
          <cell r="CQ266">
            <v>0.11</v>
          </cell>
          <cell r="CR266" t="str">
            <v>AV1401254360</v>
          </cell>
          <cell r="CS266">
            <v>0</v>
          </cell>
          <cell r="CT266" t="str">
            <v>AV1601300956</v>
          </cell>
          <cell r="CU266">
            <v>0</v>
          </cell>
          <cell r="KD266">
            <v>5</v>
          </cell>
          <cell r="KE266">
            <v>0</v>
          </cell>
          <cell r="KF266">
            <v>0</v>
          </cell>
          <cell r="KG266">
            <v>6</v>
          </cell>
          <cell r="KH266">
            <v>6</v>
          </cell>
          <cell r="KI266">
            <v>6</v>
          </cell>
          <cell r="KJ266">
            <v>9</v>
          </cell>
          <cell r="KK266">
            <v>9</v>
          </cell>
          <cell r="KL266">
            <v>9</v>
          </cell>
          <cell r="KM266">
            <v>0</v>
          </cell>
          <cell r="KP266">
            <v>0</v>
          </cell>
          <cell r="KS266">
            <v>0</v>
          </cell>
          <cell r="KV266">
            <v>0</v>
          </cell>
          <cell r="KY266">
            <v>0</v>
          </cell>
          <cell r="LB266">
            <v>0</v>
          </cell>
          <cell r="LE266">
            <v>0</v>
          </cell>
          <cell r="LH266">
            <v>0</v>
          </cell>
          <cell r="LK266">
            <v>0</v>
          </cell>
          <cell r="LN266">
            <v>45869</v>
          </cell>
          <cell r="LO266">
            <v>45884</v>
          </cell>
          <cell r="LP266" t="str">
            <v>COMPLETADO</v>
          </cell>
          <cell r="LR266" t="str">
            <v>OJO REVISAR QUE EL COLOR NO SE LEVANTE</v>
          </cell>
          <cell r="LS266" t="str">
            <v>OJO REVISAR QUE EL COLOR NO SE LEVANTE</v>
          </cell>
        </row>
        <row r="267">
          <cell r="A267">
            <v>18612</v>
          </cell>
          <cell r="B267" t="str">
            <v>RUBEN</v>
          </cell>
          <cell r="C267" t="str">
            <v>BARRACAS GRANDE</v>
          </cell>
          <cell r="D267" t="str">
            <v>MARROQUINERIA GRANDE</v>
          </cell>
          <cell r="E267">
            <v>3</v>
          </cell>
          <cell r="F267">
            <v>3</v>
          </cell>
          <cell r="G267">
            <v>3</v>
          </cell>
          <cell r="H267">
            <v>45872.818356481483</v>
          </cell>
          <cell r="I267" t="str">
            <v>PHONEBAG TANIA</v>
          </cell>
          <cell r="J267">
            <v>45856</v>
          </cell>
          <cell r="K267">
            <v>45856</v>
          </cell>
          <cell r="L267">
            <v>45883</v>
          </cell>
          <cell r="M267">
            <v>20</v>
          </cell>
          <cell r="N267" t="str">
            <v>M076</v>
          </cell>
          <cell r="O267" t="str">
            <v>AV0700510101</v>
          </cell>
          <cell r="P267">
            <v>1</v>
          </cell>
          <cell r="Q267" t="str">
            <v>AV0400770101</v>
          </cell>
          <cell r="R267">
            <v>1</v>
          </cell>
          <cell r="S267" t="str">
            <v>AV0400230101</v>
          </cell>
          <cell r="T267">
            <v>1</v>
          </cell>
          <cell r="U267" t="str">
            <v>AV0300400101</v>
          </cell>
          <cell r="V267">
            <v>3</v>
          </cell>
          <cell r="W267" t="str">
            <v>AV170129018</v>
          </cell>
          <cell r="X267">
            <v>0</v>
          </cell>
          <cell r="AS267" t="str">
            <v>CORREA 0.13 CM / SIMPLE SIN CONTRAPEGAR / SIN PINTURA</v>
          </cell>
          <cell r="AU267" t="str">
            <v>VERSION PELO bridge en: correa y SOLAPA</v>
          </cell>
          <cell r="AV267" t="str">
            <v>VERSION VINTAGE, todo en el mismo material.</v>
          </cell>
          <cell r="AW267" t="str">
            <v>GRABADO "EL LUCERO ARGENTINA" EN PARTE DE ATRAS INFERIOR CENTRADO</v>
          </cell>
          <cell r="AX267" t="str">
            <v>TABACO_PELO_BEIGE</v>
          </cell>
          <cell r="AY267" t="str">
            <v>ARENA-CUERO BRIDGE</v>
          </cell>
          <cell r="AZ267" t="str">
            <v>CUE0000012</v>
          </cell>
          <cell r="BA267">
            <v>0.04</v>
          </cell>
          <cell r="BB267" t="str">
            <v>CUE0000104</v>
          </cell>
          <cell r="BC267">
            <v>0.05</v>
          </cell>
          <cell r="BD267" t="str">
            <v>AV1401250545</v>
          </cell>
          <cell r="BE267">
            <v>0</v>
          </cell>
          <cell r="BF267" t="str">
            <v>AV1601300954</v>
          </cell>
          <cell r="BG267">
            <v>0</v>
          </cell>
          <cell r="KD267">
            <v>3</v>
          </cell>
          <cell r="KE267">
            <v>3</v>
          </cell>
          <cell r="KF267">
            <v>3</v>
          </cell>
          <cell r="KG267">
            <v>0</v>
          </cell>
          <cell r="KJ267">
            <v>0</v>
          </cell>
          <cell r="KM267">
            <v>0</v>
          </cell>
          <cell r="KP267">
            <v>0</v>
          </cell>
          <cell r="KS267">
            <v>0</v>
          </cell>
          <cell r="KV267">
            <v>0</v>
          </cell>
          <cell r="KY267">
            <v>0</v>
          </cell>
          <cell r="LB267">
            <v>0</v>
          </cell>
          <cell r="LE267">
            <v>0</v>
          </cell>
          <cell r="LH267">
            <v>0</v>
          </cell>
          <cell r="LK267">
            <v>0</v>
          </cell>
          <cell r="LN267">
            <v>45856</v>
          </cell>
          <cell r="LO267">
            <v>45888</v>
          </cell>
          <cell r="LP267" t="str">
            <v>COMPLETADO</v>
          </cell>
        </row>
        <row r="268">
          <cell r="A268">
            <v>1917</v>
          </cell>
          <cell r="B268" t="str">
            <v>RUBEN</v>
          </cell>
          <cell r="C268" t="str">
            <v>BARRACAS GRANDE</v>
          </cell>
          <cell r="D268" t="str">
            <v>MARROQUINERIA GRANDE</v>
          </cell>
          <cell r="E268">
            <v>6</v>
          </cell>
          <cell r="F268">
            <v>6</v>
          </cell>
          <cell r="G268">
            <v>6</v>
          </cell>
          <cell r="H268">
            <v>45872.828506944446</v>
          </cell>
          <cell r="I268" t="str">
            <v>BOLSO TUBO GRANDE</v>
          </cell>
          <cell r="J268">
            <v>45869</v>
          </cell>
          <cell r="K268">
            <v>45869</v>
          </cell>
          <cell r="L268">
            <v>45869</v>
          </cell>
          <cell r="M268">
            <v>90</v>
          </cell>
          <cell r="N268" t="str">
            <v>M030</v>
          </cell>
          <cell r="O268" t="str">
            <v>BAC1300020827</v>
          </cell>
          <cell r="P268">
            <v>0.08</v>
          </cell>
          <cell r="Q268" t="str">
            <v>AV0101030201</v>
          </cell>
          <cell r="R268">
            <v>2</v>
          </cell>
          <cell r="S268" t="str">
            <v>AV0101040201</v>
          </cell>
          <cell r="T268">
            <v>1</v>
          </cell>
          <cell r="U268" t="str">
            <v>AV0300250101</v>
          </cell>
          <cell r="V268">
            <v>4</v>
          </cell>
          <cell r="W268" t="str">
            <v>AV0300410101</v>
          </cell>
          <cell r="X268">
            <v>9</v>
          </cell>
          <cell r="Y268" t="str">
            <v>AV1302250428</v>
          </cell>
          <cell r="Z268">
            <v>2</v>
          </cell>
          <cell r="AA268" t="str">
            <v>AV1302240428</v>
          </cell>
          <cell r="AB268">
            <v>0.8</v>
          </cell>
          <cell r="AC268" t="str">
            <v>AV1001450101</v>
          </cell>
          <cell r="AD268">
            <v>2</v>
          </cell>
          <cell r="AE268" t="str">
            <v>AV0700630101</v>
          </cell>
          <cell r="AF268">
            <v>2</v>
          </cell>
          <cell r="AG268" t="str">
            <v>AV0701130101</v>
          </cell>
          <cell r="AH268">
            <v>1</v>
          </cell>
          <cell r="AI268" t="str">
            <v>AV0600540101</v>
          </cell>
          <cell r="AJ268">
            <v>2</v>
          </cell>
          <cell r="AK268" t="str">
            <v>AV0300390101</v>
          </cell>
          <cell r="AL268">
            <v>1</v>
          </cell>
          <cell r="AM268" t="str">
            <v>AV170129018</v>
          </cell>
          <cell r="AN268">
            <v>0</v>
          </cell>
          <cell r="AS268" t="str">
            <v>TIRACIERRE INTERNO: N1 TIRA CON REMACHE + GRABADO ESTRELLITA</v>
          </cell>
          <cell r="AT268" t="str">
            <v>TIRACIERRES EXTERNOS "EL LUCERO" GRANDE</v>
          </cell>
          <cell r="AU268" t="str">
            <v>GAMUZA: CON VISTA DE CUERO EN BOLSILLO FRENTE</v>
          </cell>
          <cell r="AV268" t="str">
            <v>SIN CLAVOS DE FONDO / SIN BOLSILLO AL FRENTE / CORREA PUNTA REDONDEADA</v>
          </cell>
          <cell r="AW268" t="str">
            <v xml:space="preserve">EL LUCERO ARGENTINA TAMAÑO GRANDE, EN TROQUEL COCIDO DEBAJO DE VISTA DE CIERRE INTERNO </v>
          </cell>
          <cell r="AX268" t="str">
            <v>CHOCOLATE</v>
          </cell>
          <cell r="AY268" t="str">
            <v>ARENA-CUERO BRIDGE</v>
          </cell>
          <cell r="AZ268" t="str">
            <v>CUE0000005</v>
          </cell>
          <cell r="BA268">
            <v>1.25</v>
          </cell>
          <cell r="BB268" t="str">
            <v>FOR0000021</v>
          </cell>
          <cell r="BC268">
            <v>0.72</v>
          </cell>
          <cell r="BD268" t="str">
            <v>AV0100010111</v>
          </cell>
          <cell r="BE268">
            <v>1.02</v>
          </cell>
          <cell r="BF268" t="str">
            <v>AV1801370725</v>
          </cell>
          <cell r="BG268">
            <v>2</v>
          </cell>
          <cell r="BH268" t="str">
            <v>AV1401240545</v>
          </cell>
          <cell r="BI268">
            <v>0</v>
          </cell>
          <cell r="BR268" t="str">
            <v>AZUL_GAMUZA_TABACO</v>
          </cell>
          <cell r="BS268" t="str">
            <v>NAPOLITANA-CUERO GAMUZA</v>
          </cell>
          <cell r="BT268" t="str">
            <v>CUE0000038</v>
          </cell>
          <cell r="BU268">
            <v>0.82</v>
          </cell>
          <cell r="BV268" t="str">
            <v>CUE0000012</v>
          </cell>
          <cell r="BW268">
            <v>0.43</v>
          </cell>
          <cell r="BX268" t="str">
            <v>FOR0000021</v>
          </cell>
          <cell r="BY268">
            <v>0.72</v>
          </cell>
          <cell r="BZ268" t="str">
            <v>AV0100010114</v>
          </cell>
          <cell r="CA268">
            <v>1.02</v>
          </cell>
          <cell r="CB268" t="str">
            <v>AV1801370725</v>
          </cell>
          <cell r="CC268">
            <v>2</v>
          </cell>
          <cell r="CL268" t="str">
            <v>TABACO_PELO_HEREFORD</v>
          </cell>
          <cell r="CM268" t="str">
            <v>ARENA-CUERO BRIDGE</v>
          </cell>
          <cell r="CN268" t="str">
            <v>CUE0000012</v>
          </cell>
          <cell r="CO268">
            <v>0.43</v>
          </cell>
          <cell r="CP268" t="str">
            <v>CUE0000117</v>
          </cell>
          <cell r="CQ268">
            <v>0.82</v>
          </cell>
          <cell r="CR268" t="str">
            <v>FOR0000020</v>
          </cell>
          <cell r="CS268">
            <v>0.72</v>
          </cell>
          <cell r="CT268" t="str">
            <v>AV0100010111</v>
          </cell>
          <cell r="CU268">
            <v>1.02</v>
          </cell>
          <cell r="CV268" t="str">
            <v>AV1801370725</v>
          </cell>
          <cell r="CW268">
            <v>2</v>
          </cell>
          <cell r="CX268" t="str">
            <v>AV1401240545</v>
          </cell>
          <cell r="CY268">
            <v>0</v>
          </cell>
          <cell r="KD268">
            <v>2</v>
          </cell>
          <cell r="KE268">
            <v>2</v>
          </cell>
          <cell r="KF268">
            <v>2</v>
          </cell>
          <cell r="KG268">
            <v>2</v>
          </cell>
          <cell r="KH268">
            <v>2</v>
          </cell>
          <cell r="KI268">
            <v>2</v>
          </cell>
          <cell r="KJ268">
            <v>2</v>
          </cell>
          <cell r="KK268">
            <v>2</v>
          </cell>
          <cell r="KL268">
            <v>2</v>
          </cell>
          <cell r="KM268">
            <v>0</v>
          </cell>
          <cell r="KP268">
            <v>0</v>
          </cell>
          <cell r="KS268">
            <v>0</v>
          </cell>
          <cell r="KV268">
            <v>0</v>
          </cell>
          <cell r="KY268">
            <v>0</v>
          </cell>
          <cell r="LB268">
            <v>0</v>
          </cell>
          <cell r="LE268">
            <v>0</v>
          </cell>
          <cell r="LH268">
            <v>0</v>
          </cell>
          <cell r="LK268">
            <v>0</v>
          </cell>
          <cell r="LN268">
            <v>45869</v>
          </cell>
          <cell r="LO268">
            <v>45888</v>
          </cell>
          <cell r="LP268" t="str">
            <v>COMPLETADO</v>
          </cell>
        </row>
        <row r="269">
          <cell r="A269">
            <v>1926</v>
          </cell>
          <cell r="B269" t="str">
            <v>LUCIANO</v>
          </cell>
          <cell r="C269" t="str">
            <v>EXT GABRIEL</v>
          </cell>
          <cell r="D269" t="str">
            <v>MARROQUINERIA CHICA</v>
          </cell>
          <cell r="E269">
            <v>12</v>
          </cell>
          <cell r="F269">
            <v>12</v>
          </cell>
          <cell r="G269">
            <v>12</v>
          </cell>
          <cell r="H269">
            <v>45888.42292824074</v>
          </cell>
          <cell r="I269" t="str">
            <v>TARJETERO RUBI</v>
          </cell>
          <cell r="J269">
            <v>45877</v>
          </cell>
          <cell r="K269">
            <v>45877</v>
          </cell>
          <cell r="L269">
            <v>45877</v>
          </cell>
          <cell r="M269">
            <v>10</v>
          </cell>
          <cell r="N269" t="str">
            <v>M129</v>
          </cell>
          <cell r="O269" t="str">
            <v>AV0700420101</v>
          </cell>
          <cell r="P269">
            <v>1</v>
          </cell>
          <cell r="Q269" t="str">
            <v>AV170134014</v>
          </cell>
          <cell r="R269">
            <v>0</v>
          </cell>
          <cell r="AW269" t="str">
            <v xml:space="preserve">GRABADO "EL LUCERO ARGENTINA " EN ESPALDA CENTRADO, BORDE INFERIOR </v>
          </cell>
          <cell r="AX269" t="str">
            <v>MALBEC</v>
          </cell>
          <cell r="AY269" t="str">
            <v>ARENA-CUERO NAPADO</v>
          </cell>
          <cell r="AZ269" t="str">
            <v>CUE0000025</v>
          </cell>
          <cell r="BA269">
            <v>0.03</v>
          </cell>
          <cell r="BB269" t="str">
            <v>AV1401250545</v>
          </cell>
          <cell r="BC269">
            <v>0</v>
          </cell>
          <cell r="KD269">
            <v>12</v>
          </cell>
          <cell r="KE269">
            <v>12</v>
          </cell>
          <cell r="KF269">
            <v>12</v>
          </cell>
          <cell r="KG269">
            <v>0</v>
          </cell>
          <cell r="KJ269">
            <v>0</v>
          </cell>
          <cell r="KM269">
            <v>0</v>
          </cell>
          <cell r="KP269">
            <v>0</v>
          </cell>
          <cell r="KS269">
            <v>0</v>
          </cell>
          <cell r="KV269">
            <v>0</v>
          </cell>
          <cell r="KY269">
            <v>0</v>
          </cell>
          <cell r="LB269">
            <v>0</v>
          </cell>
          <cell r="LE269">
            <v>0</v>
          </cell>
          <cell r="LH269">
            <v>0</v>
          </cell>
          <cell r="LK269">
            <v>0</v>
          </cell>
          <cell r="LN269">
            <v>45877</v>
          </cell>
          <cell r="LO269">
            <v>45881</v>
          </cell>
          <cell r="LP269" t="str">
            <v>COMPLETADO</v>
          </cell>
        </row>
        <row r="270">
          <cell r="A270">
            <v>1923</v>
          </cell>
          <cell r="B270" t="str">
            <v>RUBEN</v>
          </cell>
          <cell r="C270" t="str">
            <v>BARRACAS GRANDE</v>
          </cell>
          <cell r="D270" t="str">
            <v>MARROQUINERIA GRANDE</v>
          </cell>
          <cell r="E270">
            <v>50</v>
          </cell>
          <cell r="F270">
            <v>50</v>
          </cell>
          <cell r="G270">
            <v>50</v>
          </cell>
          <cell r="H270">
            <v>45888.434664351851</v>
          </cell>
          <cell r="I270" t="str">
            <v>BOLSA BOLSO TUBO</v>
          </cell>
          <cell r="J270">
            <v>45911</v>
          </cell>
          <cell r="K270">
            <v>45911</v>
          </cell>
          <cell r="L270">
            <v>45911</v>
          </cell>
          <cell r="M270">
            <v>4</v>
          </cell>
          <cell r="N270" t="str">
            <v>M026</v>
          </cell>
          <cell r="O270" t="str">
            <v>VAR0000008</v>
          </cell>
          <cell r="P270">
            <v>0.8</v>
          </cell>
          <cell r="Q270" t="str">
            <v>CIN0000003</v>
          </cell>
          <cell r="R270">
            <v>2.5</v>
          </cell>
          <cell r="AS270" t="str">
            <v>SEPARAR DELANTERO PARA ENVIAR A ESTAMPERIA</v>
          </cell>
          <cell r="KD270">
            <v>50</v>
          </cell>
          <cell r="KE270">
            <v>50</v>
          </cell>
          <cell r="KF270">
            <v>50</v>
          </cell>
          <cell r="KG270">
            <v>0</v>
          </cell>
          <cell r="KJ270">
            <v>0</v>
          </cell>
          <cell r="KM270">
            <v>0</v>
          </cell>
          <cell r="KP270">
            <v>0</v>
          </cell>
          <cell r="KS270">
            <v>0</v>
          </cell>
          <cell r="KV270">
            <v>0</v>
          </cell>
          <cell r="KY270">
            <v>0</v>
          </cell>
          <cell r="LB270">
            <v>0</v>
          </cell>
          <cell r="LE270">
            <v>0</v>
          </cell>
          <cell r="LH270">
            <v>0</v>
          </cell>
          <cell r="LK270">
            <v>0</v>
          </cell>
          <cell r="LN270">
            <v>45911</v>
          </cell>
          <cell r="LO270">
            <v>45916</v>
          </cell>
          <cell r="LP270" t="str">
            <v>COMPLETADO</v>
          </cell>
        </row>
        <row r="271">
          <cell r="A271">
            <v>1924</v>
          </cell>
          <cell r="B271" t="str">
            <v>RUBEN</v>
          </cell>
          <cell r="C271" t="str">
            <v>BARRACAS GRANDE</v>
          </cell>
          <cell r="D271" t="str">
            <v>MARROQUINERIA GRANDE</v>
          </cell>
          <cell r="E271">
            <v>20</v>
          </cell>
          <cell r="F271">
            <v>20</v>
          </cell>
          <cell r="G271">
            <v>20</v>
          </cell>
          <cell r="H271">
            <v>45888.438854166663</v>
          </cell>
          <cell r="I271" t="str">
            <v>BOLSA CARTERA</v>
          </cell>
          <cell r="J271">
            <v>45911</v>
          </cell>
          <cell r="K271">
            <v>45911</v>
          </cell>
          <cell r="L271">
            <v>45911</v>
          </cell>
          <cell r="M271">
            <v>4</v>
          </cell>
          <cell r="N271" t="str">
            <v>M027</v>
          </cell>
          <cell r="O271" t="str">
            <v>VAR0000008</v>
          </cell>
          <cell r="P271">
            <v>0.47</v>
          </cell>
          <cell r="Q271" t="str">
            <v>CIN0000003</v>
          </cell>
          <cell r="R271">
            <v>2.5</v>
          </cell>
          <cell r="AS271" t="str">
            <v>SEPARAR DELANTERO PARA ENVIAR A ESTAMPERIA</v>
          </cell>
          <cell r="AT271" t="str">
            <v>MERCEDES RUMAS</v>
          </cell>
          <cell r="AU271" t="str">
            <v xml:space="preserve"> ESTAMPA A 1 COLOR UBICADA EN FRENTE CENTRADA</v>
          </cell>
          <cell r="KD271">
            <v>20</v>
          </cell>
          <cell r="KE271">
            <v>20</v>
          </cell>
          <cell r="KF271">
            <v>20</v>
          </cell>
          <cell r="KG271">
            <v>0</v>
          </cell>
          <cell r="KJ271">
            <v>0</v>
          </cell>
          <cell r="KM271">
            <v>0</v>
          </cell>
          <cell r="KP271">
            <v>0</v>
          </cell>
          <cell r="KS271">
            <v>0</v>
          </cell>
          <cell r="KV271">
            <v>0</v>
          </cell>
          <cell r="KY271">
            <v>0</v>
          </cell>
          <cell r="LB271">
            <v>0</v>
          </cell>
          <cell r="LE271">
            <v>0</v>
          </cell>
          <cell r="LH271">
            <v>0</v>
          </cell>
          <cell r="LK271">
            <v>0</v>
          </cell>
          <cell r="LN271">
            <v>45911</v>
          </cell>
          <cell r="LO271">
            <v>45916</v>
          </cell>
          <cell r="LP271" t="str">
            <v>COMPLETADO</v>
          </cell>
        </row>
        <row r="272">
          <cell r="A272">
            <v>1927</v>
          </cell>
          <cell r="B272" t="str">
            <v>LUCIANO</v>
          </cell>
          <cell r="C272" t="str">
            <v>EXT GABRIEL</v>
          </cell>
          <cell r="D272" t="str">
            <v>MARROQUINERIA CHICA</v>
          </cell>
          <cell r="E272">
            <v>20</v>
          </cell>
          <cell r="F272">
            <v>20</v>
          </cell>
          <cell r="G272">
            <v>20</v>
          </cell>
          <cell r="H272">
            <v>45888.445127314815</v>
          </cell>
          <cell r="I272" t="str">
            <v>PORTAPASAPORTE CHESTER</v>
          </cell>
          <cell r="J272">
            <v>45877</v>
          </cell>
          <cell r="K272">
            <v>45877</v>
          </cell>
          <cell r="L272">
            <v>45881</v>
          </cell>
          <cell r="M272">
            <v>10</v>
          </cell>
          <cell r="N272" t="str">
            <v>M104</v>
          </cell>
          <cell r="O272" t="str">
            <v>AV170134014</v>
          </cell>
          <cell r="P272">
            <v>0</v>
          </cell>
          <cell r="KD272">
            <v>20</v>
          </cell>
          <cell r="KE272">
            <v>20</v>
          </cell>
          <cell r="KF272">
            <v>20</v>
          </cell>
          <cell r="KG272">
            <v>0</v>
          </cell>
          <cell r="KJ272">
            <v>0</v>
          </cell>
          <cell r="KM272">
            <v>0</v>
          </cell>
          <cell r="KP272">
            <v>0</v>
          </cell>
          <cell r="KS272">
            <v>0</v>
          </cell>
          <cell r="KV272">
            <v>0</v>
          </cell>
          <cell r="KY272">
            <v>0</v>
          </cell>
          <cell r="LB272">
            <v>0</v>
          </cell>
          <cell r="LE272">
            <v>0</v>
          </cell>
          <cell r="LH272">
            <v>0</v>
          </cell>
          <cell r="LK272">
            <v>0</v>
          </cell>
          <cell r="LN272">
            <v>45877</v>
          </cell>
          <cell r="LO272">
            <v>45881</v>
          </cell>
          <cell r="LP272" t="str">
            <v>COMPLETADO</v>
          </cell>
        </row>
        <row r="273">
          <cell r="A273">
            <v>1928</v>
          </cell>
          <cell r="B273" t="str">
            <v>LUCIANO</v>
          </cell>
          <cell r="C273" t="str">
            <v>EXT GABRIEL</v>
          </cell>
          <cell r="D273" t="str">
            <v>MARROQUINERIA CHICA</v>
          </cell>
          <cell r="E273">
            <v>20</v>
          </cell>
          <cell r="F273">
            <v>20</v>
          </cell>
          <cell r="G273">
            <v>20</v>
          </cell>
          <cell r="H273">
            <v>45888.464780092596</v>
          </cell>
          <cell r="I273" t="str">
            <v>TARJETERO HARRY</v>
          </cell>
          <cell r="J273">
            <v>45877</v>
          </cell>
          <cell r="K273">
            <v>45877</v>
          </cell>
          <cell r="L273">
            <v>45881</v>
          </cell>
          <cell r="M273">
            <v>20</v>
          </cell>
          <cell r="N273" t="str">
            <v>M125</v>
          </cell>
          <cell r="O273" t="str">
            <v>AV170134014</v>
          </cell>
          <cell r="P273">
            <v>0</v>
          </cell>
          <cell r="AW273" t="str">
            <v xml:space="preserve">GRABADO " EL LUCERO ARGENTINA" CHICO ENINTERIOR CENTRADO SOBRE LA DERECHA (VER MUESTRA)   </v>
          </cell>
          <cell r="AX273" t="str">
            <v>AZUL</v>
          </cell>
          <cell r="AY273" t="str">
            <v>ARENA-CUERO NAPADO</v>
          </cell>
          <cell r="AZ273" t="str">
            <v>CUE0000021</v>
          </cell>
          <cell r="BA273">
            <v>0.05</v>
          </cell>
          <cell r="BB273">
            <v>0</v>
          </cell>
          <cell r="BC273">
            <v>0.02</v>
          </cell>
          <cell r="BD273" t="str">
            <v>FOR0000019</v>
          </cell>
          <cell r="BE273">
            <v>0.05</v>
          </cell>
          <cell r="BF273" t="str">
            <v>AV1401254360</v>
          </cell>
          <cell r="BG273">
            <v>0</v>
          </cell>
          <cell r="KD273">
            <v>20</v>
          </cell>
          <cell r="KE273">
            <v>20</v>
          </cell>
          <cell r="KF273">
            <v>20</v>
          </cell>
          <cell r="KG273">
            <v>0</v>
          </cell>
          <cell r="KJ273">
            <v>0</v>
          </cell>
          <cell r="KM273">
            <v>0</v>
          </cell>
          <cell r="KP273">
            <v>0</v>
          </cell>
          <cell r="KS273">
            <v>0</v>
          </cell>
          <cell r="KV273">
            <v>0</v>
          </cell>
          <cell r="KY273">
            <v>0</v>
          </cell>
          <cell r="LB273">
            <v>0</v>
          </cell>
          <cell r="LE273">
            <v>0</v>
          </cell>
          <cell r="LH273">
            <v>0</v>
          </cell>
          <cell r="LK273">
            <v>0</v>
          </cell>
          <cell r="LN273">
            <v>45877</v>
          </cell>
          <cell r="LO273">
            <v>45881</v>
          </cell>
          <cell r="LP273" t="str">
            <v>COMPLETADO</v>
          </cell>
        </row>
        <row r="274">
          <cell r="A274">
            <v>1929</v>
          </cell>
          <cell r="B274" t="str">
            <v>RUBEN</v>
          </cell>
          <cell r="C274" t="str">
            <v>BARRACAS GRANDE</v>
          </cell>
          <cell r="D274" t="str">
            <v>MARROQUINERIA GRANDE</v>
          </cell>
          <cell r="E274">
            <v>14</v>
          </cell>
          <cell r="F274">
            <v>14</v>
          </cell>
          <cell r="G274">
            <v>14</v>
          </cell>
          <cell r="H274">
            <v>45888.491898148146</v>
          </cell>
          <cell r="I274" t="str">
            <v>BANDOLERA MATILDA</v>
          </cell>
          <cell r="J274">
            <v>45877</v>
          </cell>
          <cell r="K274">
            <v>45877</v>
          </cell>
          <cell r="L274">
            <v>45888</v>
          </cell>
          <cell r="M274">
            <v>30</v>
          </cell>
          <cell r="N274" t="str">
            <v>M171</v>
          </cell>
          <cell r="O274" t="str">
            <v>AV0300390101</v>
          </cell>
          <cell r="P274">
            <v>1</v>
          </cell>
          <cell r="Q274" t="str">
            <v>AV0400230101</v>
          </cell>
          <cell r="R274">
            <v>1</v>
          </cell>
          <cell r="S274" t="str">
            <v>VAR0000042</v>
          </cell>
          <cell r="T274">
            <v>1</v>
          </cell>
          <cell r="U274" t="str">
            <v>AV170129018</v>
          </cell>
          <cell r="V274">
            <v>0</v>
          </cell>
          <cell r="AH274">
            <v>0</v>
          </cell>
          <cell r="AS274" t="str">
            <v>LLEVA ESTE MODELO DE CERRADURA PERO CON BAÑO NIQUEL</v>
          </cell>
          <cell r="AX274" t="str">
            <v>PELO_HEREFORD</v>
          </cell>
          <cell r="AY274" t="str">
            <v>LEDER-PELO</v>
          </cell>
          <cell r="AZ274" t="str">
            <v>CUE0000117</v>
          </cell>
          <cell r="BA274">
            <v>0.22</v>
          </cell>
          <cell r="BB274" t="str">
            <v>CUE0000012</v>
          </cell>
          <cell r="BC274">
            <v>0</v>
          </cell>
          <cell r="BO274">
            <v>0</v>
          </cell>
          <cell r="BQ274">
            <v>0</v>
          </cell>
          <cell r="BR274" t="str">
            <v>PELO_HOLANDO</v>
          </cell>
          <cell r="BS274" t="str">
            <v>LEDER-PELO</v>
          </cell>
          <cell r="BT274" t="str">
            <v>CUE0000116</v>
          </cell>
          <cell r="BU274">
            <v>0.22</v>
          </cell>
          <cell r="BV274" t="str">
            <v>CUE0000009</v>
          </cell>
          <cell r="BW274">
            <v>0</v>
          </cell>
          <cell r="KD274">
            <v>8</v>
          </cell>
          <cell r="KE274">
            <v>8</v>
          </cell>
          <cell r="KF274">
            <v>8</v>
          </cell>
          <cell r="KG274">
            <v>6</v>
          </cell>
          <cell r="KH274">
            <v>6</v>
          </cell>
          <cell r="KI274">
            <v>6</v>
          </cell>
          <cell r="KJ274">
            <v>0</v>
          </cell>
          <cell r="KM274">
            <v>0</v>
          </cell>
          <cell r="KP274">
            <v>0</v>
          </cell>
          <cell r="KS274">
            <v>0</v>
          </cell>
          <cell r="KV274">
            <v>0</v>
          </cell>
          <cell r="KY274">
            <v>0</v>
          </cell>
          <cell r="LB274">
            <v>0</v>
          </cell>
          <cell r="LE274">
            <v>0</v>
          </cell>
          <cell r="LH274">
            <v>0</v>
          </cell>
          <cell r="LK274">
            <v>0</v>
          </cell>
          <cell r="LN274">
            <v>45877</v>
          </cell>
          <cell r="LO274">
            <v>45888</v>
          </cell>
          <cell r="LP274" t="str">
            <v>COMPLETADO</v>
          </cell>
        </row>
        <row r="275">
          <cell r="A275">
            <v>1925</v>
          </cell>
          <cell r="B275" t="str">
            <v>LUCIANO</v>
          </cell>
          <cell r="C275" t="str">
            <v>PERDRIEL</v>
          </cell>
          <cell r="D275" t="str">
            <v>MARROQUINERIA CHICA</v>
          </cell>
          <cell r="E275">
            <v>4</v>
          </cell>
          <cell r="F275">
            <v>4</v>
          </cell>
          <cell r="H275">
            <v>45888.529814814814</v>
          </cell>
          <cell r="I275" t="str">
            <v>INDIVIDUAL RECTO</v>
          </cell>
          <cell r="M275">
            <v>10</v>
          </cell>
          <cell r="N275" t="str">
            <v>M132</v>
          </cell>
          <cell r="O275" t="str">
            <v>AV170134014</v>
          </cell>
          <cell r="P275">
            <v>0</v>
          </cell>
          <cell r="AW275" t="str">
            <v xml:space="preserve">GRABADO "EL LUCERO CHICO" ESQUINA INFERIOR DERECHA    </v>
          </cell>
          <cell r="AX275" t="str">
            <v>ROJO</v>
          </cell>
          <cell r="AY275" t="str">
            <v>ARENA-CUERO BRIDGE</v>
          </cell>
          <cell r="AZ275" t="str">
            <v>CUE0000010</v>
          </cell>
          <cell r="BA275">
            <v>0.13</v>
          </cell>
          <cell r="BB275">
            <v>0</v>
          </cell>
          <cell r="BC275">
            <v>0.13</v>
          </cell>
          <cell r="KD275">
            <v>4</v>
          </cell>
          <cell r="KE275">
            <v>4</v>
          </cell>
          <cell r="KG275">
            <v>0</v>
          </cell>
          <cell r="KJ275">
            <v>0</v>
          </cell>
          <cell r="KM275">
            <v>0</v>
          </cell>
          <cell r="KP275">
            <v>0</v>
          </cell>
          <cell r="KS275">
            <v>0</v>
          </cell>
          <cell r="KV275">
            <v>0</v>
          </cell>
          <cell r="KY275">
            <v>0</v>
          </cell>
          <cell r="LB275">
            <v>0</v>
          </cell>
          <cell r="LE275">
            <v>0</v>
          </cell>
          <cell r="LH275">
            <v>0</v>
          </cell>
          <cell r="LK275">
            <v>0</v>
          </cell>
          <cell r="LP275" t="str">
            <v>NO COMENZADO</v>
          </cell>
        </row>
        <row r="276">
          <cell r="A276">
            <v>1930</v>
          </cell>
          <cell r="B276" t="str">
            <v>RUBEN</v>
          </cell>
          <cell r="C276" t="str">
            <v>BARRACAS GRANDE</v>
          </cell>
          <cell r="D276" t="str">
            <v>MARROQUINERIA GRANDE</v>
          </cell>
          <cell r="E276">
            <v>2</v>
          </cell>
          <cell r="F276">
            <v>2</v>
          </cell>
          <cell r="G276">
            <v>2</v>
          </cell>
          <cell r="H276">
            <v>45888.532199074078</v>
          </cell>
          <cell r="I276" t="str">
            <v>CARTERA KALI</v>
          </cell>
          <cell r="J276">
            <v>45877</v>
          </cell>
          <cell r="K276">
            <v>45877</v>
          </cell>
          <cell r="L276">
            <v>45877</v>
          </cell>
          <cell r="M276">
            <v>45</v>
          </cell>
          <cell r="N276" t="str">
            <v>M185</v>
          </cell>
          <cell r="O276" t="str">
            <v>AV0101030201</v>
          </cell>
          <cell r="P276">
            <v>1</v>
          </cell>
          <cell r="Q276" t="str">
            <v>AV0300460101</v>
          </cell>
          <cell r="R276">
            <v>1</v>
          </cell>
          <cell r="S276" t="str">
            <v>AV0300390101</v>
          </cell>
          <cell r="T276">
            <v>1</v>
          </cell>
          <cell r="U276" t="str">
            <v>VAR0000045</v>
          </cell>
          <cell r="V276">
            <v>1</v>
          </cell>
          <cell r="W276" t="str">
            <v>AV170129018</v>
          </cell>
          <cell r="X276">
            <v>0</v>
          </cell>
          <cell r="AS276" t="str">
            <v>TIRACIERRE 1</v>
          </cell>
          <cell r="AT276" t="str">
            <v xml:space="preserve"> ARGOLLITA + TIRA CON REMACHE + GRABADO ESTRELLA</v>
          </cell>
          <cell r="AU276" t="str">
            <v xml:space="preserve"> LA HEBILLA VA FORRADA EN GAMUZA</v>
          </cell>
          <cell r="AW276" t="str">
            <v>GRABADO "EL LUCERO " GRANDE - EN ZOCALO DE BOLSILLO INTERNO, CENTRADO ABAJO</v>
          </cell>
          <cell r="AX276" t="str">
            <v>TABACO</v>
          </cell>
          <cell r="AY276" t="str">
            <v>NAPOLITANA-CUERO GAMUZA</v>
          </cell>
          <cell r="AZ276" t="str">
            <v>CUE0000050</v>
          </cell>
          <cell r="BA276">
            <v>0.71</v>
          </cell>
          <cell r="BB276" t="str">
            <v>AV0100010214</v>
          </cell>
          <cell r="BC276">
            <v>0.2</v>
          </cell>
          <cell r="KD276">
            <v>2</v>
          </cell>
          <cell r="KE276">
            <v>2</v>
          </cell>
          <cell r="KF276">
            <v>2</v>
          </cell>
          <cell r="KG276">
            <v>0</v>
          </cell>
          <cell r="KJ276">
            <v>0</v>
          </cell>
          <cell r="KM276">
            <v>0</v>
          </cell>
          <cell r="KP276">
            <v>0</v>
          </cell>
          <cell r="KS276">
            <v>0</v>
          </cell>
          <cell r="KV276">
            <v>0</v>
          </cell>
          <cell r="KY276">
            <v>0</v>
          </cell>
          <cell r="LB276">
            <v>0</v>
          </cell>
          <cell r="LE276">
            <v>0</v>
          </cell>
          <cell r="LH276">
            <v>0</v>
          </cell>
          <cell r="LK276">
            <v>0</v>
          </cell>
          <cell r="LN276">
            <v>45877</v>
          </cell>
          <cell r="LO276">
            <v>45895</v>
          </cell>
          <cell r="LP276" t="str">
            <v>COMPLETADO</v>
          </cell>
        </row>
        <row r="277">
          <cell r="A277">
            <v>1931</v>
          </cell>
          <cell r="B277" t="str">
            <v>RUBEN</v>
          </cell>
          <cell r="C277" t="str">
            <v>BARRACAS GRANDE</v>
          </cell>
          <cell r="D277" t="str">
            <v>MARROQUINERIA GRANDE</v>
          </cell>
          <cell r="E277">
            <v>5</v>
          </cell>
          <cell r="F277">
            <v>5</v>
          </cell>
          <cell r="G277">
            <v>5</v>
          </cell>
          <cell r="H277">
            <v>45888.535127314812</v>
          </cell>
          <cell r="I277" t="str">
            <v>BOLSO LIHUEN</v>
          </cell>
          <cell r="J277">
            <v>45877</v>
          </cell>
          <cell r="K277">
            <v>45877</v>
          </cell>
          <cell r="L277">
            <v>45877</v>
          </cell>
          <cell r="M277">
            <v>60</v>
          </cell>
          <cell r="N277" t="str">
            <v>M028</v>
          </cell>
          <cell r="O277" t="str">
            <v>BAC1300020827</v>
          </cell>
          <cell r="P277">
            <v>0.01</v>
          </cell>
          <cell r="Q277" t="str">
            <v>AV0101040201</v>
          </cell>
          <cell r="R277">
            <v>2</v>
          </cell>
          <cell r="S277" t="str">
            <v>AV0400770101</v>
          </cell>
          <cell r="T277">
            <v>2</v>
          </cell>
          <cell r="U277" t="str">
            <v>AV0300260101</v>
          </cell>
          <cell r="V277">
            <v>1</v>
          </cell>
          <cell r="W277" t="str">
            <v>AV0700620101</v>
          </cell>
          <cell r="X277">
            <v>1</v>
          </cell>
          <cell r="Y277" t="str">
            <v>AV0400900101</v>
          </cell>
          <cell r="Z277">
            <v>1</v>
          </cell>
          <cell r="AA277" t="str">
            <v>AV1302250428</v>
          </cell>
          <cell r="AB277">
            <v>1.8</v>
          </cell>
          <cell r="AC277" t="str">
            <v>AV0300390101</v>
          </cell>
          <cell r="AD277">
            <v>2</v>
          </cell>
          <cell r="AE277" t="str">
            <v>AV170129018</v>
          </cell>
          <cell r="AF277">
            <v>0</v>
          </cell>
          <cell r="AS277" t="str">
            <v>TIRACIERRE N° 1 CON TIRA DE CUERO CON REMACHE</v>
          </cell>
          <cell r="AW277" t="str">
            <v xml:space="preserve">GRABADO EL LUCERO GRANDE EN ESPALDA INFERIOR, CENTRADO A LA ALTURA DE LAS MEDIALUNAS  </v>
          </cell>
          <cell r="AX277" t="str">
            <v>NEGRO</v>
          </cell>
          <cell r="AY277" t="str">
            <v>ARENA-CUERO BRIDGE</v>
          </cell>
          <cell r="AZ277" t="str">
            <v>CUE0000009</v>
          </cell>
          <cell r="BA277">
            <v>0.3</v>
          </cell>
          <cell r="BB277" t="str">
            <v>FOR0000020</v>
          </cell>
          <cell r="BC277">
            <v>0.19</v>
          </cell>
          <cell r="BD277" t="str">
            <v>AV0100010103</v>
          </cell>
          <cell r="BE277">
            <v>0.5</v>
          </cell>
          <cell r="BF277" t="str">
            <v>AV1101190526</v>
          </cell>
          <cell r="BG277">
            <v>1.3</v>
          </cell>
          <cell r="BH277" t="str">
            <v>AV1401244040</v>
          </cell>
          <cell r="BI277">
            <v>0</v>
          </cell>
          <cell r="BJ277" t="str">
            <v>AV1601300926</v>
          </cell>
          <cell r="BK277">
            <v>0</v>
          </cell>
          <cell r="BR277" t="str">
            <v>CHOCOLATE</v>
          </cell>
          <cell r="BS277" t="str">
            <v>ARENA-CUERO BRIDGE</v>
          </cell>
          <cell r="BT277" t="str">
            <v>CUE0000005</v>
          </cell>
          <cell r="BU277">
            <v>0.3</v>
          </cell>
          <cell r="BV277" t="str">
            <v>FOR0000021</v>
          </cell>
          <cell r="BW277">
            <v>0.19</v>
          </cell>
          <cell r="BX277" t="str">
            <v>AV0100010111</v>
          </cell>
          <cell r="BY277">
            <v>0.5</v>
          </cell>
          <cell r="BZ277" t="str">
            <v>AV1101200538</v>
          </cell>
          <cell r="CA277">
            <v>1.3</v>
          </cell>
          <cell r="CB277" t="str">
            <v>AV1401240545</v>
          </cell>
          <cell r="CC277">
            <v>0</v>
          </cell>
          <cell r="CD277" t="str">
            <v>AV1601300954</v>
          </cell>
          <cell r="CE277">
            <v>0</v>
          </cell>
          <cell r="KD277">
            <v>2</v>
          </cell>
          <cell r="KE277">
            <v>2</v>
          </cell>
          <cell r="KF277">
            <v>2</v>
          </cell>
          <cell r="KG277">
            <v>3</v>
          </cell>
          <cell r="KH277">
            <v>3</v>
          </cell>
          <cell r="KI277">
            <v>3</v>
          </cell>
          <cell r="KJ277">
            <v>0</v>
          </cell>
          <cell r="KM277">
            <v>0</v>
          </cell>
          <cell r="KP277">
            <v>0</v>
          </cell>
          <cell r="KS277">
            <v>0</v>
          </cell>
          <cell r="KV277">
            <v>0</v>
          </cell>
          <cell r="KY277">
            <v>0</v>
          </cell>
          <cell r="LB277">
            <v>0</v>
          </cell>
          <cell r="LE277">
            <v>0</v>
          </cell>
          <cell r="LH277">
            <v>0</v>
          </cell>
          <cell r="LK277">
            <v>0</v>
          </cell>
          <cell r="LN277">
            <v>45877</v>
          </cell>
          <cell r="LO277">
            <v>45895</v>
          </cell>
          <cell r="LP277" t="str">
            <v>COMPLETADO</v>
          </cell>
        </row>
        <row r="278">
          <cell r="A278">
            <v>1932</v>
          </cell>
          <cell r="B278" t="str">
            <v>RUBEN</v>
          </cell>
          <cell r="C278" t="str">
            <v>BARRACAS GRANDE</v>
          </cell>
          <cell r="D278" t="str">
            <v>MARROQUINERIA GRANDE</v>
          </cell>
          <cell r="E278">
            <v>3</v>
          </cell>
          <cell r="F278">
            <v>3</v>
          </cell>
          <cell r="G278">
            <v>3</v>
          </cell>
          <cell r="H278">
            <v>45888.545995370368</v>
          </cell>
          <cell r="I278" t="str">
            <v>CARTERA HARPER</v>
          </cell>
          <cell r="J278">
            <v>45877</v>
          </cell>
          <cell r="K278">
            <v>45877</v>
          </cell>
          <cell r="L278">
            <v>45877</v>
          </cell>
          <cell r="M278">
            <v>50</v>
          </cell>
          <cell r="N278" t="str">
            <v>M158</v>
          </cell>
          <cell r="O278" t="str">
            <v>BAC1300020827</v>
          </cell>
          <cell r="P278">
            <v>0.06</v>
          </cell>
          <cell r="Q278" t="str">
            <v>AV0700420101</v>
          </cell>
          <cell r="R278">
            <v>2</v>
          </cell>
          <cell r="S278" t="str">
            <v>AV0101040201</v>
          </cell>
          <cell r="T278">
            <v>2</v>
          </cell>
          <cell r="U278" t="str">
            <v>AV1000840101</v>
          </cell>
          <cell r="V278">
            <v>2</v>
          </cell>
          <cell r="W278" t="str">
            <v>AV0600540101</v>
          </cell>
          <cell r="X278">
            <v>2</v>
          </cell>
          <cell r="Y278" t="str">
            <v>AV170129018</v>
          </cell>
          <cell r="Z278">
            <v>0</v>
          </cell>
          <cell r="AS278" t="str">
            <v>NO LLEVA PINTURA</v>
          </cell>
          <cell r="AW278" t="str">
            <v>GRABADO "EL LUCERO" CHICO CENTRADO EN LA PRESILLA DERECHA</v>
          </cell>
          <cell r="AX278" t="str">
            <v>VESUBIO_GAMUZA_TABACO</v>
          </cell>
          <cell r="AY278" t="str">
            <v>NAPOLITANA-CUERO GAMUZA</v>
          </cell>
          <cell r="AZ278" t="str">
            <v>CUE0000053</v>
          </cell>
          <cell r="BA278">
            <v>0.45</v>
          </cell>
          <cell r="BB278" t="str">
            <v>CUE0000012</v>
          </cell>
          <cell r="BC278">
            <v>0.18</v>
          </cell>
          <cell r="BD278" t="str">
            <v>FOR0000021</v>
          </cell>
          <cell r="BE278">
            <v>0.32</v>
          </cell>
          <cell r="BF278" t="str">
            <v>AV0100010114</v>
          </cell>
          <cell r="BG278">
            <v>0.83</v>
          </cell>
          <cell r="KD278">
            <v>3</v>
          </cell>
          <cell r="KE278">
            <v>3</v>
          </cell>
          <cell r="KF278">
            <v>3</v>
          </cell>
          <cell r="KG278">
            <v>0</v>
          </cell>
          <cell r="KJ278">
            <v>0</v>
          </cell>
          <cell r="KM278">
            <v>0</v>
          </cell>
          <cell r="KP278">
            <v>0</v>
          </cell>
          <cell r="KS278">
            <v>0</v>
          </cell>
          <cell r="KV278">
            <v>0</v>
          </cell>
          <cell r="KY278">
            <v>0</v>
          </cell>
          <cell r="LB278">
            <v>0</v>
          </cell>
          <cell r="LE278">
            <v>0</v>
          </cell>
          <cell r="LH278">
            <v>0</v>
          </cell>
          <cell r="LK278">
            <v>0</v>
          </cell>
          <cell r="LN278">
            <v>45877</v>
          </cell>
          <cell r="LO278">
            <v>45895</v>
          </cell>
          <cell r="LP278" t="str">
            <v>COMPLETADO</v>
          </cell>
        </row>
        <row r="279">
          <cell r="A279">
            <v>1935</v>
          </cell>
          <cell r="B279" t="str">
            <v>RUBEN</v>
          </cell>
          <cell r="C279" t="str">
            <v>BARRACAS GRANDE</v>
          </cell>
          <cell r="D279" t="str">
            <v>MARROQUINERIA GRANDE</v>
          </cell>
          <cell r="E279">
            <v>4</v>
          </cell>
          <cell r="F279">
            <v>4</v>
          </cell>
          <cell r="G279">
            <v>4</v>
          </cell>
          <cell r="H279">
            <v>45888.563275462962</v>
          </cell>
          <cell r="I279" t="str">
            <v>CARTERA VERA</v>
          </cell>
          <cell r="J279">
            <v>45884</v>
          </cell>
          <cell r="K279">
            <v>45884</v>
          </cell>
          <cell r="L279">
            <v>45884</v>
          </cell>
          <cell r="M279">
            <v>40</v>
          </cell>
          <cell r="N279" t="str">
            <v>M184</v>
          </cell>
          <cell r="O279" t="str">
            <v>BAC1300020827</v>
          </cell>
          <cell r="P279">
            <v>0.06</v>
          </cell>
          <cell r="Q279" t="str">
            <v>AV0101040201</v>
          </cell>
          <cell r="R279">
            <v>1</v>
          </cell>
          <cell r="S279" t="str">
            <v>AV0600540101</v>
          </cell>
          <cell r="T279">
            <v>1</v>
          </cell>
          <cell r="U279" t="str">
            <v>AV1000920101</v>
          </cell>
          <cell r="V279">
            <v>1</v>
          </cell>
          <cell r="W279" t="str">
            <v>AV0101030201</v>
          </cell>
          <cell r="X279">
            <v>1</v>
          </cell>
          <cell r="Y279" t="str">
            <v>AV1000380101</v>
          </cell>
          <cell r="Z279">
            <v>1</v>
          </cell>
          <cell r="AA279" t="str">
            <v>AV0300390101</v>
          </cell>
          <cell r="AB279">
            <v>1</v>
          </cell>
          <cell r="AC279" t="str">
            <v>AV170129018</v>
          </cell>
          <cell r="AD279">
            <v>0</v>
          </cell>
          <cell r="AS279" t="str">
            <v>TIRACIERRE N1 - TIRA DE CUERO CON REMACHE Y GRABADO ESTRELLITA</v>
          </cell>
          <cell r="AT279" t="str">
            <v>TOTAL 12 ORIFICIOS</v>
          </cell>
          <cell r="AW279" t="str">
            <v>GRABADO "EL LUCERO" GRANDE EN ZOCALO BOLSILLO INTERNO CENTRADO ABAJO</v>
          </cell>
          <cell r="AX279" t="str">
            <v>CAFE_GAMUZA_TABACO</v>
          </cell>
          <cell r="AY279" t="str">
            <v>NAPOLITANA-CUERO GAMUZA</v>
          </cell>
          <cell r="AZ279" t="str">
            <v>CUE0000039</v>
          </cell>
          <cell r="BA279">
            <v>0.49</v>
          </cell>
          <cell r="BB279" t="str">
            <v>CUE0000012</v>
          </cell>
          <cell r="BC279">
            <v>0.12</v>
          </cell>
          <cell r="BD279" t="str">
            <v>FOR0000021</v>
          </cell>
          <cell r="BE279">
            <v>0.4</v>
          </cell>
          <cell r="BF279" t="str">
            <v>AV0100010114</v>
          </cell>
          <cell r="BG279">
            <v>0.78</v>
          </cell>
          <cell r="KD279">
            <v>4</v>
          </cell>
          <cell r="KE279">
            <v>4</v>
          </cell>
          <cell r="KF279">
            <v>4</v>
          </cell>
          <cell r="KG279">
            <v>0</v>
          </cell>
          <cell r="KJ279">
            <v>0</v>
          </cell>
          <cell r="KM279">
            <v>0</v>
          </cell>
          <cell r="KP279">
            <v>0</v>
          </cell>
          <cell r="KS279">
            <v>0</v>
          </cell>
          <cell r="KV279">
            <v>0</v>
          </cell>
          <cell r="KY279">
            <v>0</v>
          </cell>
          <cell r="LB279">
            <v>0</v>
          </cell>
          <cell r="LE279">
            <v>0</v>
          </cell>
          <cell r="LH279">
            <v>0</v>
          </cell>
          <cell r="LK279">
            <v>0</v>
          </cell>
          <cell r="LN279">
            <v>45884</v>
          </cell>
          <cell r="LO279">
            <v>45895</v>
          </cell>
          <cell r="LP279" t="str">
            <v>COMPLETADO</v>
          </cell>
          <cell r="LQ279" t="str">
            <v>NOBUCK DE NAPOLITANA USAR EL NOBUCK DEL LADO DEL FRENTE DE LA CARTERA!!!</v>
          </cell>
        </row>
        <row r="280">
          <cell r="A280">
            <v>1937</v>
          </cell>
          <cell r="B280" t="str">
            <v>RUBEN</v>
          </cell>
          <cell r="C280" t="str">
            <v>BARRACAS GRANDE</v>
          </cell>
          <cell r="D280" t="str">
            <v>MARROQUINERIA GRANDE</v>
          </cell>
          <cell r="E280">
            <v>21</v>
          </cell>
          <cell r="F280">
            <v>21</v>
          </cell>
          <cell r="G280">
            <v>21</v>
          </cell>
          <cell r="H280">
            <v>45888.568356481483</v>
          </cell>
          <cell r="I280" t="str">
            <v>MOCHILA LIBRA</v>
          </cell>
          <cell r="J280">
            <v>45884</v>
          </cell>
          <cell r="K280">
            <v>45884</v>
          </cell>
          <cell r="L280">
            <v>45884</v>
          </cell>
          <cell r="M280">
            <v>90</v>
          </cell>
          <cell r="N280" t="str">
            <v>M053</v>
          </cell>
          <cell r="O280" t="str">
            <v>BAC1300030827</v>
          </cell>
          <cell r="P280">
            <v>0.05</v>
          </cell>
          <cell r="Q280" t="str">
            <v>BAC1300020827</v>
          </cell>
          <cell r="R280">
            <v>0.04</v>
          </cell>
          <cell r="S280" t="str">
            <v>AV0300410101</v>
          </cell>
          <cell r="T280">
            <v>2</v>
          </cell>
          <cell r="U280" t="str">
            <v>AV0300390101</v>
          </cell>
          <cell r="V280">
            <v>3</v>
          </cell>
          <cell r="W280" t="str">
            <v>AV1000720101</v>
          </cell>
          <cell r="X280">
            <v>4</v>
          </cell>
          <cell r="Y280" t="str">
            <v>AV1000930101</v>
          </cell>
          <cell r="Z280">
            <v>2</v>
          </cell>
          <cell r="AA280" t="str">
            <v>AV0101040201</v>
          </cell>
          <cell r="AB280">
            <v>3</v>
          </cell>
          <cell r="AC280" t="str">
            <v>AV0600560101</v>
          </cell>
          <cell r="AD280">
            <v>1</v>
          </cell>
          <cell r="AE280" t="str">
            <v>AV170129018</v>
          </cell>
          <cell r="AF280">
            <v>0</v>
          </cell>
          <cell r="AS280" t="str">
            <v>TIRACIERRE PRINCIPAL (N2) VUELTA DE TIRA CON REMACHE + GRABADO ESTRELLITA</v>
          </cell>
          <cell r="AW280" t="str">
            <v xml:space="preserve">GRABADO "EL LUCEROARGENTINA" GRANDE EN ESPALDA CENTRADO ARRIBA </v>
          </cell>
          <cell r="AX280" t="str">
            <v>CHOCOLATE</v>
          </cell>
          <cell r="AY280" t="str">
            <v>ARENA-CUERO BRIDGE</v>
          </cell>
          <cell r="AZ280" t="str">
            <v>CUE0000005</v>
          </cell>
          <cell r="BA280">
            <v>0.64</v>
          </cell>
          <cell r="BB280" t="str">
            <v>AV1401240545</v>
          </cell>
          <cell r="BC280">
            <v>0</v>
          </cell>
          <cell r="BD280" t="str">
            <v>FOR0000021</v>
          </cell>
          <cell r="BE280">
            <v>0.6</v>
          </cell>
          <cell r="BF280" t="str">
            <v>AV0100010111</v>
          </cell>
          <cell r="BG280">
            <v>0.95</v>
          </cell>
          <cell r="BH280" t="str">
            <v>CIE0000001</v>
          </cell>
          <cell r="BI280">
            <v>0.2</v>
          </cell>
          <cell r="BR280" t="str">
            <v>TABACO</v>
          </cell>
          <cell r="BS280" t="str">
            <v>ARENA-CUERO BRIDGE</v>
          </cell>
          <cell r="BT280" t="str">
            <v>CUE0000012</v>
          </cell>
          <cell r="BU280">
            <v>0.64</v>
          </cell>
          <cell r="BV280" t="str">
            <v>AV1401240545</v>
          </cell>
          <cell r="BW280">
            <v>0</v>
          </cell>
          <cell r="BX280" t="str">
            <v>FOR0000021</v>
          </cell>
          <cell r="BY280">
            <v>0.6</v>
          </cell>
          <cell r="BZ280" t="str">
            <v>AV0100010114</v>
          </cell>
          <cell r="CA280">
            <v>0.95</v>
          </cell>
          <cell r="CB280" t="str">
            <v>CIE0000004</v>
          </cell>
          <cell r="CC280">
            <v>0.2</v>
          </cell>
          <cell r="CL280" t="str">
            <v>MALBEC</v>
          </cell>
          <cell r="CM280" t="str">
            <v>ARENA-CUERO BRIDGE</v>
          </cell>
          <cell r="CN280" t="str">
            <v>CUE0000008</v>
          </cell>
          <cell r="CO280">
            <v>0.64</v>
          </cell>
          <cell r="CP280" t="str">
            <v>AV1401240545</v>
          </cell>
          <cell r="CQ280">
            <v>0</v>
          </cell>
          <cell r="CR280" t="str">
            <v>FOR0000020</v>
          </cell>
          <cell r="CS280">
            <v>0.6</v>
          </cell>
          <cell r="CT280" t="str">
            <v>AV0100010161</v>
          </cell>
          <cell r="CU280">
            <v>0.95</v>
          </cell>
          <cell r="CV280" t="str">
            <v>CIE0000003</v>
          </cell>
          <cell r="CW280">
            <v>0.2</v>
          </cell>
          <cell r="KD280">
            <v>9</v>
          </cell>
          <cell r="KE280">
            <v>9</v>
          </cell>
          <cell r="KF280">
            <v>9</v>
          </cell>
          <cell r="KG280">
            <v>6</v>
          </cell>
          <cell r="KH280">
            <v>6</v>
          </cell>
          <cell r="KI280">
            <v>6</v>
          </cell>
          <cell r="KJ280">
            <v>6</v>
          </cell>
          <cell r="KK280">
            <v>6</v>
          </cell>
          <cell r="KL280">
            <v>6</v>
          </cell>
          <cell r="KM280">
            <v>0</v>
          </cell>
          <cell r="KP280">
            <v>0</v>
          </cell>
          <cell r="KS280">
            <v>0</v>
          </cell>
          <cell r="KV280">
            <v>0</v>
          </cell>
          <cell r="KY280">
            <v>0</v>
          </cell>
          <cell r="LB280">
            <v>0</v>
          </cell>
          <cell r="LE280">
            <v>0</v>
          </cell>
          <cell r="LH280">
            <v>0</v>
          </cell>
          <cell r="LK280">
            <v>0</v>
          </cell>
          <cell r="LN280">
            <v>45884</v>
          </cell>
          <cell r="LO280">
            <v>45895</v>
          </cell>
          <cell r="LP280" t="str">
            <v>COMPLETADO</v>
          </cell>
        </row>
        <row r="281">
          <cell r="A281">
            <v>1938</v>
          </cell>
          <cell r="B281" t="str">
            <v>RUBEN</v>
          </cell>
          <cell r="C281" t="str">
            <v>BARRACAS GRANDE</v>
          </cell>
          <cell r="D281" t="str">
            <v>MARROQUINERIA GRANDE</v>
          </cell>
          <cell r="E281">
            <v>8</v>
          </cell>
          <cell r="F281">
            <v>8</v>
          </cell>
          <cell r="G281">
            <v>0</v>
          </cell>
          <cell r="H281">
            <v>45888.571643518517</v>
          </cell>
          <cell r="I281" t="str">
            <v>BANDOLERA LENA</v>
          </cell>
          <cell r="J281">
            <v>45883</v>
          </cell>
          <cell r="K281">
            <v>45883</v>
          </cell>
          <cell r="L281">
            <v>45883</v>
          </cell>
          <cell r="M281">
            <v>50</v>
          </cell>
          <cell r="N281" t="str">
            <v>M004</v>
          </cell>
          <cell r="O281" t="str">
            <v>AV0101070301</v>
          </cell>
          <cell r="P281">
            <v>1</v>
          </cell>
          <cell r="Q281" t="str">
            <v>AV0600560101</v>
          </cell>
          <cell r="R281">
            <v>1</v>
          </cell>
          <cell r="S281" t="str">
            <v>AV1000880101</v>
          </cell>
          <cell r="T281">
            <v>1</v>
          </cell>
          <cell r="U281" t="str">
            <v>AV0300400101</v>
          </cell>
          <cell r="V281">
            <v>3</v>
          </cell>
          <cell r="W281" t="str">
            <v>AV0600570101</v>
          </cell>
          <cell r="X281">
            <v>2</v>
          </cell>
          <cell r="Y281" t="str">
            <v>AV1000780101</v>
          </cell>
          <cell r="Z281">
            <v>2</v>
          </cell>
          <cell r="AA281" t="str">
            <v>AV0300460101</v>
          </cell>
          <cell r="AB281">
            <v>2</v>
          </cell>
          <cell r="AC281" t="str">
            <v>BAC1300020827</v>
          </cell>
          <cell r="AD281">
            <v>0.05</v>
          </cell>
          <cell r="AE281" t="str">
            <v>AV0300390101</v>
          </cell>
          <cell r="AF281">
            <v>1</v>
          </cell>
          <cell r="AG281" t="str">
            <v>AV0101040201</v>
          </cell>
          <cell r="AH281">
            <v>1</v>
          </cell>
          <cell r="AI281" t="str">
            <v>AV170129018</v>
          </cell>
          <cell r="AJ281">
            <v>0</v>
          </cell>
          <cell r="AS281" t="str">
            <v>TIRACIERRE CON TIRA DE CUERO Y GRABADO L* LUCERO</v>
          </cell>
          <cell r="AW281" t="str">
            <v xml:space="preserve">GRABADO "EL LUCERO" CHICO EN LA VISTA DEL CIERRE, EN EL FRENTE CENTRADO. </v>
          </cell>
          <cell r="AX281" t="str">
            <v>CARAMELO</v>
          </cell>
          <cell r="AY281" t="str">
            <v>ARENA-CUERO NAPADO</v>
          </cell>
          <cell r="AZ281" t="str">
            <v>CUE0000022</v>
          </cell>
          <cell r="BA281">
            <v>0.4</v>
          </cell>
          <cell r="BB281" t="str">
            <v>FOR0000021</v>
          </cell>
          <cell r="BC281">
            <v>0.45</v>
          </cell>
          <cell r="BD281" t="str">
            <v>AV0100010105</v>
          </cell>
          <cell r="BE281">
            <v>0.32</v>
          </cell>
          <cell r="BF281" t="str">
            <v>AV0100020305</v>
          </cell>
          <cell r="BG281">
            <v>0.16</v>
          </cell>
          <cell r="BH281" t="str">
            <v>AV1401240545</v>
          </cell>
          <cell r="BI281">
            <v>0</v>
          </cell>
          <cell r="BR281" t="str">
            <v>MALBEC</v>
          </cell>
          <cell r="BS281" t="str">
            <v>ARENA-CUERO NAPADO</v>
          </cell>
          <cell r="BT281" t="str">
            <v>CUE0000025</v>
          </cell>
          <cell r="BU281">
            <v>0.4</v>
          </cell>
          <cell r="BV281" t="str">
            <v>FOR0000020</v>
          </cell>
          <cell r="BW281">
            <v>0.45</v>
          </cell>
          <cell r="BX281" t="str">
            <v>AV0100010161</v>
          </cell>
          <cell r="BY281">
            <v>0.32</v>
          </cell>
          <cell r="BZ281" t="str">
            <v>CIE0000003</v>
          </cell>
          <cell r="CA281">
            <v>0.16</v>
          </cell>
          <cell r="CB281" t="str">
            <v>AV1401240545</v>
          </cell>
          <cell r="CC281">
            <v>0</v>
          </cell>
          <cell r="KD281">
            <v>2</v>
          </cell>
          <cell r="KE281">
            <v>2</v>
          </cell>
          <cell r="KG281">
            <v>6</v>
          </cell>
          <cell r="KH281">
            <v>6</v>
          </cell>
          <cell r="KJ281">
            <v>0</v>
          </cell>
          <cell r="KM281">
            <v>0</v>
          </cell>
          <cell r="KP281">
            <v>0</v>
          </cell>
          <cell r="KS281">
            <v>0</v>
          </cell>
          <cell r="KV281">
            <v>0</v>
          </cell>
          <cell r="KY281">
            <v>0</v>
          </cell>
          <cell r="LB281">
            <v>0</v>
          </cell>
          <cell r="LE281">
            <v>0</v>
          </cell>
          <cell r="LH281">
            <v>0</v>
          </cell>
          <cell r="LK281">
            <v>0</v>
          </cell>
          <cell r="LN281">
            <v>45883</v>
          </cell>
          <cell r="LO281">
            <v>45895</v>
          </cell>
          <cell r="LP281" t="str">
            <v>COMPLETADO</v>
          </cell>
        </row>
        <row r="282">
          <cell r="A282">
            <v>1941</v>
          </cell>
          <cell r="B282" t="str">
            <v>RUBEN</v>
          </cell>
          <cell r="C282" t="str">
            <v>BARRACAS GRANDE</v>
          </cell>
          <cell r="D282" t="str">
            <v>MARROQUINERIA GRANDE</v>
          </cell>
          <cell r="E282">
            <v>13</v>
          </cell>
          <cell r="F282">
            <v>13</v>
          </cell>
          <cell r="G282">
            <v>13</v>
          </cell>
          <cell r="H282">
            <v>45888.592534722222</v>
          </cell>
          <cell r="I282" t="str">
            <v>CARTERA CHALTEN</v>
          </cell>
          <cell r="J282">
            <v>45883</v>
          </cell>
          <cell r="K282">
            <v>45883</v>
          </cell>
          <cell r="L282">
            <v>45883</v>
          </cell>
          <cell r="M282">
            <v>40</v>
          </cell>
          <cell r="N282" t="str">
            <v>M140</v>
          </cell>
          <cell r="O282" t="str">
            <v>AV170129018</v>
          </cell>
          <cell r="P282">
            <v>0</v>
          </cell>
          <cell r="Q282" t="str">
            <v>BAC1300020827</v>
          </cell>
          <cell r="R282">
            <v>0.01</v>
          </cell>
          <cell r="S282" t="str">
            <v>AV0401220101</v>
          </cell>
          <cell r="T282">
            <v>4</v>
          </cell>
          <cell r="U282" t="str">
            <v>AV0101040201</v>
          </cell>
          <cell r="V282">
            <v>1</v>
          </cell>
          <cell r="W282" t="str">
            <v>AV1000780101</v>
          </cell>
          <cell r="X282">
            <v>2</v>
          </cell>
          <cell r="Y282" t="str">
            <v>AV0400230101</v>
          </cell>
          <cell r="Z282">
            <v>1</v>
          </cell>
          <cell r="AA282" t="str">
            <v>AV0300390101</v>
          </cell>
          <cell r="AB282">
            <v>2</v>
          </cell>
          <cell r="AS282" t="str">
            <v>TIRACIERRE N1 - TIRA CONTRAPEGADA CON REMACHE + GRABADO ESTRELLA</v>
          </cell>
          <cell r="AW282" t="str">
            <v xml:space="preserve">GRABADO EL LUCERO EN PIEZA LATERAL    </v>
          </cell>
          <cell r="AX282" t="str">
            <v>NEGRO</v>
          </cell>
          <cell r="AY282" t="str">
            <v>ARENA-CUERO BRIDGE</v>
          </cell>
          <cell r="AZ282" t="str">
            <v>CUE0000009</v>
          </cell>
          <cell r="BA282">
            <v>0.65</v>
          </cell>
          <cell r="BB282" t="str">
            <v>FOR0000020</v>
          </cell>
          <cell r="BC282">
            <v>0.27</v>
          </cell>
          <cell r="BD282" t="str">
            <v>AV0100010203</v>
          </cell>
          <cell r="BE282">
            <v>0.22</v>
          </cell>
          <cell r="BR282" t="str">
            <v>TABACO</v>
          </cell>
          <cell r="BS282" t="str">
            <v>ARENA-CUERO BRIDGE</v>
          </cell>
          <cell r="BT282" t="str">
            <v>CUE0000012</v>
          </cell>
          <cell r="BU282">
            <v>0.65</v>
          </cell>
          <cell r="BV282" t="str">
            <v>FOR0000021</v>
          </cell>
          <cell r="BW282">
            <v>0.27</v>
          </cell>
          <cell r="BX282" t="str">
            <v>AV0100010214</v>
          </cell>
          <cell r="BY282">
            <v>0.22</v>
          </cell>
          <cell r="KD282">
            <v>9</v>
          </cell>
          <cell r="KE282">
            <v>9</v>
          </cell>
          <cell r="KF282">
            <v>9</v>
          </cell>
          <cell r="KG282">
            <v>4</v>
          </cell>
          <cell r="KH282">
            <v>4</v>
          </cell>
          <cell r="KI282">
            <v>4</v>
          </cell>
          <cell r="KJ282">
            <v>0</v>
          </cell>
          <cell r="KM282">
            <v>0</v>
          </cell>
          <cell r="KP282">
            <v>0</v>
          </cell>
          <cell r="KS282">
            <v>0</v>
          </cell>
          <cell r="KV282">
            <v>0</v>
          </cell>
          <cell r="KY282">
            <v>0</v>
          </cell>
          <cell r="LB282">
            <v>0</v>
          </cell>
          <cell r="LE282">
            <v>0</v>
          </cell>
          <cell r="LH282">
            <v>0</v>
          </cell>
          <cell r="LK282">
            <v>0</v>
          </cell>
          <cell r="LN282">
            <v>45883</v>
          </cell>
          <cell r="LO282">
            <v>45900</v>
          </cell>
          <cell r="LP282" t="str">
            <v>COMPLETADO</v>
          </cell>
        </row>
        <row r="283">
          <cell r="A283">
            <v>1942</v>
          </cell>
          <cell r="B283" t="str">
            <v>RUBEN</v>
          </cell>
          <cell r="C283" t="str">
            <v>BARRACAS GRANDE</v>
          </cell>
          <cell r="D283" t="str">
            <v>MARROQUINERIA GRANDE</v>
          </cell>
          <cell r="E283">
            <v>36</v>
          </cell>
          <cell r="F283">
            <v>36</v>
          </cell>
          <cell r="G283">
            <v>36</v>
          </cell>
          <cell r="H283">
            <v>45889.440648148149</v>
          </cell>
          <cell r="I283" t="str">
            <v>CARTERA LEANDRA</v>
          </cell>
          <cell r="J283">
            <v>45884</v>
          </cell>
          <cell r="K283">
            <v>45884</v>
          </cell>
          <cell r="L283">
            <v>45884</v>
          </cell>
          <cell r="M283">
            <v>40</v>
          </cell>
          <cell r="N283" t="str">
            <v>M042</v>
          </cell>
          <cell r="O283" t="str">
            <v>AV0101030201</v>
          </cell>
          <cell r="P283">
            <v>1</v>
          </cell>
          <cell r="Q283" t="str">
            <v>AV1000380101</v>
          </cell>
          <cell r="R283">
            <v>1</v>
          </cell>
          <cell r="S283" t="str">
            <v>AV0300390101</v>
          </cell>
          <cell r="T283">
            <v>1</v>
          </cell>
          <cell r="U283" t="str">
            <v>AV0300400101</v>
          </cell>
          <cell r="V283">
            <v>2</v>
          </cell>
          <cell r="W283" t="str">
            <v>BAC1300020827</v>
          </cell>
          <cell r="X283">
            <v>0.01</v>
          </cell>
          <cell r="Y283" t="str">
            <v>AV1000780101</v>
          </cell>
          <cell r="Z283">
            <v>2</v>
          </cell>
          <cell r="AA283" t="str">
            <v>AV0400980101</v>
          </cell>
          <cell r="AB283">
            <v>1</v>
          </cell>
          <cell r="AC283" t="str">
            <v>AV170129018</v>
          </cell>
          <cell r="AD283">
            <v>0</v>
          </cell>
          <cell r="AS283" t="str">
            <v>TIRACIERRE 1 CON ARGOLLITA: TIRA DE CUERO + REMACHE + GRABADO ESTRELLA</v>
          </cell>
          <cell r="AW283" t="str">
            <v xml:space="preserve">GRABADO EL LUCERO GRANDE ATRAS ABAJO    </v>
          </cell>
          <cell r="AX283" t="str">
            <v>SUELA</v>
          </cell>
          <cell r="AY283" t="str">
            <v>ARENA-CUERO NAPADO</v>
          </cell>
          <cell r="AZ283" t="str">
            <v>CUE0000028</v>
          </cell>
          <cell r="BA283">
            <v>0.22</v>
          </cell>
          <cell r="BB283" t="str">
            <v>AV1401240545</v>
          </cell>
          <cell r="BC283">
            <v>0</v>
          </cell>
          <cell r="BD283" t="str">
            <v>FOR0000021</v>
          </cell>
          <cell r="BE283">
            <v>0.11</v>
          </cell>
          <cell r="BF283" t="str">
            <v>AV0100010107</v>
          </cell>
          <cell r="BG283">
            <v>0.25</v>
          </cell>
          <cell r="BR283" t="str">
            <v>CARAMELO</v>
          </cell>
          <cell r="BS283" t="str">
            <v>ARENA-CUERO NAPADO</v>
          </cell>
          <cell r="BT283" t="str">
            <v>CUE0000022</v>
          </cell>
          <cell r="BU283">
            <v>0.22</v>
          </cell>
          <cell r="BV283" t="str">
            <v>AV1401240545</v>
          </cell>
          <cell r="BW283">
            <v>0</v>
          </cell>
          <cell r="BX283" t="str">
            <v>FOR0000021</v>
          </cell>
          <cell r="BY283">
            <v>0.11</v>
          </cell>
          <cell r="BZ283" t="str">
            <v>AV0100010105</v>
          </cell>
          <cell r="CA283">
            <v>0.25</v>
          </cell>
          <cell r="CL283" t="str">
            <v>MALBEC</v>
          </cell>
          <cell r="CM283" t="str">
            <v>ARENA-CUERO NAPADO</v>
          </cell>
          <cell r="CN283" t="str">
            <v>CUE0000025</v>
          </cell>
          <cell r="CO283">
            <v>0.22</v>
          </cell>
          <cell r="CP283" t="str">
            <v>AV1401240545</v>
          </cell>
          <cell r="CQ283">
            <v>0</v>
          </cell>
          <cell r="CR283" t="str">
            <v>FOR0000020</v>
          </cell>
          <cell r="CS283">
            <v>0.11</v>
          </cell>
          <cell r="CT283" t="str">
            <v>AV0100010161</v>
          </cell>
          <cell r="CU283">
            <v>0.25</v>
          </cell>
          <cell r="DF283" t="str">
            <v>NEGRO</v>
          </cell>
          <cell r="DG283" t="str">
            <v>VANESKA-CUERO NAPADO DUNA</v>
          </cell>
          <cell r="DH283" t="str">
            <v>CUE0000059</v>
          </cell>
          <cell r="DI283">
            <v>0.22</v>
          </cell>
          <cell r="DJ283" t="str">
            <v>AV1401244040</v>
          </cell>
          <cell r="DK283">
            <v>0</v>
          </cell>
          <cell r="DL283" t="str">
            <v>FOR0000020</v>
          </cell>
          <cell r="DM283">
            <v>0.11</v>
          </cell>
          <cell r="DN283" t="str">
            <v>AV0100010103</v>
          </cell>
          <cell r="DO283">
            <v>0.25</v>
          </cell>
          <cell r="KD283">
            <v>9</v>
          </cell>
          <cell r="KE283">
            <v>9</v>
          </cell>
          <cell r="KF283">
            <v>9</v>
          </cell>
          <cell r="KG283">
            <v>6</v>
          </cell>
          <cell r="KH283">
            <v>6</v>
          </cell>
          <cell r="KI283">
            <v>6</v>
          </cell>
          <cell r="KJ283">
            <v>9</v>
          </cell>
          <cell r="KK283">
            <v>9</v>
          </cell>
          <cell r="KL283">
            <v>9</v>
          </cell>
          <cell r="KM283">
            <v>12</v>
          </cell>
          <cell r="KN283">
            <v>12</v>
          </cell>
          <cell r="KO283">
            <v>12</v>
          </cell>
          <cell r="KP283">
            <v>0</v>
          </cell>
          <cell r="KS283">
            <v>0</v>
          </cell>
          <cell r="KV283">
            <v>0</v>
          </cell>
          <cell r="KY283">
            <v>0</v>
          </cell>
          <cell r="LB283">
            <v>0</v>
          </cell>
          <cell r="LE283">
            <v>0</v>
          </cell>
          <cell r="LH283">
            <v>0</v>
          </cell>
          <cell r="LK283">
            <v>0</v>
          </cell>
          <cell r="LN283">
            <v>45884</v>
          </cell>
          <cell r="LO283">
            <v>45895</v>
          </cell>
          <cell r="LP283" t="str">
            <v>COMPLETADO</v>
          </cell>
        </row>
        <row r="284">
          <cell r="A284">
            <v>1943</v>
          </cell>
          <cell r="B284" t="str">
            <v>RUBEN</v>
          </cell>
          <cell r="C284" t="str">
            <v>BARRACAS GRANDE</v>
          </cell>
          <cell r="D284" t="str">
            <v>MARROQUINERIA GRANDE</v>
          </cell>
          <cell r="E284">
            <v>4</v>
          </cell>
          <cell r="F284">
            <v>4</v>
          </cell>
          <cell r="G284">
            <v>4</v>
          </cell>
          <cell r="H284">
            <v>45889.443483796298</v>
          </cell>
          <cell r="I284" t="str">
            <v>MOCHILA PIETRO</v>
          </cell>
          <cell r="J284">
            <v>45883</v>
          </cell>
          <cell r="K284">
            <v>45883</v>
          </cell>
          <cell r="L284">
            <v>45883</v>
          </cell>
          <cell r="M284">
            <v>120</v>
          </cell>
          <cell r="N284" t="str">
            <v>M057</v>
          </cell>
          <cell r="O284" t="str">
            <v>BAC1300020827</v>
          </cell>
          <cell r="P284">
            <v>0.03</v>
          </cell>
          <cell r="Q284" t="str">
            <v>BAC0200081126</v>
          </cell>
          <cell r="R284">
            <v>0.08</v>
          </cell>
          <cell r="S284" t="str">
            <v>BAC0200071027</v>
          </cell>
          <cell r="T284">
            <v>0.09</v>
          </cell>
          <cell r="U284" t="str">
            <v>FOR0000032</v>
          </cell>
          <cell r="V284">
            <v>10</v>
          </cell>
          <cell r="W284" t="str">
            <v>AV0101030201</v>
          </cell>
          <cell r="X284">
            <v>1</v>
          </cell>
          <cell r="Y284" t="str">
            <v>AV0101040201</v>
          </cell>
          <cell r="Z284">
            <v>2</v>
          </cell>
          <cell r="AA284" t="str">
            <v>AV0300410101</v>
          </cell>
          <cell r="AB284">
            <v>2</v>
          </cell>
          <cell r="AC284" t="str">
            <v>AV1000790101</v>
          </cell>
          <cell r="AD284">
            <v>1</v>
          </cell>
          <cell r="AE284" t="str">
            <v>AV0401150101</v>
          </cell>
          <cell r="AF284">
            <v>2</v>
          </cell>
          <cell r="AG284" t="str">
            <v>AV1802210726</v>
          </cell>
          <cell r="AH284">
            <v>0.05</v>
          </cell>
          <cell r="AI284" t="str">
            <v>AV0300390101</v>
          </cell>
          <cell r="AJ284">
            <v>2</v>
          </cell>
          <cell r="AK284" t="str">
            <v>AV170129018</v>
          </cell>
          <cell r="AL284">
            <v>0</v>
          </cell>
          <cell r="AS284" t="str">
            <v>TIRACIERRE PRINCIPAL -. METAL LUCERO // TIRACIERRE BOLSILLOS -N4- TIRA PEGADA CON REMACHE Y GRABADO L</v>
          </cell>
          <cell r="AW284" t="str">
            <v xml:space="preserve">GRABADO " EL LUCERO" GRANDE CENTRADO EN VISTA ESPALDA  </v>
          </cell>
          <cell r="AX284" t="str">
            <v>TABACO</v>
          </cell>
          <cell r="AY284" t="str">
            <v>ARENA-CUERO BRIDGE</v>
          </cell>
          <cell r="AZ284" t="str">
            <v>CUE0000012</v>
          </cell>
          <cell r="BA284">
            <v>0.99</v>
          </cell>
          <cell r="BB284" t="str">
            <v>FOR0000021</v>
          </cell>
          <cell r="BC284">
            <v>0.66</v>
          </cell>
          <cell r="BD284" t="str">
            <v>AV0100010114</v>
          </cell>
          <cell r="BE284">
            <v>1.7</v>
          </cell>
          <cell r="BF284" t="str">
            <v>AV1401264540</v>
          </cell>
          <cell r="BG284">
            <v>0</v>
          </cell>
          <cell r="BH284" t="str">
            <v>AV1601300954</v>
          </cell>
          <cell r="BI284">
            <v>0</v>
          </cell>
          <cell r="BR284" t="str">
            <v>NEGRO</v>
          </cell>
          <cell r="BS284" t="str">
            <v>ARENA-CUERO BRIDGE</v>
          </cell>
          <cell r="BT284" t="str">
            <v>CUE0000009</v>
          </cell>
          <cell r="BU284">
            <v>0.99</v>
          </cell>
          <cell r="BV284" t="str">
            <v>FOR0000020</v>
          </cell>
          <cell r="BW284">
            <v>0.66</v>
          </cell>
          <cell r="BX284" t="str">
            <v>AV0100010103</v>
          </cell>
          <cell r="BY284">
            <v>1.7</v>
          </cell>
          <cell r="BZ284" t="str">
            <v>AV1401244040</v>
          </cell>
          <cell r="CA284">
            <v>0</v>
          </cell>
          <cell r="CB284" t="str">
            <v>AV1601300926</v>
          </cell>
          <cell r="CC284">
            <v>0</v>
          </cell>
          <cell r="KD284">
            <v>2</v>
          </cell>
          <cell r="KE284">
            <v>2</v>
          </cell>
          <cell r="KF284">
            <v>2</v>
          </cell>
          <cell r="KG284">
            <v>2</v>
          </cell>
          <cell r="KH284">
            <v>2</v>
          </cell>
          <cell r="KI284">
            <v>2</v>
          </cell>
          <cell r="KJ284">
            <v>0</v>
          </cell>
          <cell r="KM284">
            <v>0</v>
          </cell>
          <cell r="KP284">
            <v>0</v>
          </cell>
          <cell r="KS284">
            <v>0</v>
          </cell>
          <cell r="KV284">
            <v>0</v>
          </cell>
          <cell r="KY284">
            <v>0</v>
          </cell>
          <cell r="LB284">
            <v>0</v>
          </cell>
          <cell r="LE284">
            <v>0</v>
          </cell>
          <cell r="LH284">
            <v>0</v>
          </cell>
          <cell r="LK284">
            <v>0</v>
          </cell>
          <cell r="LN284">
            <v>45883</v>
          </cell>
          <cell r="LO284">
            <v>45895</v>
          </cell>
          <cell r="LP284" t="str">
            <v>COMPLETADO</v>
          </cell>
        </row>
        <row r="285">
          <cell r="A285">
            <v>1944</v>
          </cell>
          <cell r="B285" t="str">
            <v>LUCIANO</v>
          </cell>
          <cell r="C285" t="str">
            <v>BARRACAS CHICA</v>
          </cell>
          <cell r="D285" t="str">
            <v>MARROQUINERIA CHICA</v>
          </cell>
          <cell r="E285">
            <v>22</v>
          </cell>
          <cell r="F285">
            <v>6</v>
          </cell>
          <cell r="G285">
            <v>6</v>
          </cell>
          <cell r="H285">
            <v>45889.709039351852</v>
          </cell>
          <cell r="I285" t="str">
            <v>BILLETERA COPAHUE</v>
          </cell>
          <cell r="J285">
            <v>45883</v>
          </cell>
          <cell r="K285">
            <v>45883</v>
          </cell>
          <cell r="L285">
            <v>45926</v>
          </cell>
          <cell r="M285">
            <v>50</v>
          </cell>
          <cell r="N285" t="str">
            <v>M014</v>
          </cell>
          <cell r="O285" t="str">
            <v>VAR0000002</v>
          </cell>
          <cell r="P285">
            <v>0.01</v>
          </cell>
          <cell r="Q285" t="str">
            <v>BAC1300050727</v>
          </cell>
          <cell r="R285">
            <v>0.01</v>
          </cell>
          <cell r="S285" t="str">
            <v>AV0101070301</v>
          </cell>
          <cell r="T285">
            <v>1</v>
          </cell>
          <cell r="U285" t="str">
            <v>AV0600560101</v>
          </cell>
          <cell r="V285">
            <v>1</v>
          </cell>
          <cell r="W285" t="str">
            <v>AV0401380101</v>
          </cell>
          <cell r="X285">
            <v>1</v>
          </cell>
          <cell r="Y285" t="str">
            <v>AV170134014</v>
          </cell>
          <cell r="Z285">
            <v>0</v>
          </cell>
          <cell r="AA285" t="str">
            <v>BAC0200071027</v>
          </cell>
          <cell r="AB285">
            <v>0.01</v>
          </cell>
          <cell r="AW285" t="str">
            <v xml:space="preserve">GRABADO EL LUCERO EN SOLAPA FRONTAL CENTRADO A 1 CM DEL BORDE  </v>
          </cell>
          <cell r="AX285" t="str">
            <v>NEGRO</v>
          </cell>
          <cell r="AY285" t="str">
            <v>ARENA-CUERO NAPADO</v>
          </cell>
          <cell r="AZ285" t="str">
            <v>CUE0000026</v>
          </cell>
          <cell r="BA285">
            <v>0.09</v>
          </cell>
          <cell r="BB285" t="str">
            <v>AV0100020303</v>
          </cell>
          <cell r="BC285">
            <v>0.12</v>
          </cell>
          <cell r="BD285" t="str">
            <v>FOR0000018</v>
          </cell>
          <cell r="BE285">
            <v>0.1</v>
          </cell>
          <cell r="BF285" t="str">
            <v>AV1401254060</v>
          </cell>
          <cell r="BG285">
            <v>0</v>
          </cell>
          <cell r="BR285" t="str">
            <v>VERDE_REVES_VERDE</v>
          </cell>
          <cell r="BS285" t="str">
            <v>BIANCO-CUERO MODENA ESPESOR 1,4</v>
          </cell>
          <cell r="BT285" t="str">
            <v>CUE0000118</v>
          </cell>
          <cell r="BU285">
            <v>0.09</v>
          </cell>
          <cell r="BV285" t="str">
            <v>AV0100020317</v>
          </cell>
          <cell r="BW285">
            <v>0.12</v>
          </cell>
          <cell r="BX285" t="str">
            <v>FOR0000013</v>
          </cell>
          <cell r="BY285">
            <v>0.1</v>
          </cell>
          <cell r="BZ285" t="str">
            <v>AV1401254260</v>
          </cell>
          <cell r="CA285">
            <v>0</v>
          </cell>
          <cell r="CL285" t="str">
            <v>AZUL_REVES_AZUL</v>
          </cell>
          <cell r="CM285" t="str">
            <v>BIANCO-CUERO MODENA ESPESOR 1,4</v>
          </cell>
          <cell r="CN285" t="str">
            <v>CUE0000119</v>
          </cell>
          <cell r="CO285">
            <v>0.09</v>
          </cell>
          <cell r="CP285" t="str">
            <v>AV0100020336</v>
          </cell>
          <cell r="CQ285">
            <v>0.12</v>
          </cell>
          <cell r="CR285" t="str">
            <v>FOR0000014</v>
          </cell>
          <cell r="CS285">
            <v>0.1</v>
          </cell>
          <cell r="CT285" t="str">
            <v>AV1401254360</v>
          </cell>
          <cell r="CU285">
            <v>0</v>
          </cell>
          <cell r="KD285">
            <v>6</v>
          </cell>
          <cell r="KE285">
            <v>6</v>
          </cell>
          <cell r="KF285">
            <v>6</v>
          </cell>
          <cell r="KG285">
            <v>10</v>
          </cell>
          <cell r="KH285">
            <v>0</v>
          </cell>
          <cell r="KI285">
            <v>0</v>
          </cell>
          <cell r="KJ285">
            <v>6</v>
          </cell>
          <cell r="KK285">
            <v>0</v>
          </cell>
          <cell r="KL285">
            <v>0</v>
          </cell>
          <cell r="KM285">
            <v>0</v>
          </cell>
          <cell r="KP285">
            <v>0</v>
          </cell>
          <cell r="KS285">
            <v>0</v>
          </cell>
          <cell r="KV285">
            <v>0</v>
          </cell>
          <cell r="KY285">
            <v>0</v>
          </cell>
          <cell r="LB285">
            <v>0</v>
          </cell>
          <cell r="LE285">
            <v>0</v>
          </cell>
          <cell r="LH285">
            <v>0</v>
          </cell>
          <cell r="LK285">
            <v>0</v>
          </cell>
          <cell r="LN285">
            <v>45883</v>
          </cell>
          <cell r="LO285">
            <v>45931</v>
          </cell>
          <cell r="LP285" t="str">
            <v>COMPLETADO</v>
          </cell>
        </row>
        <row r="286">
          <cell r="A286">
            <v>1945</v>
          </cell>
          <cell r="B286" t="str">
            <v>LUCIANO</v>
          </cell>
          <cell r="C286" t="str">
            <v>BARRACAS CHICA</v>
          </cell>
          <cell r="D286" t="str">
            <v>MARROQUINERIA CHICA</v>
          </cell>
          <cell r="E286">
            <v>27</v>
          </cell>
          <cell r="F286">
            <v>27</v>
          </cell>
          <cell r="G286">
            <v>26</v>
          </cell>
          <cell r="H286">
            <v>45889.72452546296</v>
          </cell>
          <cell r="I286" t="str">
            <v>BILLETERA OSADIA</v>
          </cell>
          <cell r="J286">
            <v>45883</v>
          </cell>
          <cell r="K286">
            <v>45883</v>
          </cell>
          <cell r="L286">
            <v>45888</v>
          </cell>
          <cell r="M286">
            <v>50</v>
          </cell>
          <cell r="N286" t="str">
            <v>M024</v>
          </cell>
          <cell r="O286" t="str">
            <v>AV0101030201</v>
          </cell>
          <cell r="P286">
            <v>1</v>
          </cell>
          <cell r="Q286" t="str">
            <v>AV0600540101</v>
          </cell>
          <cell r="R286">
            <v>1</v>
          </cell>
          <cell r="S286" t="str">
            <v>AV0101070301</v>
          </cell>
          <cell r="T286">
            <v>1</v>
          </cell>
          <cell r="U286" t="str">
            <v>AV0600560101</v>
          </cell>
          <cell r="V286">
            <v>1</v>
          </cell>
          <cell r="W286" t="str">
            <v>AV1000380101</v>
          </cell>
          <cell r="X286">
            <v>1</v>
          </cell>
          <cell r="Y286" t="str">
            <v>AV0600550101</v>
          </cell>
          <cell r="Z286">
            <v>1</v>
          </cell>
          <cell r="AA286" t="str">
            <v>AV0300400101</v>
          </cell>
          <cell r="AB286">
            <v>1</v>
          </cell>
          <cell r="AC286" t="str">
            <v>BAC1300050727</v>
          </cell>
          <cell r="AD286">
            <v>0.05</v>
          </cell>
          <cell r="AE286" t="str">
            <v>BAC0200071027</v>
          </cell>
          <cell r="AF286">
            <v>0.03</v>
          </cell>
          <cell r="AG286" t="str">
            <v>AV170134014</v>
          </cell>
          <cell r="AH286">
            <v>0</v>
          </cell>
          <cell r="AW286" t="str">
            <v>GRABADO "EL LUCERO" CHICO CENTRADO EN EL FRENTE, A 2 CM DEL CIERRE</v>
          </cell>
          <cell r="AX286" t="str">
            <v>ROJO</v>
          </cell>
          <cell r="AY286" t="str">
            <v>ARENA-CUERO NAPADO</v>
          </cell>
          <cell r="AZ286" t="str">
            <v>CUE0000027</v>
          </cell>
          <cell r="BA286">
            <v>0.14000000000000001</v>
          </cell>
          <cell r="BB286" t="str">
            <v>FOR0000016</v>
          </cell>
          <cell r="BC286">
            <v>0.12</v>
          </cell>
          <cell r="BD286" t="str">
            <v>AV0100010113</v>
          </cell>
          <cell r="BE286">
            <v>0.4</v>
          </cell>
          <cell r="BF286" t="str">
            <v>AV0100020313</v>
          </cell>
          <cell r="BG286">
            <v>0.14000000000000001</v>
          </cell>
          <cell r="BR286" t="str">
            <v>CARAMELO</v>
          </cell>
          <cell r="BS286" t="str">
            <v>ARENA-CUERO NAPADO</v>
          </cell>
          <cell r="BT286" t="str">
            <v>CUE0000022</v>
          </cell>
          <cell r="BU286">
            <v>0.14000000000000001</v>
          </cell>
          <cell r="BV286" t="str">
            <v>FOR0000015</v>
          </cell>
          <cell r="BW286">
            <v>0.12</v>
          </cell>
          <cell r="BX286" t="str">
            <v>AV0100010105</v>
          </cell>
          <cell r="BY286">
            <v>0.4</v>
          </cell>
          <cell r="BZ286" t="str">
            <v>AV0100020305</v>
          </cell>
          <cell r="CA286">
            <v>0.14000000000000001</v>
          </cell>
          <cell r="CL286" t="str">
            <v>AZUL_REVES_AZUL</v>
          </cell>
          <cell r="CM286" t="str">
            <v>BIANCO-CUERO MODENA ESPESOR 1,4</v>
          </cell>
          <cell r="CN286" t="str">
            <v>CUE0000119</v>
          </cell>
          <cell r="CO286">
            <v>0.14000000000000001</v>
          </cell>
          <cell r="CP286" t="str">
            <v>FOR0000014</v>
          </cell>
          <cell r="CQ286">
            <v>0.12</v>
          </cell>
          <cell r="CR286" t="str">
            <v>AV0100010115</v>
          </cell>
          <cell r="CS286">
            <v>0.4</v>
          </cell>
          <cell r="CT286" t="str">
            <v>AV0100020336</v>
          </cell>
          <cell r="CU286">
            <v>0.14000000000000001</v>
          </cell>
          <cell r="DF286" t="str">
            <v>VERDE_REVES_VERDE</v>
          </cell>
          <cell r="DG286" t="str">
            <v>BIANCO-CUERO MODENA ESPESOR 1,4</v>
          </cell>
          <cell r="DH286" t="str">
            <v>CUE0000118</v>
          </cell>
          <cell r="DI286">
            <v>0.14000000000000001</v>
          </cell>
          <cell r="DJ286" t="str">
            <v>FOR0000013</v>
          </cell>
          <cell r="DK286">
            <v>0.12</v>
          </cell>
          <cell r="DL286" t="str">
            <v>AV0100010117</v>
          </cell>
          <cell r="DM286">
            <v>0.4</v>
          </cell>
          <cell r="DN286" t="str">
            <v>AV0100020317</v>
          </cell>
          <cell r="DO286">
            <v>0.14000000000000001</v>
          </cell>
          <cell r="DZ286" t="str">
            <v>SUELA</v>
          </cell>
          <cell r="EA286" t="str">
            <v>ARENA-CUERO NAPADO</v>
          </cell>
          <cell r="EB286" t="str">
            <v>CUE0000028</v>
          </cell>
          <cell r="EC286">
            <v>0.14000000000000001</v>
          </cell>
          <cell r="ED286" t="str">
            <v>FOR0000015</v>
          </cell>
          <cell r="EE286">
            <v>0.12</v>
          </cell>
          <cell r="EF286" t="str">
            <v>AV0100010107</v>
          </cell>
          <cell r="EG286">
            <v>0.4</v>
          </cell>
          <cell r="EH286" t="str">
            <v>AV0100020337</v>
          </cell>
          <cell r="EI286">
            <v>0.14000000000000001</v>
          </cell>
          <cell r="KD286">
            <v>2</v>
          </cell>
          <cell r="KE286">
            <v>2</v>
          </cell>
          <cell r="KF286">
            <v>2</v>
          </cell>
          <cell r="KG286">
            <v>6</v>
          </cell>
          <cell r="KH286">
            <v>6</v>
          </cell>
          <cell r="KI286">
            <v>6</v>
          </cell>
          <cell r="KJ286">
            <v>9</v>
          </cell>
          <cell r="KK286">
            <v>9</v>
          </cell>
          <cell r="KL286">
            <v>8</v>
          </cell>
          <cell r="KM286">
            <v>4</v>
          </cell>
          <cell r="KN286">
            <v>4</v>
          </cell>
          <cell r="KO286">
            <v>4</v>
          </cell>
          <cell r="KP286">
            <v>6</v>
          </cell>
          <cell r="KQ286">
            <v>6</v>
          </cell>
          <cell r="KR286">
            <v>6</v>
          </cell>
          <cell r="KS286">
            <v>0</v>
          </cell>
          <cell r="KV286">
            <v>0</v>
          </cell>
          <cell r="KY286">
            <v>0</v>
          </cell>
          <cell r="LB286">
            <v>0</v>
          </cell>
          <cell r="LE286">
            <v>0</v>
          </cell>
          <cell r="LH286">
            <v>0</v>
          </cell>
          <cell r="LK286">
            <v>0</v>
          </cell>
          <cell r="LN286">
            <v>45883</v>
          </cell>
          <cell r="LO286">
            <v>45895</v>
          </cell>
          <cell r="LP286" t="str">
            <v>COMPLETADO</v>
          </cell>
        </row>
        <row r="287">
          <cell r="A287">
            <v>1946</v>
          </cell>
          <cell r="B287" t="str">
            <v>LUCIANO</v>
          </cell>
          <cell r="C287" t="str">
            <v>BARRACAS CHICA</v>
          </cell>
          <cell r="D287" t="str">
            <v>MARROQUINERIA CHICA</v>
          </cell>
          <cell r="E287">
            <v>10</v>
          </cell>
          <cell r="F287">
            <v>10</v>
          </cell>
          <cell r="G287">
            <v>10</v>
          </cell>
          <cell r="H287">
            <v>45889.737824074073</v>
          </cell>
          <cell r="I287" t="str">
            <v>BILLETERA PENNY</v>
          </cell>
          <cell r="J287">
            <v>45883</v>
          </cell>
          <cell r="K287">
            <v>45883</v>
          </cell>
          <cell r="L287">
            <v>45891</v>
          </cell>
          <cell r="M287">
            <v>60</v>
          </cell>
          <cell r="N287" t="str">
            <v>M025</v>
          </cell>
          <cell r="O287" t="str">
            <v>BAC1300050727</v>
          </cell>
          <cell r="P287">
            <v>0.03</v>
          </cell>
          <cell r="Q287" t="str">
            <v>BAC0900100161</v>
          </cell>
          <cell r="R287">
            <v>0.01</v>
          </cell>
          <cell r="S287" t="str">
            <v>AV0300440101</v>
          </cell>
          <cell r="T287">
            <v>1</v>
          </cell>
          <cell r="U287" t="str">
            <v>AV0101070301</v>
          </cell>
          <cell r="V287">
            <v>1</v>
          </cell>
          <cell r="W287" t="str">
            <v>AV0700650101</v>
          </cell>
          <cell r="X287">
            <v>1</v>
          </cell>
          <cell r="Y287" t="str">
            <v>AV0600560101</v>
          </cell>
          <cell r="Z287">
            <v>1</v>
          </cell>
          <cell r="AA287" t="str">
            <v>AV170134014</v>
          </cell>
          <cell r="AB287">
            <v>0</v>
          </cell>
          <cell r="AW287" t="str">
            <v>CHAPA LETRAS LUCERO, CENTRADA EN FRENTE SOBRE SOLAPA A 2 CM DEL BORDE INFERIOR</v>
          </cell>
          <cell r="AX287" t="str">
            <v>CARAMELO</v>
          </cell>
          <cell r="AY287" t="str">
            <v>ARENA-CUERO NAPADO</v>
          </cell>
          <cell r="AZ287" t="str">
            <v>CUE0000022</v>
          </cell>
          <cell r="BA287">
            <v>0.16</v>
          </cell>
          <cell r="BB287" t="str">
            <v>FOR0000015</v>
          </cell>
          <cell r="BC287">
            <v>0.19</v>
          </cell>
          <cell r="BD287" t="str">
            <v>AV0100020305</v>
          </cell>
          <cell r="BE287">
            <v>0.17</v>
          </cell>
          <cell r="BF287" t="str">
            <v>AV1401250545</v>
          </cell>
          <cell r="BG287">
            <v>0</v>
          </cell>
          <cell r="BH287" t="str">
            <v>AV1601300955</v>
          </cell>
          <cell r="BI287">
            <v>0</v>
          </cell>
          <cell r="BR287" t="str">
            <v>VERDE_REVES_VERDE</v>
          </cell>
          <cell r="BS287" t="str">
            <v>BIANCO-CUERO MODENA ESPESOR 1,4</v>
          </cell>
          <cell r="BT287" t="str">
            <v>CUE0000118</v>
          </cell>
          <cell r="BU287">
            <v>0.16</v>
          </cell>
          <cell r="BV287" t="str">
            <v>FOR0000014</v>
          </cell>
          <cell r="BW287">
            <v>0.19</v>
          </cell>
          <cell r="BX287" t="str">
            <v>AV0100020336</v>
          </cell>
          <cell r="BY287">
            <v>0.17</v>
          </cell>
          <cell r="BZ287" t="str">
            <v>AV1401254360</v>
          </cell>
          <cell r="CA287">
            <v>0</v>
          </cell>
          <cell r="CB287" t="str">
            <v>AV1601300956</v>
          </cell>
          <cell r="CC287">
            <v>0</v>
          </cell>
          <cell r="KD287">
            <v>6</v>
          </cell>
          <cell r="KE287">
            <v>6</v>
          </cell>
          <cell r="KF287">
            <v>6</v>
          </cell>
          <cell r="KG287">
            <v>4</v>
          </cell>
          <cell r="KH287">
            <v>4</v>
          </cell>
          <cell r="KI287">
            <v>4</v>
          </cell>
          <cell r="KJ287">
            <v>0</v>
          </cell>
          <cell r="KM287">
            <v>0</v>
          </cell>
          <cell r="KP287">
            <v>0</v>
          </cell>
          <cell r="KS287">
            <v>0</v>
          </cell>
          <cell r="KV287">
            <v>0</v>
          </cell>
          <cell r="KY287">
            <v>0</v>
          </cell>
          <cell r="LB287">
            <v>0</v>
          </cell>
          <cell r="LE287">
            <v>0</v>
          </cell>
          <cell r="LH287">
            <v>0</v>
          </cell>
          <cell r="LK287">
            <v>0</v>
          </cell>
          <cell r="LN287">
            <v>45883</v>
          </cell>
          <cell r="LO287">
            <v>45900</v>
          </cell>
          <cell r="LP287" t="str">
            <v>COMPLETADO</v>
          </cell>
        </row>
        <row r="288">
          <cell r="A288">
            <v>1947</v>
          </cell>
          <cell r="B288" t="str">
            <v>LUCIANO</v>
          </cell>
          <cell r="C288" t="str">
            <v>PERDRIEL</v>
          </cell>
          <cell r="D288" t="str">
            <v>MARROQUINERIA CHICA</v>
          </cell>
          <cell r="E288">
            <v>6</v>
          </cell>
          <cell r="F288">
            <v>6</v>
          </cell>
          <cell r="H288">
            <v>45889.74050925926</v>
          </cell>
          <cell r="I288" t="str">
            <v>SOBRE MAJA PELO</v>
          </cell>
          <cell r="M288">
            <v>25</v>
          </cell>
          <cell r="N288" t="str">
            <v>M189</v>
          </cell>
          <cell r="O288" t="str">
            <v>VAR0000046</v>
          </cell>
          <cell r="P288">
            <v>1</v>
          </cell>
          <cell r="Q288" t="str">
            <v>AV170134014</v>
          </cell>
          <cell r="R288">
            <v>0</v>
          </cell>
          <cell r="AS288" t="str">
            <v>SIN PINTUTURA</v>
          </cell>
          <cell r="AX288" t="str">
            <v>PELO_HEREFORD</v>
          </cell>
          <cell r="AY288" t="str">
            <v>LEDER-PELO</v>
          </cell>
          <cell r="AZ288" t="str">
            <v>CUE0000117</v>
          </cell>
          <cell r="BA288">
            <v>0.06</v>
          </cell>
          <cell r="BB288" t="str">
            <v>CUE0000012</v>
          </cell>
          <cell r="BC288">
            <v>0.01</v>
          </cell>
          <cell r="KD288">
            <v>6</v>
          </cell>
          <cell r="KE288">
            <v>6</v>
          </cell>
          <cell r="KG288">
            <v>0</v>
          </cell>
          <cell r="KJ288">
            <v>0</v>
          </cell>
          <cell r="KM288">
            <v>0</v>
          </cell>
          <cell r="KP288">
            <v>0</v>
          </cell>
          <cell r="KS288">
            <v>0</v>
          </cell>
          <cell r="KV288">
            <v>0</v>
          </cell>
          <cell r="KY288">
            <v>0</v>
          </cell>
          <cell r="LB288">
            <v>0</v>
          </cell>
          <cell r="LE288">
            <v>0</v>
          </cell>
          <cell r="LH288">
            <v>0</v>
          </cell>
          <cell r="LK288">
            <v>0</v>
          </cell>
          <cell r="LP288" t="str">
            <v>NO COMENZADO</v>
          </cell>
        </row>
        <row r="289">
          <cell r="A289">
            <v>1933</v>
          </cell>
          <cell r="B289" t="str">
            <v>RUBEN</v>
          </cell>
          <cell r="C289" t="str">
            <v>BARRACAS GRANDE</v>
          </cell>
          <cell r="D289" t="str">
            <v>MARROQUINERIA GRANDE</v>
          </cell>
          <cell r="E289">
            <v>16</v>
          </cell>
          <cell r="F289">
            <v>16</v>
          </cell>
          <cell r="G289">
            <v>16</v>
          </cell>
          <cell r="H289">
            <v>45889.742800925924</v>
          </cell>
          <cell r="I289" t="str">
            <v>MINI EMMA</v>
          </cell>
          <cell r="J289">
            <v>45877</v>
          </cell>
          <cell r="K289">
            <v>45877</v>
          </cell>
          <cell r="L289">
            <v>45877</v>
          </cell>
          <cell r="M289">
            <v>55</v>
          </cell>
          <cell r="N289" t="str">
            <v>M137</v>
          </cell>
          <cell r="O289" t="str">
            <v>AV170134014</v>
          </cell>
          <cell r="P289">
            <v>0.01</v>
          </cell>
          <cell r="Q289" t="str">
            <v>BAC1300020827</v>
          </cell>
          <cell r="R289">
            <v>1</v>
          </cell>
          <cell r="S289" t="str">
            <v>AV0300440101</v>
          </cell>
          <cell r="T289">
            <v>0.44</v>
          </cell>
          <cell r="U289" t="str">
            <v>VAR0000011</v>
          </cell>
          <cell r="V289">
            <v>2</v>
          </cell>
          <cell r="W289" t="str">
            <v>AV0400770101</v>
          </cell>
          <cell r="X289">
            <v>1</v>
          </cell>
          <cell r="Y289" t="str">
            <v>AV0400230101</v>
          </cell>
          <cell r="Z289">
            <v>2</v>
          </cell>
          <cell r="AA289" t="str">
            <v>AV0601400101</v>
          </cell>
          <cell r="AB289">
            <v>5</v>
          </cell>
          <cell r="AC289" t="str">
            <v>AV0300400101</v>
          </cell>
          <cell r="AD289">
            <v>0</v>
          </cell>
          <cell r="AW289" t="str">
            <v xml:space="preserve">GRABADO EL LUCERO GRANDE ARRIBA CENTRADO. DEJAR 3CM Y GRABAR  </v>
          </cell>
          <cell r="AX289" t="str">
            <v>PELO_HEREFORD</v>
          </cell>
          <cell r="AY289" t="str">
            <v>LEDER-PELO</v>
          </cell>
          <cell r="AZ289" t="str">
            <v>CUE0000117</v>
          </cell>
          <cell r="BA289">
            <v>0.14000000000000001</v>
          </cell>
          <cell r="BB289" t="str">
            <v>CUE0000028</v>
          </cell>
          <cell r="BC289">
            <v>0.12</v>
          </cell>
          <cell r="BR289" t="str">
            <v>MALBEC</v>
          </cell>
          <cell r="BS289" t="str">
            <v>ARENA-CUERO NAPADO</v>
          </cell>
          <cell r="BT289" t="str">
            <v>CUE0000025</v>
          </cell>
          <cell r="BU289">
            <v>0.26</v>
          </cell>
          <cell r="CL289" t="str">
            <v>ROJO</v>
          </cell>
          <cell r="CM289" t="str">
            <v>ARENA-CUERO NAPADO</v>
          </cell>
          <cell r="CN289" t="str">
            <v>CUE0000027</v>
          </cell>
          <cell r="CO289">
            <v>0.26</v>
          </cell>
          <cell r="KD289">
            <v>6</v>
          </cell>
          <cell r="KE289">
            <v>6</v>
          </cell>
          <cell r="KF289">
            <v>6</v>
          </cell>
          <cell r="KG289">
            <v>6</v>
          </cell>
          <cell r="KH289">
            <v>6</v>
          </cell>
          <cell r="KI289">
            <v>6</v>
          </cell>
          <cell r="KJ289">
            <v>4</v>
          </cell>
          <cell r="KK289">
            <v>4</v>
          </cell>
          <cell r="KL289">
            <v>4</v>
          </cell>
          <cell r="KM289">
            <v>0</v>
          </cell>
          <cell r="KP289">
            <v>0</v>
          </cell>
          <cell r="KS289">
            <v>0</v>
          </cell>
          <cell r="KV289">
            <v>0</v>
          </cell>
          <cell r="KY289">
            <v>0</v>
          </cell>
          <cell r="LB289">
            <v>0</v>
          </cell>
          <cell r="LE289">
            <v>0</v>
          </cell>
          <cell r="LH289">
            <v>0</v>
          </cell>
          <cell r="LK289">
            <v>0</v>
          </cell>
          <cell r="LN289">
            <v>45877</v>
          </cell>
          <cell r="LO289">
            <v>45888</v>
          </cell>
          <cell r="LP289" t="str">
            <v>COMPLETADO</v>
          </cell>
        </row>
        <row r="290">
          <cell r="A290">
            <v>1934</v>
          </cell>
          <cell r="B290" t="str">
            <v>LUCIANO</v>
          </cell>
          <cell r="C290" t="str">
            <v>EXT GABRIEL</v>
          </cell>
          <cell r="D290" t="str">
            <v>MARROQUINERIA CHICA</v>
          </cell>
          <cell r="E290">
            <v>50</v>
          </cell>
          <cell r="F290">
            <v>50</v>
          </cell>
          <cell r="G290">
            <v>50</v>
          </cell>
          <cell r="H290">
            <v>45889.750833333332</v>
          </cell>
          <cell r="I290" t="str">
            <v>PORTALENTES LUZ</v>
          </cell>
          <cell r="J290">
            <v>45884</v>
          </cell>
          <cell r="K290">
            <v>45884</v>
          </cell>
          <cell r="L290">
            <v>45884</v>
          </cell>
          <cell r="M290">
            <v>10</v>
          </cell>
          <cell r="N290" t="str">
            <v>M098</v>
          </cell>
          <cell r="O290" t="str">
            <v>AV170134014</v>
          </cell>
          <cell r="P290">
            <v>0</v>
          </cell>
          <cell r="AW290" t="str">
            <v xml:space="preserve">GRABADO EL LUCERO ARGENTINA CHICO, EN ELFRENTE, A 1.5CM DEL BORDE INFERIOR Y A 1.5 CM DEL BORDE DERECHO. </v>
          </cell>
          <cell r="AX290" t="str">
            <v>AZUL_REVES_SUELA</v>
          </cell>
          <cell r="AY290" t="str">
            <v>BIANCO-CUERO MODENA ESPESOR 1,4</v>
          </cell>
          <cell r="AZ290" t="str">
            <v>CUE0000140</v>
          </cell>
          <cell r="BA290">
            <v>0.03</v>
          </cell>
          <cell r="BB290">
            <v>0</v>
          </cell>
          <cell r="BC290">
            <v>0.03</v>
          </cell>
          <cell r="BD290" t="str">
            <v>AV1401254360</v>
          </cell>
          <cell r="BE290">
            <v>0</v>
          </cell>
          <cell r="BF290" t="str">
            <v>AV1601300956</v>
          </cell>
          <cell r="BG290">
            <v>0</v>
          </cell>
          <cell r="BR290" t="str">
            <v>VERDE_REVES_SUELA</v>
          </cell>
          <cell r="BS290" t="str">
            <v>BIANCO-CUERO MODENA ESPESOR 1,4</v>
          </cell>
          <cell r="BT290" t="str">
            <v>CUE0000148</v>
          </cell>
          <cell r="BU290">
            <v>0.03</v>
          </cell>
          <cell r="BV290">
            <v>0</v>
          </cell>
          <cell r="BW290">
            <v>0.03</v>
          </cell>
          <cell r="BX290" t="str">
            <v>AV1401254260</v>
          </cell>
          <cell r="BY290">
            <v>0</v>
          </cell>
          <cell r="BZ290" t="str">
            <v>AV1601300957</v>
          </cell>
          <cell r="CA290">
            <v>0</v>
          </cell>
          <cell r="CL290" t="str">
            <v>NEGRO</v>
          </cell>
          <cell r="CM290" t="str">
            <v>ARENA-CUERO NAPADO</v>
          </cell>
          <cell r="CN290" t="str">
            <v>CUE0000026</v>
          </cell>
          <cell r="CO290">
            <v>0.03</v>
          </cell>
          <cell r="CP290">
            <v>0</v>
          </cell>
          <cell r="CQ290">
            <v>0.03</v>
          </cell>
          <cell r="CR290" t="str">
            <v>AV1401254060</v>
          </cell>
          <cell r="CS290">
            <v>0</v>
          </cell>
          <cell r="CT290" t="str">
            <v>AV1601300926</v>
          </cell>
          <cell r="CU290">
            <v>0</v>
          </cell>
          <cell r="DF290" t="str">
            <v>CHOCOLATE</v>
          </cell>
          <cell r="DG290" t="str">
            <v>ARENA-CUERO NAPADO</v>
          </cell>
          <cell r="DH290" t="str">
            <v>CUE0000110</v>
          </cell>
          <cell r="DI290">
            <v>0.03</v>
          </cell>
          <cell r="DJ290">
            <v>0</v>
          </cell>
          <cell r="DK290">
            <v>0.03</v>
          </cell>
          <cell r="DL290" t="str">
            <v>AV1401250545</v>
          </cell>
          <cell r="DM290">
            <v>0</v>
          </cell>
          <cell r="DN290" t="str">
            <v>AV1601300954</v>
          </cell>
          <cell r="DO290">
            <v>0</v>
          </cell>
          <cell r="KD290">
            <v>20</v>
          </cell>
          <cell r="KE290">
            <v>20</v>
          </cell>
          <cell r="KF290">
            <v>20</v>
          </cell>
          <cell r="KG290">
            <v>10</v>
          </cell>
          <cell r="KH290">
            <v>10</v>
          </cell>
          <cell r="KI290">
            <v>10</v>
          </cell>
          <cell r="KJ290">
            <v>10</v>
          </cell>
          <cell r="KK290">
            <v>10</v>
          </cell>
          <cell r="KL290">
            <v>10</v>
          </cell>
          <cell r="KM290">
            <v>10</v>
          </cell>
          <cell r="KN290">
            <v>10</v>
          </cell>
          <cell r="KO290">
            <v>10</v>
          </cell>
          <cell r="KP290">
            <v>0</v>
          </cell>
          <cell r="KS290">
            <v>0</v>
          </cell>
          <cell r="KV290">
            <v>0</v>
          </cell>
          <cell r="KY290">
            <v>0</v>
          </cell>
          <cell r="LB290">
            <v>0</v>
          </cell>
          <cell r="LE290">
            <v>0</v>
          </cell>
          <cell r="LH290">
            <v>0</v>
          </cell>
          <cell r="LK290">
            <v>0</v>
          </cell>
          <cell r="LN290">
            <v>45884</v>
          </cell>
          <cell r="LO290">
            <v>45895</v>
          </cell>
          <cell r="LP290" t="str">
            <v>COMPLETADO</v>
          </cell>
        </row>
        <row r="291">
          <cell r="A291">
            <v>1940</v>
          </cell>
          <cell r="B291" t="str">
            <v>LUCIANO</v>
          </cell>
          <cell r="C291" t="str">
            <v>BARRACAS GRANDE</v>
          </cell>
          <cell r="D291" t="str">
            <v>MARROQUINERIA GRANDE</v>
          </cell>
          <cell r="E291">
            <v>14</v>
          </cell>
          <cell r="F291">
            <v>14</v>
          </cell>
          <cell r="G291">
            <v>14</v>
          </cell>
          <cell r="H291">
            <v>45891.485879629632</v>
          </cell>
          <cell r="I291" t="str">
            <v>CARTERA AMARILLA CON SOBRE SIMPLE</v>
          </cell>
          <cell r="J291">
            <v>45884</v>
          </cell>
          <cell r="K291">
            <v>45884</v>
          </cell>
          <cell r="L291">
            <v>45884</v>
          </cell>
          <cell r="M291">
            <v>35</v>
          </cell>
          <cell r="N291" t="str">
            <v>M202</v>
          </cell>
          <cell r="O291" t="str">
            <v>AV0101030201</v>
          </cell>
          <cell r="P291">
            <v>1</v>
          </cell>
          <cell r="Q291" t="str">
            <v>AV0600550101</v>
          </cell>
          <cell r="R291">
            <v>1</v>
          </cell>
          <cell r="S291" t="str">
            <v>AV0300400101</v>
          </cell>
          <cell r="T291">
            <v>1</v>
          </cell>
          <cell r="U291" t="str">
            <v>AV0300390101</v>
          </cell>
          <cell r="V291">
            <v>1</v>
          </cell>
          <cell r="W291" t="str">
            <v>AV0700660101</v>
          </cell>
          <cell r="X291">
            <v>1</v>
          </cell>
          <cell r="Y291" t="str">
            <v>AV170129018</v>
          </cell>
          <cell r="Z291">
            <v>0</v>
          </cell>
          <cell r="AS291" t="str">
            <v>TIRACIERRE 1 CON ARGOLLITA :  TIRA DE CUERO + REMACHE 6 + GRABADO ESTRELLA</v>
          </cell>
          <cell r="AT291" t="str">
            <v>LA CARTERA VA PINTADA COMO SIEMPRE !!</v>
          </cell>
          <cell r="AU291" t="str">
            <v xml:space="preserve"> CAMBIOS: SOBRE NUEVO SIMPLE  -- SIN PINTURA Y SIN FORRO</v>
          </cell>
          <cell r="AV291" t="str">
            <v>A LA TIRA DEL SOBRE HAY QUE SACARLE 8CM DE LARGO TOTAL</v>
          </cell>
          <cell r="AW291" t="str">
            <v>CHAPA L* AL FRENTE DE SOBRE ARRIBA CENTRADO IDEM MUESTRA</v>
          </cell>
          <cell r="AX291" t="str">
            <v>CHOCOLATE</v>
          </cell>
          <cell r="AY291" t="str">
            <v>ARENA-CUERO BRIDGE</v>
          </cell>
          <cell r="AZ291" t="str">
            <v>CUE0000005</v>
          </cell>
          <cell r="BA291">
            <v>0.53</v>
          </cell>
          <cell r="BB291" t="str">
            <v>FOR0000021</v>
          </cell>
          <cell r="BC291">
            <v>0.04</v>
          </cell>
          <cell r="BD291" t="str">
            <v>CIE0000002</v>
          </cell>
          <cell r="BE291">
            <v>0.23</v>
          </cell>
          <cell r="BR291" t="str">
            <v>TABACO</v>
          </cell>
          <cell r="BS291" t="str">
            <v>ARENA-CUERO BRIDGE</v>
          </cell>
          <cell r="BT291" t="str">
            <v>CUE0000012</v>
          </cell>
          <cell r="BU291">
            <v>0.53</v>
          </cell>
          <cell r="BV291" t="str">
            <v>FOR0000021</v>
          </cell>
          <cell r="BW291">
            <v>0.04</v>
          </cell>
          <cell r="BX291" t="str">
            <v>AV0100010214</v>
          </cell>
          <cell r="BY291">
            <v>0.23</v>
          </cell>
          <cell r="CP291">
            <v>0</v>
          </cell>
          <cell r="CQ291">
            <v>0.03</v>
          </cell>
          <cell r="DJ291">
            <v>0</v>
          </cell>
          <cell r="DK291">
            <v>0.03</v>
          </cell>
          <cell r="KD291">
            <v>10</v>
          </cell>
          <cell r="KE291">
            <v>10</v>
          </cell>
          <cell r="KF291">
            <v>10</v>
          </cell>
          <cell r="KG291">
            <v>4</v>
          </cell>
          <cell r="KH291">
            <v>4</v>
          </cell>
          <cell r="KI291">
            <v>4</v>
          </cell>
          <cell r="KJ291">
            <v>0</v>
          </cell>
          <cell r="KM291">
            <v>0</v>
          </cell>
          <cell r="KP291">
            <v>0</v>
          </cell>
          <cell r="KS291">
            <v>0</v>
          </cell>
          <cell r="KV291">
            <v>0</v>
          </cell>
          <cell r="KY291">
            <v>0</v>
          </cell>
          <cell r="LB291">
            <v>0</v>
          </cell>
          <cell r="LE291">
            <v>0</v>
          </cell>
          <cell r="LH291">
            <v>0</v>
          </cell>
          <cell r="LK291">
            <v>0</v>
          </cell>
          <cell r="LN291">
            <v>45884</v>
          </cell>
          <cell r="LO291">
            <v>45900</v>
          </cell>
          <cell r="LP291" t="str">
            <v>COMPLETADO</v>
          </cell>
        </row>
        <row r="292">
          <cell r="A292">
            <v>18212</v>
          </cell>
          <cell r="B292" t="str">
            <v>LUCIANO</v>
          </cell>
          <cell r="C292" t="str">
            <v>BARRACAS CHICA</v>
          </cell>
          <cell r="D292" t="str">
            <v>MARROQUINERIA CHICA</v>
          </cell>
          <cell r="E292">
            <v>6</v>
          </cell>
          <cell r="F292">
            <v>6</v>
          </cell>
          <cell r="G292">
            <v>6</v>
          </cell>
          <cell r="H292">
            <v>45891.535243055558</v>
          </cell>
          <cell r="I292" t="str">
            <v>BILLETERA COPAHUE</v>
          </cell>
          <cell r="J292">
            <v>45891</v>
          </cell>
          <cell r="K292">
            <v>45891</v>
          </cell>
          <cell r="L292">
            <v>45894</v>
          </cell>
          <cell r="M292">
            <v>50</v>
          </cell>
          <cell r="N292" t="str">
            <v>M014</v>
          </cell>
          <cell r="O292" t="str">
            <v>VAR0000002</v>
          </cell>
          <cell r="P292">
            <v>0.01</v>
          </cell>
          <cell r="Q292" t="str">
            <v>BAC1300050727</v>
          </cell>
          <cell r="R292">
            <v>0.01</v>
          </cell>
          <cell r="S292" t="str">
            <v>AV0101070301</v>
          </cell>
          <cell r="T292">
            <v>1</v>
          </cell>
          <cell r="U292" t="str">
            <v>AV0600560101</v>
          </cell>
          <cell r="V292">
            <v>1</v>
          </cell>
          <cell r="W292" t="str">
            <v>AV0401380101</v>
          </cell>
          <cell r="X292">
            <v>1</v>
          </cell>
          <cell r="Y292" t="str">
            <v>AV170134014</v>
          </cell>
          <cell r="Z292">
            <v>0</v>
          </cell>
          <cell r="AA292" t="str">
            <v>BAC0200071027</v>
          </cell>
          <cell r="AB292">
            <v>0.01</v>
          </cell>
          <cell r="AW292" t="str">
            <v xml:space="preserve">GRABADO EL LUCERO EN SOLAPA FRONTAL CENTRADO A 1 CM DEL BORDE  </v>
          </cell>
          <cell r="AX292" t="str">
            <v>VERDE_REVES_VERDE</v>
          </cell>
          <cell r="AY292" t="str">
            <v>BIANCO-CUERO MODENA ESPESOR 1,4</v>
          </cell>
          <cell r="AZ292" t="str">
            <v>CUE0000118</v>
          </cell>
          <cell r="BA292">
            <v>0.09</v>
          </cell>
          <cell r="BB292" t="str">
            <v>AV0100020317</v>
          </cell>
          <cell r="BC292">
            <v>0.12</v>
          </cell>
          <cell r="BD292" t="str">
            <v>FOR0000013</v>
          </cell>
          <cell r="BE292">
            <v>0.1</v>
          </cell>
          <cell r="BF292" t="str">
            <v>AV1401254260</v>
          </cell>
          <cell r="BG292">
            <v>0</v>
          </cell>
          <cell r="BR292" t="str">
            <v>SUELA</v>
          </cell>
          <cell r="BS292" t="str">
            <v>ARENA-CUERO NAPADO</v>
          </cell>
          <cell r="BT292" t="str">
            <v>CUE0000028</v>
          </cell>
          <cell r="BU292">
            <v>0.09</v>
          </cell>
          <cell r="BV292" t="str">
            <v>AV0100020305</v>
          </cell>
          <cell r="BW292">
            <v>0.12</v>
          </cell>
          <cell r="BX292" t="str">
            <v>FOR0000015</v>
          </cell>
          <cell r="BY292">
            <v>0.1</v>
          </cell>
          <cell r="BZ292" t="str">
            <v>AV1401250545</v>
          </cell>
          <cell r="CA292">
            <v>0</v>
          </cell>
          <cell r="CP292">
            <v>0</v>
          </cell>
          <cell r="CQ292">
            <v>0.03</v>
          </cell>
          <cell r="DJ292">
            <v>0</v>
          </cell>
          <cell r="DK292">
            <v>0.03</v>
          </cell>
          <cell r="KD292">
            <v>4</v>
          </cell>
          <cell r="KE292">
            <v>4</v>
          </cell>
          <cell r="KF292">
            <v>4</v>
          </cell>
          <cell r="KG292">
            <v>2</v>
          </cell>
          <cell r="KH292">
            <v>2</v>
          </cell>
          <cell r="KI292">
            <v>2</v>
          </cell>
          <cell r="KJ292">
            <v>0</v>
          </cell>
          <cell r="KM292">
            <v>0</v>
          </cell>
          <cell r="KP292">
            <v>0</v>
          </cell>
          <cell r="KS292">
            <v>0</v>
          </cell>
          <cell r="KV292">
            <v>0</v>
          </cell>
          <cell r="KY292">
            <v>0</v>
          </cell>
          <cell r="LB292">
            <v>0</v>
          </cell>
          <cell r="LE292">
            <v>0</v>
          </cell>
          <cell r="LH292">
            <v>0</v>
          </cell>
          <cell r="LK292">
            <v>0</v>
          </cell>
          <cell r="LN292">
            <v>45891</v>
          </cell>
          <cell r="LO292">
            <v>45900</v>
          </cell>
          <cell r="LP292" t="str">
            <v>COMPLETADO</v>
          </cell>
        </row>
        <row r="293">
          <cell r="A293">
            <v>19292</v>
          </cell>
          <cell r="B293" t="str">
            <v>RUBEN</v>
          </cell>
          <cell r="C293" t="str">
            <v>BARRACAS GRANDE</v>
          </cell>
          <cell r="D293" t="str">
            <v>MARROQUINERIA GRANDE</v>
          </cell>
          <cell r="E293">
            <v>8</v>
          </cell>
          <cell r="F293">
            <v>8</v>
          </cell>
          <cell r="G293">
            <v>0</v>
          </cell>
          <cell r="H293">
            <v>45891.545925925922</v>
          </cell>
          <cell r="I293" t="str">
            <v>BANDOLERA MATILDA</v>
          </cell>
          <cell r="M293">
            <v>30</v>
          </cell>
          <cell r="N293" t="str">
            <v>M171</v>
          </cell>
          <cell r="O293" t="str">
            <v>AV0300390101</v>
          </cell>
          <cell r="P293">
            <v>1</v>
          </cell>
          <cell r="Q293" t="str">
            <v>AV0400230101</v>
          </cell>
          <cell r="R293">
            <v>1</v>
          </cell>
          <cell r="S293" t="str">
            <v>VAR0000042</v>
          </cell>
          <cell r="T293">
            <v>1</v>
          </cell>
          <cell r="U293" t="str">
            <v>AV170129018</v>
          </cell>
          <cell r="V293">
            <v>0</v>
          </cell>
          <cell r="AS293" t="str">
            <v>LLEVA ESTE MODELO DE CERRADURA PERO CON BAÑO NIQUEL</v>
          </cell>
          <cell r="AX293" t="str">
            <v>PELO_HEREFORD</v>
          </cell>
          <cell r="AY293" t="str">
            <v>LEDER-PELO</v>
          </cell>
          <cell r="AZ293" t="str">
            <v>CUE0000117</v>
          </cell>
          <cell r="BA293">
            <v>0.22</v>
          </cell>
          <cell r="BB293" t="str">
            <v>CUE0000012</v>
          </cell>
          <cell r="BC293">
            <v>0</v>
          </cell>
          <cell r="CP293">
            <v>0</v>
          </cell>
          <cell r="CQ293">
            <v>0.03</v>
          </cell>
          <cell r="DJ293">
            <v>0</v>
          </cell>
          <cell r="DK293">
            <v>0.03</v>
          </cell>
          <cell r="KD293">
            <v>8</v>
          </cell>
          <cell r="KE293">
            <v>8</v>
          </cell>
          <cell r="KG293">
            <v>0</v>
          </cell>
          <cell r="KJ293">
            <v>0</v>
          </cell>
          <cell r="KM293">
            <v>0</v>
          </cell>
          <cell r="KP293">
            <v>0</v>
          </cell>
          <cell r="KS293">
            <v>0</v>
          </cell>
          <cell r="KV293">
            <v>0</v>
          </cell>
          <cell r="KY293">
            <v>0</v>
          </cell>
          <cell r="LB293">
            <v>0</v>
          </cell>
          <cell r="LE293">
            <v>0</v>
          </cell>
          <cell r="LH293">
            <v>0</v>
          </cell>
          <cell r="LK293">
            <v>0</v>
          </cell>
          <cell r="LP293" t="str">
            <v>NO COMENZADO</v>
          </cell>
        </row>
        <row r="294">
          <cell r="A294">
            <v>19332</v>
          </cell>
          <cell r="B294" t="str">
            <v>RUBEN</v>
          </cell>
          <cell r="C294" t="str">
            <v>BARRACAS GRANDE</v>
          </cell>
          <cell r="D294" t="str">
            <v>MARROQUINERIA GRANDE</v>
          </cell>
          <cell r="E294">
            <v>6</v>
          </cell>
          <cell r="F294">
            <v>6</v>
          </cell>
          <cell r="G294">
            <v>6</v>
          </cell>
          <cell r="H294">
            <v>45891.548298611109</v>
          </cell>
          <cell r="I294" t="str">
            <v>MINI EMMA</v>
          </cell>
          <cell r="J294">
            <v>45877</v>
          </cell>
          <cell r="K294">
            <v>45877</v>
          </cell>
          <cell r="L294">
            <v>45877</v>
          </cell>
          <cell r="M294">
            <v>55</v>
          </cell>
          <cell r="N294" t="str">
            <v>M137</v>
          </cell>
          <cell r="O294" t="str">
            <v>AV170134014</v>
          </cell>
          <cell r="P294">
            <v>0.01</v>
          </cell>
          <cell r="Q294" t="str">
            <v>BAC1300020827</v>
          </cell>
          <cell r="R294">
            <v>1</v>
          </cell>
          <cell r="S294" t="str">
            <v>AV0300440101</v>
          </cell>
          <cell r="T294">
            <v>0.44</v>
          </cell>
          <cell r="U294" t="str">
            <v>VAR0000011</v>
          </cell>
          <cell r="V294">
            <v>2</v>
          </cell>
          <cell r="W294" t="str">
            <v>AV0400770101</v>
          </cell>
          <cell r="X294">
            <v>1</v>
          </cell>
          <cell r="Y294" t="str">
            <v>AV0400230101</v>
          </cell>
          <cell r="Z294">
            <v>2</v>
          </cell>
          <cell r="AA294" t="str">
            <v>AV0601400101</v>
          </cell>
          <cell r="AB294">
            <v>5</v>
          </cell>
          <cell r="AC294" t="str">
            <v>AV0300400101</v>
          </cell>
          <cell r="AD294">
            <v>0</v>
          </cell>
          <cell r="AH294">
            <v>0</v>
          </cell>
          <cell r="AW294" t="str">
            <v xml:space="preserve">GRABADO EL LUCERO GRANDE ARRIBA CENTRADO. DEJAR 3CM Y GRABAR  </v>
          </cell>
          <cell r="AX294" t="str">
            <v>PELO_HOLANDO</v>
          </cell>
          <cell r="AY294" t="str">
            <v>LEDER-PELO</v>
          </cell>
          <cell r="AZ294" t="str">
            <v>CUE0000116</v>
          </cell>
          <cell r="BA294">
            <v>0.14000000000000001</v>
          </cell>
          <cell r="BB294" t="str">
            <v>CUE0000009</v>
          </cell>
          <cell r="BC294">
            <v>0.12</v>
          </cell>
          <cell r="CQ294">
            <v>0.03</v>
          </cell>
          <cell r="DK294">
            <v>0.03</v>
          </cell>
          <cell r="KD294">
            <v>6</v>
          </cell>
          <cell r="KE294">
            <v>6</v>
          </cell>
          <cell r="KF294">
            <v>6</v>
          </cell>
          <cell r="KG294">
            <v>0</v>
          </cell>
          <cell r="KJ294">
            <v>0</v>
          </cell>
          <cell r="KM294">
            <v>0</v>
          </cell>
          <cell r="KP294">
            <v>0</v>
          </cell>
          <cell r="KS294">
            <v>0</v>
          </cell>
          <cell r="KV294">
            <v>0</v>
          </cell>
          <cell r="KY294">
            <v>0</v>
          </cell>
          <cell r="LB294">
            <v>0</v>
          </cell>
          <cell r="LE294">
            <v>0</v>
          </cell>
          <cell r="LH294">
            <v>0</v>
          </cell>
          <cell r="LK294">
            <v>0</v>
          </cell>
          <cell r="LN294">
            <v>45877</v>
          </cell>
          <cell r="LO294">
            <v>45888</v>
          </cell>
          <cell r="LP294" t="str">
            <v>COMPLETADO</v>
          </cell>
        </row>
        <row r="295">
          <cell r="A295">
            <v>1939</v>
          </cell>
          <cell r="B295" t="str">
            <v>RUBEN</v>
          </cell>
          <cell r="C295" t="str">
            <v>BARRACAS GRANDE</v>
          </cell>
          <cell r="D295" t="str">
            <v>MARROQUINERIA GRANDE</v>
          </cell>
          <cell r="E295">
            <v>6</v>
          </cell>
          <cell r="F295">
            <v>6</v>
          </cell>
          <cell r="G295">
            <v>0</v>
          </cell>
          <cell r="H295">
            <v>45891.553773148145</v>
          </cell>
          <cell r="I295" t="str">
            <v>BANDOLERA MATILDA</v>
          </cell>
          <cell r="M295">
            <v>30</v>
          </cell>
          <cell r="N295" t="str">
            <v>M171</v>
          </cell>
          <cell r="O295" t="str">
            <v>AV0300390101</v>
          </cell>
          <cell r="P295">
            <v>1</v>
          </cell>
          <cell r="Q295" t="str">
            <v>AV0400230101</v>
          </cell>
          <cell r="R295">
            <v>1</v>
          </cell>
          <cell r="S295" t="str">
            <v>VAR0000042</v>
          </cell>
          <cell r="T295">
            <v>1</v>
          </cell>
          <cell r="U295" t="str">
            <v>AV170129018</v>
          </cell>
          <cell r="V295">
            <v>0</v>
          </cell>
          <cell r="AS295" t="str">
            <v>LLEVA ESTE MODELO DE CERRADURA PERO CON BAÑO NIQUEL</v>
          </cell>
          <cell r="AX295" t="str">
            <v>PELO_HEREFORD</v>
          </cell>
          <cell r="AY295" t="str">
            <v>LEDER-PELO</v>
          </cell>
          <cell r="AZ295" t="str">
            <v>CUE0000117</v>
          </cell>
          <cell r="BA295">
            <v>0.22</v>
          </cell>
          <cell r="BB295" t="str">
            <v>CUE0000012</v>
          </cell>
          <cell r="BC295">
            <v>0</v>
          </cell>
          <cell r="CP295">
            <v>0</v>
          </cell>
          <cell r="CQ295">
            <v>0.03</v>
          </cell>
          <cell r="DJ295">
            <v>0</v>
          </cell>
          <cell r="DK295">
            <v>0.03</v>
          </cell>
          <cell r="KD295">
            <v>6</v>
          </cell>
          <cell r="KE295">
            <v>6</v>
          </cell>
          <cell r="KG295">
            <v>0</v>
          </cell>
          <cell r="KJ295">
            <v>0</v>
          </cell>
          <cell r="KM295">
            <v>0</v>
          </cell>
          <cell r="KP295">
            <v>0</v>
          </cell>
          <cell r="KS295">
            <v>0</v>
          </cell>
          <cell r="KV295">
            <v>0</v>
          </cell>
          <cell r="KY295">
            <v>0</v>
          </cell>
          <cell r="LB295">
            <v>0</v>
          </cell>
          <cell r="LE295">
            <v>0</v>
          </cell>
          <cell r="LH295">
            <v>0</v>
          </cell>
          <cell r="LK295">
            <v>0</v>
          </cell>
          <cell r="LP295" t="str">
            <v>NO COMENZADO</v>
          </cell>
          <cell r="LQ295" t="str">
            <v>QUE SE VEA LA MANCHA SI NO SALE DE RETAZOS USAR PLACA</v>
          </cell>
        </row>
        <row r="296">
          <cell r="A296">
            <v>18382</v>
          </cell>
          <cell r="B296" t="str">
            <v>LUCIANO</v>
          </cell>
          <cell r="C296" t="str">
            <v>BARRACAS CHICA</v>
          </cell>
          <cell r="D296" t="str">
            <v>MARROQUINERIA CHICA</v>
          </cell>
          <cell r="E296">
            <v>6</v>
          </cell>
          <cell r="F296">
            <v>6</v>
          </cell>
          <cell r="G296">
            <v>6</v>
          </cell>
          <cell r="H296">
            <v>45891.564386574071</v>
          </cell>
          <cell r="I296" t="str">
            <v>BANDOLERA CARLA</v>
          </cell>
          <cell r="J296">
            <v>45894</v>
          </cell>
          <cell r="K296">
            <v>45894</v>
          </cell>
          <cell r="L296">
            <v>45894</v>
          </cell>
          <cell r="M296">
            <v>35</v>
          </cell>
          <cell r="N296" t="str">
            <v>M002</v>
          </cell>
          <cell r="O296" t="str">
            <v>AV1001210101</v>
          </cell>
          <cell r="P296">
            <v>1</v>
          </cell>
          <cell r="Q296" t="str">
            <v>AV0401380101</v>
          </cell>
          <cell r="R296">
            <v>1</v>
          </cell>
          <cell r="S296" t="str">
            <v>AV0400400101</v>
          </cell>
          <cell r="T296">
            <v>1</v>
          </cell>
          <cell r="U296" t="str">
            <v>AV170129018</v>
          </cell>
          <cell r="V296">
            <v>0</v>
          </cell>
          <cell r="AS296" t="str">
            <v>CORREA IDEM MUESTRA. EN EL LATERAL NO LLEVA REMACHES</v>
          </cell>
          <cell r="AT296" t="str">
            <v>LA CORREA DEBE SALIR DE ADENTRO DE LA VISTA INTERNA</v>
          </cell>
          <cell r="AU296" t="str">
            <v>CONSULTAR SI VA PINTADA O NO O</v>
          </cell>
          <cell r="AV296" t="str">
            <v>REVISAR TIEMPO</v>
          </cell>
          <cell r="AW296" t="str">
            <v>GRABADO "EL LUCERO" CHICO EN VISTA INTERNA CENTRADA</v>
          </cell>
          <cell r="AX296" t="str">
            <v>CEDRO</v>
          </cell>
          <cell r="AY296" t="str">
            <v>BIANCO-CUERO FIORENTINO</v>
          </cell>
          <cell r="AZ296" t="str">
            <v>CUE0000055</v>
          </cell>
          <cell r="BA296">
            <v>0.17</v>
          </cell>
          <cell r="BB296" t="str">
            <v>FOR0000021</v>
          </cell>
          <cell r="BC296">
            <v>0.04</v>
          </cell>
          <cell r="BD296" t="str">
            <v>AV1401240545</v>
          </cell>
          <cell r="BE296">
            <v>0</v>
          </cell>
          <cell r="CP296">
            <v>0</v>
          </cell>
          <cell r="CQ296">
            <v>0.03</v>
          </cell>
          <cell r="DJ296">
            <v>0</v>
          </cell>
          <cell r="DK296">
            <v>0.03</v>
          </cell>
          <cell r="KD296">
            <v>6</v>
          </cell>
          <cell r="KE296">
            <v>6</v>
          </cell>
          <cell r="KF296">
            <v>6</v>
          </cell>
          <cell r="KG296">
            <v>0</v>
          </cell>
          <cell r="KJ296">
            <v>0</v>
          </cell>
          <cell r="KM296">
            <v>0</v>
          </cell>
          <cell r="KP296">
            <v>0</v>
          </cell>
          <cell r="KS296">
            <v>0</v>
          </cell>
          <cell r="KV296">
            <v>0</v>
          </cell>
          <cell r="KY296">
            <v>0</v>
          </cell>
          <cell r="LB296">
            <v>0</v>
          </cell>
          <cell r="LE296">
            <v>0</v>
          </cell>
          <cell r="LH296">
            <v>0</v>
          </cell>
          <cell r="LK296">
            <v>0</v>
          </cell>
          <cell r="LN296">
            <v>45894</v>
          </cell>
          <cell r="LO296">
            <v>45900</v>
          </cell>
          <cell r="LP296" t="str">
            <v>COMPLETADO</v>
          </cell>
        </row>
        <row r="297">
          <cell r="A297">
            <v>1838</v>
          </cell>
          <cell r="B297" t="str">
            <v>LUCIANO</v>
          </cell>
          <cell r="C297" t="str">
            <v>BARRACAS CHICA</v>
          </cell>
          <cell r="D297" t="str">
            <v>MARROQUINERIA CHICA</v>
          </cell>
          <cell r="E297">
            <v>12</v>
          </cell>
          <cell r="F297">
            <v>12</v>
          </cell>
          <cell r="G297">
            <v>12</v>
          </cell>
          <cell r="H297">
            <v>45891.584421296298</v>
          </cell>
          <cell r="I297" t="str">
            <v>BANDOLERA CARLA</v>
          </cell>
          <cell r="J297">
            <v>45898</v>
          </cell>
          <cell r="K297">
            <v>45898</v>
          </cell>
          <cell r="L297">
            <v>45898</v>
          </cell>
          <cell r="M297">
            <v>35</v>
          </cell>
          <cell r="N297" t="str">
            <v>M002</v>
          </cell>
          <cell r="O297" t="str">
            <v>AV1001210101</v>
          </cell>
          <cell r="P297">
            <v>1</v>
          </cell>
          <cell r="Q297" t="str">
            <v>AV0401380101</v>
          </cell>
          <cell r="R297">
            <v>1</v>
          </cell>
          <cell r="S297" t="str">
            <v>AV0400400101</v>
          </cell>
          <cell r="T297">
            <v>1</v>
          </cell>
          <cell r="U297" t="str">
            <v>AV170129018</v>
          </cell>
          <cell r="V297">
            <v>0</v>
          </cell>
          <cell r="AS297" t="str">
            <v>CORREA IDEM MUESTRA. EN EL LATERAL NO LLEVA REMACHES</v>
          </cell>
          <cell r="AT297" t="str">
            <v>LA CORREA DEBE SALIR DE ADENTRO DE LA VISTA INTERNA</v>
          </cell>
          <cell r="AU297" t="str">
            <v>CONSULTAR SI VA PINTADA O NO O</v>
          </cell>
          <cell r="AV297" t="str">
            <v>REVISAR TIEMPO</v>
          </cell>
          <cell r="AW297" t="str">
            <v>GRABADO "EL LUCERO" CHICO EN VISTA INTERNA CENTRADA</v>
          </cell>
          <cell r="AX297" t="str">
            <v>PELO_HOLANDO</v>
          </cell>
          <cell r="AY297" t="str">
            <v>LEDER-PELO</v>
          </cell>
          <cell r="AZ297" t="str">
            <v>CUE0000116</v>
          </cell>
          <cell r="BA297">
            <v>0.17</v>
          </cell>
          <cell r="BB297" t="str">
            <v>CUE0000009</v>
          </cell>
          <cell r="BC297">
            <v>0</v>
          </cell>
          <cell r="BD297" t="str">
            <v>FOR0000020</v>
          </cell>
          <cell r="BE297">
            <v>0.04</v>
          </cell>
          <cell r="BF297" t="str">
            <v>AV1401244040</v>
          </cell>
          <cell r="BG297">
            <v>0</v>
          </cell>
          <cell r="BR297" t="str">
            <v>PELO_HEREFORD</v>
          </cell>
          <cell r="BS297" t="str">
            <v>LEDER-PELO</v>
          </cell>
          <cell r="BT297" t="str">
            <v>CUE0000117</v>
          </cell>
          <cell r="BU297">
            <v>0.17</v>
          </cell>
          <cell r="BV297" t="str">
            <v>CUE0000012</v>
          </cell>
          <cell r="BW297">
            <v>0</v>
          </cell>
          <cell r="BX297" t="str">
            <v>FOR0000021</v>
          </cell>
          <cell r="BY297">
            <v>0.04</v>
          </cell>
          <cell r="BZ297" t="str">
            <v>AV1401240545</v>
          </cell>
          <cell r="CA297">
            <v>0</v>
          </cell>
          <cell r="DJ297">
            <v>0</v>
          </cell>
          <cell r="DK297">
            <v>0.03</v>
          </cell>
          <cell r="KD297">
            <v>4</v>
          </cell>
          <cell r="KE297">
            <v>4</v>
          </cell>
          <cell r="KF297">
            <v>4</v>
          </cell>
          <cell r="KG297">
            <v>8</v>
          </cell>
          <cell r="KH297">
            <v>8</v>
          </cell>
          <cell r="KI297">
            <v>8</v>
          </cell>
          <cell r="KJ297">
            <v>0</v>
          </cell>
          <cell r="KM297">
            <v>0</v>
          </cell>
          <cell r="KP297">
            <v>0</v>
          </cell>
          <cell r="KS297">
            <v>0</v>
          </cell>
          <cell r="KV297">
            <v>0</v>
          </cell>
          <cell r="KY297">
            <v>0</v>
          </cell>
          <cell r="LB297">
            <v>0</v>
          </cell>
          <cell r="LE297">
            <v>0</v>
          </cell>
          <cell r="LH297">
            <v>0</v>
          </cell>
          <cell r="LK297">
            <v>0</v>
          </cell>
          <cell r="LN297">
            <v>45898</v>
          </cell>
          <cell r="LO297">
            <v>45909</v>
          </cell>
          <cell r="LP297" t="str">
            <v>COMPLETADO</v>
          </cell>
          <cell r="LQ297" t="str">
            <v>QUE SE VEA LA MANCHA SI NO SALE DE RETAZOS USAR PLACA</v>
          </cell>
          <cell r="LR297" t="str">
            <v>QUE SE VEA LA MANCHA SI NO SALE DE RETAZOS USAR PLACA</v>
          </cell>
        </row>
        <row r="298">
          <cell r="A298">
            <v>18383</v>
          </cell>
          <cell r="B298" t="str">
            <v>LUCIANO</v>
          </cell>
          <cell r="C298" t="str">
            <v>BARRACAS CHICA</v>
          </cell>
          <cell r="D298" t="str">
            <v>MARROQUINERIA CHICA</v>
          </cell>
          <cell r="E298">
            <v>12</v>
          </cell>
          <cell r="F298">
            <v>12</v>
          </cell>
          <cell r="H298">
            <v>45891.586527777778</v>
          </cell>
          <cell r="I298" t="str">
            <v>BANDOLERA CARLA</v>
          </cell>
          <cell r="M298">
            <v>35</v>
          </cell>
          <cell r="N298" t="str">
            <v>M002</v>
          </cell>
          <cell r="O298" t="str">
            <v>AV1001210101</v>
          </cell>
          <cell r="P298">
            <v>1</v>
          </cell>
          <cell r="Q298" t="str">
            <v>AV0401380101</v>
          </cell>
          <cell r="R298">
            <v>1</v>
          </cell>
          <cell r="S298" t="str">
            <v>AV0400400101</v>
          </cell>
          <cell r="T298">
            <v>1</v>
          </cell>
          <cell r="U298" t="str">
            <v>AV170129018</v>
          </cell>
          <cell r="V298">
            <v>0</v>
          </cell>
          <cell r="AS298" t="str">
            <v>CORREA IDEM MUESTRA. EN EL LATERAL NO LLEVA REMACHES</v>
          </cell>
          <cell r="AT298" t="str">
            <v>LA CORREA DEBE SALIR DE ADENTRO DE LA VISTA INTERNA</v>
          </cell>
          <cell r="AU298" t="str">
            <v>CONSULTAR SI VA PINTADA O NO O</v>
          </cell>
          <cell r="AV298" t="str">
            <v>REVISAR TIEMPO</v>
          </cell>
          <cell r="AW298" t="str">
            <v>GRABADO "EL LUCERO" CHICO EN VISTA INTERNA CENTRADA</v>
          </cell>
          <cell r="AX298" t="str">
            <v>PELO_HOLANDO</v>
          </cell>
          <cell r="AY298" t="str">
            <v>LEDER-PELO</v>
          </cell>
          <cell r="AZ298" t="str">
            <v>CUE0000116</v>
          </cell>
          <cell r="BA298">
            <v>0.17</v>
          </cell>
          <cell r="BB298" t="str">
            <v>CUE0000009</v>
          </cell>
          <cell r="BC298">
            <v>0</v>
          </cell>
          <cell r="BD298" t="str">
            <v>FOR0000020</v>
          </cell>
          <cell r="BE298">
            <v>0.04</v>
          </cell>
          <cell r="BF298" t="str">
            <v>AV1401244040</v>
          </cell>
          <cell r="BG298">
            <v>0</v>
          </cell>
          <cell r="BR298" t="str">
            <v>PELO_HEREFORD</v>
          </cell>
          <cell r="BS298" t="str">
            <v>LEDER-PELO</v>
          </cell>
          <cell r="BT298" t="str">
            <v>CUE0000117</v>
          </cell>
          <cell r="BU298">
            <v>0.17</v>
          </cell>
          <cell r="BV298" t="str">
            <v>CUE0000012</v>
          </cell>
          <cell r="BW298">
            <v>0</v>
          </cell>
          <cell r="BX298" t="str">
            <v>FOR0000021</v>
          </cell>
          <cell r="BY298">
            <v>0.04</v>
          </cell>
          <cell r="BZ298" t="str">
            <v>AV1401240545</v>
          </cell>
          <cell r="CA298">
            <v>0</v>
          </cell>
          <cell r="DJ298">
            <v>0</v>
          </cell>
          <cell r="DK298">
            <v>0.03</v>
          </cell>
          <cell r="KD298">
            <v>4</v>
          </cell>
          <cell r="KE298">
            <v>4</v>
          </cell>
          <cell r="KG298">
            <v>8</v>
          </cell>
          <cell r="KH298">
            <v>8</v>
          </cell>
          <cell r="KJ298">
            <v>0</v>
          </cell>
          <cell r="KM298">
            <v>0</v>
          </cell>
          <cell r="KP298">
            <v>0</v>
          </cell>
          <cell r="KS298">
            <v>0</v>
          </cell>
          <cell r="KV298">
            <v>0</v>
          </cell>
          <cell r="KY298">
            <v>0</v>
          </cell>
          <cell r="LB298">
            <v>0</v>
          </cell>
          <cell r="LE298">
            <v>0</v>
          </cell>
          <cell r="LH298">
            <v>0</v>
          </cell>
          <cell r="LK298">
            <v>0</v>
          </cell>
          <cell r="LP298" t="str">
            <v>NO COMENZADO</v>
          </cell>
          <cell r="LQ298" t="str">
            <v>QUE SE VEA LA MANCHA SI NO SALE DE RETAZOS USAR PLACA</v>
          </cell>
          <cell r="LR298" t="str">
            <v>QUE SE VEA LA MANCHA SI NO SALE DE RETAZOS USAR PLACA</v>
          </cell>
        </row>
        <row r="299">
          <cell r="A299">
            <v>1853</v>
          </cell>
          <cell r="B299" t="str">
            <v>LUCIANO</v>
          </cell>
          <cell r="C299" t="str">
            <v>BARRACAS CHICA</v>
          </cell>
          <cell r="D299" t="str">
            <v>MARROQUINERIA CHICA</v>
          </cell>
          <cell r="E299">
            <v>3</v>
          </cell>
          <cell r="F299">
            <v>3</v>
          </cell>
          <cell r="G299">
            <v>3</v>
          </cell>
          <cell r="H299">
            <v>45891.590787037036</v>
          </cell>
          <cell r="I299" t="str">
            <v>FUNDA CUADERNO A4</v>
          </cell>
          <cell r="J299">
            <v>45894</v>
          </cell>
          <cell r="K299">
            <v>45894</v>
          </cell>
          <cell r="L299">
            <v>45898</v>
          </cell>
          <cell r="M299">
            <v>38</v>
          </cell>
          <cell r="N299" t="str">
            <v>M147</v>
          </cell>
          <cell r="O299" t="str">
            <v>CUA0000001</v>
          </cell>
          <cell r="P299">
            <v>1</v>
          </cell>
          <cell r="Q299" t="str">
            <v>AV170134014</v>
          </cell>
          <cell r="R299">
            <v>0</v>
          </cell>
          <cell r="AW299" t="str">
            <v>GRABADO LUCERO ARGENTINA CHICO, CENTRADO EN PIEZA INTERNA IZQUIERA 1 CM DEL BORDE INFERIOR</v>
          </cell>
          <cell r="AX299" t="str">
            <v>CEDRO</v>
          </cell>
          <cell r="AY299" t="str">
            <v>BIANCO-CUERO FIORENTINO</v>
          </cell>
          <cell r="AZ299" t="str">
            <v>CUE0000055</v>
          </cell>
          <cell r="BA299">
            <v>0.4</v>
          </cell>
          <cell r="BV299" t="str">
            <v>CUE0000012</v>
          </cell>
          <cell r="BW299">
            <v>0</v>
          </cell>
          <cell r="DJ299">
            <v>0</v>
          </cell>
          <cell r="DK299">
            <v>0.03</v>
          </cell>
          <cell r="KD299">
            <v>3</v>
          </cell>
          <cell r="KE299">
            <v>3</v>
          </cell>
          <cell r="KF299">
            <v>3</v>
          </cell>
          <cell r="KG299">
            <v>0</v>
          </cell>
          <cell r="KH299">
            <v>0</v>
          </cell>
          <cell r="KJ299">
            <v>0</v>
          </cell>
          <cell r="KM299">
            <v>0</v>
          </cell>
          <cell r="KP299">
            <v>0</v>
          </cell>
          <cell r="KS299">
            <v>0</v>
          </cell>
          <cell r="KV299">
            <v>0</v>
          </cell>
          <cell r="KY299">
            <v>0</v>
          </cell>
          <cell r="LB299">
            <v>0</v>
          </cell>
          <cell r="LE299">
            <v>0</v>
          </cell>
          <cell r="LH299">
            <v>0</v>
          </cell>
          <cell r="LK299">
            <v>0</v>
          </cell>
          <cell r="LN299">
            <v>45894</v>
          </cell>
          <cell r="LO299">
            <v>45900</v>
          </cell>
          <cell r="LP299" t="str">
            <v>COMPLETADO</v>
          </cell>
        </row>
        <row r="300">
          <cell r="A300">
            <v>1854</v>
          </cell>
          <cell r="B300" t="str">
            <v>LUCIANO</v>
          </cell>
          <cell r="C300" t="str">
            <v>BARRACAS CHICA</v>
          </cell>
          <cell r="D300" t="str">
            <v>MARROQUINERIA CHICA</v>
          </cell>
          <cell r="E300">
            <v>4</v>
          </cell>
          <cell r="F300">
            <v>4</v>
          </cell>
          <cell r="G300">
            <v>4</v>
          </cell>
          <cell r="H300">
            <v>45891.594814814816</v>
          </cell>
          <cell r="I300" t="str">
            <v>FUNDA CUADERNO A6 (POCKET)</v>
          </cell>
          <cell r="J300">
            <v>45894</v>
          </cell>
          <cell r="K300">
            <v>45894</v>
          </cell>
          <cell r="L300">
            <v>45894</v>
          </cell>
          <cell r="M300">
            <v>25</v>
          </cell>
          <cell r="N300" t="str">
            <v>M149</v>
          </cell>
          <cell r="O300" t="str">
            <v>CUA0000003</v>
          </cell>
          <cell r="P300">
            <v>1</v>
          </cell>
          <cell r="Q300" t="str">
            <v>AV170134014</v>
          </cell>
          <cell r="R300">
            <v>0</v>
          </cell>
          <cell r="AS300" t="str">
            <v>MODIFICAR EL MOLDE</v>
          </cell>
          <cell r="AT300" t="str">
            <v>VA PUNTA REDONDEDA (HUEVO)</v>
          </cell>
          <cell r="AW300" t="str">
            <v>GRABADO LUCERO ARGENTINA CHICO, CENTRADO EN PIEZA INTERNA IZQUIERA 1 CM DEL BORDE INFERIOR</v>
          </cell>
          <cell r="AX300" t="str">
            <v>CEDRO</v>
          </cell>
          <cell r="AY300" t="str">
            <v>BIANCO-CUERO FIORENTINO</v>
          </cell>
          <cell r="AZ300" t="str">
            <v>CUE0000055</v>
          </cell>
          <cell r="BA300">
            <v>0.09</v>
          </cell>
          <cell r="BV300" t="str">
            <v>CUE0000012</v>
          </cell>
          <cell r="BW300">
            <v>0</v>
          </cell>
          <cell r="DJ300">
            <v>0</v>
          </cell>
          <cell r="DK300">
            <v>0.03</v>
          </cell>
          <cell r="KD300">
            <v>4</v>
          </cell>
          <cell r="KE300">
            <v>4</v>
          </cell>
          <cell r="KF300">
            <v>4</v>
          </cell>
          <cell r="KG300">
            <v>0</v>
          </cell>
          <cell r="KH300">
            <v>0</v>
          </cell>
          <cell r="KJ300">
            <v>0</v>
          </cell>
          <cell r="KM300">
            <v>0</v>
          </cell>
          <cell r="KP300">
            <v>0</v>
          </cell>
          <cell r="KS300">
            <v>0</v>
          </cell>
          <cell r="KV300">
            <v>0</v>
          </cell>
          <cell r="KY300">
            <v>0</v>
          </cell>
          <cell r="LB300">
            <v>0</v>
          </cell>
          <cell r="LE300">
            <v>0</v>
          </cell>
          <cell r="LH300">
            <v>0</v>
          </cell>
          <cell r="LK300">
            <v>0</v>
          </cell>
          <cell r="LN300">
            <v>45894</v>
          </cell>
          <cell r="LO300">
            <v>45902</v>
          </cell>
          <cell r="LP300" t="str">
            <v>COMPLETADO</v>
          </cell>
        </row>
        <row r="301">
          <cell r="A301">
            <v>1859</v>
          </cell>
          <cell r="B301" t="str">
            <v>RUBEN</v>
          </cell>
          <cell r="C301" t="str">
            <v>BARRACAS GRANDE</v>
          </cell>
          <cell r="D301" t="str">
            <v>MARROQUINERIA GRANDE</v>
          </cell>
          <cell r="E301">
            <v>6</v>
          </cell>
          <cell r="F301">
            <v>6</v>
          </cell>
          <cell r="G301">
            <v>6</v>
          </cell>
          <cell r="H301">
            <v>45891.597025462965</v>
          </cell>
          <cell r="I301" t="str">
            <v>NECESSAIRE LANIN</v>
          </cell>
          <cell r="J301">
            <v>45894</v>
          </cell>
          <cell r="K301">
            <v>45894</v>
          </cell>
          <cell r="L301">
            <v>45894</v>
          </cell>
          <cell r="M301">
            <v>40</v>
          </cell>
          <cell r="N301" t="str">
            <v>M070</v>
          </cell>
          <cell r="O301" t="str">
            <v>AV0101040201</v>
          </cell>
          <cell r="P301">
            <v>2</v>
          </cell>
          <cell r="Q301" t="str">
            <v>AV1000380101</v>
          </cell>
          <cell r="R301">
            <v>2</v>
          </cell>
          <cell r="S301" t="str">
            <v>AV0300390101</v>
          </cell>
          <cell r="T301">
            <v>2</v>
          </cell>
          <cell r="U301" t="str">
            <v>AV1802220526</v>
          </cell>
          <cell r="V301">
            <v>0.25</v>
          </cell>
          <cell r="W301" t="str">
            <v>AV170134014</v>
          </cell>
          <cell r="X301">
            <v>0</v>
          </cell>
          <cell r="AS301" t="str">
            <v>TIRACIERRE N 20 - PARA CIERRES VISLON&gt;&gt; CUERO RECTO CON COSTURA</v>
          </cell>
          <cell r="AT301" t="str">
            <v>TIRACIERRE N 1 - PARA CIERRES METAL&gt;&gt; TIRA CON REMACHE + GRABADO</v>
          </cell>
          <cell r="AW301" t="str">
            <v xml:space="preserve">GRABADO "EL LUCERO GRANDE"EN EL LATERAL SIN MANIJA, A 1,5 CM DEL BORDE SUPERIOR.  </v>
          </cell>
          <cell r="AX301" t="str">
            <v>CEDRO</v>
          </cell>
          <cell r="AY301" t="str">
            <v>BIANCO-CUERO FIORENTINO</v>
          </cell>
          <cell r="AZ301" t="str">
            <v>CUE0000055</v>
          </cell>
          <cell r="BA301">
            <v>0.22</v>
          </cell>
          <cell r="BB301" t="str">
            <v>AV1401250545</v>
          </cell>
          <cell r="BC301">
            <v>0</v>
          </cell>
          <cell r="BD301" t="str">
            <v>FOR0000004</v>
          </cell>
          <cell r="BE301">
            <v>0.28000000000000003</v>
          </cell>
          <cell r="BF301" t="str">
            <v>AV0100010111</v>
          </cell>
          <cell r="BG301">
            <v>0.74</v>
          </cell>
          <cell r="BH301" t="str">
            <v>AV1801610538</v>
          </cell>
          <cell r="BI301">
            <v>0.74</v>
          </cell>
          <cell r="BR301" t="str">
            <v>TABACO</v>
          </cell>
          <cell r="BS301" t="str">
            <v>ARENA-CUERO BRIDGE</v>
          </cell>
          <cell r="BT301" t="str">
            <v>CUE0000012</v>
          </cell>
          <cell r="BU301">
            <v>0.22</v>
          </cell>
          <cell r="BV301" t="str">
            <v>AV1401250545</v>
          </cell>
          <cell r="BW301">
            <v>0</v>
          </cell>
          <cell r="BX301" t="str">
            <v>FOR0000004</v>
          </cell>
          <cell r="BY301">
            <v>0.28000000000000003</v>
          </cell>
          <cell r="BZ301" t="str">
            <v>AV0100010114</v>
          </cell>
          <cell r="CA301">
            <v>0.74</v>
          </cell>
          <cell r="CB301" t="str">
            <v>AV1801610538</v>
          </cell>
          <cell r="CC301">
            <v>0.74</v>
          </cell>
          <cell r="DJ301">
            <v>0</v>
          </cell>
          <cell r="DK301">
            <v>0.03</v>
          </cell>
          <cell r="KD301">
            <v>2</v>
          </cell>
          <cell r="KE301">
            <v>2</v>
          </cell>
          <cell r="KF301">
            <v>2</v>
          </cell>
          <cell r="KG301">
            <v>4</v>
          </cell>
          <cell r="KH301">
            <v>4</v>
          </cell>
          <cell r="KI301">
            <v>4</v>
          </cell>
          <cell r="KJ301">
            <v>0</v>
          </cell>
          <cell r="KM301">
            <v>0</v>
          </cell>
          <cell r="KP301">
            <v>0</v>
          </cell>
          <cell r="KS301">
            <v>0</v>
          </cell>
          <cell r="KV301">
            <v>0</v>
          </cell>
          <cell r="KY301">
            <v>0</v>
          </cell>
          <cell r="LB301">
            <v>0</v>
          </cell>
          <cell r="LE301">
            <v>0</v>
          </cell>
          <cell r="LH301">
            <v>0</v>
          </cell>
          <cell r="LK301">
            <v>0</v>
          </cell>
          <cell r="LN301">
            <v>45894</v>
          </cell>
          <cell r="LO301">
            <v>45916</v>
          </cell>
          <cell r="LP301" t="str">
            <v>COMPLETADO</v>
          </cell>
        </row>
        <row r="302">
          <cell r="A302">
            <v>18622</v>
          </cell>
          <cell r="B302" t="str">
            <v>RUBEN</v>
          </cell>
          <cell r="C302" t="str">
            <v>BARRACAS GRANDE</v>
          </cell>
          <cell r="D302" t="str">
            <v>MARROQUINERIA GRANDE</v>
          </cell>
          <cell r="E302">
            <v>4</v>
          </cell>
          <cell r="F302">
            <v>4</v>
          </cell>
          <cell r="G302">
            <v>4</v>
          </cell>
          <cell r="H302">
            <v>45893.480914351851</v>
          </cell>
          <cell r="I302" t="str">
            <v>PORTALAPTOP MILTON</v>
          </cell>
          <cell r="J302">
            <v>45894</v>
          </cell>
          <cell r="K302">
            <v>45894</v>
          </cell>
          <cell r="L302">
            <v>45894</v>
          </cell>
          <cell r="M302">
            <v>18</v>
          </cell>
          <cell r="N302" t="str">
            <v>M095</v>
          </cell>
          <cell r="O302" t="str">
            <v>AV170129018</v>
          </cell>
          <cell r="P302">
            <v>0</v>
          </cell>
          <cell r="AS302" t="str">
            <v>MODIFICAR EL MOLDE VA PUNTA REDONDEADA</v>
          </cell>
          <cell r="AW302" t="str">
            <v xml:space="preserve">GRABADO "EL LUCERO ARGENTINA" GRANDE EN ESPALDA, CENTRADO A 1,5 CM DESDE EL BORDE INFERIOR </v>
          </cell>
          <cell r="AX302" t="str">
            <v>CEDRO</v>
          </cell>
          <cell r="AY302" t="str">
            <v>BIANCO-CUERO FIORENTINO</v>
          </cell>
          <cell r="AZ302" t="str">
            <v>CUE0000055</v>
          </cell>
          <cell r="BA302">
            <v>0.27</v>
          </cell>
          <cell r="BB302" t="str">
            <v>AV1401240545</v>
          </cell>
          <cell r="BC302">
            <v>0</v>
          </cell>
          <cell r="DJ302">
            <v>0</v>
          </cell>
          <cell r="DK302">
            <v>0.03</v>
          </cell>
          <cell r="KD302">
            <v>4</v>
          </cell>
          <cell r="KE302">
            <v>4</v>
          </cell>
          <cell r="KF302">
            <v>4</v>
          </cell>
          <cell r="KG302">
            <v>0</v>
          </cell>
          <cell r="KJ302">
            <v>0</v>
          </cell>
          <cell r="KM302">
            <v>0</v>
          </cell>
          <cell r="KP302">
            <v>0</v>
          </cell>
          <cell r="KS302">
            <v>0</v>
          </cell>
          <cell r="KV302">
            <v>0</v>
          </cell>
          <cell r="KY302">
            <v>0</v>
          </cell>
          <cell r="LB302">
            <v>0</v>
          </cell>
          <cell r="LE302">
            <v>0</v>
          </cell>
          <cell r="LH302">
            <v>0</v>
          </cell>
          <cell r="LK302">
            <v>0</v>
          </cell>
          <cell r="LN302">
            <v>45894</v>
          </cell>
          <cell r="LO302">
            <v>45900</v>
          </cell>
          <cell r="LP302" t="str">
            <v>COMPLETADO</v>
          </cell>
        </row>
        <row r="303">
          <cell r="A303">
            <v>18672</v>
          </cell>
          <cell r="B303" t="str">
            <v>LUCIANO</v>
          </cell>
          <cell r="C303" t="str">
            <v>PERDRIEL</v>
          </cell>
          <cell r="D303" t="str">
            <v>MARROQUINERIA CHICA</v>
          </cell>
          <cell r="E303">
            <v>6</v>
          </cell>
          <cell r="F303">
            <v>6</v>
          </cell>
          <cell r="G303">
            <v>6</v>
          </cell>
          <cell r="H303">
            <v>45893.497349537036</v>
          </cell>
          <cell r="I303" t="str">
            <v>TARJETERO RUBI</v>
          </cell>
          <cell r="J303">
            <v>45894</v>
          </cell>
          <cell r="K303">
            <v>45894</v>
          </cell>
          <cell r="L303">
            <v>45896</v>
          </cell>
          <cell r="M303">
            <v>10</v>
          </cell>
          <cell r="N303" t="str">
            <v>M129</v>
          </cell>
          <cell r="O303" t="str">
            <v>AV0700420101</v>
          </cell>
          <cell r="P303">
            <v>1</v>
          </cell>
          <cell r="Q303" t="str">
            <v>AV170134014</v>
          </cell>
          <cell r="R303">
            <v>0</v>
          </cell>
          <cell r="AW303" t="str">
            <v xml:space="preserve">GRABADO "EL LUCERO ARGENTINA " EN ESPALDA CENTRADO, BORDE INFERIOR </v>
          </cell>
          <cell r="AX303" t="str">
            <v>CEDRO</v>
          </cell>
          <cell r="AY303" t="str">
            <v>BIANCO-CUERO FIORENTINO</v>
          </cell>
          <cell r="AZ303" t="str">
            <v>CUE0000055</v>
          </cell>
          <cell r="BA303">
            <v>0.03</v>
          </cell>
          <cell r="BB303" t="str">
            <v>AV1401250545</v>
          </cell>
          <cell r="BC303">
            <v>0</v>
          </cell>
          <cell r="DJ303">
            <v>0</v>
          </cell>
          <cell r="DK303">
            <v>0.03</v>
          </cell>
          <cell r="KD303">
            <v>6</v>
          </cell>
          <cell r="KE303">
            <v>6</v>
          </cell>
          <cell r="KF303">
            <v>6</v>
          </cell>
          <cell r="KG303">
            <v>0</v>
          </cell>
          <cell r="KJ303">
            <v>0</v>
          </cell>
          <cell r="KM303">
            <v>0</v>
          </cell>
          <cell r="KP303">
            <v>0</v>
          </cell>
          <cell r="KS303">
            <v>0</v>
          </cell>
          <cell r="KV303">
            <v>0</v>
          </cell>
          <cell r="KY303">
            <v>0</v>
          </cell>
          <cell r="LB303">
            <v>0</v>
          </cell>
          <cell r="LE303">
            <v>0</v>
          </cell>
          <cell r="LH303">
            <v>0</v>
          </cell>
          <cell r="LK303">
            <v>0</v>
          </cell>
          <cell r="LN303">
            <v>45894</v>
          </cell>
          <cell r="LO303">
            <v>45900</v>
          </cell>
          <cell r="LP303" t="str">
            <v>COMPLETADO</v>
          </cell>
        </row>
        <row r="304">
          <cell r="A304">
            <v>1948</v>
          </cell>
          <cell r="B304" t="str">
            <v>LUCIANO</v>
          </cell>
          <cell r="C304" t="str">
            <v>EXT GABRIEL</v>
          </cell>
          <cell r="D304" t="str">
            <v>MARROQUINERIA CHICA</v>
          </cell>
          <cell r="E304">
            <v>29</v>
          </cell>
          <cell r="F304">
            <v>29</v>
          </cell>
          <cell r="H304">
            <v>45893.500462962962</v>
          </cell>
          <cell r="I304" t="str">
            <v>TARJETERO RUBI</v>
          </cell>
          <cell r="M304">
            <v>10</v>
          </cell>
          <cell r="N304" t="str">
            <v>M129</v>
          </cell>
          <cell r="O304" t="str">
            <v>AV0700420101</v>
          </cell>
          <cell r="P304">
            <v>1</v>
          </cell>
          <cell r="Q304" t="str">
            <v>AV170134014</v>
          </cell>
          <cell r="R304">
            <v>0</v>
          </cell>
          <cell r="AW304" t="str">
            <v xml:space="preserve">GRABADO "EL LUCERO ARGENTINA " EN ESPALDA CENTRADO, BORDE INFERIOR </v>
          </cell>
          <cell r="AX304" t="str">
            <v>MALBEC</v>
          </cell>
          <cell r="AY304" t="str">
            <v>ARENA-CUERO BRIDGE</v>
          </cell>
          <cell r="AZ304" t="str">
            <v>CUE0000008</v>
          </cell>
          <cell r="BA304">
            <v>0.03</v>
          </cell>
          <cell r="BB304" t="str">
            <v>AV1401250545</v>
          </cell>
          <cell r="BC304">
            <v>0</v>
          </cell>
          <cell r="BR304" t="str">
            <v>CEDRO</v>
          </cell>
          <cell r="BS304" t="str">
            <v>BIANCO-CUERO FIORENTINO</v>
          </cell>
          <cell r="BT304" t="str">
            <v>CUE0000055</v>
          </cell>
          <cell r="BU304">
            <v>0.03</v>
          </cell>
          <cell r="BV304" t="str">
            <v>AV1401250545</v>
          </cell>
          <cell r="BW304">
            <v>0</v>
          </cell>
          <cell r="DJ304">
            <v>0</v>
          </cell>
          <cell r="DK304">
            <v>0.03</v>
          </cell>
          <cell r="KD304">
            <v>20</v>
          </cell>
          <cell r="KE304">
            <v>20</v>
          </cell>
          <cell r="KG304">
            <v>9</v>
          </cell>
          <cell r="KH304">
            <v>9</v>
          </cell>
          <cell r="KJ304">
            <v>0</v>
          </cell>
          <cell r="KM304">
            <v>0</v>
          </cell>
          <cell r="KP304">
            <v>0</v>
          </cell>
          <cell r="KS304">
            <v>0</v>
          </cell>
          <cell r="KV304">
            <v>0</v>
          </cell>
          <cell r="KY304">
            <v>0</v>
          </cell>
          <cell r="LB304">
            <v>0</v>
          </cell>
          <cell r="LE304">
            <v>0</v>
          </cell>
          <cell r="LH304">
            <v>0</v>
          </cell>
          <cell r="LK304">
            <v>0</v>
          </cell>
          <cell r="LP304" t="str">
            <v>NO COMENZADO</v>
          </cell>
        </row>
        <row r="305">
          <cell r="A305">
            <v>1949</v>
          </cell>
          <cell r="B305" t="str">
            <v>RUBEN</v>
          </cell>
          <cell r="C305" t="str">
            <v>EXT GABRIEL</v>
          </cell>
          <cell r="D305" t="str">
            <v>MARROQUINERIA CHICA</v>
          </cell>
          <cell r="E305">
            <v>10</v>
          </cell>
          <cell r="F305">
            <v>10</v>
          </cell>
          <cell r="H305">
            <v>45893.503738425927</v>
          </cell>
          <cell r="I305" t="str">
            <v>PORTAPASAPORTE CHESTER</v>
          </cell>
          <cell r="M305">
            <v>10</v>
          </cell>
          <cell r="N305" t="str">
            <v>M104</v>
          </cell>
          <cell r="O305" t="str">
            <v>AV170134014</v>
          </cell>
          <cell r="P305">
            <v>0</v>
          </cell>
          <cell r="AW305" t="str">
            <v xml:space="preserve">GRABADO LUCERO ARGENTINA CHICO,CENTRADO EN ESPALDA A 1.5CM DEL BORDE INFERIOR  </v>
          </cell>
          <cell r="AX305" t="str">
            <v>CEDRO</v>
          </cell>
          <cell r="AY305" t="str">
            <v>BIANCO-CUERO FIORENTINO</v>
          </cell>
          <cell r="AZ305" t="str">
            <v>CUE0000055</v>
          </cell>
          <cell r="BA305">
            <v>0.05</v>
          </cell>
          <cell r="BB305" t="str">
            <v>AV1401250545</v>
          </cell>
          <cell r="BC305">
            <v>0</v>
          </cell>
          <cell r="DJ305">
            <v>0</v>
          </cell>
          <cell r="DK305">
            <v>0.03</v>
          </cell>
          <cell r="KD305">
            <v>10</v>
          </cell>
          <cell r="KE305">
            <v>10</v>
          </cell>
          <cell r="KG305">
            <v>0</v>
          </cell>
          <cell r="KJ305">
            <v>0</v>
          </cell>
          <cell r="KM305">
            <v>0</v>
          </cell>
          <cell r="KP305">
            <v>0</v>
          </cell>
          <cell r="KS305">
            <v>0</v>
          </cell>
          <cell r="KV305">
            <v>0</v>
          </cell>
          <cell r="KY305">
            <v>0</v>
          </cell>
          <cell r="LB305">
            <v>0</v>
          </cell>
          <cell r="LE305">
            <v>0</v>
          </cell>
          <cell r="LH305">
            <v>0</v>
          </cell>
          <cell r="LK305">
            <v>0</v>
          </cell>
          <cell r="LP305" t="str">
            <v>NO COMENZADO</v>
          </cell>
        </row>
        <row r="306">
          <cell r="A306">
            <v>1950</v>
          </cell>
          <cell r="B306" t="str">
            <v>LUCIANO</v>
          </cell>
          <cell r="C306" t="str">
            <v>EXT GABRIEL</v>
          </cell>
          <cell r="D306" t="str">
            <v>MARROQUINERIA CHICA</v>
          </cell>
          <cell r="E306">
            <v>11</v>
          </cell>
          <cell r="F306">
            <v>11</v>
          </cell>
          <cell r="H306">
            <v>45893.505868055552</v>
          </cell>
          <cell r="I306" t="str">
            <v>TARJETERO ARIES</v>
          </cell>
          <cell r="M306">
            <v>10</v>
          </cell>
          <cell r="N306" t="str">
            <v>M123</v>
          </cell>
          <cell r="O306" t="str">
            <v>AV170134014</v>
          </cell>
          <cell r="P306">
            <v>0</v>
          </cell>
          <cell r="AW306" t="str">
            <v xml:space="preserve">GRABADO " EL LUCERO ARGENTINA" CHICO EN TIRA DEL FRENTE, CENTRADO   </v>
          </cell>
          <cell r="AX306" t="str">
            <v>MALBEC</v>
          </cell>
          <cell r="AY306" t="str">
            <v>ARENA-CUERO BRIDGE</v>
          </cell>
          <cell r="AZ306" t="str">
            <v>CUE0000008</v>
          </cell>
          <cell r="BA306">
            <v>0.02</v>
          </cell>
          <cell r="BB306" t="str">
            <v>AV1401250545</v>
          </cell>
          <cell r="BC306">
            <v>0</v>
          </cell>
          <cell r="BD306" t="str">
            <v>PIN00000001</v>
          </cell>
          <cell r="BE306">
            <v>0</v>
          </cell>
          <cell r="DJ306">
            <v>0</v>
          </cell>
          <cell r="DK306">
            <v>0.03</v>
          </cell>
          <cell r="KD306">
            <v>11</v>
          </cell>
          <cell r="KE306">
            <v>11</v>
          </cell>
          <cell r="KG306">
            <v>0</v>
          </cell>
          <cell r="KJ306">
            <v>0</v>
          </cell>
          <cell r="KM306">
            <v>0</v>
          </cell>
          <cell r="KP306">
            <v>0</v>
          </cell>
          <cell r="KS306">
            <v>0</v>
          </cell>
          <cell r="KV306">
            <v>0</v>
          </cell>
          <cell r="KY306">
            <v>0</v>
          </cell>
          <cell r="LB306">
            <v>0</v>
          </cell>
          <cell r="LE306">
            <v>0</v>
          </cell>
          <cell r="LH306">
            <v>0</v>
          </cell>
          <cell r="LK306">
            <v>0</v>
          </cell>
          <cell r="LP306" t="str">
            <v>NO COMENZADO</v>
          </cell>
        </row>
        <row r="307">
          <cell r="A307">
            <v>1936</v>
          </cell>
          <cell r="B307" t="str">
            <v>RUBEN</v>
          </cell>
          <cell r="C307" t="str">
            <v>BARRACAS GRANDE</v>
          </cell>
          <cell r="D307" t="str">
            <v>MARROQUINERIA GRANDE</v>
          </cell>
          <cell r="E307">
            <v>6</v>
          </cell>
          <cell r="F307">
            <v>6</v>
          </cell>
          <cell r="G307">
            <v>6</v>
          </cell>
          <cell r="H307">
            <v>45893.511064814818</v>
          </cell>
          <cell r="I307" t="str">
            <v>TOTE CACHI</v>
          </cell>
          <cell r="J307">
            <v>45884</v>
          </cell>
          <cell r="K307">
            <v>45884</v>
          </cell>
          <cell r="L307">
            <v>45884</v>
          </cell>
          <cell r="M307">
            <v>30</v>
          </cell>
          <cell r="N307" t="str">
            <v>M169</v>
          </cell>
          <cell r="O307" t="str">
            <v>AV170129018</v>
          </cell>
          <cell r="P307">
            <v>0</v>
          </cell>
          <cell r="AS307" t="str">
            <v>CORREA 2 CM / SIN PINTURA</v>
          </cell>
          <cell r="AT307" t="str">
            <v xml:space="preserve"> PEGAR ETIQUETA DE CUERO AL FRENTE</v>
          </cell>
          <cell r="AU307" t="str">
            <v>HILO AL TONO CON HILO GRUESO N 20</v>
          </cell>
          <cell r="AW307" t="str">
            <v>GRABADO ETIQUETA EN NAPADO 7,5CM X 5,5 CM  "EL LUCERO HIGH QUALITY GOODS"</v>
          </cell>
          <cell r="AX307" t="str">
            <v>CAFE_GAMUZA_TABACO</v>
          </cell>
          <cell r="AY307" t="str">
            <v>NAPOLITANA-CUERO GAMUZA</v>
          </cell>
          <cell r="AZ307" t="str">
            <v>CUE0000039</v>
          </cell>
          <cell r="BA307">
            <v>0.38</v>
          </cell>
          <cell r="BB307" t="str">
            <v>CUE0000012</v>
          </cell>
          <cell r="BC307">
            <v>0.09</v>
          </cell>
          <cell r="DJ307">
            <v>0</v>
          </cell>
          <cell r="DK307">
            <v>0.03</v>
          </cell>
          <cell r="KD307">
            <v>6</v>
          </cell>
          <cell r="KE307">
            <v>6</v>
          </cell>
          <cell r="KF307">
            <v>6</v>
          </cell>
          <cell r="KG307">
            <v>0</v>
          </cell>
          <cell r="KJ307">
            <v>0</v>
          </cell>
          <cell r="KM307">
            <v>0</v>
          </cell>
          <cell r="KP307">
            <v>0</v>
          </cell>
          <cell r="KS307">
            <v>0</v>
          </cell>
          <cell r="KV307">
            <v>0</v>
          </cell>
          <cell r="KY307">
            <v>0</v>
          </cell>
          <cell r="LB307">
            <v>0</v>
          </cell>
          <cell r="LE307">
            <v>0</v>
          </cell>
          <cell r="LH307">
            <v>0</v>
          </cell>
          <cell r="LK307">
            <v>0</v>
          </cell>
          <cell r="LN307">
            <v>45884</v>
          </cell>
          <cell r="LO307">
            <v>45900</v>
          </cell>
          <cell r="LP307" t="str">
            <v>COMPLETADO</v>
          </cell>
        </row>
        <row r="308">
          <cell r="A308">
            <v>1951</v>
          </cell>
          <cell r="B308" t="str">
            <v>RUBEN</v>
          </cell>
          <cell r="C308" t="str">
            <v>BARRACAS GRANDE</v>
          </cell>
          <cell r="D308" t="str">
            <v>MARROQUINERIA GRANDE</v>
          </cell>
          <cell r="E308">
            <v>35</v>
          </cell>
          <cell r="F308">
            <v>35</v>
          </cell>
          <cell r="G308">
            <v>35</v>
          </cell>
          <cell r="H308">
            <v>45899.483344907407</v>
          </cell>
          <cell r="I308" t="str">
            <v>CARTERA INES</v>
          </cell>
          <cell r="J308">
            <v>45897</v>
          </cell>
          <cell r="K308">
            <v>45897</v>
          </cell>
          <cell r="L308">
            <v>45897</v>
          </cell>
          <cell r="N308" t="str">
            <v>M170</v>
          </cell>
          <cell r="O308" t="str">
            <v>AV0300460101</v>
          </cell>
          <cell r="P308">
            <v>1</v>
          </cell>
          <cell r="Q308" t="str">
            <v>AV170129018</v>
          </cell>
          <cell r="R308">
            <v>0</v>
          </cell>
          <cell r="AS308" t="str">
            <v>SIN FORRERIA</v>
          </cell>
          <cell r="AT308" t="str">
            <v>SIN PINTURA</v>
          </cell>
          <cell r="AW308" t="str">
            <v>GRABADO "EL LUCERO" CHICO CENTRADO EN PIEZA INTERNA PORTA IMAN TRASERA</v>
          </cell>
          <cell r="AX308" t="str">
            <v>NEGRO</v>
          </cell>
          <cell r="AY308" t="str">
            <v>ARENA-CUERO BRIDGE</v>
          </cell>
          <cell r="AZ308" t="str">
            <v>CUE0000009</v>
          </cell>
          <cell r="BA308">
            <v>0</v>
          </cell>
          <cell r="BR308" t="str">
            <v>MALBEC</v>
          </cell>
          <cell r="BS308" t="str">
            <v>ARENA-CUERO BRIDGE</v>
          </cell>
          <cell r="BT308" t="str">
            <v>CUE0000008</v>
          </cell>
          <cell r="BU308">
            <v>0</v>
          </cell>
          <cell r="CL308" t="str">
            <v>CARAMELO</v>
          </cell>
          <cell r="CM308" t="str">
            <v>ARENA-CUERO BRIDGE</v>
          </cell>
          <cell r="CN308" t="str">
            <v>CUE0000004</v>
          </cell>
          <cell r="CO308">
            <v>0</v>
          </cell>
          <cell r="DF308" t="str">
            <v>PELO_HEREFORD</v>
          </cell>
          <cell r="DG308" t="str">
            <v>LEDER-PELO</v>
          </cell>
          <cell r="DH308" t="str">
            <v>CUE0000117</v>
          </cell>
          <cell r="DI308">
            <v>0</v>
          </cell>
          <cell r="DJ308" t="str">
            <v>CUE0000012</v>
          </cell>
          <cell r="DK308">
            <v>0</v>
          </cell>
          <cell r="DZ308" t="str">
            <v>PELO_HOLANDO</v>
          </cell>
          <cell r="EA308" t="str">
            <v>LEDER-PELO</v>
          </cell>
          <cell r="EB308" t="str">
            <v>CUE0000116</v>
          </cell>
          <cell r="EC308">
            <v>0</v>
          </cell>
          <cell r="ED308" t="str">
            <v>CUE0000009</v>
          </cell>
          <cell r="EE308">
            <v>0</v>
          </cell>
          <cell r="KD308">
            <v>9</v>
          </cell>
          <cell r="KE308">
            <v>9</v>
          </cell>
          <cell r="KF308">
            <v>9</v>
          </cell>
          <cell r="KG308">
            <v>9</v>
          </cell>
          <cell r="KH308">
            <v>9</v>
          </cell>
          <cell r="KI308">
            <v>9</v>
          </cell>
          <cell r="KJ308">
            <v>9</v>
          </cell>
          <cell r="KK308">
            <v>9</v>
          </cell>
          <cell r="KL308">
            <v>9</v>
          </cell>
          <cell r="KM308">
            <v>4</v>
          </cell>
          <cell r="KN308">
            <v>4</v>
          </cell>
          <cell r="KO308">
            <v>4</v>
          </cell>
          <cell r="KP308">
            <v>4</v>
          </cell>
          <cell r="KQ308">
            <v>4</v>
          </cell>
          <cell r="KR308">
            <v>4</v>
          </cell>
          <cell r="KS308">
            <v>0</v>
          </cell>
          <cell r="KV308">
            <v>0</v>
          </cell>
          <cell r="KY308">
            <v>0</v>
          </cell>
          <cell r="LB308">
            <v>0</v>
          </cell>
          <cell r="LE308">
            <v>0</v>
          </cell>
          <cell r="LH308">
            <v>0</v>
          </cell>
          <cell r="LK308">
            <v>0</v>
          </cell>
          <cell r="LN308">
            <v>45897</v>
          </cell>
          <cell r="LO308">
            <v>45909</v>
          </cell>
          <cell r="LP308" t="str">
            <v>COMPLETADO</v>
          </cell>
          <cell r="LT308" t="str">
            <v>QUE SE VEA LA MANCHA SI NO SALE DE RETAZOS USAR PLACA</v>
          </cell>
          <cell r="LU308" t="str">
            <v>QUE SE VEA LA MANCHA SI NO SALE DE RETAZOS USAR PLACA</v>
          </cell>
        </row>
        <row r="309">
          <cell r="A309">
            <v>1952</v>
          </cell>
          <cell r="B309" t="str">
            <v>RUBEN</v>
          </cell>
          <cell r="C309" t="str">
            <v>BARRACAS GRANDE</v>
          </cell>
          <cell r="D309" t="str">
            <v>MARROQUINERIA GRANDE</v>
          </cell>
          <cell r="E309">
            <v>2</v>
          </cell>
          <cell r="F309">
            <v>2</v>
          </cell>
          <cell r="G309">
            <v>2</v>
          </cell>
          <cell r="H309">
            <v>45899.48914351852</v>
          </cell>
          <cell r="I309" t="str">
            <v>CARTERA VERA</v>
          </cell>
          <cell r="J309">
            <v>45897</v>
          </cell>
          <cell r="K309">
            <v>45897</v>
          </cell>
          <cell r="L309">
            <v>45897</v>
          </cell>
          <cell r="M309">
            <v>40</v>
          </cell>
          <cell r="N309" t="str">
            <v>M184</v>
          </cell>
          <cell r="O309" t="str">
            <v>BAC1300020827</v>
          </cell>
          <cell r="P309">
            <v>0.06</v>
          </cell>
          <cell r="Q309" t="str">
            <v>AV0101040201</v>
          </cell>
          <cell r="R309">
            <v>1</v>
          </cell>
          <cell r="S309" t="str">
            <v>AV0600540101</v>
          </cell>
          <cell r="T309">
            <v>1</v>
          </cell>
          <cell r="U309" t="str">
            <v>AV1000920101</v>
          </cell>
          <cell r="V309">
            <v>1</v>
          </cell>
          <cell r="W309" t="str">
            <v>AV0101030201</v>
          </cell>
          <cell r="X309">
            <v>1</v>
          </cell>
          <cell r="Y309" t="str">
            <v>AV1000380101</v>
          </cell>
          <cell r="Z309">
            <v>1</v>
          </cell>
          <cell r="AA309" t="str">
            <v>AV0300390101</v>
          </cell>
          <cell r="AB309">
            <v>1</v>
          </cell>
          <cell r="AC309" t="str">
            <v>AV170129018</v>
          </cell>
          <cell r="AD309">
            <v>0</v>
          </cell>
          <cell r="AS309" t="str">
            <v>TIRACIERRE N1 - TIRA DE CUERO CON REMACHE Y GRABADO ESTRELLITA</v>
          </cell>
          <cell r="AT309" t="str">
            <v>TOTAL 12 ORIFICIOS</v>
          </cell>
          <cell r="AW309" t="str">
            <v>GRABADO "EL LUCERO" GRANDE EN ZOCALO BOLSILLO INTERNO CENTRADO ABAJO</v>
          </cell>
          <cell r="AX309" t="str">
            <v>CAFE_GAMUZA_TABACO</v>
          </cell>
          <cell r="AY309" t="str">
            <v>NAPOLITANA-CUERO GAMUZA</v>
          </cell>
          <cell r="AZ309" t="str">
            <v>CUE0000039</v>
          </cell>
          <cell r="BA309">
            <v>0.49</v>
          </cell>
          <cell r="BB309" t="str">
            <v>CUE0000012</v>
          </cell>
          <cell r="BC309">
            <v>0.12</v>
          </cell>
          <cell r="BD309" t="str">
            <v>FOR0000021</v>
          </cell>
          <cell r="BE309">
            <v>0.4</v>
          </cell>
          <cell r="BF309" t="str">
            <v>AV0100010114</v>
          </cell>
          <cell r="BG309">
            <v>0.78</v>
          </cell>
          <cell r="BU309">
            <v>0</v>
          </cell>
          <cell r="CO309">
            <v>0</v>
          </cell>
          <cell r="DJ309" t="str">
            <v>CUE0000012</v>
          </cell>
          <cell r="DK309">
            <v>0</v>
          </cell>
          <cell r="ED309" t="str">
            <v>CUE0000009</v>
          </cell>
          <cell r="EE309">
            <v>0</v>
          </cell>
          <cell r="KD309">
            <v>2</v>
          </cell>
          <cell r="KE309">
            <v>2</v>
          </cell>
          <cell r="KF309">
            <v>2</v>
          </cell>
          <cell r="KG309">
            <v>0</v>
          </cell>
          <cell r="KJ309">
            <v>0</v>
          </cell>
          <cell r="KM309">
            <v>0</v>
          </cell>
          <cell r="KN309">
            <v>0</v>
          </cell>
          <cell r="KP309">
            <v>0</v>
          </cell>
          <cell r="KQ309">
            <v>0</v>
          </cell>
          <cell r="KS309">
            <v>0</v>
          </cell>
          <cell r="KV309">
            <v>0</v>
          </cell>
          <cell r="KY309">
            <v>0</v>
          </cell>
          <cell r="LB309">
            <v>0</v>
          </cell>
          <cell r="LE309">
            <v>0</v>
          </cell>
          <cell r="LH309">
            <v>0</v>
          </cell>
          <cell r="LK309">
            <v>0</v>
          </cell>
          <cell r="LN309">
            <v>45897</v>
          </cell>
          <cell r="LO309">
            <v>45916</v>
          </cell>
          <cell r="LP309" t="str">
            <v>COMPLETADO</v>
          </cell>
        </row>
        <row r="310">
          <cell r="A310">
            <v>1953</v>
          </cell>
          <cell r="B310" t="str">
            <v>RUBEN</v>
          </cell>
          <cell r="C310" t="str">
            <v>BARRACAS GRANDE</v>
          </cell>
          <cell r="D310" t="str">
            <v>MARROQUINERIA GRANDE</v>
          </cell>
          <cell r="E310">
            <v>35</v>
          </cell>
          <cell r="F310">
            <v>35</v>
          </cell>
          <cell r="G310">
            <v>35</v>
          </cell>
          <cell r="H310">
            <v>45899.506516203706</v>
          </cell>
          <cell r="I310" t="str">
            <v>TOTE TILCARA</v>
          </cell>
          <cell r="J310">
            <v>45897</v>
          </cell>
          <cell r="K310">
            <v>45897</v>
          </cell>
          <cell r="L310">
            <v>45897</v>
          </cell>
          <cell r="M310">
            <v>20</v>
          </cell>
          <cell r="N310" t="str">
            <v>M188</v>
          </cell>
          <cell r="O310" t="str">
            <v>AV170129018</v>
          </cell>
          <cell r="P310">
            <v>0</v>
          </cell>
          <cell r="AW310" t="str">
            <v xml:space="preserve">GRABADO EN ESPALDA "EL LUCERO GRANDE" CENTRADO ABAJO A 2 CM DESDE EL PESPUNTE </v>
          </cell>
          <cell r="AX310" t="str">
            <v>NEGRO</v>
          </cell>
          <cell r="AY310" t="str">
            <v>ARENA-CUERO NAPADO</v>
          </cell>
          <cell r="AZ310" t="str">
            <v>CUE0000026</v>
          </cell>
          <cell r="BA310">
            <v>0.47</v>
          </cell>
          <cell r="BR310" t="str">
            <v>CARAMELO</v>
          </cell>
          <cell r="BS310" t="str">
            <v>ARENA-CUERO NAPADO</v>
          </cell>
          <cell r="BT310" t="str">
            <v>CUE0000022</v>
          </cell>
          <cell r="BU310">
            <v>0.47</v>
          </cell>
          <cell r="CL310" t="str">
            <v>MALBEC</v>
          </cell>
          <cell r="CM310" t="str">
            <v>ARENA-CUERO NAPADO</v>
          </cell>
          <cell r="CN310" t="str">
            <v>CUE0000025</v>
          </cell>
          <cell r="CO310">
            <v>0.47</v>
          </cell>
          <cell r="DJ310" t="str">
            <v>CUE0000012</v>
          </cell>
          <cell r="DK310">
            <v>0</v>
          </cell>
          <cell r="ED310" t="str">
            <v>CUE0000009</v>
          </cell>
          <cell r="EE310">
            <v>0</v>
          </cell>
          <cell r="KD310">
            <v>14</v>
          </cell>
          <cell r="KE310">
            <v>14</v>
          </cell>
          <cell r="KF310">
            <v>14</v>
          </cell>
          <cell r="KG310">
            <v>12</v>
          </cell>
          <cell r="KH310">
            <v>12</v>
          </cell>
          <cell r="KI310">
            <v>12</v>
          </cell>
          <cell r="KJ310">
            <v>9</v>
          </cell>
          <cell r="KK310">
            <v>9</v>
          </cell>
          <cell r="KL310">
            <v>9</v>
          </cell>
          <cell r="KM310">
            <v>0</v>
          </cell>
          <cell r="KN310">
            <v>0</v>
          </cell>
          <cell r="KP310">
            <v>0</v>
          </cell>
          <cell r="KQ310">
            <v>0</v>
          </cell>
          <cell r="KS310">
            <v>0</v>
          </cell>
          <cell r="KV310">
            <v>0</v>
          </cell>
          <cell r="KY310">
            <v>0</v>
          </cell>
          <cell r="LB310">
            <v>0</v>
          </cell>
          <cell r="LE310">
            <v>0</v>
          </cell>
          <cell r="LH310">
            <v>0</v>
          </cell>
          <cell r="LK310">
            <v>0</v>
          </cell>
          <cell r="LN310">
            <v>45897</v>
          </cell>
          <cell r="LO310">
            <v>45909</v>
          </cell>
          <cell r="LP310" t="str">
            <v>COMPLETADO</v>
          </cell>
        </row>
        <row r="311">
          <cell r="A311">
            <v>1954</v>
          </cell>
          <cell r="B311" t="str">
            <v>RUBEN</v>
          </cell>
          <cell r="C311" t="str">
            <v>BARRACAS GRANDE</v>
          </cell>
          <cell r="D311" t="str">
            <v>MARROQUINERIA GRANDE</v>
          </cell>
          <cell r="E311">
            <v>24</v>
          </cell>
          <cell r="F311">
            <v>24</v>
          </cell>
          <cell r="G311">
            <v>24</v>
          </cell>
          <cell r="H311">
            <v>45899.510914351849</v>
          </cell>
          <cell r="I311" t="str">
            <v>PORTALAPTOP MILTON</v>
          </cell>
          <cell r="J311">
            <v>45897</v>
          </cell>
          <cell r="K311">
            <v>45897</v>
          </cell>
          <cell r="L311">
            <v>45897</v>
          </cell>
          <cell r="M311">
            <v>18</v>
          </cell>
          <cell r="N311" t="str">
            <v>M095</v>
          </cell>
          <cell r="O311" t="str">
            <v>AV170129018</v>
          </cell>
          <cell r="P311">
            <v>0</v>
          </cell>
          <cell r="AS311" t="str">
            <v>MODIFICAR EL MOLDE VA PUNTA REDONDEADA</v>
          </cell>
          <cell r="AW311" t="str">
            <v xml:space="preserve">GRABADO "EL LUCERO ARGENTINA" GRANDE EN ESPALDA, CENTRADO A 1,5 CM DESDE EL BORDE INFERIOR </v>
          </cell>
          <cell r="AX311" t="str">
            <v>MALBEC</v>
          </cell>
          <cell r="AY311" t="str">
            <v>ARENA-CUERO BRIDGE</v>
          </cell>
          <cell r="AZ311" t="str">
            <v>CUE0000008</v>
          </cell>
          <cell r="BA311">
            <v>0.27</v>
          </cell>
          <cell r="BB311" t="str">
            <v>AV1401240545</v>
          </cell>
          <cell r="BC311">
            <v>0</v>
          </cell>
          <cell r="BR311" t="str">
            <v>CARAMELO</v>
          </cell>
          <cell r="BS311" t="str">
            <v>ARENA-CUERO BRIDGE</v>
          </cell>
          <cell r="BT311" t="str">
            <v>CUE0000004</v>
          </cell>
          <cell r="BU311">
            <v>0.27</v>
          </cell>
          <cell r="BV311" t="str">
            <v>AV1401240545</v>
          </cell>
          <cell r="BW311">
            <v>0</v>
          </cell>
          <cell r="CL311" t="str">
            <v>TABACO</v>
          </cell>
          <cell r="CM311" t="str">
            <v>ARENA-CUERO BRIDGE</v>
          </cell>
          <cell r="CN311" t="str">
            <v>CUE0000012</v>
          </cell>
          <cell r="CO311">
            <v>0.27</v>
          </cell>
          <cell r="CP311" t="str">
            <v>AV1401240545</v>
          </cell>
          <cell r="CQ311">
            <v>0</v>
          </cell>
          <cell r="DF311" t="str">
            <v>NEGRO</v>
          </cell>
          <cell r="DG311" t="str">
            <v>ARENA-CUERO BRIDGE</v>
          </cell>
          <cell r="DH311" t="str">
            <v>CUE0000009</v>
          </cell>
          <cell r="DI311">
            <v>0.27</v>
          </cell>
          <cell r="DJ311" t="str">
            <v>AV1401244040</v>
          </cell>
          <cell r="DK311">
            <v>0</v>
          </cell>
          <cell r="DZ311" t="str">
            <v>CEDRO</v>
          </cell>
          <cell r="EA311" t="str">
            <v>BIANCO-CUERO FIORENTINO</v>
          </cell>
          <cell r="EB311" t="str">
            <v>CUE0000055</v>
          </cell>
          <cell r="EC311">
            <v>0.27</v>
          </cell>
          <cell r="ED311" t="str">
            <v>AV1401240545</v>
          </cell>
          <cell r="EE311">
            <v>0</v>
          </cell>
          <cell r="KD311">
            <v>6</v>
          </cell>
          <cell r="KE311">
            <v>6</v>
          </cell>
          <cell r="KF311">
            <v>6</v>
          </cell>
          <cell r="KG311">
            <v>3</v>
          </cell>
          <cell r="KH311">
            <v>3</v>
          </cell>
          <cell r="KI311">
            <v>3</v>
          </cell>
          <cell r="KJ311">
            <v>6</v>
          </cell>
          <cell r="KK311">
            <v>6</v>
          </cell>
          <cell r="KL311">
            <v>6</v>
          </cell>
          <cell r="KM311">
            <v>3</v>
          </cell>
          <cell r="KN311">
            <v>3</v>
          </cell>
          <cell r="KO311">
            <v>3</v>
          </cell>
          <cell r="KP311">
            <v>6</v>
          </cell>
          <cell r="KQ311">
            <v>6</v>
          </cell>
          <cell r="KR311">
            <v>6</v>
          </cell>
          <cell r="KS311">
            <v>0</v>
          </cell>
          <cell r="KV311">
            <v>0</v>
          </cell>
          <cell r="KY311">
            <v>0</v>
          </cell>
          <cell r="LB311">
            <v>0</v>
          </cell>
          <cell r="LE311">
            <v>0</v>
          </cell>
          <cell r="LH311">
            <v>0</v>
          </cell>
          <cell r="LK311">
            <v>0</v>
          </cell>
          <cell r="LN311">
            <v>45897</v>
          </cell>
          <cell r="LO311">
            <v>45909</v>
          </cell>
          <cell r="LP311" t="str">
            <v>COMPLETADO</v>
          </cell>
        </row>
        <row r="312">
          <cell r="A312">
            <v>1955</v>
          </cell>
          <cell r="B312" t="str">
            <v>RUBEN</v>
          </cell>
          <cell r="C312" t="str">
            <v>BARRACAS GRANDE</v>
          </cell>
          <cell r="D312" t="str">
            <v>MARROQUINERIA GRANDE</v>
          </cell>
          <cell r="E312">
            <v>10</v>
          </cell>
          <cell r="F312">
            <v>10</v>
          </cell>
          <cell r="G312">
            <v>10</v>
          </cell>
          <cell r="H312">
            <v>45900.529988425929</v>
          </cell>
          <cell r="I312" t="str">
            <v>RIÑONERA EVAN CHICA</v>
          </cell>
          <cell r="J312">
            <v>45897</v>
          </cell>
          <cell r="K312">
            <v>45897</v>
          </cell>
          <cell r="L312">
            <v>45897</v>
          </cell>
          <cell r="M312">
            <v>45</v>
          </cell>
          <cell r="N312" t="str">
            <v>M113</v>
          </cell>
          <cell r="O312" t="str">
            <v>AV0101030201</v>
          </cell>
          <cell r="P312">
            <v>2</v>
          </cell>
          <cell r="Q312" t="str">
            <v>AV0300260101</v>
          </cell>
          <cell r="R312">
            <v>1</v>
          </cell>
          <cell r="S312" t="str">
            <v>AV0400900101</v>
          </cell>
          <cell r="T312">
            <v>1</v>
          </cell>
          <cell r="U312" t="str">
            <v>AV0300390101</v>
          </cell>
          <cell r="V312">
            <v>2</v>
          </cell>
          <cell r="W312" t="str">
            <v>AV1000380101</v>
          </cell>
          <cell r="X312">
            <v>1</v>
          </cell>
          <cell r="Y312" t="str">
            <v>AV170129018</v>
          </cell>
          <cell r="Z312">
            <v>0</v>
          </cell>
          <cell r="AS312" t="str">
            <v>TIRACIERRE N° 4 , TIRA CONTRAPEGADA+ REMACHE + GRABADO "L" LUCERO</v>
          </cell>
          <cell r="AW312" t="str">
            <v xml:space="preserve">GRABADO EL LUCERO CHICO: ESPALDA CENTRADO A 2 CM DE BORDE INFERIOR  </v>
          </cell>
          <cell r="AX312" t="str">
            <v>TABACO</v>
          </cell>
          <cell r="AY312" t="str">
            <v>ARENA-CUERO BRIDGE</v>
          </cell>
          <cell r="AZ312" t="str">
            <v>CUE0000012</v>
          </cell>
          <cell r="BA312">
            <v>0.22</v>
          </cell>
          <cell r="BB312" t="str">
            <v>FOR0000021</v>
          </cell>
          <cell r="BC312">
            <v>0.09</v>
          </cell>
          <cell r="BD312" t="str">
            <v>AV1101200538</v>
          </cell>
          <cell r="BE312">
            <v>1.56</v>
          </cell>
          <cell r="BF312" t="str">
            <v>AV0100010114</v>
          </cell>
          <cell r="BG312">
            <v>0.5</v>
          </cell>
          <cell r="BH312" t="str">
            <v>AV1101180538</v>
          </cell>
          <cell r="BI312">
            <v>1.3</v>
          </cell>
          <cell r="BJ312" t="str">
            <v>AV1401240545</v>
          </cell>
          <cell r="BK312">
            <v>0</v>
          </cell>
          <cell r="BR312" t="str">
            <v>NEGRO</v>
          </cell>
          <cell r="BS312" t="str">
            <v>ARENA-CUERO BRIDGE</v>
          </cell>
          <cell r="BT312" t="str">
            <v>CUE0000009</v>
          </cell>
          <cell r="BU312">
            <v>0.22</v>
          </cell>
          <cell r="BV312" t="str">
            <v>FOR0000020</v>
          </cell>
          <cell r="BW312">
            <v>0.09</v>
          </cell>
          <cell r="BX312" t="str">
            <v>AV1101190526</v>
          </cell>
          <cell r="BY312">
            <v>1.56</v>
          </cell>
          <cell r="BZ312" t="str">
            <v>AV0100010103</v>
          </cell>
          <cell r="CA312">
            <v>0.5</v>
          </cell>
          <cell r="CB312" t="str">
            <v>AV1101170526</v>
          </cell>
          <cell r="CC312">
            <v>1.3</v>
          </cell>
          <cell r="CD312" t="str">
            <v>AV1401244040</v>
          </cell>
          <cell r="CE312">
            <v>0</v>
          </cell>
          <cell r="CF312" t="str">
            <v>AV1601300926</v>
          </cell>
          <cell r="CG312">
            <v>0</v>
          </cell>
          <cell r="CL312" t="str">
            <v>CHOCOLATE</v>
          </cell>
          <cell r="CM312" t="str">
            <v>ARENA-CUERO BRIDGE</v>
          </cell>
          <cell r="CN312" t="str">
            <v>CUE0000005</v>
          </cell>
          <cell r="CO312">
            <v>0.22</v>
          </cell>
          <cell r="CP312" t="str">
            <v>FOR0000021</v>
          </cell>
          <cell r="CQ312">
            <v>0.09</v>
          </cell>
          <cell r="CR312" t="str">
            <v>AV1101200538</v>
          </cell>
          <cell r="CS312">
            <v>1.56</v>
          </cell>
          <cell r="CT312" t="str">
            <v>AV0100010111</v>
          </cell>
          <cell r="CU312">
            <v>0.5</v>
          </cell>
          <cell r="CV312" t="str">
            <v>AV1101180538</v>
          </cell>
          <cell r="CW312">
            <v>1.3</v>
          </cell>
          <cell r="CX312" t="str">
            <v>AV1401240545</v>
          </cell>
          <cell r="CY312">
            <v>0</v>
          </cell>
          <cell r="CZ312" t="str">
            <v>AV1601300954</v>
          </cell>
          <cell r="DA312">
            <v>0</v>
          </cell>
          <cell r="KD312">
            <v>4</v>
          </cell>
          <cell r="KE312">
            <v>4</v>
          </cell>
          <cell r="KF312">
            <v>4</v>
          </cell>
          <cell r="KG312">
            <v>2</v>
          </cell>
          <cell r="KH312">
            <v>2</v>
          </cell>
          <cell r="KI312">
            <v>2</v>
          </cell>
          <cell r="KJ312">
            <v>4</v>
          </cell>
          <cell r="KK312">
            <v>4</v>
          </cell>
          <cell r="KL312">
            <v>4</v>
          </cell>
          <cell r="KM312">
            <v>0</v>
          </cell>
          <cell r="KP312">
            <v>0</v>
          </cell>
          <cell r="KS312">
            <v>0</v>
          </cell>
          <cell r="KV312">
            <v>0</v>
          </cell>
          <cell r="KY312">
            <v>0</v>
          </cell>
          <cell r="LB312">
            <v>0</v>
          </cell>
          <cell r="LE312">
            <v>0</v>
          </cell>
          <cell r="LH312">
            <v>0</v>
          </cell>
          <cell r="LK312">
            <v>0</v>
          </cell>
          <cell r="LN312">
            <v>45897</v>
          </cell>
          <cell r="LO312">
            <v>45916</v>
          </cell>
          <cell r="LP312" t="str">
            <v>COMPLETADO</v>
          </cell>
        </row>
        <row r="313">
          <cell r="A313">
            <v>1956</v>
          </cell>
          <cell r="B313" t="str">
            <v>RUBEN</v>
          </cell>
          <cell r="C313" t="str">
            <v>BARRACAS GRANDE</v>
          </cell>
          <cell r="D313" t="str">
            <v>MARROQUINERIA GRANDE</v>
          </cell>
          <cell r="E313">
            <v>4</v>
          </cell>
          <cell r="F313">
            <v>4</v>
          </cell>
          <cell r="G313">
            <v>4</v>
          </cell>
          <cell r="H313">
            <v>45900.533912037034</v>
          </cell>
          <cell r="I313" t="str">
            <v>RIÑONERA EVAN CHICA FULL BLACK</v>
          </cell>
          <cell r="J313">
            <v>45897</v>
          </cell>
          <cell r="K313">
            <v>45897</v>
          </cell>
          <cell r="L313">
            <v>45897</v>
          </cell>
          <cell r="M313">
            <v>45</v>
          </cell>
          <cell r="N313" t="str">
            <v>M114</v>
          </cell>
          <cell r="O313" t="str">
            <v>AV0101030201</v>
          </cell>
          <cell r="P313">
            <v>2</v>
          </cell>
          <cell r="Q313" t="str">
            <v>AV0300260101</v>
          </cell>
          <cell r="R313">
            <v>1</v>
          </cell>
          <cell r="S313" t="str">
            <v>AV0400900101</v>
          </cell>
          <cell r="T313">
            <v>1</v>
          </cell>
          <cell r="U313" t="str">
            <v>AV0300390101</v>
          </cell>
          <cell r="V313">
            <v>2</v>
          </cell>
          <cell r="W313" t="str">
            <v>AV1000380101</v>
          </cell>
          <cell r="X313">
            <v>1</v>
          </cell>
          <cell r="Y313" t="str">
            <v>AV170129018</v>
          </cell>
          <cell r="Z313">
            <v>0</v>
          </cell>
          <cell r="AS313" t="str">
            <v>TIRACIERRE N 13 (TIRA DE CUERO COSIDA)</v>
          </cell>
          <cell r="AW313" t="str">
            <v xml:space="preserve">GRABADO EL LUCERO CHICO: ESPALDA CENTRADO A 2 CM DE BORDE INFERIOR  </v>
          </cell>
          <cell r="AX313" t="str">
            <v>NEGRO</v>
          </cell>
          <cell r="AY313" t="str">
            <v>ARENA-CUERO BRIDGE</v>
          </cell>
          <cell r="AZ313" t="str">
            <v>CUE0000009</v>
          </cell>
          <cell r="BA313">
            <v>0.22</v>
          </cell>
          <cell r="BB313" t="str">
            <v>FOR0000020</v>
          </cell>
          <cell r="BC313">
            <v>0.09</v>
          </cell>
          <cell r="BD313" t="str">
            <v>AV1101190526</v>
          </cell>
          <cell r="BE313">
            <v>1.56</v>
          </cell>
          <cell r="BF313" t="str">
            <v>AV0100010103</v>
          </cell>
          <cell r="BG313">
            <v>0.5</v>
          </cell>
          <cell r="BH313" t="str">
            <v>AV1101170526</v>
          </cell>
          <cell r="BI313">
            <v>1.3</v>
          </cell>
          <cell r="BJ313" t="str">
            <v>AV1401244040</v>
          </cell>
          <cell r="BK313">
            <v>0</v>
          </cell>
          <cell r="KD313">
            <v>4</v>
          </cell>
          <cell r="KE313">
            <v>4</v>
          </cell>
          <cell r="KF313">
            <v>4</v>
          </cell>
          <cell r="KG313">
            <v>0</v>
          </cell>
          <cell r="KJ313">
            <v>0</v>
          </cell>
          <cell r="KM313">
            <v>0</v>
          </cell>
          <cell r="KP313">
            <v>0</v>
          </cell>
          <cell r="KS313">
            <v>0</v>
          </cell>
          <cell r="KV313">
            <v>0</v>
          </cell>
          <cell r="KY313">
            <v>0</v>
          </cell>
          <cell r="LB313">
            <v>0</v>
          </cell>
          <cell r="LE313">
            <v>0</v>
          </cell>
          <cell r="LH313">
            <v>0</v>
          </cell>
          <cell r="LK313">
            <v>0</v>
          </cell>
          <cell r="LN313">
            <v>45897</v>
          </cell>
          <cell r="LO313">
            <v>45916</v>
          </cell>
          <cell r="LP313" t="str">
            <v>COMPLETADO</v>
          </cell>
        </row>
        <row r="314">
          <cell r="A314">
            <v>19342</v>
          </cell>
          <cell r="B314" t="str">
            <v>LUCIANO</v>
          </cell>
          <cell r="C314" t="str">
            <v>EXT GABRIEL</v>
          </cell>
          <cell r="D314" t="str">
            <v>MARROQUINERIA CHICA</v>
          </cell>
          <cell r="E314">
            <v>10</v>
          </cell>
          <cell r="F314">
            <v>10</v>
          </cell>
          <cell r="G314">
            <v>10</v>
          </cell>
          <cell r="H314">
            <v>45901.450694444444</v>
          </cell>
          <cell r="I314" t="str">
            <v>PORTALENTES LUZ</v>
          </cell>
          <cell r="J314">
            <v>45884</v>
          </cell>
          <cell r="K314">
            <v>45884</v>
          </cell>
          <cell r="L314">
            <v>45884</v>
          </cell>
          <cell r="M314">
            <v>10</v>
          </cell>
          <cell r="N314" t="str">
            <v>M098</v>
          </cell>
          <cell r="O314" t="str">
            <v>AV170134014</v>
          </cell>
          <cell r="P314">
            <v>0</v>
          </cell>
          <cell r="AW314" t="str">
            <v xml:space="preserve">GRABADO EL LUCERO ARGENTINA CHICO, EN ELFRENTE, A 1.5CM DEL BORDE INFERIOR Y A 1.5 CM DEL BORDE DERECHO. </v>
          </cell>
          <cell r="AX314" t="str">
            <v>MALBEC</v>
          </cell>
          <cell r="AY314" t="str">
            <v>ARENA-CUERO BRIDGE</v>
          </cell>
          <cell r="AZ314" t="str">
            <v>CUE0000008</v>
          </cell>
          <cell r="BA314">
            <v>0.03</v>
          </cell>
          <cell r="BB314">
            <v>0</v>
          </cell>
          <cell r="BC314">
            <v>0.03</v>
          </cell>
          <cell r="BD314" t="str">
            <v>AV1401250545</v>
          </cell>
          <cell r="BE314">
            <v>0</v>
          </cell>
          <cell r="BF314" t="str">
            <v>PIN00000001</v>
          </cell>
          <cell r="BG314">
            <v>0</v>
          </cell>
          <cell r="KD314">
            <v>10</v>
          </cell>
          <cell r="KE314">
            <v>10</v>
          </cell>
          <cell r="KF314">
            <v>10</v>
          </cell>
          <cell r="KG314">
            <v>0</v>
          </cell>
          <cell r="KJ314">
            <v>0</v>
          </cell>
          <cell r="KM314">
            <v>0</v>
          </cell>
          <cell r="KP314">
            <v>0</v>
          </cell>
          <cell r="KS314">
            <v>0</v>
          </cell>
          <cell r="KV314">
            <v>0</v>
          </cell>
          <cell r="KY314">
            <v>0</v>
          </cell>
          <cell r="LB314">
            <v>0</v>
          </cell>
          <cell r="LE314">
            <v>0</v>
          </cell>
          <cell r="LH314">
            <v>0</v>
          </cell>
          <cell r="LK314">
            <v>0</v>
          </cell>
          <cell r="LN314">
            <v>45884</v>
          </cell>
          <cell r="LO314">
            <v>45895</v>
          </cell>
          <cell r="LP314" t="str">
            <v>COMPLETADO</v>
          </cell>
        </row>
        <row r="315">
          <cell r="A315">
            <v>18693</v>
          </cell>
          <cell r="B315" t="str">
            <v>RUBEN</v>
          </cell>
          <cell r="C315" t="str">
            <v>BARRACAS GRANDE</v>
          </cell>
          <cell r="D315" t="str">
            <v>MARROQUINERIA GRANDE</v>
          </cell>
          <cell r="E315">
            <v>3</v>
          </cell>
          <cell r="F315">
            <v>3</v>
          </cell>
          <cell r="G315">
            <v>3</v>
          </cell>
          <cell r="H315">
            <v>45901.459351851852</v>
          </cell>
          <cell r="I315" t="str">
            <v>TOTE IRUYA</v>
          </cell>
          <cell r="J315">
            <v>45874</v>
          </cell>
          <cell r="K315">
            <v>45874</v>
          </cell>
          <cell r="L315">
            <v>45874</v>
          </cell>
          <cell r="M315">
            <v>20</v>
          </cell>
          <cell r="N315" t="str">
            <v>M154</v>
          </cell>
          <cell r="O315" t="str">
            <v>AV170129018</v>
          </cell>
          <cell r="P315">
            <v>0</v>
          </cell>
          <cell r="AS315" t="str">
            <v>CORREA 2,5CM / SIN PINTURA</v>
          </cell>
          <cell r="AT315" t="str">
            <v>PEGAR ETIQUETA DE CUERO AL FRENTE HILO AL TONO CON HILO GRUESO N 20</v>
          </cell>
          <cell r="AW315" t="str">
            <v>GRABADO ETIQUETA EN NAPADO 7,5CM X 5,5 CM "EL LUCERO HIGH QUALITY GOODS</v>
          </cell>
          <cell r="AX315" t="str">
            <v>CARAMELO</v>
          </cell>
          <cell r="AY315" t="str">
            <v>ARENA-CUERO NAPADO</v>
          </cell>
          <cell r="AZ315" t="str">
            <v>CUE0000022</v>
          </cell>
          <cell r="BA315">
            <v>0.44999999999999996</v>
          </cell>
          <cell r="KD315">
            <v>3</v>
          </cell>
          <cell r="KE315">
            <v>3</v>
          </cell>
          <cell r="KF315">
            <v>3</v>
          </cell>
          <cell r="KG315">
            <v>0</v>
          </cell>
          <cell r="KJ315">
            <v>0</v>
          </cell>
          <cell r="KM315">
            <v>0</v>
          </cell>
          <cell r="KP315">
            <v>0</v>
          </cell>
          <cell r="KS315">
            <v>0</v>
          </cell>
          <cell r="KV315">
            <v>0</v>
          </cell>
          <cell r="KY315">
            <v>0</v>
          </cell>
          <cell r="LB315">
            <v>0</v>
          </cell>
          <cell r="LE315">
            <v>0</v>
          </cell>
          <cell r="LH315">
            <v>0</v>
          </cell>
          <cell r="LK315">
            <v>0</v>
          </cell>
          <cell r="LN315">
            <v>45874</v>
          </cell>
          <cell r="LO315">
            <v>45895</v>
          </cell>
          <cell r="LP315" t="str">
            <v>COMPLETADO</v>
          </cell>
        </row>
        <row r="316">
          <cell r="A316">
            <v>18694</v>
          </cell>
          <cell r="B316" t="str">
            <v>RUBEN</v>
          </cell>
          <cell r="C316" t="str">
            <v>BARRACAS GRANDE</v>
          </cell>
          <cell r="D316" t="str">
            <v>MARROQUINERIA GRANDE</v>
          </cell>
          <cell r="E316">
            <v>12</v>
          </cell>
          <cell r="F316">
            <v>12</v>
          </cell>
          <cell r="H316">
            <v>45962.850914351853</v>
          </cell>
          <cell r="I316" t="str">
            <v>TOTE IRUYA</v>
          </cell>
          <cell r="M316">
            <v>20</v>
          </cell>
          <cell r="N316" t="str">
            <v>M154</v>
          </cell>
          <cell r="O316" t="str">
            <v>AV170129018</v>
          </cell>
          <cell r="P316">
            <v>0</v>
          </cell>
          <cell r="AS316" t="str">
            <v>CORREA 2,5CM / SIN PINTURA</v>
          </cell>
          <cell r="AT316" t="str">
            <v>PEGAR ETIQUETA DE CUERO AL FRENTE HILO AL TONO CON HILO GRUESO N 20</v>
          </cell>
          <cell r="AW316" t="str">
            <v>GRABADO ETIQUETA EN NAPADO 7,5CM X 5,5 CM "EL LUCERO HIGH QUALITY GOODS</v>
          </cell>
          <cell r="AX316" t="str">
            <v>OLIVA_GAMUZA_TABACO</v>
          </cell>
          <cell r="AY316" t="str">
            <v>NAPOLITANA-CUERO GAMUZA</v>
          </cell>
          <cell r="AZ316" t="str">
            <v>CUE0000047</v>
          </cell>
          <cell r="BA316">
            <v>0.35</v>
          </cell>
          <cell r="BB316" t="str">
            <v>CUE0000012</v>
          </cell>
          <cell r="BC316">
            <v>0.1</v>
          </cell>
          <cell r="KD316">
            <v>12</v>
          </cell>
          <cell r="KE316">
            <v>12</v>
          </cell>
          <cell r="KG316">
            <v>0</v>
          </cell>
          <cell r="KJ316">
            <v>0</v>
          </cell>
          <cell r="KM316">
            <v>0</v>
          </cell>
          <cell r="KP316">
            <v>0</v>
          </cell>
          <cell r="KS316">
            <v>0</v>
          </cell>
          <cell r="KV316">
            <v>0</v>
          </cell>
          <cell r="KY316">
            <v>0</v>
          </cell>
          <cell r="LB316">
            <v>0</v>
          </cell>
          <cell r="LE316">
            <v>0</v>
          </cell>
          <cell r="LH316">
            <v>0</v>
          </cell>
          <cell r="LK316">
            <v>0</v>
          </cell>
          <cell r="LP316" t="str">
            <v>NO COMENZADO</v>
          </cell>
        </row>
        <row r="317">
          <cell r="A317">
            <v>1958</v>
          </cell>
          <cell r="B317" t="str">
            <v>LUCIANO</v>
          </cell>
          <cell r="C317" t="str">
            <v>BARRACAS GRANDE</v>
          </cell>
          <cell r="D317" t="str">
            <v>MARROQUINERIA GRANDE</v>
          </cell>
          <cell r="E317">
            <v>6</v>
          </cell>
          <cell r="F317">
            <v>6</v>
          </cell>
          <cell r="G317">
            <v>6</v>
          </cell>
          <cell r="H317">
            <v>45905.56355324074</v>
          </cell>
          <cell r="I317" t="str">
            <v>CARTERA MANA</v>
          </cell>
          <cell r="J317">
            <v>45903</v>
          </cell>
          <cell r="K317">
            <v>45903</v>
          </cell>
          <cell r="L317">
            <v>45903</v>
          </cell>
          <cell r="M317">
            <v>55</v>
          </cell>
          <cell r="N317" t="str">
            <v>M192</v>
          </cell>
          <cell r="O317" t="str">
            <v>AV0300460101</v>
          </cell>
          <cell r="P317">
            <v>1</v>
          </cell>
          <cell r="Q317" t="str">
            <v>CUE0000124</v>
          </cell>
          <cell r="R317">
            <v>1</v>
          </cell>
          <cell r="S317" t="str">
            <v>AV170129018</v>
          </cell>
          <cell r="T317">
            <v>0</v>
          </cell>
          <cell r="AS317" t="str">
            <v>TRABAJO MANUAL ARTESANAL PESPUNTE</v>
          </cell>
          <cell r="AT317" t="str">
            <v>FLECOS EN EL MISMO MATERIAL</v>
          </cell>
          <cell r="AW317" t="str">
            <v>GRABADO EL LUCERO GRANDE ATRAS ARRIBA</v>
          </cell>
          <cell r="AX317" t="str">
            <v>CAOBA</v>
          </cell>
          <cell r="AY317" t="str">
            <v>ANAN-CUERO NAPOLE</v>
          </cell>
          <cell r="AZ317" t="str">
            <v>CUE0000179</v>
          </cell>
          <cell r="BA317">
            <v>0.98</v>
          </cell>
          <cell r="BR317" t="str">
            <v>TABACO</v>
          </cell>
          <cell r="BS317" t="str">
            <v>ANAN-CUERO NAPOLE</v>
          </cell>
          <cell r="BT317" t="str">
            <v>CUE0000178</v>
          </cell>
          <cell r="BU317">
            <v>0.98</v>
          </cell>
          <cell r="KD317">
            <v>3</v>
          </cell>
          <cell r="KE317">
            <v>3</v>
          </cell>
          <cell r="KF317">
            <v>3</v>
          </cell>
          <cell r="KG317">
            <v>3</v>
          </cell>
          <cell r="KH317">
            <v>3</v>
          </cell>
          <cell r="KI317">
            <v>3</v>
          </cell>
          <cell r="KJ317">
            <v>0</v>
          </cell>
          <cell r="KM317">
            <v>0</v>
          </cell>
          <cell r="KP317">
            <v>0</v>
          </cell>
          <cell r="KS317">
            <v>0</v>
          </cell>
          <cell r="KV317">
            <v>0</v>
          </cell>
          <cell r="KY317">
            <v>0</v>
          </cell>
          <cell r="LB317">
            <v>0</v>
          </cell>
          <cell r="LE317">
            <v>0</v>
          </cell>
          <cell r="LH317">
            <v>0</v>
          </cell>
          <cell r="LK317">
            <v>0</v>
          </cell>
          <cell r="LN317">
            <v>45903</v>
          </cell>
          <cell r="LO317">
            <v>45916</v>
          </cell>
          <cell r="LP317" t="str">
            <v>COMPLETADO</v>
          </cell>
        </row>
        <row r="318">
          <cell r="A318">
            <v>18242</v>
          </cell>
          <cell r="B318" t="str">
            <v>LUCIANO</v>
          </cell>
          <cell r="C318" t="str">
            <v>BARRACAS CHICA</v>
          </cell>
          <cell r="D318" t="str">
            <v>MARROQUINERIA CHICA</v>
          </cell>
          <cell r="E318">
            <v>2</v>
          </cell>
          <cell r="F318">
            <v>2</v>
          </cell>
          <cell r="G318">
            <v>2</v>
          </cell>
          <cell r="H318">
            <v>45905.439305555556</v>
          </cell>
          <cell r="I318" t="str">
            <v>BILLETERA OSADIA</v>
          </cell>
          <cell r="J318">
            <v>45905</v>
          </cell>
          <cell r="K318">
            <v>45905</v>
          </cell>
          <cell r="L318">
            <v>45910</v>
          </cell>
          <cell r="M318">
            <v>50</v>
          </cell>
          <cell r="N318" t="str">
            <v>M024</v>
          </cell>
          <cell r="O318" t="str">
            <v>AV0101030201</v>
          </cell>
          <cell r="P318">
            <v>1</v>
          </cell>
          <cell r="Q318" t="str">
            <v>AV0600540101</v>
          </cell>
          <cell r="R318">
            <v>1</v>
          </cell>
          <cell r="S318" t="str">
            <v>AV0101070301</v>
          </cell>
          <cell r="T318">
            <v>1</v>
          </cell>
          <cell r="U318" t="str">
            <v>AV0600560101</v>
          </cell>
          <cell r="V318">
            <v>1</v>
          </cell>
          <cell r="W318" t="str">
            <v>AV1000380101</v>
          </cell>
          <cell r="X318">
            <v>1</v>
          </cell>
          <cell r="Y318" t="str">
            <v>AV0600550101</v>
          </cell>
          <cell r="Z318">
            <v>1</v>
          </cell>
          <cell r="AA318" t="str">
            <v>AV0300400101</v>
          </cell>
          <cell r="AB318">
            <v>1</v>
          </cell>
          <cell r="AC318" t="str">
            <v>BAC1300050727</v>
          </cell>
          <cell r="AD318">
            <v>0.05</v>
          </cell>
          <cell r="AE318" t="str">
            <v>BAC0200071027</v>
          </cell>
          <cell r="AF318">
            <v>0.03</v>
          </cell>
          <cell r="AG318" t="str">
            <v>AV170134014</v>
          </cell>
          <cell r="AH318">
            <v>0</v>
          </cell>
          <cell r="AW318" t="str">
            <v>GRABADO "EL LUCERO" CHICO CENTRADO EN EL FRENTE, A 2 CM DEL CIERRE</v>
          </cell>
          <cell r="AX318" t="str">
            <v>VERDE_REVES_VERDE</v>
          </cell>
          <cell r="AY318" t="str">
            <v>BIANCO-CUERO MODENA ESPESOR 1,4</v>
          </cell>
          <cell r="AZ318" t="str">
            <v>CUE0000118</v>
          </cell>
          <cell r="BA318">
            <v>0.14000000000000001</v>
          </cell>
          <cell r="BB318" t="str">
            <v>FOR0000013</v>
          </cell>
          <cell r="BC318">
            <v>0.12</v>
          </cell>
          <cell r="BD318" t="str">
            <v>AV0100010117</v>
          </cell>
          <cell r="BE318">
            <v>0.4</v>
          </cell>
          <cell r="BF318" t="str">
            <v>AV0100020317</v>
          </cell>
          <cell r="BG318">
            <v>0.14000000000000001</v>
          </cell>
          <cell r="KD318">
            <v>2</v>
          </cell>
          <cell r="KE318">
            <v>2</v>
          </cell>
          <cell r="KF318">
            <v>2</v>
          </cell>
          <cell r="KG318">
            <v>0</v>
          </cell>
          <cell r="KJ318">
            <v>0</v>
          </cell>
          <cell r="KM318">
            <v>0</v>
          </cell>
          <cell r="KP318">
            <v>0</v>
          </cell>
          <cell r="KS318">
            <v>0</v>
          </cell>
          <cell r="KV318">
            <v>0</v>
          </cell>
          <cell r="KY318">
            <v>0</v>
          </cell>
          <cell r="LB318">
            <v>0</v>
          </cell>
          <cell r="LE318">
            <v>0</v>
          </cell>
          <cell r="LH318">
            <v>0</v>
          </cell>
          <cell r="LK318">
            <v>0</v>
          </cell>
          <cell r="LN318">
            <v>45905</v>
          </cell>
          <cell r="LO318">
            <v>45916</v>
          </cell>
          <cell r="LP318" t="str">
            <v>COMPLETADO</v>
          </cell>
        </row>
        <row r="319">
          <cell r="A319">
            <v>18472</v>
          </cell>
          <cell r="B319" t="str">
            <v>RUBEN</v>
          </cell>
          <cell r="C319" t="str">
            <v>BARRACAS GRANDE</v>
          </cell>
          <cell r="D319" t="str">
            <v>MARROQUINERIA GRANDE</v>
          </cell>
          <cell r="E319">
            <v>3</v>
          </cell>
          <cell r="F319">
            <v>3</v>
          </cell>
          <cell r="G319">
            <v>3</v>
          </cell>
          <cell r="H319">
            <v>45905.720879629633</v>
          </cell>
          <cell r="I319" t="str">
            <v>CARTERA AMARILLA CON SOBRE SIMPLE</v>
          </cell>
          <cell r="J319">
            <v>45905</v>
          </cell>
          <cell r="K319">
            <v>45905</v>
          </cell>
          <cell r="L319">
            <v>45916</v>
          </cell>
          <cell r="M319">
            <v>35</v>
          </cell>
          <cell r="N319" t="str">
            <v>M202</v>
          </cell>
          <cell r="O319" t="str">
            <v>AV0101030201</v>
          </cell>
          <cell r="P319">
            <v>1</v>
          </cell>
          <cell r="Q319" t="str">
            <v>AV1000380101</v>
          </cell>
          <cell r="R319">
            <v>3</v>
          </cell>
          <cell r="S319" t="str">
            <v>AV0600550101</v>
          </cell>
          <cell r="T319">
            <v>1</v>
          </cell>
          <cell r="U319" t="str">
            <v>AV0300400101</v>
          </cell>
          <cell r="V319">
            <v>1</v>
          </cell>
          <cell r="W319" t="str">
            <v>AV0300390101</v>
          </cell>
          <cell r="X319">
            <v>1</v>
          </cell>
          <cell r="Y319" t="str">
            <v>AV0700660101</v>
          </cell>
          <cell r="Z319">
            <v>1</v>
          </cell>
          <cell r="AA319" t="str">
            <v>AV170129018</v>
          </cell>
          <cell r="AB319">
            <v>0</v>
          </cell>
          <cell r="AS319" t="str">
            <v>TIRACIERRE 1 CON ARGOLLITA :  TIRA DE CUERO + REMACHE 6 + GRABADO ESTRELLA</v>
          </cell>
          <cell r="AT319" t="str">
            <v>LA CARTERA VA PINTADA COMO SIEMPRE !!</v>
          </cell>
          <cell r="AU319" t="str">
            <v xml:space="preserve"> CAMBIOS: SOBRE NUEVO SIMPLE  -- SIN PINTURA Y SIN FORRO</v>
          </cell>
          <cell r="AV319" t="str">
            <v>A LA TIRA DEL SOBRE HAY QUE SACARLE 8CM DE LARGO TOTAL</v>
          </cell>
          <cell r="AW319" t="str">
            <v>CHAPA L* AL FRENTE DE SOBRE ARRIBA CENTRADO IDEM MUESTRA</v>
          </cell>
          <cell r="AX319" t="str">
            <v>VERDE_REVES_VERDE</v>
          </cell>
          <cell r="AY319" t="str">
            <v>BIANCO-CUERO MODENA ESPESOR 1,4</v>
          </cell>
          <cell r="AZ319" t="str">
            <v>CUE0000118</v>
          </cell>
          <cell r="BA319">
            <v>0.53</v>
          </cell>
          <cell r="BB319" t="str">
            <v>FOR0000020</v>
          </cell>
          <cell r="BC319">
            <v>0.04</v>
          </cell>
          <cell r="BD319" t="str">
            <v>AV0100010217</v>
          </cell>
          <cell r="BE319">
            <v>0.23</v>
          </cell>
          <cell r="KD319">
            <v>3</v>
          </cell>
          <cell r="KE319">
            <v>3</v>
          </cell>
          <cell r="KF319">
            <v>3</v>
          </cell>
          <cell r="KG319">
            <v>0</v>
          </cell>
          <cell r="KJ319">
            <v>0</v>
          </cell>
          <cell r="KM319">
            <v>0</v>
          </cell>
          <cell r="KP319">
            <v>0</v>
          </cell>
          <cell r="KS319">
            <v>0</v>
          </cell>
          <cell r="KV319">
            <v>0</v>
          </cell>
          <cell r="KY319">
            <v>0</v>
          </cell>
          <cell r="LB319">
            <v>0</v>
          </cell>
          <cell r="LE319">
            <v>0</v>
          </cell>
          <cell r="LH319">
            <v>0</v>
          </cell>
          <cell r="LK319">
            <v>0</v>
          </cell>
          <cell r="LN319">
            <v>45905</v>
          </cell>
          <cell r="LO319">
            <v>45916</v>
          </cell>
          <cell r="LP319" t="str">
            <v>COMPLETADO</v>
          </cell>
        </row>
        <row r="320">
          <cell r="A320">
            <v>18222</v>
          </cell>
          <cell r="B320" t="str">
            <v>RUBEN</v>
          </cell>
          <cell r="C320" t="str">
            <v>BARRACAS GRANDE</v>
          </cell>
          <cell r="D320" t="str">
            <v>MARROQUINERIA CHICA</v>
          </cell>
          <cell r="E320">
            <v>6</v>
          </cell>
          <cell r="F320">
            <v>6</v>
          </cell>
          <cell r="G320">
            <v>6</v>
          </cell>
          <cell r="H320">
            <v>45905.723136574074</v>
          </cell>
          <cell r="I320" t="str">
            <v>BILLETERA PENNY</v>
          </cell>
          <cell r="J320">
            <v>45905</v>
          </cell>
          <cell r="K320">
            <v>45905</v>
          </cell>
          <cell r="L320">
            <v>45909</v>
          </cell>
          <cell r="M320">
            <v>60</v>
          </cell>
          <cell r="N320" t="str">
            <v>M025</v>
          </cell>
          <cell r="O320" t="str">
            <v>BAC1300050727</v>
          </cell>
          <cell r="P320">
            <v>0.03</v>
          </cell>
          <cell r="Q320" t="str">
            <v>BAC0900100161</v>
          </cell>
          <cell r="R320">
            <v>0.01</v>
          </cell>
          <cell r="S320" t="str">
            <v>AV0300440101</v>
          </cell>
          <cell r="T320">
            <v>1</v>
          </cell>
          <cell r="U320" t="str">
            <v>AV0101070301</v>
          </cell>
          <cell r="V320">
            <v>1</v>
          </cell>
          <cell r="W320" t="str">
            <v>AV0700650101</v>
          </cell>
          <cell r="X320">
            <v>1</v>
          </cell>
          <cell r="Y320" t="str">
            <v>AV0600560101</v>
          </cell>
          <cell r="Z320">
            <v>1</v>
          </cell>
          <cell r="AA320" t="str">
            <v>AV170134014</v>
          </cell>
          <cell r="AB320">
            <v>0</v>
          </cell>
          <cell r="AW320" t="str">
            <v>CHAPA LETRAS LUCERO, CENTRADA EN FRENTE SOBRE SOLAPA A 2 CM DEL BORDE INFERIOR</v>
          </cell>
          <cell r="AX320" t="str">
            <v>VERDE_REVES_VERDE</v>
          </cell>
          <cell r="AY320" t="str">
            <v>BIANCO-CUERO MODENA ESPESOR 1,4</v>
          </cell>
          <cell r="AZ320" t="str">
            <v>CUE0000118</v>
          </cell>
          <cell r="BA320">
            <v>0.16</v>
          </cell>
          <cell r="BB320" t="str">
            <v>FOR0000014</v>
          </cell>
          <cell r="BC320">
            <v>0.19</v>
          </cell>
          <cell r="BD320" t="str">
            <v>AV0100020336</v>
          </cell>
          <cell r="BE320">
            <v>0.17</v>
          </cell>
          <cell r="BF320" t="str">
            <v>AV1401254360</v>
          </cell>
          <cell r="BG320">
            <v>0</v>
          </cell>
          <cell r="BH320" t="str">
            <v>AV1601300956</v>
          </cell>
          <cell r="BI320">
            <v>0</v>
          </cell>
          <cell r="KD320">
            <v>6</v>
          </cell>
          <cell r="KE320">
            <v>6</v>
          </cell>
          <cell r="KF320">
            <v>6</v>
          </cell>
          <cell r="KG320">
            <v>0</v>
          </cell>
          <cell r="KJ320">
            <v>0</v>
          </cell>
          <cell r="KM320">
            <v>0</v>
          </cell>
          <cell r="KP320">
            <v>0</v>
          </cell>
          <cell r="KS320">
            <v>0</v>
          </cell>
          <cell r="KV320">
            <v>0</v>
          </cell>
          <cell r="KY320">
            <v>0</v>
          </cell>
          <cell r="LB320">
            <v>0</v>
          </cell>
          <cell r="LE320">
            <v>0</v>
          </cell>
          <cell r="LH320">
            <v>0</v>
          </cell>
          <cell r="LK320">
            <v>0</v>
          </cell>
          <cell r="LN320">
            <v>45905</v>
          </cell>
          <cell r="LO320">
            <v>45916</v>
          </cell>
          <cell r="LP320" t="str">
            <v>COMPLETADO</v>
          </cell>
        </row>
        <row r="321">
          <cell r="A321">
            <v>18262</v>
          </cell>
          <cell r="B321" t="str">
            <v>LUCIANO</v>
          </cell>
          <cell r="C321" t="str">
            <v>BARRACAS CHICA</v>
          </cell>
          <cell r="D321" t="str">
            <v>MARROQUINERIA CHICA</v>
          </cell>
          <cell r="E321">
            <v>3</v>
          </cell>
          <cell r="F321">
            <v>3</v>
          </cell>
          <cell r="G321">
            <v>3</v>
          </cell>
          <cell r="H321">
            <v>45905.726273148146</v>
          </cell>
          <cell r="I321" t="str">
            <v>CARTUCHERA MONT</v>
          </cell>
          <cell r="J321">
            <v>45825</v>
          </cell>
          <cell r="K321">
            <v>45825</v>
          </cell>
          <cell r="L321">
            <v>45839</v>
          </cell>
          <cell r="M321">
            <v>25</v>
          </cell>
          <cell r="N321" t="str">
            <v>M046</v>
          </cell>
          <cell r="O321" t="str">
            <v>AV0101040201</v>
          </cell>
          <cell r="P321">
            <v>1</v>
          </cell>
          <cell r="Q321" t="str">
            <v>AV0300390101</v>
          </cell>
          <cell r="R321">
            <v>1</v>
          </cell>
          <cell r="S321" t="str">
            <v>AV170134014</v>
          </cell>
          <cell r="T321">
            <v>0</v>
          </cell>
          <cell r="AS321" t="str">
            <v>TIRACIERRE N 2 - VUELTA DE TIRA DE CUERO CON REMACHE + GRABADO "L"</v>
          </cell>
          <cell r="AW321" t="str">
            <v xml:space="preserve">GRABADO EL LUCERO ARGENTINA CHICO - LATERAL DERECHO   </v>
          </cell>
          <cell r="AX321" t="str">
            <v>MALBEC</v>
          </cell>
          <cell r="AY321" t="str">
            <v>ARENA-CUERO BRIDGE</v>
          </cell>
          <cell r="AZ321" t="str">
            <v>CUE0000008</v>
          </cell>
          <cell r="BA321">
            <v>0.06</v>
          </cell>
          <cell r="BB321" t="str">
            <v>FOR0000020</v>
          </cell>
          <cell r="BC321">
            <v>0.06</v>
          </cell>
          <cell r="BD321" t="str">
            <v>AV0100010161</v>
          </cell>
          <cell r="BE321">
            <v>0.26</v>
          </cell>
          <cell r="BF321" t="str">
            <v>AV1401250545</v>
          </cell>
          <cell r="BG321">
            <v>0</v>
          </cell>
          <cell r="BH321" t="str">
            <v>PIN00000001</v>
          </cell>
          <cell r="BI321">
            <v>0</v>
          </cell>
          <cell r="KD321">
            <v>3</v>
          </cell>
          <cell r="KE321">
            <v>3</v>
          </cell>
          <cell r="KF321">
            <v>3</v>
          </cell>
          <cell r="KG321">
            <v>0</v>
          </cell>
          <cell r="KJ321">
            <v>0</v>
          </cell>
          <cell r="KM321">
            <v>0</v>
          </cell>
          <cell r="KP321">
            <v>0</v>
          </cell>
          <cell r="KS321">
            <v>0</v>
          </cell>
          <cell r="KV321">
            <v>0</v>
          </cell>
          <cell r="KY321">
            <v>0</v>
          </cell>
          <cell r="LB321">
            <v>0</v>
          </cell>
          <cell r="LE321">
            <v>0</v>
          </cell>
          <cell r="LH321">
            <v>0</v>
          </cell>
          <cell r="LK321">
            <v>0</v>
          </cell>
          <cell r="LN321">
            <v>45825</v>
          </cell>
          <cell r="LO321">
            <v>45839</v>
          </cell>
          <cell r="LP321" t="str">
            <v>COMPLETADO</v>
          </cell>
        </row>
        <row r="322">
          <cell r="A322">
            <v>18263</v>
          </cell>
          <cell r="B322" t="str">
            <v>LUCIANO</v>
          </cell>
          <cell r="C322" t="str">
            <v>BARRACAS CHICA</v>
          </cell>
          <cell r="D322" t="str">
            <v>MARROQUINERIA CHICA</v>
          </cell>
          <cell r="E322">
            <v>2</v>
          </cell>
          <cell r="F322">
            <v>2</v>
          </cell>
          <cell r="G322">
            <v>2</v>
          </cell>
          <cell r="H322">
            <v>45905.728518518517</v>
          </cell>
          <cell r="I322" t="str">
            <v>CARTUCHERA MONT</v>
          </cell>
          <cell r="J322">
            <v>45905</v>
          </cell>
          <cell r="K322">
            <v>45905</v>
          </cell>
          <cell r="L322">
            <v>45910</v>
          </cell>
          <cell r="M322">
            <v>25</v>
          </cell>
          <cell r="N322" t="str">
            <v>M046</v>
          </cell>
          <cell r="O322" t="str">
            <v>AV0101040201</v>
          </cell>
          <cell r="P322">
            <v>1</v>
          </cell>
          <cell r="Q322" t="str">
            <v>AV0300390101</v>
          </cell>
          <cell r="R322">
            <v>1</v>
          </cell>
          <cell r="S322" t="str">
            <v>AV170134014</v>
          </cell>
          <cell r="T322">
            <v>0</v>
          </cell>
          <cell r="AS322" t="str">
            <v>TIRACIERRE N 2 - VUELTA DE TIRA DE CUERO CON REMACHE + GRABADO "L"</v>
          </cell>
          <cell r="AW322" t="str">
            <v xml:space="preserve">GRABADO EL LUCERO ARGENTINA CHICO - LATERAL DERECHO   </v>
          </cell>
          <cell r="AX322" t="str">
            <v>VERDE_REVES_VERDE</v>
          </cell>
          <cell r="AY322" t="str">
            <v>BIANCO-CUERO MODENA ESPESOR 1,4</v>
          </cell>
          <cell r="AZ322" t="str">
            <v>CUE0000118</v>
          </cell>
          <cell r="BA322">
            <v>0.06</v>
          </cell>
          <cell r="BB322" t="str">
            <v>FOR0000020</v>
          </cell>
          <cell r="BC322">
            <v>0.06</v>
          </cell>
          <cell r="BD322" t="str">
            <v>AV0100010117</v>
          </cell>
          <cell r="BE322">
            <v>0.26</v>
          </cell>
          <cell r="BF322" t="str">
            <v>AV1401254260</v>
          </cell>
          <cell r="BG322">
            <v>0</v>
          </cell>
          <cell r="BH322" t="str">
            <v>AV1601300957</v>
          </cell>
          <cell r="BI322">
            <v>0</v>
          </cell>
          <cell r="KD322">
            <v>2</v>
          </cell>
          <cell r="KE322">
            <v>2</v>
          </cell>
          <cell r="KF322">
            <v>2</v>
          </cell>
          <cell r="KG322">
            <v>0</v>
          </cell>
          <cell r="KJ322">
            <v>0</v>
          </cell>
          <cell r="KM322">
            <v>0</v>
          </cell>
          <cell r="KP322">
            <v>0</v>
          </cell>
          <cell r="KS322">
            <v>0</v>
          </cell>
          <cell r="KV322">
            <v>0</v>
          </cell>
          <cell r="KY322">
            <v>0</v>
          </cell>
          <cell r="LB322">
            <v>0</v>
          </cell>
          <cell r="LE322">
            <v>0</v>
          </cell>
          <cell r="LH322">
            <v>0</v>
          </cell>
          <cell r="LK322">
            <v>0</v>
          </cell>
          <cell r="LN322">
            <v>45905</v>
          </cell>
          <cell r="LO322">
            <v>45916</v>
          </cell>
          <cell r="LP322" t="str">
            <v>COMPLETADO</v>
          </cell>
        </row>
        <row r="323">
          <cell r="A323">
            <v>18254</v>
          </cell>
          <cell r="B323" t="str">
            <v>LUCIANO</v>
          </cell>
          <cell r="C323" t="str">
            <v>BARRACAS CHICA</v>
          </cell>
          <cell r="D323" t="str">
            <v>MARROQUINERIA CHICA</v>
          </cell>
          <cell r="E323">
            <v>16</v>
          </cell>
          <cell r="F323">
            <v>6</v>
          </cell>
          <cell r="G323">
            <v>6</v>
          </cell>
          <cell r="H323">
            <v>45905.733101851853</v>
          </cell>
          <cell r="I323" t="str">
            <v>TARJETERO ARIES</v>
          </cell>
          <cell r="J323">
            <v>45905</v>
          </cell>
          <cell r="K323">
            <v>45905</v>
          </cell>
          <cell r="L323">
            <v>45909</v>
          </cell>
          <cell r="M323">
            <v>10</v>
          </cell>
          <cell r="N323" t="str">
            <v>M123</v>
          </cell>
          <cell r="O323" t="str">
            <v>AV170134014</v>
          </cell>
          <cell r="P323">
            <v>0</v>
          </cell>
          <cell r="AW323" t="str">
            <v xml:space="preserve">GRABADO " EL LUCERO ARGENTINA" CHICO EN TIRA DEL FRENTE, CENTRADO   </v>
          </cell>
          <cell r="AX323" t="str">
            <v>VERDE_REVES_VERDE</v>
          </cell>
          <cell r="AY323" t="str">
            <v>BIANCO-CUERO MODENA ESPESOR 1,4</v>
          </cell>
          <cell r="AZ323" t="str">
            <v>CUE0000118</v>
          </cell>
          <cell r="BA323">
            <v>0.02</v>
          </cell>
          <cell r="BB323" t="str">
            <v>AV1401254260</v>
          </cell>
          <cell r="BC323">
            <v>0</v>
          </cell>
          <cell r="BD323" t="str">
            <v>AV1601300957</v>
          </cell>
          <cell r="BE323">
            <v>0</v>
          </cell>
          <cell r="BR323" t="str">
            <v>CEDRO</v>
          </cell>
          <cell r="BS323" t="str">
            <v>BIANCO-CUERO FIORENTINO</v>
          </cell>
          <cell r="BT323" t="str">
            <v>CUE0000055</v>
          </cell>
          <cell r="BU323">
            <v>0.02</v>
          </cell>
          <cell r="BV323" t="str">
            <v>AV1401250545</v>
          </cell>
          <cell r="BW323">
            <v>0</v>
          </cell>
          <cell r="BX323" t="str">
            <v>AV1601300955</v>
          </cell>
          <cell r="BY323">
            <v>0</v>
          </cell>
          <cell r="KD323">
            <v>10</v>
          </cell>
          <cell r="KE323">
            <v>0</v>
          </cell>
          <cell r="KF323">
            <v>0</v>
          </cell>
          <cell r="KG323">
            <v>6</v>
          </cell>
          <cell r="KH323">
            <v>6</v>
          </cell>
          <cell r="KI323">
            <v>6</v>
          </cell>
          <cell r="KJ323">
            <v>0</v>
          </cell>
          <cell r="KM323">
            <v>0</v>
          </cell>
          <cell r="KP323">
            <v>0</v>
          </cell>
          <cell r="KS323">
            <v>0</v>
          </cell>
          <cell r="KV323">
            <v>0</v>
          </cell>
          <cell r="KY323">
            <v>0</v>
          </cell>
          <cell r="LB323">
            <v>0</v>
          </cell>
          <cell r="LE323">
            <v>0</v>
          </cell>
          <cell r="LH323">
            <v>0</v>
          </cell>
          <cell r="LK323">
            <v>0</v>
          </cell>
          <cell r="LN323">
            <v>45905</v>
          </cell>
          <cell r="LO323">
            <v>45916</v>
          </cell>
          <cell r="LP323" t="str">
            <v>COMPLETADO</v>
          </cell>
        </row>
        <row r="324">
          <cell r="A324" t="str">
            <v>1962-A</v>
          </cell>
          <cell r="B324" t="str">
            <v>RUBEN</v>
          </cell>
          <cell r="C324" t="str">
            <v>BARRACAS GRANDE</v>
          </cell>
          <cell r="D324" t="str">
            <v>MARROQUINERIA GRANDE</v>
          </cell>
          <cell r="E324">
            <v>14</v>
          </cell>
          <cell r="F324">
            <v>14</v>
          </cell>
          <cell r="G324">
            <v>14</v>
          </cell>
          <cell r="H324">
            <v>45913.848344907405</v>
          </cell>
          <cell r="I324" t="str">
            <v>BOLSO TUBO GRANDE</v>
          </cell>
          <cell r="J324">
            <v>45908</v>
          </cell>
          <cell r="K324">
            <v>45908</v>
          </cell>
          <cell r="L324">
            <v>45908</v>
          </cell>
          <cell r="M324">
            <v>90</v>
          </cell>
          <cell r="N324" t="str">
            <v>M030</v>
          </cell>
          <cell r="O324" t="str">
            <v>BAC1300020827</v>
          </cell>
          <cell r="P324">
            <v>0.08</v>
          </cell>
          <cell r="Q324" t="str">
            <v>AV0101030201</v>
          </cell>
          <cell r="R324">
            <v>2</v>
          </cell>
          <cell r="S324" t="str">
            <v>AV0101040201</v>
          </cell>
          <cell r="T324">
            <v>1</v>
          </cell>
          <cell r="U324" t="str">
            <v>AV0300250101</v>
          </cell>
          <cell r="V324">
            <v>4</v>
          </cell>
          <cell r="W324" t="str">
            <v>AV0300410101</v>
          </cell>
          <cell r="X324">
            <v>9</v>
          </cell>
          <cell r="Y324" t="str">
            <v>AV1302250428</v>
          </cell>
          <cell r="Z324">
            <v>2</v>
          </cell>
          <cell r="AA324" t="str">
            <v>AV1302240428</v>
          </cell>
          <cell r="AB324">
            <v>0.8</v>
          </cell>
          <cell r="AC324" t="str">
            <v>AV1001450101</v>
          </cell>
          <cell r="AD324">
            <v>2</v>
          </cell>
          <cell r="AE324" t="str">
            <v>AV0700630101</v>
          </cell>
          <cell r="AF324">
            <v>2</v>
          </cell>
          <cell r="AG324" t="str">
            <v>AV0701130101</v>
          </cell>
          <cell r="AH324">
            <v>1</v>
          </cell>
          <cell r="AI324" t="str">
            <v>AV0600540101</v>
          </cell>
          <cell r="AJ324">
            <v>2</v>
          </cell>
          <cell r="AK324" t="str">
            <v>AV0300390101</v>
          </cell>
          <cell r="AL324">
            <v>1</v>
          </cell>
          <cell r="AM324" t="str">
            <v>AV170129018</v>
          </cell>
          <cell r="AN324">
            <v>0</v>
          </cell>
          <cell r="AS324" t="str">
            <v>TIRACIERRE INTERNO: N1 TIRA CON REMACHE + GRABADO ESTRELLITA</v>
          </cell>
          <cell r="AT324" t="str">
            <v>TIRACIERRES EXTERNOS "EL LUCERO" GRANDE</v>
          </cell>
          <cell r="AU324" t="str">
            <v>GAMUZA: CON VISTA DE CUERO EN BOLSILLO FRENTE</v>
          </cell>
          <cell r="AV324" t="str">
            <v>SIN CLAVOS DE FONDO / SIN BOLSILLO AL FRENTE / CORREA PUNTA REDONDEADA</v>
          </cell>
          <cell r="AW324" t="str">
            <v xml:space="preserve">EL LUCERO ARGENTINA TAMAÑO GRANDE, EN TROQUEL COCIDO DEBAJO DE VISTA DE CIERRE INTERNO </v>
          </cell>
          <cell r="AX324" t="str">
            <v>CHOCOLATE</v>
          </cell>
          <cell r="AY324" t="str">
            <v>ARENA-CUERO BRIDGE</v>
          </cell>
          <cell r="AZ324" t="str">
            <v>CUE0000005</v>
          </cell>
          <cell r="BA324">
            <v>1.25</v>
          </cell>
          <cell r="BB324" t="str">
            <v>FOR0000021</v>
          </cell>
          <cell r="BC324">
            <v>0.72</v>
          </cell>
          <cell r="BD324" t="str">
            <v>AV0100010111</v>
          </cell>
          <cell r="BE324">
            <v>1.02</v>
          </cell>
          <cell r="BF324" t="str">
            <v>AV1801370725</v>
          </cell>
          <cell r="BG324">
            <v>2</v>
          </cell>
          <cell r="BH324" t="str">
            <v>AV1401240545</v>
          </cell>
          <cell r="BI324">
            <v>0</v>
          </cell>
          <cell r="BR324" t="str">
            <v>NEGRO_PELO_HOLANDO</v>
          </cell>
          <cell r="BS324" t="str">
            <v>ARENA-CUERO BRIDGE</v>
          </cell>
          <cell r="BT324" t="str">
            <v>CUE0000009</v>
          </cell>
          <cell r="BU324">
            <v>0.82</v>
          </cell>
          <cell r="BV324" t="str">
            <v>CUE0000116</v>
          </cell>
          <cell r="BW324">
            <v>0.43</v>
          </cell>
          <cell r="BX324" t="str">
            <v>FOR0000021</v>
          </cell>
          <cell r="BY324">
            <v>0.72</v>
          </cell>
          <cell r="BZ324" t="str">
            <v>AV0100010103</v>
          </cell>
          <cell r="CA324">
            <v>1.02</v>
          </cell>
          <cell r="CB324" t="str">
            <v>AV1801370726</v>
          </cell>
          <cell r="CC324">
            <v>2</v>
          </cell>
          <cell r="CD324" t="str">
            <v>AV1401244040</v>
          </cell>
          <cell r="CE324">
            <v>0</v>
          </cell>
          <cell r="CL324" t="str">
            <v>TABACO_PELO_HEREFORD</v>
          </cell>
          <cell r="CM324" t="str">
            <v>ARENA-CUERO BRIDGE</v>
          </cell>
          <cell r="CN324" t="str">
            <v>CUE0000012</v>
          </cell>
          <cell r="CO324">
            <v>0.82</v>
          </cell>
          <cell r="CP324" t="str">
            <v>CUE0000117</v>
          </cell>
          <cell r="CQ324">
            <v>0.43</v>
          </cell>
          <cell r="CR324" t="str">
            <v>FOR0000020</v>
          </cell>
          <cell r="CS324">
            <v>0.72</v>
          </cell>
          <cell r="CT324" t="str">
            <v>AV0100010111</v>
          </cell>
          <cell r="CU324">
            <v>1.02</v>
          </cell>
          <cell r="CV324" t="str">
            <v>AV1801370725</v>
          </cell>
          <cell r="CW324">
            <v>2</v>
          </cell>
          <cell r="CX324" t="str">
            <v>AV1401240545</v>
          </cell>
          <cell r="CY324">
            <v>0</v>
          </cell>
          <cell r="DF324" t="str">
            <v>CEDRO</v>
          </cell>
          <cell r="DG324" t="str">
            <v>BIANCO-CUERO FIORENTINO</v>
          </cell>
          <cell r="DH324" t="str">
            <v>CUE0000055</v>
          </cell>
          <cell r="DI324">
            <v>1.25</v>
          </cell>
          <cell r="DJ324" t="str">
            <v>FOR0000021</v>
          </cell>
          <cell r="DK324">
            <v>0.72</v>
          </cell>
          <cell r="DL324" t="str">
            <v>AV0100010111</v>
          </cell>
          <cell r="DM324">
            <v>1.02</v>
          </cell>
          <cell r="DN324" t="str">
            <v>AV1801370725</v>
          </cell>
          <cell r="DO324">
            <v>2</v>
          </cell>
          <cell r="DP324" t="str">
            <v>AV1401240545</v>
          </cell>
          <cell r="DQ324">
            <v>0</v>
          </cell>
          <cell r="DZ324" t="str">
            <v>TABACO</v>
          </cell>
          <cell r="EA324" t="str">
            <v>ARENA-CUERO BRIDGE</v>
          </cell>
          <cell r="EB324" t="str">
            <v>CUE0000012</v>
          </cell>
          <cell r="EC324">
            <v>1.25</v>
          </cell>
          <cell r="ED324" t="str">
            <v>FOR0000021</v>
          </cell>
          <cell r="EE324">
            <v>0.72</v>
          </cell>
          <cell r="EF324" t="str">
            <v>AV0100010114</v>
          </cell>
          <cell r="EG324">
            <v>1.02</v>
          </cell>
          <cell r="EH324" t="str">
            <v>AV1801370725</v>
          </cell>
          <cell r="EI324">
            <v>2</v>
          </cell>
          <cell r="EJ324" t="str">
            <v>AV1401274560</v>
          </cell>
          <cell r="EK324">
            <v>0</v>
          </cell>
          <cell r="ET324" t="str">
            <v>CARAMELO</v>
          </cell>
          <cell r="EU324" t="str">
            <v>ARENA-CUERO BRIDGE</v>
          </cell>
          <cell r="EV324" t="str">
            <v>CUE0000004</v>
          </cell>
          <cell r="EW324">
            <v>1.25</v>
          </cell>
          <cell r="EX324" t="str">
            <v>FOR0000021</v>
          </cell>
          <cell r="EY324">
            <v>0.72</v>
          </cell>
          <cell r="EZ324" t="str">
            <v>AV0100010105</v>
          </cell>
          <cell r="FA324">
            <v>1.02</v>
          </cell>
          <cell r="FB324" t="str">
            <v>AV1801370725</v>
          </cell>
          <cell r="FC324">
            <v>2</v>
          </cell>
          <cell r="FD324" t="str">
            <v>AV1401240545</v>
          </cell>
          <cell r="FE324">
            <v>0</v>
          </cell>
          <cell r="FR324" t="str">
            <v>CUE0000004</v>
          </cell>
          <cell r="FS324">
            <v>0.43</v>
          </cell>
          <cell r="KD324">
            <v>2</v>
          </cell>
          <cell r="KE324">
            <v>2</v>
          </cell>
          <cell r="KF324">
            <v>2</v>
          </cell>
          <cell r="KG324">
            <v>2</v>
          </cell>
          <cell r="KH324">
            <v>2</v>
          </cell>
          <cell r="KI324">
            <v>2</v>
          </cell>
          <cell r="KJ324">
            <v>1</v>
          </cell>
          <cell r="KK324">
            <v>1</v>
          </cell>
          <cell r="KL324">
            <v>1</v>
          </cell>
          <cell r="KM324">
            <v>3</v>
          </cell>
          <cell r="KN324">
            <v>3</v>
          </cell>
          <cell r="KO324">
            <v>3</v>
          </cell>
          <cell r="KP324">
            <v>5</v>
          </cell>
          <cell r="KQ324">
            <v>5</v>
          </cell>
          <cell r="KR324">
            <v>5</v>
          </cell>
          <cell r="KS324">
            <v>1</v>
          </cell>
          <cell r="KT324">
            <v>1</v>
          </cell>
          <cell r="KU324">
            <v>1</v>
          </cell>
          <cell r="KV324">
            <v>0</v>
          </cell>
          <cell r="KW324">
            <v>0</v>
          </cell>
          <cell r="KY324">
            <v>0</v>
          </cell>
          <cell r="LB324">
            <v>0</v>
          </cell>
          <cell r="LE324">
            <v>0</v>
          </cell>
          <cell r="LH324">
            <v>0</v>
          </cell>
          <cell r="LK324">
            <v>0</v>
          </cell>
          <cell r="LN324">
            <v>45908</v>
          </cell>
          <cell r="LO324">
            <v>45923</v>
          </cell>
          <cell r="LP324" t="str">
            <v>COMPLETADO</v>
          </cell>
        </row>
        <row r="325">
          <cell r="A325" t="str">
            <v>1980-A</v>
          </cell>
          <cell r="B325" t="str">
            <v>LUCIANO</v>
          </cell>
          <cell r="C325" t="str">
            <v>EXT GABRIEL</v>
          </cell>
          <cell r="D325" t="str">
            <v>MARROQUINERIA CHICA</v>
          </cell>
          <cell r="E325">
            <v>30</v>
          </cell>
          <cell r="F325">
            <v>30</v>
          </cell>
          <cell r="G325">
            <v>30</v>
          </cell>
          <cell r="H325">
            <v>45913.88181712963</v>
          </cell>
          <cell r="I325" t="str">
            <v>TARJETERO BILL</v>
          </cell>
          <cell r="J325">
            <v>45911</v>
          </cell>
          <cell r="K325">
            <v>45911</v>
          </cell>
          <cell r="L325">
            <v>45917</v>
          </cell>
          <cell r="M325">
            <v>13</v>
          </cell>
          <cell r="N325" t="str">
            <v>M124</v>
          </cell>
          <cell r="O325" t="str">
            <v>AV170134014</v>
          </cell>
          <cell r="P325">
            <v>0</v>
          </cell>
          <cell r="AW325" t="str">
            <v xml:space="preserve">GRABADO " EL LUCERO ARG." CHICO EN EL FRENTE CENTRADO, A 1,5CM DEL BORDE INFERIOR  </v>
          </cell>
          <cell r="AX325" t="str">
            <v>AZUL_REVES_AZUL</v>
          </cell>
          <cell r="AY325" t="str">
            <v>BIANCO-CUERO MODENA ESPESOR 1,4</v>
          </cell>
          <cell r="AZ325" t="str">
            <v>CUE0000021R</v>
          </cell>
          <cell r="BA325">
            <v>0.05</v>
          </cell>
          <cell r="BB325" t="str">
            <v>AV1401254360</v>
          </cell>
          <cell r="BC325">
            <v>0</v>
          </cell>
          <cell r="BD325" t="str">
            <v>AV1601300956</v>
          </cell>
          <cell r="BE325">
            <v>0</v>
          </cell>
          <cell r="BR325" t="str">
            <v>CARAMELO</v>
          </cell>
          <cell r="BS325" t="str">
            <v>ARENA-CUERO BRIDGE</v>
          </cell>
          <cell r="BT325" t="str">
            <v>CUE0000004R</v>
          </cell>
          <cell r="BU325">
            <v>0.05</v>
          </cell>
          <cell r="BV325" t="str">
            <v>AV1401254160</v>
          </cell>
          <cell r="BW325">
            <v>0</v>
          </cell>
          <cell r="BX325" t="str">
            <v>AV1601300955</v>
          </cell>
          <cell r="BY325">
            <v>0</v>
          </cell>
          <cell r="CL325" t="str">
            <v>NEGRO</v>
          </cell>
          <cell r="CM325" t="str">
            <v>ARENA-CUERO BRIDGE</v>
          </cell>
          <cell r="CN325" t="str">
            <v>CUE0000009R</v>
          </cell>
          <cell r="CO325">
            <v>0.05</v>
          </cell>
          <cell r="CP325" t="str">
            <v>AV1401254060</v>
          </cell>
          <cell r="CQ325">
            <v>0</v>
          </cell>
          <cell r="CR325" t="str">
            <v>AV1601300926</v>
          </cell>
          <cell r="CS325">
            <v>0</v>
          </cell>
          <cell r="EC325">
            <v>1.25</v>
          </cell>
          <cell r="EW325">
            <v>1.25</v>
          </cell>
          <cell r="FR325" t="str">
            <v>CUE0000004</v>
          </cell>
          <cell r="FS325">
            <v>0.43</v>
          </cell>
          <cell r="KD325">
            <v>12</v>
          </cell>
          <cell r="KE325">
            <v>12</v>
          </cell>
          <cell r="KF325">
            <v>12</v>
          </cell>
          <cell r="KG325">
            <v>12</v>
          </cell>
          <cell r="KH325">
            <v>12</v>
          </cell>
          <cell r="KI325">
            <v>12</v>
          </cell>
          <cell r="KJ325">
            <v>6</v>
          </cell>
          <cell r="KK325">
            <v>6</v>
          </cell>
          <cell r="KL325">
            <v>6</v>
          </cell>
          <cell r="KM325">
            <v>0</v>
          </cell>
          <cell r="KN325">
            <v>0</v>
          </cell>
          <cell r="KP325">
            <v>0</v>
          </cell>
          <cell r="KS325">
            <v>0</v>
          </cell>
          <cell r="KV325">
            <v>0</v>
          </cell>
          <cell r="KW325">
            <v>0</v>
          </cell>
          <cell r="KY325">
            <v>0</v>
          </cell>
          <cell r="LB325">
            <v>0</v>
          </cell>
          <cell r="LE325">
            <v>0</v>
          </cell>
          <cell r="LH325">
            <v>0</v>
          </cell>
          <cell r="LK325">
            <v>0</v>
          </cell>
          <cell r="LN325">
            <v>45911</v>
          </cell>
          <cell r="LO325">
            <v>45923</v>
          </cell>
          <cell r="LP325" t="str">
            <v>COMPLETADO</v>
          </cell>
        </row>
        <row r="326">
          <cell r="A326" t="str">
            <v>1977-A</v>
          </cell>
          <cell r="B326" t="str">
            <v>LUCIANO</v>
          </cell>
          <cell r="C326" t="str">
            <v>BARRACAS CHICA</v>
          </cell>
          <cell r="D326" t="str">
            <v>MARROQUINERIA CHICA</v>
          </cell>
          <cell r="E326">
            <v>20</v>
          </cell>
          <cell r="F326">
            <v>20</v>
          </cell>
          <cell r="G326">
            <v>20</v>
          </cell>
          <cell r="H326">
            <v>45913.897546296299</v>
          </cell>
          <cell r="I326" t="str">
            <v>PORTAPASAPORTE RON</v>
          </cell>
          <cell r="J326">
            <v>45911</v>
          </cell>
          <cell r="K326">
            <v>45911</v>
          </cell>
          <cell r="L326">
            <v>45915</v>
          </cell>
          <cell r="M326">
            <v>10</v>
          </cell>
          <cell r="N326" t="str">
            <v>M106</v>
          </cell>
          <cell r="O326" t="str">
            <v>AV170134014</v>
          </cell>
          <cell r="P326">
            <v>0</v>
          </cell>
          <cell r="AW326" t="str">
            <v xml:space="preserve">GRABADO "EL LUCERO ARGENTINA " CHICO ,EN ESPALDA CENTRADO, BORDE INFERIOR   </v>
          </cell>
          <cell r="AX326" t="str">
            <v>ROJO</v>
          </cell>
          <cell r="AY326" t="str">
            <v>ARENA-CUERO BRIDGE</v>
          </cell>
          <cell r="AZ326" t="str">
            <v>CUE0000010R</v>
          </cell>
          <cell r="BA326">
            <v>0.04</v>
          </cell>
          <cell r="BB326" t="str">
            <v>AV1401254460</v>
          </cell>
          <cell r="BC326">
            <v>0</v>
          </cell>
          <cell r="BR326" t="str">
            <v>TABACO</v>
          </cell>
          <cell r="BS326" t="str">
            <v>ARENA-CUERO BRIDGE</v>
          </cell>
          <cell r="BT326" t="str">
            <v>CUE0000012R</v>
          </cell>
          <cell r="BU326">
            <v>0.04</v>
          </cell>
          <cell r="BV326" t="str">
            <v>AV1401250545</v>
          </cell>
          <cell r="BW326">
            <v>0</v>
          </cell>
          <cell r="EC326">
            <v>1.25</v>
          </cell>
          <cell r="EW326">
            <v>1.25</v>
          </cell>
          <cell r="FR326" t="str">
            <v>CUE0000004</v>
          </cell>
          <cell r="FS326">
            <v>0.43</v>
          </cell>
          <cell r="KD326">
            <v>14</v>
          </cell>
          <cell r="KE326">
            <v>14</v>
          </cell>
          <cell r="KF326">
            <v>14</v>
          </cell>
          <cell r="KG326">
            <v>6</v>
          </cell>
          <cell r="KH326">
            <v>6</v>
          </cell>
          <cell r="KI326">
            <v>6</v>
          </cell>
          <cell r="KJ326">
            <v>0</v>
          </cell>
          <cell r="KK326">
            <v>0</v>
          </cell>
          <cell r="KM326">
            <v>0</v>
          </cell>
          <cell r="KP326">
            <v>0</v>
          </cell>
          <cell r="KS326">
            <v>0</v>
          </cell>
          <cell r="KV326">
            <v>0</v>
          </cell>
          <cell r="KW326">
            <v>0</v>
          </cell>
          <cell r="KY326">
            <v>0</v>
          </cell>
          <cell r="LB326">
            <v>0</v>
          </cell>
          <cell r="LE326">
            <v>0</v>
          </cell>
          <cell r="LH326">
            <v>0</v>
          </cell>
          <cell r="LK326">
            <v>0</v>
          </cell>
          <cell r="LN326">
            <v>45911</v>
          </cell>
          <cell r="LO326">
            <v>45923</v>
          </cell>
          <cell r="LP326" t="str">
            <v>COMPLETADO</v>
          </cell>
        </row>
        <row r="327">
          <cell r="A327" t="str">
            <v>1978-A</v>
          </cell>
          <cell r="B327" t="str">
            <v>LUCIANO</v>
          </cell>
          <cell r="C327" t="str">
            <v>BARRACAS CHICA</v>
          </cell>
          <cell r="D327" t="str">
            <v>MARROQUINERIA CHICA</v>
          </cell>
          <cell r="E327">
            <v>120</v>
          </cell>
          <cell r="F327">
            <v>106</v>
          </cell>
          <cell r="G327">
            <v>96</v>
          </cell>
          <cell r="H327">
            <v>45913.903611111113</v>
          </cell>
          <cell r="I327" t="str">
            <v>TARJETERO ARIES</v>
          </cell>
          <cell r="J327">
            <v>45911</v>
          </cell>
          <cell r="K327">
            <v>45911</v>
          </cell>
          <cell r="L327">
            <v>45916</v>
          </cell>
          <cell r="M327">
            <v>10</v>
          </cell>
          <cell r="N327" t="str">
            <v>M123</v>
          </cell>
          <cell r="O327" t="str">
            <v>AV170134014</v>
          </cell>
          <cell r="P327">
            <v>0</v>
          </cell>
          <cell r="AW327" t="str">
            <v xml:space="preserve">GRABADO " EL LUCERO ARGENTINA" CHICO EN TIRA DEL FRENTE, CENTRADO   </v>
          </cell>
          <cell r="AX327" t="str">
            <v>NEGRO</v>
          </cell>
          <cell r="AY327" t="str">
            <v>ARENA-CUERO BRIDGE</v>
          </cell>
          <cell r="AZ327" t="str">
            <v>CUE0000009R</v>
          </cell>
          <cell r="BA327">
            <v>0.02</v>
          </cell>
          <cell r="BB327" t="str">
            <v>AV1401254060</v>
          </cell>
          <cell r="BC327">
            <v>0</v>
          </cell>
          <cell r="BD327" t="str">
            <v>AV1601300926</v>
          </cell>
          <cell r="BE327">
            <v>0</v>
          </cell>
          <cell r="BR327" t="str">
            <v>MALBEC</v>
          </cell>
          <cell r="BS327" t="str">
            <v>ARENA-CUERO BRIDGE</v>
          </cell>
          <cell r="BT327" t="str">
            <v>CUE0000008R</v>
          </cell>
          <cell r="BU327">
            <v>0.02</v>
          </cell>
          <cell r="BV327" t="str">
            <v>AV1401250545</v>
          </cell>
          <cell r="BW327">
            <v>0</v>
          </cell>
          <cell r="BX327" t="str">
            <v>PIN00000001</v>
          </cell>
          <cell r="BY327">
            <v>0</v>
          </cell>
          <cell r="CL327" t="str">
            <v>TABACO</v>
          </cell>
          <cell r="CM327" t="str">
            <v>ARENA-CUERO BRIDGE</v>
          </cell>
          <cell r="CN327" t="str">
            <v>CUE0000012R</v>
          </cell>
          <cell r="CO327">
            <v>0.02</v>
          </cell>
          <cell r="CP327" t="str">
            <v>AV1401250545</v>
          </cell>
          <cell r="CQ327">
            <v>0</v>
          </cell>
          <cell r="CR327" t="str">
            <v>AV1601300954</v>
          </cell>
          <cell r="CS327">
            <v>0</v>
          </cell>
          <cell r="DF327" t="str">
            <v>CARAMELO</v>
          </cell>
          <cell r="DG327" t="str">
            <v>ARENA-CUERO BRIDGE</v>
          </cell>
          <cell r="DH327" t="str">
            <v>CUE0000004R</v>
          </cell>
          <cell r="DI327">
            <v>0.02</v>
          </cell>
          <cell r="DJ327" t="str">
            <v>AV1401250545</v>
          </cell>
          <cell r="DK327">
            <v>0</v>
          </cell>
          <cell r="DL327" t="str">
            <v>AV1601300955</v>
          </cell>
          <cell r="DM327">
            <v>0</v>
          </cell>
          <cell r="DZ327" t="str">
            <v>CEDRO</v>
          </cell>
          <cell r="EA327" t="str">
            <v>BIANCO-CUERO FIORENTINO</v>
          </cell>
          <cell r="EB327" t="str">
            <v>CUE0000055R</v>
          </cell>
          <cell r="EC327">
            <v>0.02</v>
          </cell>
          <cell r="ED327" t="str">
            <v>AV1401250545</v>
          </cell>
          <cell r="EE327">
            <v>0</v>
          </cell>
          <cell r="EF327" t="str">
            <v>AV1601300955</v>
          </cell>
          <cell r="EG327">
            <v>0</v>
          </cell>
          <cell r="ET327" t="str">
            <v>AZUL_REVES_AZUL</v>
          </cell>
          <cell r="EU327" t="str">
            <v>BIANCO-CUERO MODENA ESPESOR 1,4</v>
          </cell>
          <cell r="EV327" t="str">
            <v>CUE0000119R</v>
          </cell>
          <cell r="EW327">
            <v>0.02</v>
          </cell>
          <cell r="EX327" t="str">
            <v>AV1401254360</v>
          </cell>
          <cell r="EY327">
            <v>0</v>
          </cell>
          <cell r="EZ327" t="str">
            <v>AV1601300956</v>
          </cell>
          <cell r="FA327">
            <v>0</v>
          </cell>
          <cell r="KD327">
            <v>20</v>
          </cell>
          <cell r="KE327">
            <v>20</v>
          </cell>
          <cell r="KF327">
            <v>20</v>
          </cell>
          <cell r="KG327">
            <v>24</v>
          </cell>
          <cell r="KH327">
            <v>24</v>
          </cell>
          <cell r="KI327">
            <v>24</v>
          </cell>
          <cell r="KJ327">
            <v>24</v>
          </cell>
          <cell r="KK327">
            <v>24</v>
          </cell>
          <cell r="KL327">
            <v>24</v>
          </cell>
          <cell r="KM327">
            <v>24</v>
          </cell>
          <cell r="KN327">
            <v>24</v>
          </cell>
          <cell r="KO327">
            <v>14</v>
          </cell>
          <cell r="KP327">
            <v>14</v>
          </cell>
          <cell r="KQ327">
            <v>14</v>
          </cell>
          <cell r="KR327">
            <v>14</v>
          </cell>
          <cell r="KS327">
            <v>14</v>
          </cell>
          <cell r="KT327">
            <v>0</v>
          </cell>
          <cell r="KU327">
            <v>0</v>
          </cell>
          <cell r="KV327">
            <v>0</v>
          </cell>
          <cell r="KW327">
            <v>0</v>
          </cell>
          <cell r="KY327">
            <v>0</v>
          </cell>
          <cell r="LB327">
            <v>0</v>
          </cell>
          <cell r="LE327">
            <v>0</v>
          </cell>
          <cell r="LH327">
            <v>0</v>
          </cell>
          <cell r="LK327">
            <v>0</v>
          </cell>
          <cell r="LN327">
            <v>45911</v>
          </cell>
          <cell r="LO327">
            <v>45923</v>
          </cell>
          <cell r="LP327" t="str">
            <v>COMPLETADO</v>
          </cell>
        </row>
        <row r="328">
          <cell r="A328" t="str">
            <v>1979-A</v>
          </cell>
          <cell r="B328" t="str">
            <v>LUCIANO</v>
          </cell>
          <cell r="C328" t="str">
            <v>PERDRIEL</v>
          </cell>
          <cell r="D328" t="str">
            <v>MARROQUINERIA CHICA</v>
          </cell>
          <cell r="E328">
            <v>30</v>
          </cell>
          <cell r="F328">
            <v>30</v>
          </cell>
          <cell r="G328">
            <v>30</v>
          </cell>
          <cell r="H328">
            <v>45914.335682870369</v>
          </cell>
          <cell r="I328" t="str">
            <v>TARJETERO ARIES BI FAZ</v>
          </cell>
          <cell r="J328">
            <v>45911</v>
          </cell>
          <cell r="K328">
            <v>45911</v>
          </cell>
          <cell r="L328">
            <v>45922</v>
          </cell>
          <cell r="M328">
            <v>10</v>
          </cell>
          <cell r="N328" t="str">
            <v>M187</v>
          </cell>
          <cell r="O328" t="str">
            <v>AV170134014</v>
          </cell>
          <cell r="P328">
            <v>0</v>
          </cell>
          <cell r="AW328" t="str">
            <v xml:space="preserve">GRABADO " EL LUCERO ARGENTINA" CHICO EN TIRA DEL FRENTE, CENTRADO   </v>
          </cell>
          <cell r="AX328" t="str">
            <v>VERDE_REVES_SUELA</v>
          </cell>
          <cell r="AY328" t="str">
            <v>BIANCO-CUERO MODENA ESPESOR 1,4</v>
          </cell>
          <cell r="AZ328" t="str">
            <v>CUE0000148R</v>
          </cell>
          <cell r="BA328">
            <v>0.02</v>
          </cell>
          <cell r="BB328" t="str">
            <v>AV1401254260</v>
          </cell>
          <cell r="BC328">
            <v>0</v>
          </cell>
          <cell r="BD328" t="str">
            <v>AV1601300957</v>
          </cell>
          <cell r="BE328">
            <v>0</v>
          </cell>
          <cell r="BR328" t="str">
            <v>AZUL_REVES_SUELA</v>
          </cell>
          <cell r="BS328" t="str">
            <v>BIANCO-CUERO MODENA ESPESOR 1,4</v>
          </cell>
          <cell r="BT328" t="str">
            <v>CUE0000140R</v>
          </cell>
          <cell r="BU328">
            <v>0.02</v>
          </cell>
          <cell r="BV328" t="str">
            <v>AV1401254360</v>
          </cell>
          <cell r="BW328">
            <v>0</v>
          </cell>
          <cell r="BX328" t="str">
            <v>AV1601300956</v>
          </cell>
          <cell r="BY328">
            <v>0</v>
          </cell>
          <cell r="CL328" t="str">
            <v>NEGRO_REVES_SUELA</v>
          </cell>
          <cell r="CM328" t="str">
            <v>BIANCO-CUERO MODENA ESPESOR 1,4</v>
          </cell>
          <cell r="CN328" t="str">
            <v>CUE0000138R</v>
          </cell>
          <cell r="CO328">
            <v>0.02</v>
          </cell>
          <cell r="CP328" t="str">
            <v>AV1401254060</v>
          </cell>
          <cell r="CQ328">
            <v>0</v>
          </cell>
          <cell r="CR328" t="str">
            <v>AV1601300926</v>
          </cell>
          <cell r="CS328">
            <v>0</v>
          </cell>
          <cell r="KD328">
            <v>9</v>
          </cell>
          <cell r="KE328">
            <v>9</v>
          </cell>
          <cell r="KF328">
            <v>9</v>
          </cell>
          <cell r="KG328">
            <v>12</v>
          </cell>
          <cell r="KH328">
            <v>12</v>
          </cell>
          <cell r="KI328">
            <v>12</v>
          </cell>
          <cell r="KJ328">
            <v>9</v>
          </cell>
          <cell r="KK328">
            <v>9</v>
          </cell>
          <cell r="KL328">
            <v>9</v>
          </cell>
          <cell r="KM328">
            <v>0</v>
          </cell>
          <cell r="KP328">
            <v>0</v>
          </cell>
          <cell r="KS328">
            <v>0</v>
          </cell>
          <cell r="KV328">
            <v>0</v>
          </cell>
          <cell r="KY328">
            <v>0</v>
          </cell>
          <cell r="LB328">
            <v>0</v>
          </cell>
          <cell r="LE328">
            <v>0</v>
          </cell>
          <cell r="LH328">
            <v>0</v>
          </cell>
          <cell r="LK328">
            <v>0</v>
          </cell>
          <cell r="LN328">
            <v>45911</v>
          </cell>
          <cell r="LO328">
            <v>45931</v>
          </cell>
          <cell r="LP328" t="str">
            <v>COMPLETADO</v>
          </cell>
        </row>
        <row r="329">
          <cell r="A329" t="str">
            <v>1960-A</v>
          </cell>
          <cell r="B329" t="str">
            <v>RUBEN</v>
          </cell>
          <cell r="C329" t="str">
            <v>BARRACAS GRANDE</v>
          </cell>
          <cell r="D329" t="str">
            <v>MARROQUINERIA GRANDE</v>
          </cell>
          <cell r="E329">
            <v>6</v>
          </cell>
          <cell r="F329">
            <v>6</v>
          </cell>
          <cell r="G329">
            <v>6</v>
          </cell>
          <cell r="H329">
            <v>45914.340590277781</v>
          </cell>
          <cell r="I329" t="str">
            <v>CARTERA KALI</v>
          </cell>
          <cell r="J329">
            <v>45908</v>
          </cell>
          <cell r="K329">
            <v>45908</v>
          </cell>
          <cell r="L329">
            <v>45908</v>
          </cell>
          <cell r="M329">
            <v>45</v>
          </cell>
          <cell r="N329" t="str">
            <v>M185</v>
          </cell>
          <cell r="O329" t="str">
            <v>AV0101030201</v>
          </cell>
          <cell r="P329">
            <v>1</v>
          </cell>
          <cell r="Q329" t="str">
            <v>AV0300460101</v>
          </cell>
          <cell r="R329">
            <v>1</v>
          </cell>
          <cell r="S329" t="str">
            <v>AV0300390101</v>
          </cell>
          <cell r="T329">
            <v>1</v>
          </cell>
          <cell r="U329" t="str">
            <v>VAR0000045</v>
          </cell>
          <cell r="V329">
            <v>1</v>
          </cell>
          <cell r="W329" t="str">
            <v>AV170129018</v>
          </cell>
          <cell r="X329">
            <v>0</v>
          </cell>
          <cell r="AS329" t="str">
            <v>TIRACIERRE 1</v>
          </cell>
          <cell r="AT329" t="str">
            <v xml:space="preserve"> ARGOLLITA + TIRA CON REMACHE + GRABADO ESTRELLA</v>
          </cell>
          <cell r="AU329" t="str">
            <v xml:space="preserve"> LA HEBILLA VA FORRADA EN GAMUZA</v>
          </cell>
          <cell r="AW329" t="str">
            <v>GRABADO "EL LUCERO " GRANDE - EN ZOCALO DE BOLSILLO INTERNO, CENTRADO ABAJO</v>
          </cell>
          <cell r="AX329" t="str">
            <v>TABACO</v>
          </cell>
          <cell r="AY329" t="str">
            <v>NAPOLITANA-CUERO GAMUZA</v>
          </cell>
          <cell r="AZ329" t="str">
            <v>CUE0000050</v>
          </cell>
          <cell r="BA329">
            <v>0.71</v>
          </cell>
          <cell r="BB329" t="str">
            <v>AV0100010214</v>
          </cell>
          <cell r="BC329">
            <v>0.2</v>
          </cell>
          <cell r="KD329">
            <v>6</v>
          </cell>
          <cell r="KE329">
            <v>6</v>
          </cell>
          <cell r="KF329">
            <v>6</v>
          </cell>
          <cell r="KG329">
            <v>0</v>
          </cell>
          <cell r="KJ329">
            <v>0</v>
          </cell>
          <cell r="KM329">
            <v>0</v>
          </cell>
          <cell r="KP329">
            <v>0</v>
          </cell>
          <cell r="KS329">
            <v>0</v>
          </cell>
          <cell r="KV329">
            <v>0</v>
          </cell>
          <cell r="KY329">
            <v>0</v>
          </cell>
          <cell r="LB329">
            <v>0</v>
          </cell>
          <cell r="LE329">
            <v>0</v>
          </cell>
          <cell r="LH329">
            <v>0</v>
          </cell>
          <cell r="LK329">
            <v>0</v>
          </cell>
          <cell r="LN329">
            <v>45908</v>
          </cell>
          <cell r="LO329">
            <v>45923</v>
          </cell>
          <cell r="LP329" t="str">
            <v>COMPLETADO</v>
          </cell>
        </row>
        <row r="330">
          <cell r="A330" t="str">
            <v>1961-A</v>
          </cell>
          <cell r="B330" t="str">
            <v>RUBEN</v>
          </cell>
          <cell r="C330" t="str">
            <v>BARRACAS GRANDE</v>
          </cell>
          <cell r="D330" t="str">
            <v>MARROQUINERIA GRANDE</v>
          </cell>
          <cell r="E330">
            <v>20</v>
          </cell>
          <cell r="F330">
            <v>20</v>
          </cell>
          <cell r="G330">
            <v>20</v>
          </cell>
          <cell r="H330">
            <v>45914.349664351852</v>
          </cell>
          <cell r="I330" t="str">
            <v>CARTERA LONDRES</v>
          </cell>
          <cell r="J330">
            <v>45908</v>
          </cell>
          <cell r="K330">
            <v>45908</v>
          </cell>
          <cell r="L330">
            <v>45908</v>
          </cell>
          <cell r="M330">
            <v>50</v>
          </cell>
          <cell r="N330" t="str">
            <v>M043</v>
          </cell>
          <cell r="O330" t="str">
            <v>AV0101040201</v>
          </cell>
          <cell r="P330">
            <v>1</v>
          </cell>
          <cell r="Q330" t="str">
            <v>AV0300390101</v>
          </cell>
          <cell r="R330">
            <v>1</v>
          </cell>
          <cell r="S330" t="str">
            <v>AV0300400101</v>
          </cell>
          <cell r="T330">
            <v>4</v>
          </cell>
          <cell r="U330" t="str">
            <v>AV1000430101</v>
          </cell>
          <cell r="V330">
            <v>3</v>
          </cell>
          <cell r="W330" t="str">
            <v>BAC1300020827</v>
          </cell>
          <cell r="X330">
            <v>0.1</v>
          </cell>
          <cell r="Y330" t="str">
            <v>AV0300460101</v>
          </cell>
          <cell r="Z330">
            <v>1</v>
          </cell>
          <cell r="AA330" t="str">
            <v>AV170129018</v>
          </cell>
          <cell r="AB330">
            <v>0</v>
          </cell>
          <cell r="AS330" t="str">
            <v>TIRACIERRES N1 - TIRA CON REMACHE Y GRABADO ESTRELLITA</v>
          </cell>
          <cell r="AW330" t="str">
            <v>GRABADO EL LUCERO GRANDE EN ESPALDA A 3.5CM DEL BORDE SUPERIOR, CENTRADO</v>
          </cell>
          <cell r="AX330" t="str">
            <v>NEGRO</v>
          </cell>
          <cell r="AY330" t="str">
            <v>ARENA-CUERO BRIDGE</v>
          </cell>
          <cell r="AZ330" t="str">
            <v>CUE0000009</v>
          </cell>
          <cell r="BA330">
            <v>0.53</v>
          </cell>
          <cell r="BB330" t="str">
            <v>FOR0000020</v>
          </cell>
          <cell r="BC330">
            <v>0.32</v>
          </cell>
          <cell r="BD330" t="str">
            <v>AV1101170526</v>
          </cell>
          <cell r="BE330">
            <v>1.1499999999999999</v>
          </cell>
          <cell r="BF330" t="str">
            <v>AV0100010203</v>
          </cell>
          <cell r="BG330">
            <v>0.28000000000000003</v>
          </cell>
          <cell r="BR330" t="str">
            <v>CARAMELO</v>
          </cell>
          <cell r="BS330" t="str">
            <v>ARENA-CUERO BRIDGE</v>
          </cell>
          <cell r="BT330" t="str">
            <v>CUE0000004</v>
          </cell>
          <cell r="BU330">
            <v>0.53</v>
          </cell>
          <cell r="BV330" t="str">
            <v>FOR0000021</v>
          </cell>
          <cell r="BW330">
            <v>0.32</v>
          </cell>
          <cell r="BX330" t="str">
            <v>AV1101630525</v>
          </cell>
          <cell r="BY330">
            <v>1.1499999999999999</v>
          </cell>
          <cell r="BZ330" t="str">
            <v>AV0100010205</v>
          </cell>
          <cell r="CA330">
            <v>0.28000000000000003</v>
          </cell>
          <cell r="CL330" t="str">
            <v>CHOCOLATE</v>
          </cell>
          <cell r="CM330" t="str">
            <v>ARENA-CUERO BRIDGE</v>
          </cell>
          <cell r="CN330" t="str">
            <v>CUE0000005</v>
          </cell>
          <cell r="CO330">
            <v>0.53</v>
          </cell>
          <cell r="CP330" t="str">
            <v>FOR0000021</v>
          </cell>
          <cell r="CQ330">
            <v>0.32</v>
          </cell>
          <cell r="CR330" t="str">
            <v>AV1101180538</v>
          </cell>
          <cell r="CS330">
            <v>1.1499999999999999</v>
          </cell>
          <cell r="CT330" t="str">
            <v>CIE0000002</v>
          </cell>
          <cell r="CU330">
            <v>0.28000000000000003</v>
          </cell>
          <cell r="KD330">
            <v>6</v>
          </cell>
          <cell r="KE330">
            <v>6</v>
          </cell>
          <cell r="KF330">
            <v>6</v>
          </cell>
          <cell r="KG330">
            <v>4</v>
          </cell>
          <cell r="KH330">
            <v>4</v>
          </cell>
          <cell r="KI330">
            <v>4</v>
          </cell>
          <cell r="KJ330">
            <v>10</v>
          </cell>
          <cell r="KK330">
            <v>10</v>
          </cell>
          <cell r="KL330">
            <v>10</v>
          </cell>
          <cell r="KM330">
            <v>0</v>
          </cell>
          <cell r="KP330">
            <v>0</v>
          </cell>
          <cell r="KS330">
            <v>0</v>
          </cell>
          <cell r="KV330">
            <v>0</v>
          </cell>
          <cell r="KY330">
            <v>0</v>
          </cell>
          <cell r="LB330">
            <v>0</v>
          </cell>
          <cell r="LE330">
            <v>0</v>
          </cell>
          <cell r="LH330">
            <v>0</v>
          </cell>
          <cell r="LK330">
            <v>0</v>
          </cell>
          <cell r="LN330">
            <v>45908</v>
          </cell>
          <cell r="LO330">
            <v>45916</v>
          </cell>
          <cell r="LP330" t="str">
            <v>COMPLETADO</v>
          </cell>
        </row>
        <row r="331">
          <cell r="A331" t="str">
            <v>1963-A</v>
          </cell>
          <cell r="B331" t="str">
            <v>LUCIANO</v>
          </cell>
          <cell r="C331" t="str">
            <v>BARRACAS CHICA</v>
          </cell>
          <cell r="D331" t="str">
            <v>MARROQUINERIA CHICA</v>
          </cell>
          <cell r="E331">
            <v>14</v>
          </cell>
          <cell r="F331">
            <v>9</v>
          </cell>
          <cell r="G331">
            <v>9</v>
          </cell>
          <cell r="H331">
            <v>45914.352951388886</v>
          </cell>
          <cell r="I331" t="str">
            <v>BILLETERA ADAM</v>
          </cell>
          <cell r="J331">
            <v>45964</v>
          </cell>
          <cell r="K331">
            <v>45908</v>
          </cell>
          <cell r="L331">
            <v>45972</v>
          </cell>
          <cell r="M331">
            <v>50</v>
          </cell>
          <cell r="N331" t="str">
            <v>M012</v>
          </cell>
          <cell r="O331" t="str">
            <v>AV0700420101</v>
          </cell>
          <cell r="P331">
            <v>1</v>
          </cell>
          <cell r="Q331" t="str">
            <v>VAR0000002</v>
          </cell>
          <cell r="R331">
            <v>0.01</v>
          </cell>
          <cell r="S331" t="str">
            <v>AV170134014</v>
          </cell>
          <cell r="T331">
            <v>0</v>
          </cell>
          <cell r="AW331" t="str">
            <v xml:space="preserve">GRABADO "EL LUCERO ARGENTINA" CHICO - CENTRADO A 1 CM DESDE EL BORDE INFERIOR  </v>
          </cell>
          <cell r="AX331" t="str">
            <v>CARAMELO</v>
          </cell>
          <cell r="AY331" t="str">
            <v>ARENA-CUERO BRIDGE</v>
          </cell>
          <cell r="AZ331" t="str">
            <v>CUE0000004R</v>
          </cell>
          <cell r="BA331">
            <v>0.11</v>
          </cell>
          <cell r="BB331" t="str">
            <v>AV1401254160</v>
          </cell>
          <cell r="BC331">
            <v>0</v>
          </cell>
          <cell r="BD331" t="str">
            <v>FOR0000015</v>
          </cell>
          <cell r="BE331">
            <v>0.08</v>
          </cell>
          <cell r="BR331" t="str">
            <v>SUELA</v>
          </cell>
          <cell r="BS331" t="str">
            <v>ARENA-CUERO NAPADO</v>
          </cell>
          <cell r="BT331" t="str">
            <v>CUE0000028R</v>
          </cell>
          <cell r="BU331">
            <v>0.11</v>
          </cell>
          <cell r="BV331" t="str">
            <v>AV1401250545</v>
          </cell>
          <cell r="BW331">
            <v>0</v>
          </cell>
          <cell r="BX331" t="str">
            <v>FOR0000015</v>
          </cell>
          <cell r="BY331">
            <v>0.08</v>
          </cell>
          <cell r="CL331" t="str">
            <v>VERDE_REVES_VERDE</v>
          </cell>
          <cell r="CM331" t="str">
            <v>BIANCO-CUERO MODENA ESPESOR 1,4</v>
          </cell>
          <cell r="CN331" t="str">
            <v>CUE0000118R</v>
          </cell>
          <cell r="CO331">
            <v>0.11</v>
          </cell>
          <cell r="CP331" t="str">
            <v>AV1401254260</v>
          </cell>
          <cell r="CQ331">
            <v>0</v>
          </cell>
          <cell r="CR331" t="str">
            <v>FOR0000013</v>
          </cell>
          <cell r="CS331">
            <v>0.08</v>
          </cell>
          <cell r="KD331">
            <v>3</v>
          </cell>
          <cell r="KE331">
            <v>3</v>
          </cell>
          <cell r="KF331">
            <v>3</v>
          </cell>
          <cell r="KG331">
            <v>6</v>
          </cell>
          <cell r="KH331">
            <v>6</v>
          </cell>
          <cell r="KI331">
            <v>6</v>
          </cell>
          <cell r="KJ331">
            <v>5</v>
          </cell>
          <cell r="KK331">
            <v>0</v>
          </cell>
          <cell r="KL331">
            <v>0</v>
          </cell>
          <cell r="KM331">
            <v>0</v>
          </cell>
          <cell r="KP331">
            <v>0</v>
          </cell>
          <cell r="KS331">
            <v>0</v>
          </cell>
          <cell r="KV331">
            <v>0</v>
          </cell>
          <cell r="KY331">
            <v>0</v>
          </cell>
          <cell r="LB331">
            <v>0</v>
          </cell>
          <cell r="LE331">
            <v>0</v>
          </cell>
          <cell r="LH331">
            <v>0</v>
          </cell>
          <cell r="LK331">
            <v>0</v>
          </cell>
          <cell r="LN331">
            <v>45971</v>
          </cell>
          <cell r="LO331">
            <v>45980</v>
          </cell>
          <cell r="LP331" t="str">
            <v>COMPLETADO</v>
          </cell>
        </row>
        <row r="332">
          <cell r="A332" t="str">
            <v>1964-A</v>
          </cell>
          <cell r="B332" t="str">
            <v>LUCIANO</v>
          </cell>
          <cell r="C332" t="str">
            <v>PERDRIEL</v>
          </cell>
          <cell r="D332" t="str">
            <v>MARROQUINERIA CHICA</v>
          </cell>
          <cell r="E332">
            <v>40</v>
          </cell>
          <cell r="F332">
            <v>40</v>
          </cell>
          <cell r="G332">
            <v>40</v>
          </cell>
          <cell r="H332">
            <v>45914.356921296298</v>
          </cell>
          <cell r="I332" t="str">
            <v>BILLETERA ARLO</v>
          </cell>
          <cell r="J332">
            <v>45909</v>
          </cell>
          <cell r="K332">
            <v>45909</v>
          </cell>
          <cell r="L332">
            <v>45937</v>
          </cell>
          <cell r="M332">
            <v>50</v>
          </cell>
          <cell r="N332" t="str">
            <v>M162</v>
          </cell>
          <cell r="O332" t="str">
            <v>BAC0900100161</v>
          </cell>
          <cell r="P332">
            <v>0.1</v>
          </cell>
          <cell r="Q332" t="str">
            <v>AV170134014</v>
          </cell>
          <cell r="R332">
            <v>0</v>
          </cell>
          <cell r="AS332" t="str">
            <v>GRABADO EN TARJETERO "EL LUCERO ARGENTINA" CHICO ATRAS CENTRADO A 1 CM DESDE EL BORDE INFERIOR</v>
          </cell>
          <cell r="AT332" t="str">
            <v>LLEVA 2 GRABADOS</v>
          </cell>
          <cell r="AW332" t="str">
            <v>GRABADO EN INTERIOR  "EL LUCERO ARGENTINA" CHICO - CENTRADO A 1 CM DESDE EL BORDE INFERIOR</v>
          </cell>
          <cell r="AX332" t="str">
            <v>NEGRO</v>
          </cell>
          <cell r="AY332" t="str">
            <v>ARENA-CUERO BRIDGE</v>
          </cell>
          <cell r="AZ332" t="str">
            <v>CUE0000009R</v>
          </cell>
          <cell r="BA332">
            <v>0.11</v>
          </cell>
          <cell r="BB332" t="str">
            <v>FOR0000018</v>
          </cell>
          <cell r="BC332">
            <v>0.1</v>
          </cell>
          <cell r="BR332" t="str">
            <v>CHOCOLATE</v>
          </cell>
          <cell r="BS332" t="str">
            <v>ARENA-CUERO BRIDGE</v>
          </cell>
          <cell r="BT332" t="str">
            <v>CUE0000005R</v>
          </cell>
          <cell r="BU332">
            <v>0.11</v>
          </cell>
          <cell r="BV332" t="str">
            <v>FOR0000015</v>
          </cell>
          <cell r="BW332">
            <v>0.1</v>
          </cell>
          <cell r="CL332" t="str">
            <v>TABACO</v>
          </cell>
          <cell r="CM332" t="str">
            <v>ARENA-CUERO BRIDGE</v>
          </cell>
          <cell r="CN332" t="str">
            <v>CUE0000012R</v>
          </cell>
          <cell r="CO332">
            <v>0.11</v>
          </cell>
          <cell r="CP332" t="str">
            <v>FOR0000015</v>
          </cell>
          <cell r="CQ332">
            <v>0.1</v>
          </cell>
          <cell r="DF332" t="str">
            <v>CARAMELO</v>
          </cell>
          <cell r="DG332" t="str">
            <v>ARENA-CUERO BRIDGE</v>
          </cell>
          <cell r="DH332" t="str">
            <v>CUE0000004R</v>
          </cell>
          <cell r="DI332">
            <v>0.11</v>
          </cell>
          <cell r="DJ332" t="str">
            <v>FOR0000015</v>
          </cell>
          <cell r="DK332">
            <v>0.1</v>
          </cell>
          <cell r="KD332">
            <v>12</v>
          </cell>
          <cell r="KE332">
            <v>12</v>
          </cell>
          <cell r="KF332">
            <v>12</v>
          </cell>
          <cell r="KG332">
            <v>14</v>
          </cell>
          <cell r="KH332">
            <v>14</v>
          </cell>
          <cell r="KI332">
            <v>14</v>
          </cell>
          <cell r="KJ332">
            <v>9</v>
          </cell>
          <cell r="KK332">
            <v>9</v>
          </cell>
          <cell r="KL332">
            <v>9</v>
          </cell>
          <cell r="KM332">
            <v>5</v>
          </cell>
          <cell r="KN332">
            <v>5</v>
          </cell>
          <cell r="KO332">
            <v>5</v>
          </cell>
          <cell r="KP332">
            <v>0</v>
          </cell>
          <cell r="KS332">
            <v>0</v>
          </cell>
          <cell r="KV332">
            <v>0</v>
          </cell>
          <cell r="KY332">
            <v>0</v>
          </cell>
          <cell r="LB332">
            <v>0</v>
          </cell>
          <cell r="LE332">
            <v>0</v>
          </cell>
          <cell r="LH332">
            <v>0</v>
          </cell>
          <cell r="LK332">
            <v>0</v>
          </cell>
          <cell r="LN332">
            <v>45909</v>
          </cell>
          <cell r="LO332">
            <v>45947</v>
          </cell>
          <cell r="LP332" t="str">
            <v>COMPLETADO</v>
          </cell>
        </row>
        <row r="333">
          <cell r="A333" t="str">
            <v>1965-A</v>
          </cell>
          <cell r="B333" t="str">
            <v>LUCIANO</v>
          </cell>
          <cell r="C333" t="str">
            <v>BARRACAS CHICA</v>
          </cell>
          <cell r="D333" t="str">
            <v>MARROQUINERIA CHICA</v>
          </cell>
          <cell r="E333">
            <v>21</v>
          </cell>
          <cell r="F333">
            <v>15</v>
          </cell>
          <cell r="G333">
            <v>18</v>
          </cell>
          <cell r="H333">
            <v>45914.360960648148</v>
          </cell>
          <cell r="I333" t="str">
            <v>BILLETERA MILO SIMPLE</v>
          </cell>
          <cell r="J333">
            <v>45909</v>
          </cell>
          <cell r="K333">
            <v>45909</v>
          </cell>
          <cell r="L333">
            <v>45915</v>
          </cell>
          <cell r="M333">
            <v>40</v>
          </cell>
          <cell r="N333" t="str">
            <v>M023</v>
          </cell>
          <cell r="O333" t="str">
            <v>BAC0900100161</v>
          </cell>
          <cell r="P333">
            <v>0.01</v>
          </cell>
          <cell r="Q333" t="str">
            <v>AV170134014</v>
          </cell>
          <cell r="R333">
            <v>0</v>
          </cell>
          <cell r="AS333" t="str">
            <v>SIN ELASTICO</v>
          </cell>
          <cell r="AW333" t="str">
            <v xml:space="preserve">GRABADO "LUCERO ARGENTINA" CHICO A 1 CMDEL BORDE INFERIOR, EN SOLAPA INTERNA   </v>
          </cell>
          <cell r="AX333" t="str">
            <v>NEGRO</v>
          </cell>
          <cell r="AY333" t="str">
            <v>VANESKA-CUERO NAPADO DUNA</v>
          </cell>
          <cell r="AZ333" t="str">
            <v>CUE0000059R</v>
          </cell>
          <cell r="BA333">
            <v>0.09</v>
          </cell>
          <cell r="BB333" t="str">
            <v>FOR0000018</v>
          </cell>
          <cell r="BC333">
            <v>0.11</v>
          </cell>
          <cell r="BD333" t="str">
            <v>AV1401254060</v>
          </cell>
          <cell r="BE333">
            <v>0</v>
          </cell>
          <cell r="BF333" t="str">
            <v>AV1601300926</v>
          </cell>
          <cell r="BG333">
            <v>0</v>
          </cell>
          <cell r="BR333" t="str">
            <v>VERDE_REVES_VERDE</v>
          </cell>
          <cell r="BS333" t="str">
            <v>BIANCO-CUERO MODENA ESPESOR 1,4</v>
          </cell>
          <cell r="BT333" t="str">
            <v>CUE0000118R</v>
          </cell>
          <cell r="BU333">
            <v>0.09</v>
          </cell>
          <cell r="BV333" t="str">
            <v>FOR0000013</v>
          </cell>
          <cell r="BW333">
            <v>0.11</v>
          </cell>
          <cell r="BX333" t="str">
            <v>AV1401254260</v>
          </cell>
          <cell r="BY333">
            <v>0</v>
          </cell>
          <cell r="BZ333" t="str">
            <v>AV1601300957</v>
          </cell>
          <cell r="CA333">
            <v>0</v>
          </cell>
          <cell r="CL333" t="str">
            <v>AZUL_REVES_AZUL</v>
          </cell>
          <cell r="CM333" t="str">
            <v>BIANCO-CUERO MODENA ESPESOR 1,4</v>
          </cell>
          <cell r="CN333" t="str">
            <v>CUE0000119R</v>
          </cell>
          <cell r="CO333">
            <v>0.09</v>
          </cell>
          <cell r="CP333" t="str">
            <v>FOR0000014</v>
          </cell>
          <cell r="CQ333">
            <v>0.11</v>
          </cell>
          <cell r="CR333" t="str">
            <v>AV1401254360</v>
          </cell>
          <cell r="CS333">
            <v>0</v>
          </cell>
          <cell r="CT333" t="str">
            <v>AV1601300956</v>
          </cell>
          <cell r="CU333">
            <v>0</v>
          </cell>
          <cell r="KD333">
            <v>9</v>
          </cell>
          <cell r="KE333">
            <v>9</v>
          </cell>
          <cell r="KF333">
            <v>9</v>
          </cell>
          <cell r="KG333">
            <v>6</v>
          </cell>
          <cell r="KH333">
            <v>0</v>
          </cell>
          <cell r="KI333">
            <v>0</v>
          </cell>
          <cell r="KJ333">
            <v>6</v>
          </cell>
          <cell r="KK333">
            <v>6</v>
          </cell>
          <cell r="KL333">
            <v>9</v>
          </cell>
          <cell r="KM333">
            <v>0</v>
          </cell>
          <cell r="KP333">
            <v>0</v>
          </cell>
          <cell r="KS333">
            <v>0</v>
          </cell>
          <cell r="KV333">
            <v>0</v>
          </cell>
          <cell r="KY333">
            <v>0</v>
          </cell>
          <cell r="LB333">
            <v>0</v>
          </cell>
          <cell r="LE333">
            <v>0</v>
          </cell>
          <cell r="LH333">
            <v>0</v>
          </cell>
          <cell r="LK333">
            <v>0</v>
          </cell>
          <cell r="LN333">
            <v>45909</v>
          </cell>
          <cell r="LO333">
            <v>45923</v>
          </cell>
          <cell r="LP333" t="str">
            <v>COMPLETADO</v>
          </cell>
          <cell r="LR333" t="str">
            <v xml:space="preserve"> OJO REVISAR QUE EL COLOR NO SE LEVANTE</v>
          </cell>
        </row>
        <row r="334">
          <cell r="A334" t="str">
            <v>1966-A</v>
          </cell>
          <cell r="B334" t="str">
            <v>LUCIANO</v>
          </cell>
          <cell r="C334" t="str">
            <v>BARRACAS CHICA</v>
          </cell>
          <cell r="D334" t="str">
            <v>MARROQUINERIA CHICA</v>
          </cell>
          <cell r="E334">
            <v>19</v>
          </cell>
          <cell r="F334">
            <v>19</v>
          </cell>
          <cell r="G334">
            <v>19</v>
          </cell>
          <cell r="H334">
            <v>45914.364004629628</v>
          </cell>
          <cell r="I334" t="str">
            <v>BILLETERA OSADIA</v>
          </cell>
          <cell r="J334">
            <v>45909</v>
          </cell>
          <cell r="K334">
            <v>45909</v>
          </cell>
          <cell r="L334">
            <v>45915</v>
          </cell>
          <cell r="M334">
            <v>50</v>
          </cell>
          <cell r="N334" t="str">
            <v>M024</v>
          </cell>
          <cell r="O334" t="str">
            <v>AV0101030201</v>
          </cell>
          <cell r="P334">
            <v>1</v>
          </cell>
          <cell r="Q334" t="str">
            <v>AV0600540101</v>
          </cell>
          <cell r="R334">
            <v>1</v>
          </cell>
          <cell r="S334" t="str">
            <v>AV0101070301</v>
          </cell>
          <cell r="T334">
            <v>1</v>
          </cell>
          <cell r="U334" t="str">
            <v>AV0600560101</v>
          </cell>
          <cell r="V334">
            <v>1</v>
          </cell>
          <cell r="W334" t="str">
            <v>AV1000380101</v>
          </cell>
          <cell r="X334">
            <v>1</v>
          </cell>
          <cell r="Y334" t="str">
            <v>AV0600550101</v>
          </cell>
          <cell r="Z334">
            <v>1</v>
          </cell>
          <cell r="AA334" t="str">
            <v>AV0300400101</v>
          </cell>
          <cell r="AB334">
            <v>1</v>
          </cell>
          <cell r="AC334" t="str">
            <v>BAC1300050727</v>
          </cell>
          <cell r="AD334">
            <v>0.05</v>
          </cell>
          <cell r="AE334" t="str">
            <v>BAC0200071027</v>
          </cell>
          <cell r="AF334">
            <v>0.03</v>
          </cell>
          <cell r="AG334" t="str">
            <v>AV170134014</v>
          </cell>
          <cell r="AH334">
            <v>0</v>
          </cell>
          <cell r="AW334" t="str">
            <v>GRABADO "EL LUCERO" CHICO CENTRADO EN EL FRENTE, A 2 CM DEL CIERRE</v>
          </cell>
          <cell r="AX334" t="str">
            <v>ROJO</v>
          </cell>
          <cell r="AY334" t="str">
            <v>ARENA-CUERO BRIDGE</v>
          </cell>
          <cell r="AZ334" t="str">
            <v>CUE0000010R</v>
          </cell>
          <cell r="BA334">
            <v>0.14000000000000001</v>
          </cell>
          <cell r="BB334" t="str">
            <v>FOR0000016</v>
          </cell>
          <cell r="BC334">
            <v>0.12</v>
          </cell>
          <cell r="BD334" t="str">
            <v>AV0100010113</v>
          </cell>
          <cell r="BE334">
            <v>0.4</v>
          </cell>
          <cell r="BF334" t="str">
            <v>AV0100020313</v>
          </cell>
          <cell r="BG334">
            <v>0.14000000000000001</v>
          </cell>
          <cell r="BR334" t="str">
            <v>CARAMELO</v>
          </cell>
          <cell r="BS334" t="str">
            <v>ARENA-CUERO BRIDGE</v>
          </cell>
          <cell r="BT334" t="str">
            <v>CUE0000004R</v>
          </cell>
          <cell r="BU334">
            <v>0.14000000000000001</v>
          </cell>
          <cell r="BV334" t="str">
            <v>FOR0000015</v>
          </cell>
          <cell r="BW334">
            <v>0.12</v>
          </cell>
          <cell r="BX334" t="str">
            <v>AV0100010105</v>
          </cell>
          <cell r="BY334">
            <v>0.4</v>
          </cell>
          <cell r="BZ334" t="str">
            <v>AV0100020305</v>
          </cell>
          <cell r="CA334">
            <v>0.14000000000000001</v>
          </cell>
          <cell r="CL334" t="str">
            <v>MALBEC</v>
          </cell>
          <cell r="CM334" t="str">
            <v>ARENA-CUERO BRIDGE</v>
          </cell>
          <cell r="CN334" t="str">
            <v>CUE0000008R</v>
          </cell>
          <cell r="CO334">
            <v>0.14000000000000001</v>
          </cell>
          <cell r="CP334" t="str">
            <v>FOR0000016</v>
          </cell>
          <cell r="CQ334">
            <v>0.12</v>
          </cell>
          <cell r="CR334" t="str">
            <v>AV0100010161</v>
          </cell>
          <cell r="CS334">
            <v>0.4</v>
          </cell>
          <cell r="CT334" t="str">
            <v>AV0100020313</v>
          </cell>
          <cell r="CU334">
            <v>0.14000000000000001</v>
          </cell>
          <cell r="KD334">
            <v>9</v>
          </cell>
          <cell r="KE334">
            <v>9</v>
          </cell>
          <cell r="KF334">
            <v>9</v>
          </cell>
          <cell r="KG334">
            <v>6</v>
          </cell>
          <cell r="KH334">
            <v>6</v>
          </cell>
          <cell r="KI334">
            <v>6</v>
          </cell>
          <cell r="KJ334">
            <v>4</v>
          </cell>
          <cell r="KK334">
            <v>4</v>
          </cell>
          <cell r="KL334">
            <v>4</v>
          </cell>
          <cell r="KM334">
            <v>0</v>
          </cell>
          <cell r="KP334">
            <v>0</v>
          </cell>
          <cell r="KS334">
            <v>0</v>
          </cell>
          <cell r="KV334">
            <v>0</v>
          </cell>
          <cell r="KY334">
            <v>0</v>
          </cell>
          <cell r="LB334">
            <v>0</v>
          </cell>
          <cell r="LE334">
            <v>0</v>
          </cell>
          <cell r="LH334">
            <v>0</v>
          </cell>
          <cell r="LK334">
            <v>0</v>
          </cell>
          <cell r="LN334">
            <v>45909</v>
          </cell>
          <cell r="LO334">
            <v>45923</v>
          </cell>
          <cell r="LP334" t="str">
            <v>COMPLETADO</v>
          </cell>
        </row>
        <row r="335">
          <cell r="A335" t="str">
            <v>1967-A</v>
          </cell>
          <cell r="B335" t="str">
            <v>LUCIANO</v>
          </cell>
          <cell r="C335" t="str">
            <v>BARRACAS CHICA</v>
          </cell>
          <cell r="D335" t="str">
            <v>MARROQUINERIA CHICA</v>
          </cell>
          <cell r="E335">
            <v>39</v>
          </cell>
          <cell r="F335">
            <v>33</v>
          </cell>
          <cell r="G335">
            <v>33</v>
          </cell>
          <cell r="H335">
            <v>45914.367083333331</v>
          </cell>
          <cell r="I335" t="str">
            <v>CARTUCHERA MONT</v>
          </cell>
          <cell r="J335">
            <v>45909</v>
          </cell>
          <cell r="K335">
            <v>45909</v>
          </cell>
          <cell r="L335">
            <v>45922</v>
          </cell>
          <cell r="M335">
            <v>25</v>
          </cell>
          <cell r="N335" t="str">
            <v>M046</v>
          </cell>
          <cell r="O335" t="str">
            <v>AV0101040201</v>
          </cell>
          <cell r="P335">
            <v>1</v>
          </cell>
          <cell r="Q335" t="str">
            <v>AV0300390101</v>
          </cell>
          <cell r="R335">
            <v>1</v>
          </cell>
          <cell r="S335" t="str">
            <v>AV170134014</v>
          </cell>
          <cell r="T335">
            <v>0</v>
          </cell>
          <cell r="AS335" t="str">
            <v>TIRACIERRE N 2 - VUELTA DE TIRA DE CUERO CON REMACHE + GRABADO "L"</v>
          </cell>
          <cell r="AW335" t="str">
            <v xml:space="preserve">GRABADO EL LUCERO ARGENTINA CHICO - LATERAL DERECHO   </v>
          </cell>
          <cell r="AX335" t="str">
            <v>MALBEC</v>
          </cell>
          <cell r="AY335" t="str">
            <v>ARENA-CUERO BRIDGE</v>
          </cell>
          <cell r="AZ335" t="str">
            <v>CUE0000008R</v>
          </cell>
          <cell r="BA335">
            <v>0.06</v>
          </cell>
          <cell r="BB335" t="str">
            <v>FOR0000020</v>
          </cell>
          <cell r="BC335">
            <v>0.06</v>
          </cell>
          <cell r="BD335" t="str">
            <v>AV0100010161</v>
          </cell>
          <cell r="BE335">
            <v>0.26</v>
          </cell>
          <cell r="BF335" t="str">
            <v>AV1401250545</v>
          </cell>
          <cell r="BG335">
            <v>0</v>
          </cell>
          <cell r="BH335" t="str">
            <v>PIN00000001</v>
          </cell>
          <cell r="BI335">
            <v>0</v>
          </cell>
          <cell r="BR335" t="str">
            <v>AZUL_REVES_AZUL</v>
          </cell>
          <cell r="BS335" t="str">
            <v>BIANCO-CUERO MODENA ESPESOR 1,4</v>
          </cell>
          <cell r="BT335" t="str">
            <v>CUE0000119R</v>
          </cell>
          <cell r="BU335">
            <v>0.06</v>
          </cell>
          <cell r="BV335" t="str">
            <v>FOR0000020</v>
          </cell>
          <cell r="BW335">
            <v>0.06</v>
          </cell>
          <cell r="BX335" t="str">
            <v>AV0100010115</v>
          </cell>
          <cell r="BY335">
            <v>0.26</v>
          </cell>
          <cell r="BZ335" t="str">
            <v>AV1401254360</v>
          </cell>
          <cell r="CA335">
            <v>0</v>
          </cell>
          <cell r="CB335" t="str">
            <v>AV1601300956</v>
          </cell>
          <cell r="CC335">
            <v>0</v>
          </cell>
          <cell r="CL335" t="str">
            <v>VERDE_REVES_VERDE</v>
          </cell>
          <cell r="CM335" t="str">
            <v>BIANCO-CUERO MODENA ESPESOR 1,4</v>
          </cell>
          <cell r="CN335" t="str">
            <v>CUE0000118R</v>
          </cell>
          <cell r="CO335">
            <v>0.06</v>
          </cell>
          <cell r="CP335" t="str">
            <v>FOR0000020</v>
          </cell>
          <cell r="CQ335">
            <v>0.06</v>
          </cell>
          <cell r="CR335" t="str">
            <v>AV0100010117</v>
          </cell>
          <cell r="CS335">
            <v>0.26</v>
          </cell>
          <cell r="CT335" t="str">
            <v>AV1401254260</v>
          </cell>
          <cell r="CU335">
            <v>0</v>
          </cell>
          <cell r="CV335" t="str">
            <v>AV1601300957</v>
          </cell>
          <cell r="CW335">
            <v>0</v>
          </cell>
          <cell r="DF335" t="str">
            <v>TABACO</v>
          </cell>
          <cell r="DG335" t="str">
            <v>ARENA-CUERO BRIDGE</v>
          </cell>
          <cell r="DH335" t="str">
            <v>CUE0000012R</v>
          </cell>
          <cell r="DI335">
            <v>0.06</v>
          </cell>
          <cell r="DJ335" t="str">
            <v>FOR0000021</v>
          </cell>
          <cell r="DK335">
            <v>0.06</v>
          </cell>
          <cell r="DL335" t="str">
            <v>AV0100010114</v>
          </cell>
          <cell r="DM335">
            <v>0.26</v>
          </cell>
          <cell r="DN335" t="str">
            <v>AV1401264540</v>
          </cell>
          <cell r="DO335">
            <v>0</v>
          </cell>
          <cell r="DP335" t="str">
            <v>AV1601300954</v>
          </cell>
          <cell r="DQ335">
            <v>0</v>
          </cell>
          <cell r="DZ335" t="str">
            <v>CARAMELO</v>
          </cell>
          <cell r="EA335" t="str">
            <v>ARENA-CUERO BRIDGE</v>
          </cell>
          <cell r="EB335" t="str">
            <v>CUE0000004R</v>
          </cell>
          <cell r="EC335">
            <v>0.06</v>
          </cell>
          <cell r="ED335" t="str">
            <v>FOR0000021</v>
          </cell>
          <cell r="EE335">
            <v>0.06</v>
          </cell>
          <cell r="EF335" t="str">
            <v>AV0100010105</v>
          </cell>
          <cell r="EG335">
            <v>0.26</v>
          </cell>
          <cell r="EH335" t="str">
            <v>AV1401250545</v>
          </cell>
          <cell r="EI335">
            <v>0</v>
          </cell>
          <cell r="EJ335" t="str">
            <v>AV1601300955</v>
          </cell>
          <cell r="EK335">
            <v>0</v>
          </cell>
          <cell r="KD335">
            <v>6</v>
          </cell>
          <cell r="KE335">
            <v>6</v>
          </cell>
          <cell r="KF335">
            <v>6</v>
          </cell>
          <cell r="KG335">
            <v>6</v>
          </cell>
          <cell r="KH335">
            <v>6</v>
          </cell>
          <cell r="KI335">
            <v>6</v>
          </cell>
          <cell r="KJ335">
            <v>6</v>
          </cell>
          <cell r="KK335">
            <v>0</v>
          </cell>
          <cell r="KL335">
            <v>0</v>
          </cell>
          <cell r="KM335">
            <v>12</v>
          </cell>
          <cell r="KN335">
            <v>12</v>
          </cell>
          <cell r="KO335">
            <v>12</v>
          </cell>
          <cell r="KP335">
            <v>9</v>
          </cell>
          <cell r="KQ335">
            <v>9</v>
          </cell>
          <cell r="KR335">
            <v>9</v>
          </cell>
          <cell r="KS335">
            <v>0</v>
          </cell>
          <cell r="KV335">
            <v>0</v>
          </cell>
          <cell r="KY335">
            <v>0</v>
          </cell>
          <cell r="LB335">
            <v>0</v>
          </cell>
          <cell r="LE335">
            <v>0</v>
          </cell>
          <cell r="LH335">
            <v>0</v>
          </cell>
          <cell r="LK335">
            <v>0</v>
          </cell>
          <cell r="LN335">
            <v>45909</v>
          </cell>
          <cell r="LO335">
            <v>45931</v>
          </cell>
          <cell r="LP335" t="str">
            <v>COMPLETADO</v>
          </cell>
        </row>
        <row r="336">
          <cell r="A336" t="str">
            <v>1968-A</v>
          </cell>
          <cell r="B336" t="str">
            <v>LUCIANO</v>
          </cell>
          <cell r="C336" t="str">
            <v>PERDRIEL</v>
          </cell>
          <cell r="D336" t="str">
            <v>MARROQUINERIA CHICA</v>
          </cell>
          <cell r="E336">
            <v>5</v>
          </cell>
          <cell r="F336">
            <v>5</v>
          </cell>
          <cell r="G336">
            <v>5</v>
          </cell>
          <cell r="H336">
            <v>45914.382152777776</v>
          </cell>
          <cell r="I336" t="str">
            <v>CINTO FLORA 1</v>
          </cell>
          <cell r="J336">
            <v>45972</v>
          </cell>
          <cell r="K336">
            <v>45911</v>
          </cell>
          <cell r="L336">
            <v>45972</v>
          </cell>
          <cell r="M336">
            <v>30</v>
          </cell>
          <cell r="N336" t="str">
            <v>M181</v>
          </cell>
          <cell r="O336" t="str">
            <v>VAR0000045</v>
          </cell>
          <cell r="P336">
            <v>1</v>
          </cell>
          <cell r="Q336" t="str">
            <v>AV170134014</v>
          </cell>
          <cell r="R336">
            <v>0</v>
          </cell>
          <cell r="S336" t="str">
            <v>CUE0000124</v>
          </cell>
          <cell r="T336">
            <v>1</v>
          </cell>
          <cell r="AS336" t="str">
            <v xml:space="preserve"> LLEVA 5 ORIFICIOS / VA SIN PINTURA /  LLEVA STICKER DE TALLE</v>
          </cell>
          <cell r="AU336" t="str">
            <v xml:space="preserve"> EL TALLE S/M SERA EL S DE CINTURON MIA 106 CM LARGO SIN HEBILLLA</v>
          </cell>
          <cell r="AV336" t="str">
            <v xml:space="preserve"> EL TALLE M/L SERA EL M DE CINTURON MIA 115 CM LARGO SIN HEBILLLA</v>
          </cell>
          <cell r="AW336" t="str">
            <v>3 GRABADOS "EL LUCERO ARGENTINA CHICO, MAS SIMBOLO "TODO CUERO" MAS LETRA TALLE "S M" O "M L"</v>
          </cell>
          <cell r="AX336" t="str">
            <v>TABACO</v>
          </cell>
          <cell r="AY336" t="str">
            <v>NAPOLITANA-CUERO GAMUZA</v>
          </cell>
          <cell r="AZ336" t="str">
            <v>CUE0000050R</v>
          </cell>
          <cell r="BA336">
            <v>0.16</v>
          </cell>
          <cell r="BR336" t="str">
            <v>TABACO</v>
          </cell>
          <cell r="BS336" t="str">
            <v>NAPOLITANA-CUERO GAMUZA</v>
          </cell>
          <cell r="BT336" t="str">
            <v>CUE0000050R</v>
          </cell>
          <cell r="BU336">
            <v>0.16</v>
          </cell>
          <cell r="KD336">
            <v>2</v>
          </cell>
          <cell r="KE336">
            <v>2</v>
          </cell>
          <cell r="KF336">
            <v>2</v>
          </cell>
          <cell r="KG336">
            <v>3</v>
          </cell>
          <cell r="KH336">
            <v>3</v>
          </cell>
          <cell r="KI336">
            <v>3</v>
          </cell>
          <cell r="KJ336">
            <v>0</v>
          </cell>
          <cell r="KM336">
            <v>0</v>
          </cell>
          <cell r="KP336">
            <v>0</v>
          </cell>
          <cell r="KS336">
            <v>0</v>
          </cell>
          <cell r="KV336">
            <v>0</v>
          </cell>
          <cell r="KY336">
            <v>0</v>
          </cell>
          <cell r="LB336">
            <v>0</v>
          </cell>
          <cell r="LE336">
            <v>0</v>
          </cell>
          <cell r="LH336">
            <v>0</v>
          </cell>
          <cell r="LK336">
            <v>0</v>
          </cell>
          <cell r="LN336">
            <v>45971</v>
          </cell>
          <cell r="LO336">
            <v>45980</v>
          </cell>
          <cell r="LP336" t="str">
            <v>COMPLETADO</v>
          </cell>
          <cell r="LQ336" t="str">
            <v>TALLE S/M - FRENTE Y REVES EN GAMUZA - USAR NOBUCK DEL LADO DEL DESCARNE</v>
          </cell>
          <cell r="LR336" t="str">
            <v>TALLE M/L - FRENTE Y REVES EN GAMUZA - USAR NOBUCK DEL LADO DEL DESCARNE</v>
          </cell>
        </row>
        <row r="337">
          <cell r="A337" t="str">
            <v>1972-A</v>
          </cell>
          <cell r="B337" t="str">
            <v>LUCIANO</v>
          </cell>
          <cell r="C337" t="str">
            <v>BARRACAS CHICA</v>
          </cell>
          <cell r="D337" t="str">
            <v>MARROQUINERIA CHICA</v>
          </cell>
          <cell r="E337">
            <v>33</v>
          </cell>
          <cell r="F337">
            <v>33</v>
          </cell>
          <cell r="G337">
            <v>33</v>
          </cell>
          <cell r="H337">
            <v>45914.388206018521</v>
          </cell>
          <cell r="I337" t="str">
            <v>NECESSAIRE TOM</v>
          </cell>
          <cell r="J337">
            <v>45911</v>
          </cell>
          <cell r="K337">
            <v>45911</v>
          </cell>
          <cell r="L337">
            <v>45918</v>
          </cell>
          <cell r="M337">
            <v>26</v>
          </cell>
          <cell r="N337" t="str">
            <v>M138</v>
          </cell>
          <cell r="O337" t="str">
            <v>AV170134014</v>
          </cell>
          <cell r="P337">
            <v>0</v>
          </cell>
          <cell r="Q337" t="str">
            <v>AV0101040201</v>
          </cell>
          <cell r="R337">
            <v>1</v>
          </cell>
          <cell r="S337" t="str">
            <v>AV0300400101</v>
          </cell>
          <cell r="T337">
            <v>1</v>
          </cell>
          <cell r="AS337" t="str">
            <v>TIRACIERRE N 2 - VUELTA DE TIRA DE CUERO CON REMACHE + GRABADO "L"</v>
          </cell>
          <cell r="AW337" t="str">
            <v xml:space="preserve">GRABADO EL LUCERO ARGENTINA GRANDE: EN LATERAL DERECHO, CENTRADO IDEM MUESTRA  </v>
          </cell>
          <cell r="AX337" t="str">
            <v>CARAMELO</v>
          </cell>
          <cell r="AY337" t="str">
            <v>ARENA-CUERO BRIDGE</v>
          </cell>
          <cell r="AZ337" t="str">
            <v>CUE0000004R</v>
          </cell>
          <cell r="BA337">
            <v>0.1</v>
          </cell>
          <cell r="BB337" t="str">
            <v>FOR0000021</v>
          </cell>
          <cell r="BC337">
            <v>7.0000000000000007E-2</v>
          </cell>
          <cell r="BD337" t="str">
            <v>AV0100010105</v>
          </cell>
          <cell r="BE337">
            <v>0.32</v>
          </cell>
          <cell r="BR337" t="str">
            <v>TABACO</v>
          </cell>
          <cell r="BS337" t="str">
            <v>ARENA-CUERO BRIDGE</v>
          </cell>
          <cell r="BT337" t="str">
            <v>CUE0000012R</v>
          </cell>
          <cell r="BU337">
            <v>0.1</v>
          </cell>
          <cell r="BV337" t="str">
            <v>FOR0000021</v>
          </cell>
          <cell r="BW337">
            <v>7.0000000000000007E-2</v>
          </cell>
          <cell r="BX337" t="str">
            <v>AV0100010114</v>
          </cell>
          <cell r="BY337">
            <v>0.32</v>
          </cell>
          <cell r="CL337" t="str">
            <v>NEGRO</v>
          </cell>
          <cell r="CM337" t="str">
            <v>ARENA-CUERO BRIDGE</v>
          </cell>
          <cell r="CN337" t="str">
            <v>CUE0000009R</v>
          </cell>
          <cell r="CO337">
            <v>0.1</v>
          </cell>
          <cell r="CP337" t="str">
            <v>FOR0000020</v>
          </cell>
          <cell r="CQ337">
            <v>7.0000000000000007E-2</v>
          </cell>
          <cell r="CR337" t="str">
            <v>AV0100010103</v>
          </cell>
          <cell r="CS337">
            <v>0.32</v>
          </cell>
          <cell r="DF337" t="str">
            <v>CHOCOLATE</v>
          </cell>
          <cell r="DG337" t="str">
            <v>ARENA-CUERO BRIDGE</v>
          </cell>
          <cell r="DH337" t="str">
            <v>CUE0000005R</v>
          </cell>
          <cell r="DI337">
            <v>0.1</v>
          </cell>
          <cell r="DJ337" t="str">
            <v>FOR0000021</v>
          </cell>
          <cell r="DK337">
            <v>7.0000000000000007E-2</v>
          </cell>
          <cell r="DL337" t="str">
            <v>AV0100010111</v>
          </cell>
          <cell r="DM337">
            <v>0.32</v>
          </cell>
          <cell r="KD337">
            <v>6</v>
          </cell>
          <cell r="KE337">
            <v>6</v>
          </cell>
          <cell r="KF337">
            <v>6</v>
          </cell>
          <cell r="KG337">
            <v>9</v>
          </cell>
          <cell r="KH337">
            <v>9</v>
          </cell>
          <cell r="KI337">
            <v>9</v>
          </cell>
          <cell r="KJ337">
            <v>9</v>
          </cell>
          <cell r="KK337">
            <v>9</v>
          </cell>
          <cell r="KL337">
            <v>9</v>
          </cell>
          <cell r="KM337">
            <v>9</v>
          </cell>
          <cell r="KN337">
            <v>9</v>
          </cell>
          <cell r="KO337">
            <v>9</v>
          </cell>
          <cell r="KP337">
            <v>0</v>
          </cell>
          <cell r="KS337">
            <v>0</v>
          </cell>
          <cell r="KV337">
            <v>0</v>
          </cell>
          <cell r="KY337">
            <v>0</v>
          </cell>
          <cell r="LB337">
            <v>0</v>
          </cell>
          <cell r="LE337">
            <v>0</v>
          </cell>
          <cell r="LH337">
            <v>0</v>
          </cell>
          <cell r="LK337">
            <v>0</v>
          </cell>
          <cell r="LN337">
            <v>45911</v>
          </cell>
          <cell r="LO337">
            <v>45923</v>
          </cell>
          <cell r="LP337" t="str">
            <v>COMPLETADO</v>
          </cell>
        </row>
        <row r="338">
          <cell r="A338" t="str">
            <v>1973-A</v>
          </cell>
          <cell r="B338" t="str">
            <v>LUCIANO</v>
          </cell>
          <cell r="C338" t="str">
            <v>BARRACAS CHICA</v>
          </cell>
          <cell r="D338" t="str">
            <v>MARROQUINERIA CHICA</v>
          </cell>
          <cell r="E338">
            <v>14</v>
          </cell>
          <cell r="F338">
            <v>14</v>
          </cell>
          <cell r="G338">
            <v>14</v>
          </cell>
          <cell r="H338">
            <v>45914.426990740743</v>
          </cell>
          <cell r="I338" t="str">
            <v>PORTALENTES LUZ</v>
          </cell>
          <cell r="J338">
            <v>45911</v>
          </cell>
          <cell r="K338">
            <v>45911</v>
          </cell>
          <cell r="L338">
            <v>45915</v>
          </cell>
          <cell r="M338">
            <v>10</v>
          </cell>
          <cell r="N338" t="str">
            <v>M098</v>
          </cell>
          <cell r="O338" t="str">
            <v>AV170134014</v>
          </cell>
          <cell r="P338">
            <v>0</v>
          </cell>
          <cell r="AW338" t="str">
            <v xml:space="preserve">GRABADO EL LUCERO ARGENTINA CHICO, EN ELFRENTE, A 1.5CM DEL BORDE INFERIOR Y A 1.5 CM DEL BORDE DERECHO. </v>
          </cell>
          <cell r="AX338" t="str">
            <v>CHOCOLATE</v>
          </cell>
          <cell r="AY338" t="str">
            <v>ARENA-CUERO BRIDGE</v>
          </cell>
          <cell r="AZ338" t="str">
            <v>CUE0000005R</v>
          </cell>
          <cell r="BA338">
            <v>0.03</v>
          </cell>
          <cell r="BB338">
            <v>0</v>
          </cell>
          <cell r="BC338">
            <v>0.03</v>
          </cell>
          <cell r="BD338" t="str">
            <v>AV1401250545</v>
          </cell>
          <cell r="BE338">
            <v>0</v>
          </cell>
          <cell r="BF338" t="str">
            <v>AV1601300954</v>
          </cell>
          <cell r="BG338">
            <v>0</v>
          </cell>
          <cell r="KD338">
            <v>14</v>
          </cell>
          <cell r="KE338">
            <v>14</v>
          </cell>
          <cell r="KF338">
            <v>14</v>
          </cell>
          <cell r="KG338">
            <v>0</v>
          </cell>
          <cell r="KJ338">
            <v>0</v>
          </cell>
          <cell r="KM338">
            <v>0</v>
          </cell>
          <cell r="KP338">
            <v>0</v>
          </cell>
          <cell r="KS338">
            <v>0</v>
          </cell>
          <cell r="KV338">
            <v>0</v>
          </cell>
          <cell r="KY338">
            <v>0</v>
          </cell>
          <cell r="LB338">
            <v>0</v>
          </cell>
          <cell r="LE338">
            <v>0</v>
          </cell>
          <cell r="LH338">
            <v>0</v>
          </cell>
          <cell r="LK338">
            <v>0</v>
          </cell>
          <cell r="LN338">
            <v>45911</v>
          </cell>
          <cell r="LO338">
            <v>45923</v>
          </cell>
          <cell r="LP338" t="str">
            <v>COMPLETADO</v>
          </cell>
        </row>
        <row r="339">
          <cell r="A339" t="str">
            <v>1975-A</v>
          </cell>
          <cell r="B339" t="str">
            <v>LUCIANO</v>
          </cell>
          <cell r="C339" t="str">
            <v>BARRACAS CHICA</v>
          </cell>
          <cell r="D339" t="str">
            <v>MARROQUINERIA CHICA</v>
          </cell>
          <cell r="E339">
            <v>28</v>
          </cell>
          <cell r="F339">
            <v>28</v>
          </cell>
          <cell r="G339">
            <v>28</v>
          </cell>
          <cell r="H339">
            <v>45914.430879629632</v>
          </cell>
          <cell r="I339" t="str">
            <v>PORTALENTES ORION</v>
          </cell>
          <cell r="J339">
            <v>45911</v>
          </cell>
          <cell r="K339">
            <v>45911</v>
          </cell>
          <cell r="L339">
            <v>45915</v>
          </cell>
          <cell r="M339">
            <v>11</v>
          </cell>
          <cell r="N339" t="str">
            <v>M100</v>
          </cell>
          <cell r="O339" t="str">
            <v>AV0101070301</v>
          </cell>
          <cell r="P339">
            <v>1</v>
          </cell>
          <cell r="Q339" t="str">
            <v>AV1001010101</v>
          </cell>
          <cell r="R339">
            <v>1</v>
          </cell>
          <cell r="S339" t="str">
            <v>AV1300130101</v>
          </cell>
          <cell r="T339">
            <v>1</v>
          </cell>
          <cell r="U339" t="str">
            <v>AV170134014</v>
          </cell>
          <cell r="V339">
            <v>0</v>
          </cell>
          <cell r="AS339" t="str">
            <v>TIRACIERRE N 12 - TIRA FINITA CON REMACHE</v>
          </cell>
          <cell r="AW339" t="str">
            <v xml:space="preserve">GRABADO " EL LUCERO ARG." CHICO EN EL FRENTE CENTRADO, A 1,5 CM DEL BORDE INFERIOR </v>
          </cell>
          <cell r="AX339" t="str">
            <v>ROJO</v>
          </cell>
          <cell r="AY339" t="str">
            <v>ARENA-CUERO BRIDGE</v>
          </cell>
          <cell r="AZ339" t="str">
            <v>CUE0000010R</v>
          </cell>
          <cell r="BA339">
            <v>0.02</v>
          </cell>
          <cell r="BB339" t="str">
            <v>AV0100020313</v>
          </cell>
          <cell r="BC339">
            <v>0.2</v>
          </cell>
          <cell r="BD339" t="str">
            <v>AV1401254460</v>
          </cell>
          <cell r="BE339">
            <v>0</v>
          </cell>
          <cell r="BF339" t="str">
            <v>AV1601300929</v>
          </cell>
          <cell r="BG339">
            <v>0</v>
          </cell>
          <cell r="BR339" t="str">
            <v>CARAMELO</v>
          </cell>
          <cell r="BS339" t="str">
            <v>ARENA-CUERO BRIDGE</v>
          </cell>
          <cell r="BT339" t="str">
            <v>CUE0000004R</v>
          </cell>
          <cell r="BU339">
            <v>0.02</v>
          </cell>
          <cell r="BV339" t="str">
            <v>AV0100020305</v>
          </cell>
          <cell r="BW339">
            <v>0.2</v>
          </cell>
          <cell r="BX339" t="str">
            <v>AV1401250545</v>
          </cell>
          <cell r="BY339">
            <v>0</v>
          </cell>
          <cell r="BZ339" t="str">
            <v>AV1601300955</v>
          </cell>
          <cell r="CA339">
            <v>0</v>
          </cell>
          <cell r="CL339" t="str">
            <v>TABACO</v>
          </cell>
          <cell r="CM339" t="str">
            <v>ARENA-CUERO BRIDGE</v>
          </cell>
          <cell r="CN339" t="str">
            <v>CUE0000012R</v>
          </cell>
          <cell r="CO339">
            <v>0.02</v>
          </cell>
          <cell r="CP339" t="str">
            <v>AV0100020305</v>
          </cell>
          <cell r="CQ339">
            <v>0.2</v>
          </cell>
          <cell r="CR339" t="str">
            <v>AV1401264540</v>
          </cell>
          <cell r="CS339">
            <v>0</v>
          </cell>
          <cell r="CT339" t="str">
            <v>AV1601300954</v>
          </cell>
          <cell r="CU339">
            <v>0</v>
          </cell>
          <cell r="KD339">
            <v>4</v>
          </cell>
          <cell r="KE339">
            <v>4</v>
          </cell>
          <cell r="KF339">
            <v>4</v>
          </cell>
          <cell r="KG339">
            <v>10</v>
          </cell>
          <cell r="KH339">
            <v>10</v>
          </cell>
          <cell r="KI339">
            <v>10</v>
          </cell>
          <cell r="KJ339">
            <v>14</v>
          </cell>
          <cell r="KK339">
            <v>14</v>
          </cell>
          <cell r="KL339">
            <v>14</v>
          </cell>
          <cell r="KM339">
            <v>0</v>
          </cell>
          <cell r="KP339">
            <v>0</v>
          </cell>
          <cell r="KS339">
            <v>0</v>
          </cell>
          <cell r="KV339">
            <v>0</v>
          </cell>
          <cell r="KY339">
            <v>0</v>
          </cell>
          <cell r="LB339">
            <v>0</v>
          </cell>
          <cell r="LE339">
            <v>0</v>
          </cell>
          <cell r="LH339">
            <v>0</v>
          </cell>
          <cell r="LK339">
            <v>0</v>
          </cell>
          <cell r="LN339">
            <v>45911</v>
          </cell>
          <cell r="LO339">
            <v>45923</v>
          </cell>
          <cell r="LP339" t="str">
            <v>COMPLETADO</v>
          </cell>
        </row>
        <row r="340">
          <cell r="A340" t="str">
            <v>1982-A</v>
          </cell>
          <cell r="B340" t="str">
            <v>LUCIANO</v>
          </cell>
          <cell r="C340" t="str">
            <v>PERDRIEL</v>
          </cell>
          <cell r="D340" t="str">
            <v>MARROQUINERIA CHICA</v>
          </cell>
          <cell r="E340">
            <v>62</v>
          </cell>
          <cell r="F340">
            <v>62</v>
          </cell>
          <cell r="G340">
            <v>62</v>
          </cell>
          <cell r="H340">
            <v>45914.441747685189</v>
          </cell>
          <cell r="I340" t="str">
            <v>TARJETERO JUAN</v>
          </cell>
          <cell r="J340">
            <v>45911</v>
          </cell>
          <cell r="K340">
            <v>45911</v>
          </cell>
          <cell r="L340">
            <v>45922</v>
          </cell>
          <cell r="M340">
            <v>22</v>
          </cell>
          <cell r="N340" t="str">
            <v>M126</v>
          </cell>
          <cell r="O340" t="str">
            <v>AV170134014</v>
          </cell>
          <cell r="P340">
            <v>0</v>
          </cell>
          <cell r="AW340" t="str">
            <v xml:space="preserve">GRABADO "EL LUCERO ARG." EN FRENTE CENTRADO   </v>
          </cell>
          <cell r="AX340" t="str">
            <v>SUELA</v>
          </cell>
          <cell r="AY340" t="str">
            <v>ARENA-CUERO NAPADO</v>
          </cell>
          <cell r="AZ340" t="str">
            <v>CUE0000028R</v>
          </cell>
          <cell r="BA340">
            <v>0.06</v>
          </cell>
          <cell r="BB340" t="str">
            <v>AV1401250545</v>
          </cell>
          <cell r="BC340">
            <v>0</v>
          </cell>
          <cell r="BR340" t="str">
            <v>NEGRO</v>
          </cell>
          <cell r="BS340" t="str">
            <v>ARENA-CUERO NAPADO</v>
          </cell>
          <cell r="BT340" t="str">
            <v>CUE0000026R</v>
          </cell>
          <cell r="BU340">
            <v>0.06</v>
          </cell>
          <cell r="BV340" t="str">
            <v>AV1401254060</v>
          </cell>
          <cell r="BW340">
            <v>0</v>
          </cell>
          <cell r="CL340" t="str">
            <v>CARAMELO</v>
          </cell>
          <cell r="CM340" t="str">
            <v>ARENA-CUERO BRIDGE</v>
          </cell>
          <cell r="CN340" t="str">
            <v>CUE0000004R</v>
          </cell>
          <cell r="CO340">
            <v>0.06</v>
          </cell>
          <cell r="CP340" t="str">
            <v>AV1401250545</v>
          </cell>
          <cell r="CQ340">
            <v>0</v>
          </cell>
          <cell r="DF340" t="str">
            <v>MALBEC</v>
          </cell>
          <cell r="DG340" t="str">
            <v>ARENA-CUERO BRIDGE</v>
          </cell>
          <cell r="DH340" t="str">
            <v>CUE0000008R</v>
          </cell>
          <cell r="DI340">
            <v>0.06</v>
          </cell>
          <cell r="DJ340" t="str">
            <v>AV1401250545</v>
          </cell>
          <cell r="DK340">
            <v>0</v>
          </cell>
          <cell r="DZ340" t="str">
            <v>NEGRO</v>
          </cell>
          <cell r="EA340" t="str">
            <v>ARENA-CUERO BRIDGE</v>
          </cell>
          <cell r="EB340" t="str">
            <v>CUE0000009R</v>
          </cell>
          <cell r="EC340">
            <v>0.06</v>
          </cell>
          <cell r="ED340" t="str">
            <v>AV1401254060</v>
          </cell>
          <cell r="EE340">
            <v>0</v>
          </cell>
          <cell r="ET340" t="str">
            <v>TABACO</v>
          </cell>
          <cell r="EU340" t="str">
            <v>ARENA-CUERO BRIDGE</v>
          </cell>
          <cell r="EV340" t="str">
            <v>CUE0000012R</v>
          </cell>
          <cell r="EW340">
            <v>0.06</v>
          </cell>
          <cell r="EX340" t="str">
            <v>AV1401250545</v>
          </cell>
          <cell r="EY340">
            <v>0</v>
          </cell>
          <cell r="KD340">
            <v>10</v>
          </cell>
          <cell r="KE340">
            <v>10</v>
          </cell>
          <cell r="KF340">
            <v>10</v>
          </cell>
          <cell r="KG340">
            <v>14</v>
          </cell>
          <cell r="KH340">
            <v>14</v>
          </cell>
          <cell r="KI340">
            <v>14</v>
          </cell>
          <cell r="KJ340">
            <v>10</v>
          </cell>
          <cell r="KK340">
            <v>10</v>
          </cell>
          <cell r="KL340">
            <v>10</v>
          </cell>
          <cell r="KM340">
            <v>10</v>
          </cell>
          <cell r="KN340">
            <v>10</v>
          </cell>
          <cell r="KO340">
            <v>10</v>
          </cell>
          <cell r="KP340">
            <v>6</v>
          </cell>
          <cell r="KQ340">
            <v>6</v>
          </cell>
          <cell r="KR340">
            <v>6</v>
          </cell>
          <cell r="KS340">
            <v>12</v>
          </cell>
          <cell r="KT340">
            <v>12</v>
          </cell>
          <cell r="KU340">
            <v>12</v>
          </cell>
          <cell r="KV340">
            <v>0</v>
          </cell>
          <cell r="KY340">
            <v>0</v>
          </cell>
          <cell r="LB340">
            <v>0</v>
          </cell>
          <cell r="LE340">
            <v>0</v>
          </cell>
          <cell r="LH340">
            <v>0</v>
          </cell>
          <cell r="LK340">
            <v>0</v>
          </cell>
          <cell r="LN340">
            <v>45911</v>
          </cell>
          <cell r="LO340">
            <v>45931</v>
          </cell>
          <cell r="LP340" t="str">
            <v>COMPLETADO</v>
          </cell>
        </row>
        <row r="341">
          <cell r="A341" t="str">
            <v>1970-A</v>
          </cell>
          <cell r="B341" t="str">
            <v>LUCIANO</v>
          </cell>
          <cell r="C341" t="str">
            <v>BARRACAS CHICA</v>
          </cell>
          <cell r="D341" t="str">
            <v>MARROQUINERIA CHICA</v>
          </cell>
          <cell r="E341">
            <v>2</v>
          </cell>
          <cell r="F341">
            <v>2</v>
          </cell>
          <cell r="G341">
            <v>2</v>
          </cell>
          <cell r="H341">
            <v>45914.484780092593</v>
          </cell>
          <cell r="I341" t="str">
            <v>TARJETERO MULTI</v>
          </cell>
          <cell r="J341">
            <v>45911</v>
          </cell>
          <cell r="K341">
            <v>45911</v>
          </cell>
          <cell r="L341">
            <v>45922</v>
          </cell>
          <cell r="M341">
            <v>38</v>
          </cell>
          <cell r="N341" t="str">
            <v>M127</v>
          </cell>
          <cell r="O341" t="str">
            <v>AV0101030201</v>
          </cell>
          <cell r="P341">
            <v>1</v>
          </cell>
          <cell r="Q341" t="str">
            <v>AV0600540101</v>
          </cell>
          <cell r="R341">
            <v>1</v>
          </cell>
          <cell r="S341" t="str">
            <v>AV170134014</v>
          </cell>
          <cell r="T341">
            <v>0</v>
          </cell>
          <cell r="AS341" t="str">
            <v>NO SE GRABA</v>
          </cell>
          <cell r="AW341" t="str">
            <v xml:space="preserve">GRABADO "EL LUCERO"MEDIANO ATRAS CENTRADO ARRIBA  </v>
          </cell>
          <cell r="AX341" t="str">
            <v>CARAMELO</v>
          </cell>
          <cell r="AY341" t="str">
            <v>ARENA-CUERO NAPADO</v>
          </cell>
          <cell r="AZ341" t="str">
            <v>CUE0000022R</v>
          </cell>
          <cell r="BA341">
            <v>0.1</v>
          </cell>
          <cell r="BB341">
            <v>0</v>
          </cell>
          <cell r="BC341">
            <v>0.09</v>
          </cell>
          <cell r="BD341" t="str">
            <v>AV1401250545</v>
          </cell>
          <cell r="BE341">
            <v>0</v>
          </cell>
          <cell r="BF341" t="str">
            <v>AV0100010105</v>
          </cell>
          <cell r="BG341">
            <v>0.26</v>
          </cell>
          <cell r="KD341">
            <v>2</v>
          </cell>
          <cell r="KE341">
            <v>2</v>
          </cell>
          <cell r="KF341">
            <v>2</v>
          </cell>
          <cell r="KG341">
            <v>0</v>
          </cell>
          <cell r="KJ341">
            <v>0</v>
          </cell>
          <cell r="KM341">
            <v>0</v>
          </cell>
          <cell r="KP341">
            <v>0</v>
          </cell>
          <cell r="KS341">
            <v>0</v>
          </cell>
          <cell r="KV341">
            <v>0</v>
          </cell>
          <cell r="KY341">
            <v>0</v>
          </cell>
          <cell r="LB341">
            <v>0</v>
          </cell>
          <cell r="LE341">
            <v>0</v>
          </cell>
          <cell r="LH341">
            <v>0</v>
          </cell>
          <cell r="LK341">
            <v>0</v>
          </cell>
          <cell r="LN341">
            <v>45911</v>
          </cell>
          <cell r="LO341">
            <v>45931</v>
          </cell>
          <cell r="LP341" t="str">
            <v>COMPLETADO</v>
          </cell>
        </row>
        <row r="342">
          <cell r="A342" t="str">
            <v>1974-A</v>
          </cell>
          <cell r="B342" t="str">
            <v>LUCIANO</v>
          </cell>
          <cell r="C342" t="str">
            <v>EXT GABRIEL</v>
          </cell>
          <cell r="D342" t="str">
            <v>MARROQUINERIA CHICA</v>
          </cell>
          <cell r="E342">
            <v>26</v>
          </cell>
          <cell r="F342">
            <v>26</v>
          </cell>
          <cell r="G342">
            <v>26</v>
          </cell>
          <cell r="H342">
            <v>45914.557326388887</v>
          </cell>
          <cell r="I342" t="str">
            <v>PORTALENTES LUZ BI FAZ</v>
          </cell>
          <cell r="J342">
            <v>45911</v>
          </cell>
          <cell r="K342">
            <v>45911</v>
          </cell>
          <cell r="L342">
            <v>45917</v>
          </cell>
          <cell r="M342">
            <v>10</v>
          </cell>
          <cell r="N342" t="str">
            <v>M178</v>
          </cell>
          <cell r="O342" t="str">
            <v>AV170134014</v>
          </cell>
          <cell r="P342">
            <v>0</v>
          </cell>
          <cell r="AS342" t="str">
            <v>NO LLEVA CHANCHO</v>
          </cell>
          <cell r="AW342" t="str">
            <v>GRABADO EL LUCERO ARGENTINA CHICO, EN EL FRENTE, A 1.5CM DEL BORDE INFERIOR Y A 1.5 CM DEL BORDE DERECHO.</v>
          </cell>
          <cell r="AX342" t="str">
            <v>VERDE_REVES_BEIGE</v>
          </cell>
          <cell r="AY342" t="str">
            <v>BIANCO-CUERO MODENA ESPESOR 1,4</v>
          </cell>
          <cell r="AZ342" t="str">
            <v>CUE0000180R</v>
          </cell>
          <cell r="BA342">
            <v>0.03</v>
          </cell>
          <cell r="BR342" t="str">
            <v>AZUL_REVES_BEIGE</v>
          </cell>
          <cell r="BS342" t="str">
            <v>BIANCO-CUERO MODENA ESPESOR 1,4</v>
          </cell>
          <cell r="BT342" t="str">
            <v>CUE0000159R</v>
          </cell>
          <cell r="BU342">
            <v>0.03</v>
          </cell>
          <cell r="KD342">
            <v>14</v>
          </cell>
          <cell r="KE342">
            <v>14</v>
          </cell>
          <cell r="KF342">
            <v>14</v>
          </cell>
          <cell r="KG342">
            <v>12</v>
          </cell>
          <cell r="KH342">
            <v>12</v>
          </cell>
          <cell r="KI342">
            <v>12</v>
          </cell>
          <cell r="KJ342">
            <v>0</v>
          </cell>
          <cell r="KM342">
            <v>0</v>
          </cell>
          <cell r="KP342">
            <v>0</v>
          </cell>
          <cell r="KS342">
            <v>0</v>
          </cell>
          <cell r="KV342">
            <v>0</v>
          </cell>
          <cell r="KY342">
            <v>0</v>
          </cell>
          <cell r="LB342">
            <v>0</v>
          </cell>
          <cell r="LE342">
            <v>0</v>
          </cell>
          <cell r="LH342">
            <v>0</v>
          </cell>
          <cell r="LK342">
            <v>0</v>
          </cell>
          <cell r="LN342">
            <v>45911</v>
          </cell>
          <cell r="LO342">
            <v>45923</v>
          </cell>
          <cell r="LP342" t="str">
            <v>COMPLETADO</v>
          </cell>
        </row>
        <row r="343">
          <cell r="A343" t="str">
            <v>1959-A</v>
          </cell>
          <cell r="B343" t="str">
            <v>RUBEN</v>
          </cell>
          <cell r="C343" t="str">
            <v>BARRACAS GRANDE</v>
          </cell>
          <cell r="D343" t="str">
            <v>MARROQUINERIA GRANDE</v>
          </cell>
          <cell r="E343">
            <v>22</v>
          </cell>
          <cell r="F343">
            <v>22</v>
          </cell>
          <cell r="G343">
            <v>22</v>
          </cell>
          <cell r="H343">
            <v>45914.684895833336</v>
          </cell>
          <cell r="I343" t="str">
            <v>BANDOLERA JADE</v>
          </cell>
          <cell r="J343">
            <v>45908</v>
          </cell>
          <cell r="K343">
            <v>45908</v>
          </cell>
          <cell r="L343">
            <v>45908</v>
          </cell>
          <cell r="M343">
            <v>35</v>
          </cell>
          <cell r="N343" t="str">
            <v>M199</v>
          </cell>
          <cell r="O343" t="str">
            <v>CUE0000124</v>
          </cell>
          <cell r="P343">
            <v>1</v>
          </cell>
          <cell r="Q343" t="str">
            <v>AV170129018</v>
          </cell>
          <cell r="R343">
            <v>0</v>
          </cell>
          <cell r="AW343" t="str">
            <v>GRABADO "EL LUCERO ARGENTINA" CHICO ABAJO,  ATRAS CENTRADO.</v>
          </cell>
          <cell r="AX343" t="str">
            <v>NEGRO</v>
          </cell>
          <cell r="AY343" t="str">
            <v>ARENA-CUERO NAPADO</v>
          </cell>
          <cell r="AZ343" t="str">
            <v>CUE0000026</v>
          </cell>
          <cell r="BA343">
            <v>0.21</v>
          </cell>
          <cell r="BB343" t="str">
            <v>FOR0000020</v>
          </cell>
          <cell r="BC343">
            <v>7.0000000000000007E-2</v>
          </cell>
          <cell r="BR343" t="str">
            <v>MALBEC</v>
          </cell>
          <cell r="BS343" t="str">
            <v>ARENA-CUERO NAPADO</v>
          </cell>
          <cell r="BT343" t="str">
            <v>CUE0000025</v>
          </cell>
          <cell r="BU343">
            <v>0.21</v>
          </cell>
          <cell r="BV343" t="str">
            <v>FOR0000020</v>
          </cell>
          <cell r="BW343">
            <v>7.0000000000000007E-2</v>
          </cell>
          <cell r="CL343" t="str">
            <v>SUELA</v>
          </cell>
          <cell r="CM343" t="str">
            <v>ARENA-CUERO NAPADO</v>
          </cell>
          <cell r="CN343" t="str">
            <v>CUE0000028</v>
          </cell>
          <cell r="CO343">
            <v>0.21</v>
          </cell>
          <cell r="CP343" t="str">
            <v>FOR0000021</v>
          </cell>
          <cell r="CQ343">
            <v>7.0000000000000007E-2</v>
          </cell>
          <cell r="DF343" t="str">
            <v>AVELLANA_GAMUZA_SUELA</v>
          </cell>
          <cell r="DG343" t="str">
            <v>NAPOLITANA-CUERO GAMUZA</v>
          </cell>
          <cell r="DH343" t="str">
            <v>CUE0000037</v>
          </cell>
          <cell r="DI343">
            <v>0.12</v>
          </cell>
          <cell r="DJ343" t="str">
            <v>CUE0000028</v>
          </cell>
          <cell r="DK343">
            <v>0.09</v>
          </cell>
          <cell r="DL343" t="str">
            <v>FOR0000021</v>
          </cell>
          <cell r="DM343">
            <v>7.0000000000000007E-2</v>
          </cell>
          <cell r="DZ343" t="str">
            <v>VESUBIO_GAMUZA_SUELA</v>
          </cell>
          <cell r="EA343" t="str">
            <v>NAPOLITANA-CUERO GAMUZA</v>
          </cell>
          <cell r="EB343" t="str">
            <v>CUE0000053</v>
          </cell>
          <cell r="EC343">
            <v>0.12</v>
          </cell>
          <cell r="ED343" t="str">
            <v>CUE0000028</v>
          </cell>
          <cell r="EE343">
            <v>0.09</v>
          </cell>
          <cell r="EF343" t="str">
            <v>FOR0000021</v>
          </cell>
          <cell r="EG343">
            <v>7.0000000000000007E-2</v>
          </cell>
          <cell r="KD343">
            <v>4</v>
          </cell>
          <cell r="KE343">
            <v>4</v>
          </cell>
          <cell r="KF343">
            <v>4</v>
          </cell>
          <cell r="KG343">
            <v>4</v>
          </cell>
          <cell r="KH343">
            <v>4</v>
          </cell>
          <cell r="KI343">
            <v>4</v>
          </cell>
          <cell r="KJ343">
            <v>2</v>
          </cell>
          <cell r="KK343">
            <v>2</v>
          </cell>
          <cell r="KL343">
            <v>2</v>
          </cell>
          <cell r="KM343">
            <v>6</v>
          </cell>
          <cell r="KN343">
            <v>6</v>
          </cell>
          <cell r="KO343">
            <v>6</v>
          </cell>
          <cell r="KP343">
            <v>6</v>
          </cell>
          <cell r="KQ343">
            <v>6</v>
          </cell>
          <cell r="KR343">
            <v>6</v>
          </cell>
          <cell r="KS343">
            <v>0</v>
          </cell>
          <cell r="KV343">
            <v>0</v>
          </cell>
          <cell r="KY343">
            <v>0</v>
          </cell>
          <cell r="LB343">
            <v>0</v>
          </cell>
          <cell r="LE343">
            <v>0</v>
          </cell>
          <cell r="LH343">
            <v>0</v>
          </cell>
          <cell r="LK343">
            <v>0</v>
          </cell>
          <cell r="LN343">
            <v>45908</v>
          </cell>
          <cell r="LO343">
            <v>45916</v>
          </cell>
          <cell r="LP343" t="str">
            <v>COMPLETADO</v>
          </cell>
        </row>
        <row r="344">
          <cell r="A344" t="str">
            <v>1983-A</v>
          </cell>
          <cell r="B344" t="str">
            <v>RUBEN</v>
          </cell>
          <cell r="C344" t="str">
            <v>BARRACAS GRANDE</v>
          </cell>
          <cell r="D344" t="str">
            <v>MARROQUINERIA GRANDE</v>
          </cell>
          <cell r="E344">
            <v>6</v>
          </cell>
          <cell r="F344">
            <v>6</v>
          </cell>
          <cell r="G344">
            <v>6</v>
          </cell>
          <cell r="H344">
            <v>45914.739652777775</v>
          </cell>
          <cell r="I344" t="str">
            <v>CARTERA AMARILLA SET SOBRE</v>
          </cell>
          <cell r="J344">
            <v>45912</v>
          </cell>
          <cell r="K344">
            <v>45912</v>
          </cell>
          <cell r="L344">
            <v>45912</v>
          </cell>
          <cell r="M344">
            <v>38</v>
          </cell>
          <cell r="N344" t="str">
            <v>M036</v>
          </cell>
          <cell r="O344" t="str">
            <v>AV0101040201</v>
          </cell>
          <cell r="P344">
            <v>1</v>
          </cell>
          <cell r="Q344" t="str">
            <v>AV1000380101</v>
          </cell>
          <cell r="R344">
            <v>3</v>
          </cell>
          <cell r="S344" t="str">
            <v>AV0600550101</v>
          </cell>
          <cell r="T344">
            <v>1</v>
          </cell>
          <cell r="U344" t="str">
            <v>AV0300390101</v>
          </cell>
          <cell r="V344">
            <v>1</v>
          </cell>
          <cell r="W344" t="str">
            <v>AV0300400101</v>
          </cell>
          <cell r="X344">
            <v>1</v>
          </cell>
          <cell r="Y344" t="str">
            <v>AV170129018</v>
          </cell>
          <cell r="Z344">
            <v>0</v>
          </cell>
          <cell r="AA344" t="str">
            <v>AV0700660101</v>
          </cell>
          <cell r="AB344">
            <v>1</v>
          </cell>
          <cell r="AS344" t="str">
            <v>TIRACIERRE 1 CON ARGOLLITA : TIRA DE CUERO + REMACHE 6 + REMACHE + GRABADO ESTRELLA</v>
          </cell>
          <cell r="AT344" t="str">
            <v xml:space="preserve"> LA CARTERA VA PINTADA COMO SIEMPRE !!!</v>
          </cell>
          <cell r="AU344" t="str">
            <v>*VERSION PELO CUERO bridge en: correas y sobre interno con tirita // *VERSION VINTAGE todo en el mismo material.</v>
          </cell>
          <cell r="AV344" t="str">
            <v>A PINTADA COMO SIEMPRE !!! 0
 CAMBIOS: SOBRE NUEVO SIMPLE  -- SIN PINTURA Y SIN FORRO //  A LA TIRA DEL SOBRE HAY QUE SACARLE 8CM DE LARGO TOTAL</v>
          </cell>
          <cell r="AW344" t="str">
            <v>GRABADO "EL LUCERO" GRANDE - EN VISTA DE MONEDERO CENTRADO (SOBRE ALFA)</v>
          </cell>
          <cell r="AX344" t="str">
            <v>LONDON</v>
          </cell>
          <cell r="AY344" t="str">
            <v>ARENA-CUERO BRIDGE</v>
          </cell>
          <cell r="AZ344" t="str">
            <v>CUE0000007</v>
          </cell>
          <cell r="BA344">
            <v>0.53</v>
          </cell>
          <cell r="BB344" t="str">
            <v>FOR0000021</v>
          </cell>
          <cell r="BC344">
            <v>0.1</v>
          </cell>
          <cell r="BD344" t="str">
            <v>AV0100010205</v>
          </cell>
          <cell r="BE344">
            <v>0.23</v>
          </cell>
          <cell r="BF344" t="str">
            <v>AV1401244140</v>
          </cell>
          <cell r="BG344">
            <v>0</v>
          </cell>
          <cell r="BU344">
            <v>0.28000000000000003</v>
          </cell>
          <cell r="CO344">
            <v>0.21</v>
          </cell>
          <cell r="DK344">
            <v>0.09</v>
          </cell>
          <cell r="EE344">
            <v>0.09</v>
          </cell>
          <cell r="KD344">
            <v>6</v>
          </cell>
          <cell r="KE344">
            <v>6</v>
          </cell>
          <cell r="KF344">
            <v>6</v>
          </cell>
          <cell r="KG344">
            <v>0</v>
          </cell>
          <cell r="KJ344">
            <v>0</v>
          </cell>
          <cell r="KM344">
            <v>0</v>
          </cell>
          <cell r="KP344">
            <v>0</v>
          </cell>
          <cell r="KS344">
            <v>0</v>
          </cell>
          <cell r="KV344">
            <v>0</v>
          </cell>
          <cell r="KY344">
            <v>0</v>
          </cell>
          <cell r="LB344">
            <v>0</v>
          </cell>
          <cell r="LE344">
            <v>0</v>
          </cell>
          <cell r="LH344">
            <v>0</v>
          </cell>
          <cell r="LK344">
            <v>0</v>
          </cell>
          <cell r="LN344">
            <v>45912</v>
          </cell>
          <cell r="LO344">
            <v>45923</v>
          </cell>
          <cell r="LP344" t="str">
            <v>COMPLETADO</v>
          </cell>
        </row>
        <row r="345">
          <cell r="A345" t="str">
            <v>1984-A</v>
          </cell>
          <cell r="B345" t="str">
            <v>RUBEN</v>
          </cell>
          <cell r="C345" t="str">
            <v>BARRACAS GRANDE</v>
          </cell>
          <cell r="D345" t="str">
            <v>MARROQUINERIA GRANDE</v>
          </cell>
          <cell r="E345">
            <v>9</v>
          </cell>
          <cell r="F345">
            <v>9</v>
          </cell>
          <cell r="G345">
            <v>9</v>
          </cell>
          <cell r="H345">
            <v>45914.74324074074</v>
          </cell>
          <cell r="I345" t="str">
            <v>TOTE IRUYA</v>
          </cell>
          <cell r="J345">
            <v>45912</v>
          </cell>
          <cell r="K345">
            <v>45912</v>
          </cell>
          <cell r="L345">
            <v>45912</v>
          </cell>
          <cell r="M345">
            <v>20</v>
          </cell>
          <cell r="N345" t="str">
            <v>M154</v>
          </cell>
          <cell r="O345" t="str">
            <v>AV170129018</v>
          </cell>
          <cell r="P345">
            <v>0</v>
          </cell>
          <cell r="AS345" t="str">
            <v>CORREA 2,5CM / SIN PINTURA</v>
          </cell>
          <cell r="AT345" t="str">
            <v>PEGAR ETIQUETA DE CUERO AL FRENTE HILO AL TONO CON HILO GRUESO N 20</v>
          </cell>
          <cell r="AW345" t="str">
            <v>GRABADO ETIQUETA EN NAPADO 7,5CM X 5,5 CM "EL LUCERO HIGH QUALITY GOODS</v>
          </cell>
          <cell r="AX345" t="str">
            <v>LONDON</v>
          </cell>
          <cell r="AY345" t="str">
            <v>ARENA-CUERO BRIDGE</v>
          </cell>
          <cell r="AZ345" t="str">
            <v>CUE0000007</v>
          </cell>
          <cell r="BA345">
            <v>0.44999999999999996</v>
          </cell>
          <cell r="BU345">
            <v>0.28000000000000003</v>
          </cell>
          <cell r="CO345">
            <v>0.21</v>
          </cell>
          <cell r="DK345">
            <v>0.09</v>
          </cell>
          <cell r="EE345">
            <v>0.09</v>
          </cell>
          <cell r="KD345">
            <v>9</v>
          </cell>
          <cell r="KE345">
            <v>9</v>
          </cell>
          <cell r="KF345">
            <v>9</v>
          </cell>
          <cell r="KG345">
            <v>0</v>
          </cell>
          <cell r="KJ345">
            <v>0</v>
          </cell>
          <cell r="KM345">
            <v>0</v>
          </cell>
          <cell r="KP345">
            <v>0</v>
          </cell>
          <cell r="KS345">
            <v>0</v>
          </cell>
          <cell r="KV345">
            <v>0</v>
          </cell>
          <cell r="KY345">
            <v>0</v>
          </cell>
          <cell r="LB345">
            <v>0</v>
          </cell>
          <cell r="LE345">
            <v>0</v>
          </cell>
          <cell r="LH345">
            <v>0</v>
          </cell>
          <cell r="LK345">
            <v>0</v>
          </cell>
          <cell r="LN345">
            <v>45912</v>
          </cell>
          <cell r="LO345">
            <v>45923</v>
          </cell>
          <cell r="LP345" t="str">
            <v>COMPLETADO</v>
          </cell>
        </row>
        <row r="346">
          <cell r="A346" t="str">
            <v>1985-A</v>
          </cell>
          <cell r="B346" t="str">
            <v>RUBEN</v>
          </cell>
          <cell r="C346" t="str">
            <v>BARRACAS GRANDE</v>
          </cell>
          <cell r="D346" t="str">
            <v>MARROQUINERIA GRANDE</v>
          </cell>
          <cell r="E346">
            <v>9</v>
          </cell>
          <cell r="F346">
            <v>9</v>
          </cell>
          <cell r="G346">
            <v>9</v>
          </cell>
          <cell r="H346">
            <v>45914.748379629629</v>
          </cell>
          <cell r="I346" t="str">
            <v>TOTE CACHI</v>
          </cell>
          <cell r="J346">
            <v>45912</v>
          </cell>
          <cell r="K346">
            <v>45912</v>
          </cell>
          <cell r="L346">
            <v>45912</v>
          </cell>
          <cell r="M346">
            <v>30</v>
          </cell>
          <cell r="N346" t="str">
            <v>M169</v>
          </cell>
          <cell r="O346" t="str">
            <v>AV170129018</v>
          </cell>
          <cell r="P346">
            <v>0</v>
          </cell>
          <cell r="AS346" t="str">
            <v>CORREA 2 CM / SIN PINTURA</v>
          </cell>
          <cell r="AT346" t="str">
            <v xml:space="preserve"> PEGAR ETIQUETA DE CUERO AL FRENTE</v>
          </cell>
          <cell r="AU346" t="str">
            <v>HILO AL TONO CON HILO GRUESO N 20</v>
          </cell>
          <cell r="AW346" t="str">
            <v>GRABADO ETIQUETA EN NAPADO 7,5CM X 5,5 CM  "EL LUCERO HIGH QUALITY GOODS"</v>
          </cell>
          <cell r="AX346" t="str">
            <v>LONDON</v>
          </cell>
          <cell r="AY346" t="str">
            <v>ARENA-CUERO BRIDGE</v>
          </cell>
          <cell r="AZ346" t="str">
            <v>CUE0000007</v>
          </cell>
          <cell r="BA346">
            <v>0.47</v>
          </cell>
          <cell r="BU346">
            <v>0.28000000000000003</v>
          </cell>
          <cell r="CO346">
            <v>0.21</v>
          </cell>
          <cell r="DK346">
            <v>0.09</v>
          </cell>
          <cell r="EE346">
            <v>0.09</v>
          </cell>
          <cell r="KD346">
            <v>9</v>
          </cell>
          <cell r="KE346">
            <v>9</v>
          </cell>
          <cell r="KF346">
            <v>9</v>
          </cell>
          <cell r="KG346">
            <v>0</v>
          </cell>
          <cell r="KJ346">
            <v>0</v>
          </cell>
          <cell r="KM346">
            <v>0</v>
          </cell>
          <cell r="KP346">
            <v>0</v>
          </cell>
          <cell r="KS346">
            <v>0</v>
          </cell>
          <cell r="KV346">
            <v>0</v>
          </cell>
          <cell r="KY346">
            <v>0</v>
          </cell>
          <cell r="LB346">
            <v>0</v>
          </cell>
          <cell r="LE346">
            <v>0</v>
          </cell>
          <cell r="LH346">
            <v>0</v>
          </cell>
          <cell r="LK346">
            <v>0</v>
          </cell>
          <cell r="LN346">
            <v>45912</v>
          </cell>
          <cell r="LO346">
            <v>45923</v>
          </cell>
          <cell r="LP346" t="str">
            <v>COMPLETADO</v>
          </cell>
          <cell r="LQ346" t="str">
            <v xml:space="preserve"> NOBUCK DE NAPOLITANA USAR EL DESCARNE DEL LADO DEL FRENTE DE LA CARTERA !!!</v>
          </cell>
        </row>
        <row r="347">
          <cell r="A347" t="str">
            <v>1986-A</v>
          </cell>
          <cell r="B347" t="str">
            <v>RUBEN</v>
          </cell>
          <cell r="C347" t="str">
            <v>BARRACAS GRANDE</v>
          </cell>
          <cell r="D347" t="str">
            <v>MARROQUINERIA GRANDE</v>
          </cell>
          <cell r="E347">
            <v>6</v>
          </cell>
          <cell r="F347">
            <v>6</v>
          </cell>
          <cell r="G347">
            <v>6</v>
          </cell>
          <cell r="H347">
            <v>45914.750219907408</v>
          </cell>
          <cell r="I347" t="str">
            <v>BANDOLERA JADE</v>
          </cell>
          <cell r="J347">
            <v>45912</v>
          </cell>
          <cell r="K347">
            <v>45912</v>
          </cell>
          <cell r="L347">
            <v>45912</v>
          </cell>
          <cell r="M347">
            <v>35</v>
          </cell>
          <cell r="N347" t="str">
            <v>M199</v>
          </cell>
          <cell r="O347" t="str">
            <v>CUE0000124</v>
          </cell>
          <cell r="P347">
            <v>1</v>
          </cell>
          <cell r="Q347" t="str">
            <v>AV170129018</v>
          </cell>
          <cell r="R347">
            <v>0</v>
          </cell>
          <cell r="AW347" t="str">
            <v>GRABADO "EL LUCERO ARGENTINA" CHICO ABAJO,  ATRAS CENTRADO.</v>
          </cell>
          <cell r="AX347" t="str">
            <v>LONDON</v>
          </cell>
          <cell r="AY347" t="str">
            <v>ARENA-CUERO BRIDGE</v>
          </cell>
          <cell r="AZ347" t="str">
            <v>CUE0000007</v>
          </cell>
          <cell r="BA347">
            <v>0.21</v>
          </cell>
          <cell r="BB347" t="str">
            <v>FOR0000021</v>
          </cell>
          <cell r="BC347">
            <v>7.0000000000000007E-2</v>
          </cell>
          <cell r="BU347">
            <v>0.28000000000000003</v>
          </cell>
          <cell r="CO347">
            <v>0.21</v>
          </cell>
          <cell r="DK347">
            <v>0.09</v>
          </cell>
          <cell r="EE347">
            <v>0.09</v>
          </cell>
          <cell r="KD347">
            <v>6</v>
          </cell>
          <cell r="KE347">
            <v>6</v>
          </cell>
          <cell r="KF347">
            <v>6</v>
          </cell>
          <cell r="KG347">
            <v>0</v>
          </cell>
          <cell r="KJ347">
            <v>0</v>
          </cell>
          <cell r="KM347">
            <v>0</v>
          </cell>
          <cell r="KP347">
            <v>0</v>
          </cell>
          <cell r="KS347">
            <v>0</v>
          </cell>
          <cell r="KV347">
            <v>0</v>
          </cell>
          <cell r="KY347">
            <v>0</v>
          </cell>
          <cell r="LB347">
            <v>0</v>
          </cell>
          <cell r="LE347">
            <v>0</v>
          </cell>
          <cell r="LH347">
            <v>0</v>
          </cell>
          <cell r="LK347">
            <v>0</v>
          </cell>
          <cell r="LN347">
            <v>45912</v>
          </cell>
          <cell r="LO347">
            <v>45923</v>
          </cell>
          <cell r="LP347" t="str">
            <v>COMPLETADO</v>
          </cell>
        </row>
        <row r="348">
          <cell r="A348">
            <v>19392</v>
          </cell>
          <cell r="B348" t="str">
            <v>RUBEN</v>
          </cell>
          <cell r="C348" t="str">
            <v>BARRACAS GRANDE</v>
          </cell>
          <cell r="D348" t="str">
            <v>MARROQUINERIA GRANDE</v>
          </cell>
          <cell r="E348">
            <v>4</v>
          </cell>
          <cell r="F348">
            <v>4</v>
          </cell>
          <cell r="G348">
            <v>4</v>
          </cell>
          <cell r="H348">
            <v>45915.423217592594</v>
          </cell>
          <cell r="I348" t="str">
            <v>BANDOLERA MATILDA</v>
          </cell>
          <cell r="J348">
            <v>45883</v>
          </cell>
          <cell r="K348">
            <v>45883</v>
          </cell>
          <cell r="L348">
            <v>45883</v>
          </cell>
          <cell r="M348">
            <v>30</v>
          </cell>
          <cell r="N348" t="str">
            <v>M171</v>
          </cell>
          <cell r="O348" t="str">
            <v>AV0300390101</v>
          </cell>
          <cell r="P348">
            <v>1</v>
          </cell>
          <cell r="Q348" t="str">
            <v>AV0400230101</v>
          </cell>
          <cell r="R348">
            <v>1</v>
          </cell>
          <cell r="S348" t="str">
            <v>VAR0000042</v>
          </cell>
          <cell r="T348">
            <v>1</v>
          </cell>
          <cell r="U348" t="str">
            <v>AV170129018</v>
          </cell>
          <cell r="V348">
            <v>0</v>
          </cell>
          <cell r="AS348" t="str">
            <v>LLEVA ESTE MODELO DE CERRADURA PERO CON BAÑO NIQUEL</v>
          </cell>
          <cell r="AX348" t="str">
            <v>PELO_HOLANDO</v>
          </cell>
          <cell r="AY348" t="str">
            <v>LEDER-PELO</v>
          </cell>
          <cell r="AZ348" t="str">
            <v>CUE0000116</v>
          </cell>
          <cell r="BA348">
            <v>0.22</v>
          </cell>
          <cell r="BB348" t="str">
            <v>CUE0000009</v>
          </cell>
          <cell r="BC348">
            <v>0</v>
          </cell>
          <cell r="KD348">
            <v>4</v>
          </cell>
          <cell r="KE348">
            <v>4</v>
          </cell>
          <cell r="KF348">
            <v>4</v>
          </cell>
          <cell r="KG348">
            <v>0</v>
          </cell>
          <cell r="KJ348">
            <v>0</v>
          </cell>
          <cell r="KM348">
            <v>0</v>
          </cell>
          <cell r="KP348">
            <v>0</v>
          </cell>
          <cell r="KS348">
            <v>0</v>
          </cell>
          <cell r="KV348">
            <v>0</v>
          </cell>
          <cell r="KY348">
            <v>0</v>
          </cell>
          <cell r="LB348">
            <v>0</v>
          </cell>
          <cell r="LE348">
            <v>0</v>
          </cell>
          <cell r="LH348">
            <v>0</v>
          </cell>
          <cell r="LK348">
            <v>0</v>
          </cell>
          <cell r="LN348">
            <v>45883</v>
          </cell>
          <cell r="LO348">
            <v>45909</v>
          </cell>
          <cell r="LP348" t="str">
            <v>COMPLETADO</v>
          </cell>
        </row>
        <row r="349">
          <cell r="A349" t="str">
            <v>1987-A</v>
          </cell>
          <cell r="B349" t="str">
            <v>RUBEN</v>
          </cell>
          <cell r="C349" t="str">
            <v>BARRACAS GRANDE</v>
          </cell>
          <cell r="D349" t="str">
            <v>MARROQUINERIA GRANDE</v>
          </cell>
          <cell r="E349">
            <v>12</v>
          </cell>
          <cell r="F349">
            <v>12</v>
          </cell>
          <cell r="G349">
            <v>12</v>
          </cell>
          <cell r="H349">
            <v>45915.452314814815</v>
          </cell>
          <cell r="I349" t="str">
            <v>TOTE TILCARA</v>
          </cell>
          <cell r="J349">
            <v>45912</v>
          </cell>
          <cell r="K349">
            <v>45912</v>
          </cell>
          <cell r="L349">
            <v>45912</v>
          </cell>
          <cell r="M349">
            <v>20</v>
          </cell>
          <cell r="N349" t="str">
            <v>M188</v>
          </cell>
          <cell r="O349" t="str">
            <v>AV170129018</v>
          </cell>
          <cell r="P349">
            <v>0</v>
          </cell>
          <cell r="AW349" t="str">
            <v xml:space="preserve">GRABADO EN ESPALDA "EL LUCERO GRANDE" CENTRADO ABAJO A 2 CM DESDE EL PESPUNTE </v>
          </cell>
          <cell r="AX349" t="str">
            <v>LONDON</v>
          </cell>
          <cell r="AY349" t="str">
            <v>ARENA-CUERO NAPADO</v>
          </cell>
          <cell r="AZ349" t="str">
            <v>CUE0000024</v>
          </cell>
          <cell r="BA349">
            <v>0.47</v>
          </cell>
          <cell r="KD349">
            <v>12</v>
          </cell>
          <cell r="KE349">
            <v>12</v>
          </cell>
          <cell r="KF349">
            <v>12</v>
          </cell>
          <cell r="KG349">
            <v>0</v>
          </cell>
          <cell r="KJ349">
            <v>0</v>
          </cell>
          <cell r="KM349">
            <v>0</v>
          </cell>
          <cell r="KP349">
            <v>0</v>
          </cell>
          <cell r="KS349">
            <v>0</v>
          </cell>
          <cell r="KV349">
            <v>0</v>
          </cell>
          <cell r="KY349">
            <v>0</v>
          </cell>
          <cell r="LB349">
            <v>0</v>
          </cell>
          <cell r="LE349">
            <v>0</v>
          </cell>
          <cell r="LH349">
            <v>0</v>
          </cell>
          <cell r="LK349">
            <v>0</v>
          </cell>
          <cell r="LN349">
            <v>45912</v>
          </cell>
          <cell r="LO349">
            <v>45923</v>
          </cell>
          <cell r="LP349" t="str">
            <v>COMPLETADO</v>
          </cell>
        </row>
        <row r="350">
          <cell r="A350" t="str">
            <v>1988-A</v>
          </cell>
          <cell r="B350" t="str">
            <v>RUBEN</v>
          </cell>
          <cell r="C350" t="str">
            <v>BARRACAS GRANDE</v>
          </cell>
          <cell r="D350" t="str">
            <v>MARROQUINERIA GRANDE</v>
          </cell>
          <cell r="E350">
            <v>10</v>
          </cell>
          <cell r="F350">
            <v>10</v>
          </cell>
          <cell r="G350">
            <v>10</v>
          </cell>
          <cell r="H350">
            <v>45915.458981481483</v>
          </cell>
          <cell r="I350" t="str">
            <v>CARTERA MANA</v>
          </cell>
          <cell r="J350">
            <v>45912</v>
          </cell>
          <cell r="K350">
            <v>45912</v>
          </cell>
          <cell r="L350">
            <v>45912</v>
          </cell>
          <cell r="M350">
            <v>55</v>
          </cell>
          <cell r="N350" t="str">
            <v>M192</v>
          </cell>
          <cell r="O350" t="str">
            <v>AV0300460101</v>
          </cell>
          <cell r="P350">
            <v>1</v>
          </cell>
          <cell r="Q350" t="str">
            <v>CUE0000124</v>
          </cell>
          <cell r="R350">
            <v>1</v>
          </cell>
          <cell r="S350" t="str">
            <v>AV170129018</v>
          </cell>
          <cell r="T350">
            <v>0</v>
          </cell>
          <cell r="AS350" t="str">
            <v>TRABAJO MANUAL ARTESANAL TRENZADO</v>
          </cell>
          <cell r="AT350" t="str">
            <v>FLECOS EN EL MISMO MATERIAL</v>
          </cell>
          <cell r="AW350" t="str">
            <v>GRABADO EL LUCERO GRANDE ATRAS ARRIBA</v>
          </cell>
          <cell r="AX350" t="str">
            <v>CAOBA</v>
          </cell>
          <cell r="AY350" t="str">
            <v>ANAN-CUERO NAPOLE</v>
          </cell>
          <cell r="AZ350" t="str">
            <v>CUE0000179</v>
          </cell>
          <cell r="BA350">
            <v>0.98</v>
          </cell>
          <cell r="BR350" t="str">
            <v>TABACO</v>
          </cell>
          <cell r="BS350" t="str">
            <v>ANAN-CUERO NAPOLE</v>
          </cell>
          <cell r="BT350" t="str">
            <v>CUE0000178</v>
          </cell>
          <cell r="BU350">
            <v>0.98</v>
          </cell>
          <cell r="KD350">
            <v>5</v>
          </cell>
          <cell r="KE350">
            <v>5</v>
          </cell>
          <cell r="KF350">
            <v>5</v>
          </cell>
          <cell r="KG350">
            <v>5</v>
          </cell>
          <cell r="KH350">
            <v>5</v>
          </cell>
          <cell r="KI350">
            <v>5</v>
          </cell>
          <cell r="KJ350">
            <v>0</v>
          </cell>
          <cell r="KM350">
            <v>0</v>
          </cell>
          <cell r="KP350">
            <v>0</v>
          </cell>
          <cell r="KS350">
            <v>0</v>
          </cell>
          <cell r="KV350">
            <v>0</v>
          </cell>
          <cell r="KY350">
            <v>0</v>
          </cell>
          <cell r="LB350">
            <v>0</v>
          </cell>
          <cell r="LE350">
            <v>0</v>
          </cell>
          <cell r="LH350">
            <v>0</v>
          </cell>
          <cell r="LK350">
            <v>0</v>
          </cell>
          <cell r="LN350">
            <v>45912</v>
          </cell>
          <cell r="LO350">
            <v>45923</v>
          </cell>
          <cell r="LP350" t="str">
            <v>COMPLETADO</v>
          </cell>
        </row>
        <row r="351">
          <cell r="A351" t="str">
            <v>1976-A</v>
          </cell>
          <cell r="B351" t="str">
            <v>LUCIANO</v>
          </cell>
          <cell r="C351" t="str">
            <v>PERDRIEL</v>
          </cell>
          <cell r="D351" t="str">
            <v>MARROQUINERIA CHICA</v>
          </cell>
          <cell r="E351">
            <v>66</v>
          </cell>
          <cell r="F351">
            <v>42</v>
          </cell>
          <cell r="G351">
            <v>42</v>
          </cell>
          <cell r="H351">
            <v>45918.482604166667</v>
          </cell>
          <cell r="I351" t="str">
            <v>PORTAPASAPORTE CHESTER</v>
          </cell>
          <cell r="J351">
            <v>45916</v>
          </cell>
          <cell r="K351">
            <v>45916</v>
          </cell>
          <cell r="L351">
            <v>45924</v>
          </cell>
          <cell r="M351">
            <v>10</v>
          </cell>
          <cell r="N351" t="str">
            <v>M104</v>
          </cell>
          <cell r="O351" t="str">
            <v>AV170134014</v>
          </cell>
          <cell r="P351">
            <v>0</v>
          </cell>
          <cell r="AW351" t="str">
            <v xml:space="preserve">GRABADO LUCERO ARGENTINA CHICO,CENTRADO EN ESPALDA A 1.5CM DEL BORDE INFERIOR  </v>
          </cell>
          <cell r="AX351" t="str">
            <v>CARAMELO</v>
          </cell>
          <cell r="AY351" t="str">
            <v>ARENA-CUERO BRIDGE</v>
          </cell>
          <cell r="AZ351" t="str">
            <v>CUE0000004R</v>
          </cell>
          <cell r="BA351">
            <v>0.05</v>
          </cell>
          <cell r="BB351" t="str">
            <v>AV1401250545</v>
          </cell>
          <cell r="BC351">
            <v>0</v>
          </cell>
          <cell r="BR351" t="str">
            <v>MALBEC</v>
          </cell>
          <cell r="BS351" t="str">
            <v>ARENA-CUERO BRIDGE</v>
          </cell>
          <cell r="BT351" t="str">
            <v>CUE0000008R</v>
          </cell>
          <cell r="BU351">
            <v>0.05</v>
          </cell>
          <cell r="BV351" t="str">
            <v>AV1401254460</v>
          </cell>
          <cell r="BW351">
            <v>0</v>
          </cell>
          <cell r="CL351" t="str">
            <v>NEGRO</v>
          </cell>
          <cell r="CM351" t="str">
            <v>ARENA-CUERO BRIDGE</v>
          </cell>
          <cell r="CN351" t="str">
            <v>CUE0000009R</v>
          </cell>
          <cell r="CO351">
            <v>0.05</v>
          </cell>
          <cell r="CP351" t="str">
            <v>AV1401254060</v>
          </cell>
          <cell r="CQ351">
            <v>0</v>
          </cell>
          <cell r="DF351" t="str">
            <v>TABACO</v>
          </cell>
          <cell r="DG351" t="str">
            <v>ARENA-CUERO BRIDGE</v>
          </cell>
          <cell r="DH351" t="str">
            <v>CUE0000012R</v>
          </cell>
          <cell r="DI351">
            <v>0.05</v>
          </cell>
          <cell r="DJ351" t="str">
            <v>AV1401250545</v>
          </cell>
          <cell r="DK351">
            <v>0</v>
          </cell>
          <cell r="EE351">
            <v>0.09</v>
          </cell>
          <cell r="KD351">
            <v>14</v>
          </cell>
          <cell r="KE351">
            <v>14</v>
          </cell>
          <cell r="KF351">
            <v>14</v>
          </cell>
          <cell r="KG351">
            <v>24</v>
          </cell>
          <cell r="KH351">
            <v>0</v>
          </cell>
          <cell r="KI351">
            <v>0</v>
          </cell>
          <cell r="KJ351">
            <v>14</v>
          </cell>
          <cell r="KK351">
            <v>14</v>
          </cell>
          <cell r="KL351">
            <v>14</v>
          </cell>
          <cell r="KM351">
            <v>14</v>
          </cell>
          <cell r="KN351">
            <v>14</v>
          </cell>
          <cell r="KO351">
            <v>14</v>
          </cell>
          <cell r="KP351">
            <v>0</v>
          </cell>
          <cell r="KS351">
            <v>0</v>
          </cell>
          <cell r="KV351">
            <v>0</v>
          </cell>
          <cell r="KY351">
            <v>0</v>
          </cell>
          <cell r="LB351">
            <v>0</v>
          </cell>
          <cell r="LE351">
            <v>0</v>
          </cell>
          <cell r="LH351">
            <v>0</v>
          </cell>
          <cell r="LK351">
            <v>0</v>
          </cell>
          <cell r="LN351">
            <v>45916</v>
          </cell>
          <cell r="LO351">
            <v>45931</v>
          </cell>
          <cell r="LP351" t="str">
            <v>COMPLETADO</v>
          </cell>
        </row>
        <row r="352">
          <cell r="A352" t="str">
            <v>1981-A</v>
          </cell>
          <cell r="B352" t="str">
            <v>LUCIANO</v>
          </cell>
          <cell r="C352" t="str">
            <v>BARRACAS CHICA</v>
          </cell>
          <cell r="D352" t="str">
            <v>MARROQUINERIA CHICA</v>
          </cell>
          <cell r="E352">
            <v>74</v>
          </cell>
          <cell r="F352">
            <v>74</v>
          </cell>
          <cell r="G352">
            <v>74</v>
          </cell>
          <cell r="H352">
            <v>45918.500243055554</v>
          </cell>
          <cell r="I352" t="str">
            <v>TARJETERO HARRY</v>
          </cell>
          <cell r="J352">
            <v>45923</v>
          </cell>
          <cell r="K352">
            <v>45923</v>
          </cell>
          <cell r="L352">
            <v>45925</v>
          </cell>
          <cell r="M352">
            <v>20</v>
          </cell>
          <cell r="N352" t="str">
            <v>M125</v>
          </cell>
          <cell r="O352" t="str">
            <v>AV170134014</v>
          </cell>
          <cell r="P352">
            <v>0</v>
          </cell>
          <cell r="AW352" t="str">
            <v xml:space="preserve">GRABADO " EL LUCERO ARGENTINA" CHICO ENINTERIOR CENTRADO SOBRE LA DERECHA (VER MUESTRA)   </v>
          </cell>
          <cell r="AX352" t="str">
            <v>MALBEC</v>
          </cell>
          <cell r="AY352" t="str">
            <v>ARENA-CUERO BRIDGE</v>
          </cell>
          <cell r="AZ352" t="str">
            <v>CUE0000008R</v>
          </cell>
          <cell r="BA352">
            <v>0.05</v>
          </cell>
          <cell r="BB352">
            <v>0</v>
          </cell>
          <cell r="BC352">
            <v>0.02</v>
          </cell>
          <cell r="BD352" t="str">
            <v>FOR0000019</v>
          </cell>
          <cell r="BE352">
            <v>0.05</v>
          </cell>
          <cell r="BF352" t="str">
            <v>AV1401250545</v>
          </cell>
          <cell r="BG352">
            <v>0</v>
          </cell>
          <cell r="BR352" t="str">
            <v>NEGRO</v>
          </cell>
          <cell r="BS352" t="str">
            <v>ARENA-CUERO BRIDGE</v>
          </cell>
          <cell r="BT352" t="str">
            <v>CUE0000009R</v>
          </cell>
          <cell r="BU352">
            <v>0.05</v>
          </cell>
          <cell r="BV352">
            <v>0</v>
          </cell>
          <cell r="BW352">
            <v>0.02</v>
          </cell>
          <cell r="BX352" t="str">
            <v>FOR0000019</v>
          </cell>
          <cell r="BY352">
            <v>0.05</v>
          </cell>
          <cell r="BZ352" t="str">
            <v>AV1401254060</v>
          </cell>
          <cell r="CA352">
            <v>0</v>
          </cell>
          <cell r="CL352" t="str">
            <v>ROJO</v>
          </cell>
          <cell r="CM352" t="str">
            <v>ARENA-CUERO BRIDGE</v>
          </cell>
          <cell r="CN352" t="str">
            <v>CUE0000010R</v>
          </cell>
          <cell r="CO352">
            <v>0.05</v>
          </cell>
          <cell r="CP352">
            <v>0</v>
          </cell>
          <cell r="CQ352">
            <v>0.02</v>
          </cell>
          <cell r="CR352" t="str">
            <v>FOR0000019</v>
          </cell>
          <cell r="CS352">
            <v>0.05</v>
          </cell>
          <cell r="CT352" t="str">
            <v>AV1401254460</v>
          </cell>
          <cell r="CU352">
            <v>0</v>
          </cell>
          <cell r="DF352" t="str">
            <v>TABACO</v>
          </cell>
          <cell r="DG352" t="str">
            <v>ARENA-CUERO BRIDGE</v>
          </cell>
          <cell r="DH352" t="str">
            <v>CUE0000012R</v>
          </cell>
          <cell r="DI352">
            <v>0.05</v>
          </cell>
          <cell r="DJ352">
            <v>0</v>
          </cell>
          <cell r="DK352">
            <v>0.02</v>
          </cell>
          <cell r="DL352" t="str">
            <v>FOR0000019</v>
          </cell>
          <cell r="DM352">
            <v>0.05</v>
          </cell>
          <cell r="DN352" t="str">
            <v>AV1401250545</v>
          </cell>
          <cell r="DO352">
            <v>0</v>
          </cell>
          <cell r="ED352">
            <v>0</v>
          </cell>
          <cell r="EE352">
            <v>0.02</v>
          </cell>
          <cell r="ET352" t="str">
            <v>NEGRO</v>
          </cell>
          <cell r="EU352" t="str">
            <v>ARENA-CUERO NAPADO</v>
          </cell>
          <cell r="EV352" t="str">
            <v>CUE0000026R</v>
          </cell>
          <cell r="EW352">
            <v>0.05</v>
          </cell>
          <cell r="EX352">
            <v>0</v>
          </cell>
          <cell r="EY352">
            <v>0.02</v>
          </cell>
          <cell r="EZ352" t="str">
            <v>FOR0000019</v>
          </cell>
          <cell r="FA352">
            <v>0.05</v>
          </cell>
          <cell r="FB352" t="str">
            <v>AV1401254060</v>
          </cell>
          <cell r="FC352">
            <v>0</v>
          </cell>
          <cell r="FN352" t="str">
            <v>ROJO</v>
          </cell>
          <cell r="FO352" t="str">
            <v>ARENA-CUERO NAPADO</v>
          </cell>
          <cell r="FP352" t="str">
            <v>CUE0000027R</v>
          </cell>
          <cell r="FQ352">
            <v>0.05</v>
          </cell>
          <cell r="FR352">
            <v>0</v>
          </cell>
          <cell r="FS352">
            <v>0.02</v>
          </cell>
          <cell r="FT352" t="str">
            <v>FOR0000019</v>
          </cell>
          <cell r="FU352">
            <v>0.05</v>
          </cell>
          <cell r="FV352" t="str">
            <v>AV1401254460</v>
          </cell>
          <cell r="FW352">
            <v>0</v>
          </cell>
          <cell r="GH352" t="str">
            <v>SUELA</v>
          </cell>
          <cell r="GI352" t="str">
            <v>ARENA-CUERO NAPADO</v>
          </cell>
          <cell r="GJ352" t="str">
            <v>CUE0000028R</v>
          </cell>
          <cell r="GK352">
            <v>0.05</v>
          </cell>
          <cell r="GL352">
            <v>0</v>
          </cell>
          <cell r="GM352">
            <v>0.02</v>
          </cell>
          <cell r="GN352" t="str">
            <v>FOR0000019</v>
          </cell>
          <cell r="GO352">
            <v>0.05</v>
          </cell>
          <cell r="GP352" t="str">
            <v>AV1401250545</v>
          </cell>
          <cell r="GQ352">
            <v>0</v>
          </cell>
          <cell r="KD352">
            <v>9</v>
          </cell>
          <cell r="KE352">
            <v>9</v>
          </cell>
          <cell r="KF352">
            <v>9</v>
          </cell>
          <cell r="KG352">
            <v>14</v>
          </cell>
          <cell r="KH352">
            <v>14</v>
          </cell>
          <cell r="KI352">
            <v>14</v>
          </cell>
          <cell r="KJ352">
            <v>9</v>
          </cell>
          <cell r="KK352">
            <v>9</v>
          </cell>
          <cell r="KL352">
            <v>9</v>
          </cell>
          <cell r="KM352">
            <v>6</v>
          </cell>
          <cell r="KN352">
            <v>6</v>
          </cell>
          <cell r="KO352">
            <v>6</v>
          </cell>
          <cell r="KP352">
            <v>0</v>
          </cell>
          <cell r="KQ352">
            <v>0</v>
          </cell>
          <cell r="KS352">
            <v>12</v>
          </cell>
          <cell r="KT352">
            <v>12</v>
          </cell>
          <cell r="KU352">
            <v>12</v>
          </cell>
          <cell r="KV352">
            <v>12</v>
          </cell>
          <cell r="KW352">
            <v>12</v>
          </cell>
          <cell r="KX352">
            <v>12</v>
          </cell>
          <cell r="KY352">
            <v>12</v>
          </cell>
          <cell r="KZ352">
            <v>12</v>
          </cell>
          <cell r="LA352">
            <v>12</v>
          </cell>
          <cell r="LB352">
            <v>0</v>
          </cell>
          <cell r="LE352">
            <v>0</v>
          </cell>
          <cell r="LH352">
            <v>0</v>
          </cell>
          <cell r="LK352">
            <v>0</v>
          </cell>
          <cell r="LN352">
            <v>45923</v>
          </cell>
          <cell r="LO352">
            <v>45931</v>
          </cell>
          <cell r="LP352" t="str">
            <v>COMPLETADO</v>
          </cell>
        </row>
        <row r="353">
          <cell r="A353" t="str">
            <v>1989-A</v>
          </cell>
          <cell r="B353" t="str">
            <v>RUBEN</v>
          </cell>
          <cell r="C353" t="str">
            <v>BARRACAS GRANDE</v>
          </cell>
          <cell r="D353" t="str">
            <v>MARROQUINERIA GRANDE</v>
          </cell>
          <cell r="E353">
            <v>32</v>
          </cell>
          <cell r="F353">
            <v>32</v>
          </cell>
          <cell r="G353">
            <v>32</v>
          </cell>
          <cell r="H353">
            <v>45918.547847222224</v>
          </cell>
          <cell r="I353" t="str">
            <v>CARTERA INES</v>
          </cell>
          <cell r="J353">
            <v>45917</v>
          </cell>
          <cell r="K353">
            <v>45917</v>
          </cell>
          <cell r="L353">
            <v>45917</v>
          </cell>
          <cell r="M353">
            <v>35</v>
          </cell>
          <cell r="N353" t="str">
            <v>M170</v>
          </cell>
          <cell r="O353" t="str">
            <v>AV0300460101</v>
          </cell>
          <cell r="P353">
            <v>1</v>
          </cell>
          <cell r="Q353" t="str">
            <v>AV170129018</v>
          </cell>
          <cell r="R353">
            <v>0</v>
          </cell>
          <cell r="AS353" t="str">
            <v>SIN FORRERIA</v>
          </cell>
          <cell r="AT353" t="str">
            <v>SIN PINTURA</v>
          </cell>
          <cell r="AW353" t="str">
            <v>GRABADO "EL LUCERO" CHICO CENTRADO EN PIEZA INTERNA PORTA IMAN TRASERA</v>
          </cell>
          <cell r="AX353" t="str">
            <v>NEGRO</v>
          </cell>
          <cell r="AY353" t="str">
            <v>ARENA-CUERO BRIDGE</v>
          </cell>
          <cell r="AZ353" t="str">
            <v>CUE0000009</v>
          </cell>
          <cell r="BA353">
            <v>0.41000000000000003</v>
          </cell>
          <cell r="BR353" t="str">
            <v>CARAMELO</v>
          </cell>
          <cell r="BS353" t="str">
            <v>ARENA-CUERO BRIDGE</v>
          </cell>
          <cell r="BT353" t="str">
            <v>CUE0000004</v>
          </cell>
          <cell r="BU353">
            <v>0.41000000000000003</v>
          </cell>
          <cell r="CL353" t="str">
            <v>PELO_HOLANDO</v>
          </cell>
          <cell r="CM353" t="str">
            <v>LEDER-PELO</v>
          </cell>
          <cell r="CN353" t="str">
            <v>CUE0000116</v>
          </cell>
          <cell r="CO353">
            <v>0.34</v>
          </cell>
          <cell r="CP353" t="str">
            <v>CUE0000009</v>
          </cell>
          <cell r="CQ353">
            <v>7.0000000000000007E-2</v>
          </cell>
          <cell r="KD353">
            <v>12</v>
          </cell>
          <cell r="KE353">
            <v>12</v>
          </cell>
          <cell r="KF353">
            <v>12</v>
          </cell>
          <cell r="KG353">
            <v>12</v>
          </cell>
          <cell r="KH353">
            <v>12</v>
          </cell>
          <cell r="KI353">
            <v>12</v>
          </cell>
          <cell r="KJ353">
            <v>8</v>
          </cell>
          <cell r="KK353">
            <v>8</v>
          </cell>
          <cell r="KL353">
            <v>8</v>
          </cell>
          <cell r="KM353">
            <v>0</v>
          </cell>
          <cell r="KN353">
            <v>0</v>
          </cell>
          <cell r="KP353">
            <v>0</v>
          </cell>
          <cell r="KQ353">
            <v>0</v>
          </cell>
          <cell r="KS353">
            <v>0</v>
          </cell>
          <cell r="KV353">
            <v>0</v>
          </cell>
          <cell r="KY353">
            <v>0</v>
          </cell>
          <cell r="LB353">
            <v>0</v>
          </cell>
          <cell r="LE353">
            <v>0</v>
          </cell>
          <cell r="LH353">
            <v>0</v>
          </cell>
          <cell r="LK353">
            <v>0</v>
          </cell>
          <cell r="LN353">
            <v>45917</v>
          </cell>
          <cell r="LO353">
            <v>45930</v>
          </cell>
          <cell r="LP353" t="str">
            <v>COMPLETADO</v>
          </cell>
        </row>
        <row r="354">
          <cell r="A354" t="str">
            <v>1990-A</v>
          </cell>
          <cell r="B354" t="str">
            <v>RUBEN</v>
          </cell>
          <cell r="C354" t="str">
            <v>BARRACAS GRANDE</v>
          </cell>
          <cell r="D354" t="str">
            <v>MARROQUINERIA GRANDE</v>
          </cell>
          <cell r="E354">
            <v>16</v>
          </cell>
          <cell r="F354">
            <v>16</v>
          </cell>
          <cell r="G354">
            <v>16</v>
          </cell>
          <cell r="H354">
            <v>45918.564930555556</v>
          </cell>
          <cell r="I354" t="str">
            <v>CARTERA LEANDRA</v>
          </cell>
          <cell r="J354">
            <v>45917</v>
          </cell>
          <cell r="K354">
            <v>45917</v>
          </cell>
          <cell r="L354">
            <v>45917</v>
          </cell>
          <cell r="M354">
            <v>40</v>
          </cell>
          <cell r="N354" t="str">
            <v>M042</v>
          </cell>
          <cell r="O354" t="str">
            <v>AV0101030201</v>
          </cell>
          <cell r="P354">
            <v>1</v>
          </cell>
          <cell r="Q354" t="str">
            <v>AV1000380101</v>
          </cell>
          <cell r="R354">
            <v>1</v>
          </cell>
          <cell r="S354" t="str">
            <v>AV0300390101</v>
          </cell>
          <cell r="T354">
            <v>1</v>
          </cell>
          <cell r="U354" t="str">
            <v>AV0300400101</v>
          </cell>
          <cell r="V354">
            <v>2</v>
          </cell>
          <cell r="W354" t="str">
            <v>BAC1300020827</v>
          </cell>
          <cell r="X354">
            <v>0.01</v>
          </cell>
          <cell r="Y354" t="str">
            <v>AV1000780101</v>
          </cell>
          <cell r="Z354">
            <v>2</v>
          </cell>
          <cell r="AA354" t="str">
            <v>AV0400980101</v>
          </cell>
          <cell r="AB354">
            <v>1</v>
          </cell>
          <cell r="AC354" t="str">
            <v>AV170129018</v>
          </cell>
          <cell r="AD354">
            <v>0</v>
          </cell>
          <cell r="AS354" t="str">
            <v>TIRACIERRE 1 CON ARGOLLITA: TIRA DE CUERO + REMACHE + GRABADO ESTRELLA</v>
          </cell>
          <cell r="AW354" t="str">
            <v xml:space="preserve">GRABADO EL LUCERO GRANDE ATRAS ABAJO    </v>
          </cell>
          <cell r="AX354" t="str">
            <v>NEGRO</v>
          </cell>
          <cell r="AY354" t="str">
            <v>ARENA-CUERO NAPADO</v>
          </cell>
          <cell r="AZ354" t="str">
            <v>CUE0000026</v>
          </cell>
          <cell r="BA354">
            <v>0.22</v>
          </cell>
          <cell r="BB354" t="str">
            <v>AV1401244040</v>
          </cell>
          <cell r="BC354">
            <v>0</v>
          </cell>
          <cell r="BD354" t="str">
            <v>FOR0000020</v>
          </cell>
          <cell r="BE354">
            <v>0.11</v>
          </cell>
          <cell r="BF354" t="str">
            <v>AV0100010103</v>
          </cell>
          <cell r="BG354">
            <v>0.25</v>
          </cell>
          <cell r="BR354" t="str">
            <v>CARAMELO</v>
          </cell>
          <cell r="BS354" t="str">
            <v>ARENA-CUERO NAPADO</v>
          </cell>
          <cell r="BT354" t="str">
            <v>CUE0000022</v>
          </cell>
          <cell r="BU354">
            <v>0.22</v>
          </cell>
          <cell r="BV354" t="str">
            <v>AV1401240545</v>
          </cell>
          <cell r="BW354">
            <v>0</v>
          </cell>
          <cell r="BX354" t="str">
            <v>FOR0000021</v>
          </cell>
          <cell r="BY354">
            <v>0.11</v>
          </cell>
          <cell r="BZ354" t="str">
            <v>AV0100010105</v>
          </cell>
          <cell r="CA354">
            <v>0.25</v>
          </cell>
          <cell r="DI354">
            <v>0.41000000000000003</v>
          </cell>
          <cell r="ED354" t="str">
            <v>CUE0000012</v>
          </cell>
          <cell r="EE354">
            <v>7.0000000000000007E-2</v>
          </cell>
          <cell r="KD354">
            <v>10</v>
          </cell>
          <cell r="KE354">
            <v>10</v>
          </cell>
          <cell r="KF354">
            <v>10</v>
          </cell>
          <cell r="KG354">
            <v>6</v>
          </cell>
          <cell r="KH354">
            <v>6</v>
          </cell>
          <cell r="KI354">
            <v>6</v>
          </cell>
          <cell r="KJ354">
            <v>0</v>
          </cell>
          <cell r="KK354">
            <v>0</v>
          </cell>
          <cell r="KM354">
            <v>0</v>
          </cell>
          <cell r="KP354">
            <v>0</v>
          </cell>
          <cell r="KQ354">
            <v>0</v>
          </cell>
          <cell r="KS354">
            <v>0</v>
          </cell>
          <cell r="KV354">
            <v>0</v>
          </cell>
          <cell r="KY354">
            <v>0</v>
          </cell>
          <cell r="LB354">
            <v>0</v>
          </cell>
          <cell r="LE354">
            <v>0</v>
          </cell>
          <cell r="LH354">
            <v>0</v>
          </cell>
          <cell r="LK354">
            <v>0</v>
          </cell>
          <cell r="LN354">
            <v>45917</v>
          </cell>
          <cell r="LO354">
            <v>45923</v>
          </cell>
          <cell r="LP354" t="str">
            <v>COMPLETADO</v>
          </cell>
        </row>
        <row r="355">
          <cell r="A355" t="str">
            <v>1991-A</v>
          </cell>
          <cell r="B355" t="str">
            <v>RUBEN</v>
          </cell>
          <cell r="C355" t="str">
            <v>BARRACAS GRANDE</v>
          </cell>
          <cell r="D355" t="str">
            <v>MARROQUINERIA GRANDE</v>
          </cell>
          <cell r="E355">
            <v>12</v>
          </cell>
          <cell r="F355">
            <v>12</v>
          </cell>
          <cell r="G355">
            <v>12</v>
          </cell>
          <cell r="H355">
            <v>45918.584016203706</v>
          </cell>
          <cell r="I355" t="str">
            <v>MATERA AVA</v>
          </cell>
          <cell r="J355">
            <v>45917</v>
          </cell>
          <cell r="K355">
            <v>45917</v>
          </cell>
          <cell r="L355">
            <v>45917</v>
          </cell>
          <cell r="M355">
            <v>55</v>
          </cell>
          <cell r="N355" t="str">
            <v>M196</v>
          </cell>
          <cell r="O355" t="str">
            <v>CUE0000124</v>
          </cell>
          <cell r="P355">
            <v>1</v>
          </cell>
          <cell r="Q355" t="str">
            <v>BAC1300050727</v>
          </cell>
          <cell r="R355">
            <v>0.03</v>
          </cell>
          <cell r="S355" t="str">
            <v>AV170129018</v>
          </cell>
          <cell r="T355">
            <v>0</v>
          </cell>
          <cell r="AS355" t="str">
            <v>TRABAJO MANUAL ARTESANAL TRENZADO</v>
          </cell>
          <cell r="AW355" t="str">
            <v>NO SE GRABA</v>
          </cell>
          <cell r="AX355" t="str">
            <v>OXIDO_GAMUZA_TABACO</v>
          </cell>
          <cell r="AY355" t="str">
            <v>NAPOLITANA-CUERO GAMUZA</v>
          </cell>
          <cell r="AZ355" t="str">
            <v>CUE0000048</v>
          </cell>
          <cell r="BA355">
            <v>0.44</v>
          </cell>
          <cell r="BB355">
            <v>0</v>
          </cell>
          <cell r="BC355">
            <v>0.1</v>
          </cell>
          <cell r="BD355" t="str">
            <v>FOR0000021</v>
          </cell>
          <cell r="BE355">
            <v>0.04</v>
          </cell>
          <cell r="DI355">
            <v>0.41000000000000003</v>
          </cell>
          <cell r="ED355" t="str">
            <v>CUE0000012</v>
          </cell>
          <cell r="EE355">
            <v>7.0000000000000007E-2</v>
          </cell>
          <cell r="KD355">
            <v>12</v>
          </cell>
          <cell r="KE355">
            <v>12</v>
          </cell>
          <cell r="KF355">
            <v>12</v>
          </cell>
          <cell r="KG355">
            <v>0</v>
          </cell>
          <cell r="KJ355">
            <v>0</v>
          </cell>
          <cell r="KM355">
            <v>0</v>
          </cell>
          <cell r="KP355">
            <v>0</v>
          </cell>
          <cell r="KQ355">
            <v>0</v>
          </cell>
          <cell r="KS355">
            <v>0</v>
          </cell>
          <cell r="KV355">
            <v>0</v>
          </cell>
          <cell r="KY355">
            <v>0</v>
          </cell>
          <cell r="LB355">
            <v>0</v>
          </cell>
          <cell r="LE355">
            <v>0</v>
          </cell>
          <cell r="LH355">
            <v>0</v>
          </cell>
          <cell r="LK355">
            <v>0</v>
          </cell>
          <cell r="LN355">
            <v>45917</v>
          </cell>
          <cell r="LO355">
            <v>45930</v>
          </cell>
          <cell r="LP355" t="str">
            <v>COMPLETADO</v>
          </cell>
        </row>
        <row r="356">
          <cell r="A356" t="str">
            <v>1992-A</v>
          </cell>
          <cell r="B356" t="str">
            <v>RUBEN</v>
          </cell>
          <cell r="C356" t="str">
            <v>BARRACAS GRANDE</v>
          </cell>
          <cell r="D356" t="str">
            <v>MARROQUINERIA GRANDE</v>
          </cell>
          <cell r="E356">
            <v>12</v>
          </cell>
          <cell r="F356">
            <v>12</v>
          </cell>
          <cell r="G356">
            <v>12</v>
          </cell>
          <cell r="H356">
            <v>45918.586956018517</v>
          </cell>
          <cell r="I356" t="str">
            <v>MATERA RENATA</v>
          </cell>
          <cell r="J356">
            <v>45917</v>
          </cell>
          <cell r="K356">
            <v>45917</v>
          </cell>
          <cell r="L356">
            <v>45917</v>
          </cell>
          <cell r="M356">
            <v>70</v>
          </cell>
          <cell r="N356" t="str">
            <v>M195</v>
          </cell>
          <cell r="O356" t="str">
            <v>CUE0000124</v>
          </cell>
          <cell r="P356">
            <v>1</v>
          </cell>
          <cell r="Q356" t="str">
            <v>BAC1300050727</v>
          </cell>
          <cell r="R356">
            <v>0.03</v>
          </cell>
          <cell r="S356" t="str">
            <v>AV170129018</v>
          </cell>
          <cell r="T356">
            <v>0</v>
          </cell>
          <cell r="AS356" t="str">
            <v>TRABAJO MANUAL ARTESANAL PESPUNTE</v>
          </cell>
          <cell r="AW356" t="str">
            <v>NO SE GRABA</v>
          </cell>
          <cell r="AX356" t="str">
            <v>OXIDO_GAMUZA_TABACO</v>
          </cell>
          <cell r="AY356" t="str">
            <v>NAPOLITANA-CUERO GAMUZA</v>
          </cell>
          <cell r="AZ356" t="str">
            <v>CUE0000048</v>
          </cell>
          <cell r="BA356">
            <v>0.44</v>
          </cell>
          <cell r="BB356" t="str">
            <v>CUE0000012</v>
          </cell>
          <cell r="BC356">
            <v>0.14000000000000001</v>
          </cell>
          <cell r="BD356" t="str">
            <v>FOR0000021</v>
          </cell>
          <cell r="BE356">
            <v>0.04</v>
          </cell>
          <cell r="DI356">
            <v>0.41000000000000003</v>
          </cell>
          <cell r="ED356" t="str">
            <v>CUE0000012</v>
          </cell>
          <cell r="EE356">
            <v>7.0000000000000007E-2</v>
          </cell>
          <cell r="KD356">
            <v>12</v>
          </cell>
          <cell r="KE356">
            <v>12</v>
          </cell>
          <cell r="KF356">
            <v>12</v>
          </cell>
          <cell r="KG356">
            <v>0</v>
          </cell>
          <cell r="KJ356">
            <v>0</v>
          </cell>
          <cell r="KM356">
            <v>0</v>
          </cell>
          <cell r="KP356">
            <v>0</v>
          </cell>
          <cell r="KQ356">
            <v>0</v>
          </cell>
          <cell r="KS356">
            <v>0</v>
          </cell>
          <cell r="KV356">
            <v>0</v>
          </cell>
          <cell r="KY356">
            <v>0</v>
          </cell>
          <cell r="LB356">
            <v>0</v>
          </cell>
          <cell r="LE356">
            <v>0</v>
          </cell>
          <cell r="LH356">
            <v>0</v>
          </cell>
          <cell r="LK356">
            <v>0</v>
          </cell>
          <cell r="LN356">
            <v>45917</v>
          </cell>
          <cell r="LO356">
            <v>45930</v>
          </cell>
          <cell r="LP356" t="str">
            <v>COMPLETADO</v>
          </cell>
        </row>
        <row r="357">
          <cell r="A357" t="str">
            <v>1993-A</v>
          </cell>
          <cell r="B357" t="str">
            <v>RUBEN</v>
          </cell>
          <cell r="C357" t="str">
            <v>BARRACAS GRANDE</v>
          </cell>
          <cell r="D357" t="str">
            <v>MARROQUINERIA GRANDE</v>
          </cell>
          <cell r="E357">
            <v>9</v>
          </cell>
          <cell r="F357">
            <v>9</v>
          </cell>
          <cell r="G357">
            <v>9</v>
          </cell>
          <cell r="H357">
            <v>45918.594664351855</v>
          </cell>
          <cell r="I357" t="str">
            <v>MINI EMMA</v>
          </cell>
          <cell r="J357">
            <v>45917</v>
          </cell>
          <cell r="K357">
            <v>45917</v>
          </cell>
          <cell r="L357">
            <v>45939</v>
          </cell>
          <cell r="M357">
            <v>55</v>
          </cell>
          <cell r="N357" t="str">
            <v>M137</v>
          </cell>
          <cell r="O357" t="str">
            <v>BAC1300020827</v>
          </cell>
          <cell r="P357">
            <v>0.01</v>
          </cell>
          <cell r="Q357" t="str">
            <v>AV0300440101</v>
          </cell>
          <cell r="R357">
            <v>1</v>
          </cell>
          <cell r="S357" t="str">
            <v>VAR0000011</v>
          </cell>
          <cell r="T357">
            <v>0.44</v>
          </cell>
          <cell r="U357" t="str">
            <v>AV0400770101</v>
          </cell>
          <cell r="V357">
            <v>2</v>
          </cell>
          <cell r="W357" t="str">
            <v>AV0400230101</v>
          </cell>
          <cell r="X357">
            <v>1</v>
          </cell>
          <cell r="Y357" t="str">
            <v>AV0601400101</v>
          </cell>
          <cell r="Z357">
            <v>2</v>
          </cell>
          <cell r="AA357" t="str">
            <v>AV0300400101</v>
          </cell>
          <cell r="AB357">
            <v>1</v>
          </cell>
          <cell r="AC357" t="str">
            <v>AV170134014</v>
          </cell>
          <cell r="AD357">
            <v>0</v>
          </cell>
          <cell r="AW357" t="str">
            <v xml:space="preserve">GRABADO EL LUCERO GRANDE ARRIBA CENTRADO. DEJAR 3CM Y GRABAR  </v>
          </cell>
          <cell r="AX357" t="str">
            <v>CARAMELO</v>
          </cell>
          <cell r="AY357" t="str">
            <v>ARENA-CUERO NAPADO</v>
          </cell>
          <cell r="AZ357" t="str">
            <v>CUE0000022</v>
          </cell>
          <cell r="BA357">
            <v>0.26</v>
          </cell>
          <cell r="BR357" t="str">
            <v>PELO_HOLANDO</v>
          </cell>
          <cell r="BS357" t="str">
            <v>LEDER-PELO</v>
          </cell>
          <cell r="BT357" t="str">
            <v>CUE0000116</v>
          </cell>
          <cell r="BU357">
            <v>0.14000000000000001</v>
          </cell>
          <cell r="BV357" t="str">
            <v>CUE0000009</v>
          </cell>
          <cell r="BW357">
            <v>0.12</v>
          </cell>
          <cell r="CP357" t="str">
            <v>CUE0000012</v>
          </cell>
          <cell r="CQ357">
            <v>0.12</v>
          </cell>
          <cell r="DI357">
            <v>0.41000000000000003</v>
          </cell>
          <cell r="ED357" t="str">
            <v>CUE0000012</v>
          </cell>
          <cell r="EE357">
            <v>7.0000000000000007E-2</v>
          </cell>
          <cell r="KD357">
            <v>3</v>
          </cell>
          <cell r="KE357">
            <v>3</v>
          </cell>
          <cell r="KF357">
            <v>3</v>
          </cell>
          <cell r="KG357">
            <v>6</v>
          </cell>
          <cell r="KH357">
            <v>6</v>
          </cell>
          <cell r="KI357">
            <v>6</v>
          </cell>
          <cell r="KJ357">
            <v>0</v>
          </cell>
          <cell r="KK357">
            <v>0</v>
          </cell>
          <cell r="KM357">
            <v>0</v>
          </cell>
          <cell r="KP357">
            <v>0</v>
          </cell>
          <cell r="KQ357">
            <v>0</v>
          </cell>
          <cell r="KS357">
            <v>0</v>
          </cell>
          <cell r="KV357">
            <v>0</v>
          </cell>
          <cell r="KY357">
            <v>0</v>
          </cell>
          <cell r="LB357">
            <v>0</v>
          </cell>
          <cell r="LE357">
            <v>0</v>
          </cell>
          <cell r="LH357">
            <v>0</v>
          </cell>
          <cell r="LK357">
            <v>0</v>
          </cell>
          <cell r="LN357">
            <v>45917</v>
          </cell>
          <cell r="LO357">
            <v>45939</v>
          </cell>
          <cell r="LP357" t="str">
            <v>COMPLETADO</v>
          </cell>
        </row>
        <row r="358">
          <cell r="A358" t="str">
            <v>1994-A</v>
          </cell>
          <cell r="B358" t="str">
            <v>RUBEN</v>
          </cell>
          <cell r="C358" t="str">
            <v>BARRACAS GRANDE</v>
          </cell>
          <cell r="D358" t="str">
            <v>MARROQUINERIA GRANDE</v>
          </cell>
          <cell r="E358">
            <v>5</v>
          </cell>
          <cell r="F358">
            <v>5</v>
          </cell>
          <cell r="G358">
            <v>5</v>
          </cell>
          <cell r="H358">
            <v>45918.603819444441</v>
          </cell>
          <cell r="I358" t="str">
            <v>CARTERA APHOLO C/CIERRE</v>
          </cell>
          <cell r="J358">
            <v>45917</v>
          </cell>
          <cell r="K358">
            <v>45917</v>
          </cell>
          <cell r="L358">
            <v>45917</v>
          </cell>
          <cell r="M358">
            <v>43</v>
          </cell>
          <cell r="N358" t="str">
            <v>M033</v>
          </cell>
          <cell r="O358" t="str">
            <v>AV0101030201</v>
          </cell>
          <cell r="P358">
            <v>1</v>
          </cell>
          <cell r="Q358" t="str">
            <v>AV1000380101</v>
          </cell>
          <cell r="R358">
            <v>1</v>
          </cell>
          <cell r="S358" t="str">
            <v>AV0300400101</v>
          </cell>
          <cell r="T358">
            <v>1</v>
          </cell>
          <cell r="U358" t="str">
            <v>BAC1300020827</v>
          </cell>
          <cell r="V358">
            <v>0.02</v>
          </cell>
          <cell r="W358" t="str">
            <v>AV170129018</v>
          </cell>
          <cell r="X358">
            <v>0</v>
          </cell>
          <cell r="AS358" t="str">
            <v>TIRACIERRE 1 ARGOLLITA + TIRA CON REMACHE + GRABADO ESTRELLA</v>
          </cell>
          <cell r="AW358" t="str">
            <v xml:space="preserve">GRABADO "EL LUCERO" GRANDE - EN ESPALDA, CENTRADO A 3 CM DEL BORDE SUPERIOR  </v>
          </cell>
          <cell r="AX358" t="str">
            <v>CHOCOLATE</v>
          </cell>
          <cell r="AY358" t="str">
            <v>ARENA-CUERO BRIDGE</v>
          </cell>
          <cell r="AZ358" t="str">
            <v>CUE0000005</v>
          </cell>
          <cell r="BA358">
            <v>0.71</v>
          </cell>
          <cell r="BB358" t="str">
            <v>AV1401240545</v>
          </cell>
          <cell r="BC358">
            <v>0</v>
          </cell>
          <cell r="BD358" t="str">
            <v>FOR0000021</v>
          </cell>
          <cell r="BE358">
            <v>0.03</v>
          </cell>
          <cell r="BF358" t="str">
            <v>CIE0000002</v>
          </cell>
          <cell r="BG358">
            <v>0.41</v>
          </cell>
          <cell r="BV358" t="str">
            <v>CUE0000009</v>
          </cell>
          <cell r="BW358">
            <v>0.12</v>
          </cell>
          <cell r="CP358" t="str">
            <v>CUE0000012</v>
          </cell>
          <cell r="CQ358">
            <v>0.12</v>
          </cell>
          <cell r="DI358">
            <v>0.41000000000000003</v>
          </cell>
          <cell r="ED358" t="str">
            <v>CUE0000012</v>
          </cell>
          <cell r="EE358">
            <v>7.0000000000000007E-2</v>
          </cell>
          <cell r="KD358">
            <v>5</v>
          </cell>
          <cell r="KE358">
            <v>5</v>
          </cell>
          <cell r="KF358">
            <v>5</v>
          </cell>
          <cell r="KG358">
            <v>0</v>
          </cell>
          <cell r="KH358">
            <v>0</v>
          </cell>
          <cell r="KJ358">
            <v>0</v>
          </cell>
          <cell r="KK358">
            <v>0</v>
          </cell>
          <cell r="KM358">
            <v>0</v>
          </cell>
          <cell r="KP358">
            <v>0</v>
          </cell>
          <cell r="KQ358">
            <v>0</v>
          </cell>
          <cell r="KS358">
            <v>0</v>
          </cell>
          <cell r="KV358">
            <v>0</v>
          </cell>
          <cell r="KY358">
            <v>0</v>
          </cell>
          <cell r="LB358">
            <v>0</v>
          </cell>
          <cell r="LE358">
            <v>0</v>
          </cell>
          <cell r="LH358">
            <v>0</v>
          </cell>
          <cell r="LK358">
            <v>0</v>
          </cell>
          <cell r="LN358">
            <v>45917</v>
          </cell>
          <cell r="LO358">
            <v>45930</v>
          </cell>
          <cell r="LP358" t="str">
            <v>COMPLETADO</v>
          </cell>
        </row>
        <row r="359">
          <cell r="A359" t="str">
            <v>1995-A</v>
          </cell>
          <cell r="B359" t="str">
            <v>RUBEN</v>
          </cell>
          <cell r="C359" t="str">
            <v>BARRACAS GRANDE</v>
          </cell>
          <cell r="D359" t="str">
            <v>MARROQUINERIA GRANDE</v>
          </cell>
          <cell r="E359">
            <v>12</v>
          </cell>
          <cell r="F359">
            <v>3</v>
          </cell>
          <cell r="G359">
            <v>3</v>
          </cell>
          <cell r="H359">
            <v>45918.610613425924</v>
          </cell>
          <cell r="I359" t="str">
            <v>CARTERA CHALTEN</v>
          </cell>
          <cell r="J359">
            <v>45918</v>
          </cell>
          <cell r="K359">
            <v>45918</v>
          </cell>
          <cell r="L359">
            <v>45918</v>
          </cell>
          <cell r="M359">
            <v>40</v>
          </cell>
          <cell r="N359" t="str">
            <v>M140</v>
          </cell>
          <cell r="O359" t="str">
            <v>AV170129018</v>
          </cell>
          <cell r="P359">
            <v>0</v>
          </cell>
          <cell r="Q359" t="str">
            <v>BAC1300020827</v>
          </cell>
          <cell r="R359">
            <v>0.01</v>
          </cell>
          <cell r="S359" t="str">
            <v>AV0401220101</v>
          </cell>
          <cell r="T359">
            <v>4</v>
          </cell>
          <cell r="U359" t="str">
            <v>AV0101040201</v>
          </cell>
          <cell r="V359">
            <v>1</v>
          </cell>
          <cell r="W359" t="str">
            <v>AV1000780101</v>
          </cell>
          <cell r="X359">
            <v>2</v>
          </cell>
          <cell r="Y359" t="str">
            <v>AV0400230101</v>
          </cell>
          <cell r="Z359">
            <v>1</v>
          </cell>
          <cell r="AA359" t="str">
            <v>AV0300390101</v>
          </cell>
          <cell r="AB359">
            <v>2</v>
          </cell>
          <cell r="AS359" t="str">
            <v>TIRACIERRE N1 - TIRA CONTRAPEGADA CON REMACHE + GRABADO ESTRELLA</v>
          </cell>
          <cell r="AW359" t="str">
            <v xml:space="preserve">GRABADO EL LUCERO EN PIEZA LATERAL    </v>
          </cell>
          <cell r="AX359" t="str">
            <v>ROJO</v>
          </cell>
          <cell r="AY359" t="str">
            <v>ARENA-CUERO BRIDGE</v>
          </cell>
          <cell r="AZ359" t="str">
            <v>CUE0000010</v>
          </cell>
          <cell r="BA359">
            <v>0.65</v>
          </cell>
          <cell r="BB359" t="str">
            <v>FOR0000020</v>
          </cell>
          <cell r="BC359">
            <v>0.27</v>
          </cell>
          <cell r="BD359" t="str">
            <v>AV0100010213</v>
          </cell>
          <cell r="BE359">
            <v>0.22</v>
          </cell>
          <cell r="CL359" t="str">
            <v>MALBEC</v>
          </cell>
          <cell r="CM359" t="str">
            <v>ARENA-CUERO BRIDGE</v>
          </cell>
          <cell r="CN359" t="str">
            <v>CUE0000008</v>
          </cell>
          <cell r="CO359">
            <v>0.65</v>
          </cell>
          <cell r="CP359" t="str">
            <v>FOR0000020</v>
          </cell>
          <cell r="CQ359">
            <v>0.27</v>
          </cell>
          <cell r="CR359" t="str">
            <v>AV0100010261</v>
          </cell>
          <cell r="CS359">
            <v>0.22</v>
          </cell>
          <cell r="DF359" t="str">
            <v>AZUL_REVES_AZUL</v>
          </cell>
          <cell r="DG359" t="str">
            <v>BIANCO-CUERO MODENA ESPESOR 1,8</v>
          </cell>
          <cell r="DH359" t="str">
            <v>CUE0000156</v>
          </cell>
          <cell r="DI359">
            <v>0.65</v>
          </cell>
          <cell r="DJ359" t="str">
            <v>FOR0000020</v>
          </cell>
          <cell r="DK359">
            <v>0.27</v>
          </cell>
          <cell r="DL359" t="str">
            <v>AV0100010215</v>
          </cell>
          <cell r="DM359">
            <v>0.22</v>
          </cell>
          <cell r="ED359" t="str">
            <v>CUE0000012</v>
          </cell>
          <cell r="EE359">
            <v>7.0000000000000007E-2</v>
          </cell>
          <cell r="KD359">
            <v>3</v>
          </cell>
          <cell r="KE359">
            <v>3</v>
          </cell>
          <cell r="KF359">
            <v>3</v>
          </cell>
          <cell r="KG359">
            <v>0</v>
          </cell>
          <cell r="KH359">
            <v>0</v>
          </cell>
          <cell r="KJ359">
            <v>5</v>
          </cell>
          <cell r="KK359">
            <v>0</v>
          </cell>
          <cell r="KL359">
            <v>0</v>
          </cell>
          <cell r="KM359">
            <v>4</v>
          </cell>
          <cell r="KN359">
            <v>0</v>
          </cell>
          <cell r="KO359">
            <v>0</v>
          </cell>
          <cell r="KP359">
            <v>0</v>
          </cell>
          <cell r="KQ359">
            <v>0</v>
          </cell>
          <cell r="KS359">
            <v>0</v>
          </cell>
          <cell r="KV359">
            <v>0</v>
          </cell>
          <cell r="KY359">
            <v>0</v>
          </cell>
          <cell r="LB359">
            <v>0</v>
          </cell>
          <cell r="LE359">
            <v>0</v>
          </cell>
          <cell r="LH359">
            <v>0</v>
          </cell>
          <cell r="LK359">
            <v>0</v>
          </cell>
          <cell r="LN359">
            <v>45918</v>
          </cell>
          <cell r="LO359">
            <v>45939</v>
          </cell>
          <cell r="LP359" t="str">
            <v>COMPLETADO</v>
          </cell>
        </row>
        <row r="360">
          <cell r="A360" t="str">
            <v>1996-A</v>
          </cell>
          <cell r="B360" t="str">
            <v>RUBEN</v>
          </cell>
          <cell r="C360" t="str">
            <v>BARRACAS GRANDE</v>
          </cell>
          <cell r="D360" t="str">
            <v>MARROQUINERIA GRANDE</v>
          </cell>
          <cell r="E360">
            <v>18</v>
          </cell>
          <cell r="F360">
            <v>18</v>
          </cell>
          <cell r="G360">
            <v>18</v>
          </cell>
          <cell r="H360">
            <v>45918.639270833337</v>
          </cell>
          <cell r="I360" t="str">
            <v>PORTAFOLIO HUAPI</v>
          </cell>
          <cell r="J360">
            <v>45918</v>
          </cell>
          <cell r="K360">
            <v>45918</v>
          </cell>
          <cell r="L360">
            <v>45918</v>
          </cell>
          <cell r="M360">
            <v>65</v>
          </cell>
          <cell r="N360" t="str">
            <v>M086</v>
          </cell>
          <cell r="O360" t="str">
            <v>BAC0200081126</v>
          </cell>
          <cell r="P360">
            <v>0.1</v>
          </cell>
          <cell r="Q360" t="str">
            <v>BAC1300020827</v>
          </cell>
          <cell r="R360">
            <v>0.06</v>
          </cell>
          <cell r="S360" t="str">
            <v>FOR0000032</v>
          </cell>
          <cell r="T360">
            <v>0.06</v>
          </cell>
          <cell r="U360" t="str">
            <v>AV0300410101</v>
          </cell>
          <cell r="V360">
            <v>5</v>
          </cell>
          <cell r="W360" t="str">
            <v>AV0300250101</v>
          </cell>
          <cell r="X360">
            <v>4</v>
          </cell>
          <cell r="Y360" t="str">
            <v>AV0600570101</v>
          </cell>
          <cell r="Z360">
            <v>2</v>
          </cell>
          <cell r="AA360" t="str">
            <v>AV0701490101</v>
          </cell>
          <cell r="AB360">
            <v>1</v>
          </cell>
          <cell r="AC360" t="str">
            <v>AV0101030201</v>
          </cell>
          <cell r="AD360">
            <v>1</v>
          </cell>
          <cell r="AE360" t="str">
            <v>AV0600540101</v>
          </cell>
          <cell r="AF360">
            <v>1</v>
          </cell>
          <cell r="AG360" t="str">
            <v>AV1302240428</v>
          </cell>
          <cell r="AH360">
            <v>0.52</v>
          </cell>
          <cell r="AI360" t="str">
            <v>AV170129018</v>
          </cell>
          <cell r="AJ360">
            <v>0</v>
          </cell>
          <cell r="AW360" t="str">
            <v>GRABADO "EL LUCERO" EN PARTE DE ATRAS, CENTRADO ENTRE LOS DADOS DE LAS DOS MANIJAS</v>
          </cell>
          <cell r="AX360" t="str">
            <v>TABACO</v>
          </cell>
          <cell r="AY360" t="str">
            <v>ANAN-CUERO NAPOLE</v>
          </cell>
          <cell r="AZ360" t="str">
            <v>CUE0000178</v>
          </cell>
          <cell r="BA360">
            <v>0.52</v>
          </cell>
          <cell r="BB360" t="str">
            <v>AV1401240545</v>
          </cell>
          <cell r="BC360">
            <v>0</v>
          </cell>
          <cell r="BD360" t="str">
            <v>FOR0000021</v>
          </cell>
          <cell r="BE360">
            <v>0.37</v>
          </cell>
          <cell r="BF360" t="str">
            <v>AV0100010114</v>
          </cell>
          <cell r="BG360">
            <v>0.55000000000000004</v>
          </cell>
          <cell r="CL360" t="str">
            <v>CEDRO</v>
          </cell>
          <cell r="CM360" t="str">
            <v>BIANCO-CUERO FIORENTINO</v>
          </cell>
          <cell r="CN360" t="str">
            <v>CUE0000055</v>
          </cell>
          <cell r="CO360">
            <v>0.52</v>
          </cell>
          <cell r="CP360" t="str">
            <v>AV1401240545</v>
          </cell>
          <cell r="CQ360">
            <v>0</v>
          </cell>
          <cell r="CR360" t="str">
            <v>FOR0000021</v>
          </cell>
          <cell r="CS360">
            <v>0.37</v>
          </cell>
          <cell r="CT360" t="str">
            <v>AV0100010111</v>
          </cell>
          <cell r="CU360">
            <v>0.55000000000000004</v>
          </cell>
          <cell r="DF360" t="str">
            <v>CHOCOLATE</v>
          </cell>
          <cell r="DG360" t="str">
            <v>ARENA-CUERO BRIDGE</v>
          </cell>
          <cell r="DH360" t="str">
            <v>CUE0000005</v>
          </cell>
          <cell r="DI360">
            <v>0.52</v>
          </cell>
          <cell r="DJ360" t="str">
            <v>AV1401240545</v>
          </cell>
          <cell r="DK360">
            <v>0</v>
          </cell>
          <cell r="DL360" t="str">
            <v>FOR0000021</v>
          </cell>
          <cell r="DM360">
            <v>0.37</v>
          </cell>
          <cell r="DN360" t="str">
            <v>AV0100010111</v>
          </cell>
          <cell r="DO360">
            <v>0.55000000000000004</v>
          </cell>
          <cell r="ED360" t="str">
            <v>CUE0000012</v>
          </cell>
          <cell r="EE360">
            <v>7.0000000000000007E-2</v>
          </cell>
          <cell r="KD360">
            <v>6</v>
          </cell>
          <cell r="KE360">
            <v>6</v>
          </cell>
          <cell r="KF360">
            <v>6</v>
          </cell>
          <cell r="KG360">
            <v>4</v>
          </cell>
          <cell r="KH360">
            <v>4</v>
          </cell>
          <cell r="KI360">
            <v>4</v>
          </cell>
          <cell r="KJ360">
            <v>4</v>
          </cell>
          <cell r="KK360">
            <v>4</v>
          </cell>
          <cell r="KL360">
            <v>4</v>
          </cell>
          <cell r="KM360">
            <v>4</v>
          </cell>
          <cell r="KN360">
            <v>4</v>
          </cell>
          <cell r="KO360">
            <v>4</v>
          </cell>
          <cell r="KP360">
            <v>0</v>
          </cell>
          <cell r="KQ360">
            <v>0</v>
          </cell>
          <cell r="KS360">
            <v>0</v>
          </cell>
          <cell r="KV360">
            <v>0</v>
          </cell>
          <cell r="KY360">
            <v>0</v>
          </cell>
          <cell r="LB360">
            <v>0</v>
          </cell>
          <cell r="LE360">
            <v>0</v>
          </cell>
          <cell r="LH360">
            <v>0</v>
          </cell>
          <cell r="LK360">
            <v>0</v>
          </cell>
          <cell r="LN360">
            <v>45918</v>
          </cell>
          <cell r="LO360">
            <v>45951</v>
          </cell>
          <cell r="LP360" t="str">
            <v>COMPLETADO</v>
          </cell>
        </row>
        <row r="361">
          <cell r="A361" t="str">
            <v>1997-A</v>
          </cell>
          <cell r="B361" t="str">
            <v>RUBEN</v>
          </cell>
          <cell r="C361" t="str">
            <v>BARRACAS GRANDE</v>
          </cell>
          <cell r="D361" t="str">
            <v>MARROQUINERIA GRANDE</v>
          </cell>
          <cell r="E361">
            <v>6</v>
          </cell>
          <cell r="F361">
            <v>6</v>
          </cell>
          <cell r="G361">
            <v>6</v>
          </cell>
          <cell r="H361">
            <v>45918.64403935185</v>
          </cell>
          <cell r="I361" t="str">
            <v>MOCHILA ALAI</v>
          </cell>
          <cell r="J361">
            <v>45918</v>
          </cell>
          <cell r="K361">
            <v>45918</v>
          </cell>
          <cell r="L361">
            <v>45918</v>
          </cell>
          <cell r="M361">
            <v>40</v>
          </cell>
          <cell r="N361" t="str">
            <v>M198</v>
          </cell>
          <cell r="O361" t="str">
            <v>AV0300390101</v>
          </cell>
          <cell r="P361">
            <v>2</v>
          </cell>
          <cell r="Q361" t="str">
            <v>AV0101060301</v>
          </cell>
          <cell r="R361">
            <v>2</v>
          </cell>
          <cell r="S361" t="str">
            <v>AV1000380101</v>
          </cell>
          <cell r="T361">
            <v>2</v>
          </cell>
          <cell r="U361" t="str">
            <v>CUE0000124</v>
          </cell>
          <cell r="V361">
            <v>1</v>
          </cell>
          <cell r="W361" t="str">
            <v>AV170129018</v>
          </cell>
          <cell r="X361">
            <v>0</v>
          </cell>
          <cell r="AS361" t="str">
            <v xml:space="preserve"> TIRACIERRE N1 - TIRA DE CUERO CON REMACHE Y GRABADO ESTRELLITA</v>
          </cell>
          <cell r="AT361" t="str">
            <v>LARGO DE TIRA APROBADO DE LA MOCHILA 2.37MTS X LADO</v>
          </cell>
          <cell r="AW361" t="str">
            <v>GRABADO "EL LUCERO GRANDE" CENTRADO EN BOLSILLO INTERNO DEBAJO DEL CIERRE</v>
          </cell>
          <cell r="AX361" t="str">
            <v>NEGRO</v>
          </cell>
          <cell r="AY361" t="str">
            <v>ARENA-CUERO NAPADO</v>
          </cell>
          <cell r="AZ361" t="str">
            <v>CUE0000026</v>
          </cell>
          <cell r="BA361">
            <v>0.66</v>
          </cell>
          <cell r="BB361" t="str">
            <v>FOR0000020</v>
          </cell>
          <cell r="BC361">
            <v>0.33</v>
          </cell>
          <cell r="BD361" t="str">
            <v>AV0100010303</v>
          </cell>
          <cell r="BE361">
            <v>0.56999999999999995</v>
          </cell>
          <cell r="BR361" t="str">
            <v>SUELA</v>
          </cell>
          <cell r="BS361" t="str">
            <v>ARENA-CUERO NAPADO</v>
          </cell>
          <cell r="BT361" t="str">
            <v>CUE0000028</v>
          </cell>
          <cell r="BU361">
            <v>0.66</v>
          </cell>
          <cell r="BV361" t="str">
            <v>FOR0000021</v>
          </cell>
          <cell r="BW361">
            <v>0.33</v>
          </cell>
          <cell r="BX361" t="str">
            <v>CIE0000006</v>
          </cell>
          <cell r="BY361">
            <v>0.56999999999999995</v>
          </cell>
          <cell r="CL361" t="str">
            <v>MALBEC</v>
          </cell>
          <cell r="CM361" t="str">
            <v>ARENA-CUERO NAPADO</v>
          </cell>
          <cell r="CN361" t="str">
            <v>CUE0000025</v>
          </cell>
          <cell r="CO361">
            <v>0.66</v>
          </cell>
          <cell r="CP361" t="str">
            <v>FOR0000020</v>
          </cell>
          <cell r="CQ361">
            <v>0.33</v>
          </cell>
          <cell r="CR361" t="str">
            <v>CIE0000009</v>
          </cell>
          <cell r="CS361">
            <v>0.56999999999999995</v>
          </cell>
          <cell r="ED361" t="str">
            <v>CUE0000012</v>
          </cell>
          <cell r="EE361">
            <v>7.0000000000000007E-2</v>
          </cell>
          <cell r="KD361">
            <v>2</v>
          </cell>
          <cell r="KE361">
            <v>2</v>
          </cell>
          <cell r="KF361">
            <v>2</v>
          </cell>
          <cell r="KG361">
            <v>2</v>
          </cell>
          <cell r="KH361">
            <v>2</v>
          </cell>
          <cell r="KI361">
            <v>2</v>
          </cell>
          <cell r="KJ361">
            <v>2</v>
          </cell>
          <cell r="KK361">
            <v>2</v>
          </cell>
          <cell r="KL361">
            <v>2</v>
          </cell>
          <cell r="KM361">
            <v>0</v>
          </cell>
          <cell r="KP361">
            <v>0</v>
          </cell>
          <cell r="KQ361">
            <v>0</v>
          </cell>
          <cell r="KS361">
            <v>0</v>
          </cell>
          <cell r="KV361">
            <v>0</v>
          </cell>
          <cell r="KY361">
            <v>0</v>
          </cell>
          <cell r="LB361">
            <v>0</v>
          </cell>
          <cell r="LE361">
            <v>0</v>
          </cell>
          <cell r="LH361">
            <v>0</v>
          </cell>
          <cell r="LK361">
            <v>0</v>
          </cell>
          <cell r="LN361">
            <v>45918</v>
          </cell>
          <cell r="LO361">
            <v>45939</v>
          </cell>
          <cell r="LP361" t="str">
            <v>COMPLETADO</v>
          </cell>
        </row>
        <row r="362">
          <cell r="A362" t="str">
            <v>1999-A</v>
          </cell>
          <cell r="B362" t="str">
            <v>RUBEN</v>
          </cell>
          <cell r="C362" t="str">
            <v>BARRACAS GRANDE</v>
          </cell>
          <cell r="D362" t="str">
            <v>MARROQUINERIA GRANDE</v>
          </cell>
          <cell r="E362">
            <v>13</v>
          </cell>
          <cell r="F362">
            <v>13</v>
          </cell>
          <cell r="G362">
            <v>13</v>
          </cell>
          <cell r="H362">
            <v>45918.651747685188</v>
          </cell>
          <cell r="I362" t="str">
            <v>BANDOLERA CARLA</v>
          </cell>
          <cell r="J362">
            <v>45918</v>
          </cell>
          <cell r="K362">
            <v>45918</v>
          </cell>
          <cell r="L362">
            <v>45918</v>
          </cell>
          <cell r="M362">
            <v>35</v>
          </cell>
          <cell r="N362" t="str">
            <v>M002</v>
          </cell>
          <cell r="O362" t="str">
            <v>AV1001210101</v>
          </cell>
          <cell r="P362">
            <v>1</v>
          </cell>
          <cell r="Q362" t="str">
            <v>AV0401380101</v>
          </cell>
          <cell r="R362">
            <v>1</v>
          </cell>
          <cell r="S362" t="str">
            <v>AV0400400101</v>
          </cell>
          <cell r="T362">
            <v>1</v>
          </cell>
          <cell r="U362" t="str">
            <v>AV170129018</v>
          </cell>
          <cell r="V362">
            <v>0</v>
          </cell>
          <cell r="AS362" t="str">
            <v>CORREA IDEM MUESTRA. EN EL LATERAL NO LLEVA REMACHES</v>
          </cell>
          <cell r="AT362" t="str">
            <v>LA CORREA DEBE SALIR DE ADENTRO DE LA VISTA INTERNA</v>
          </cell>
          <cell r="AU362" t="str">
            <v>CONSULTAR SI VA PINTADA O NO O</v>
          </cell>
          <cell r="AV362" t="str">
            <v>REVISAR TIEMPO</v>
          </cell>
          <cell r="AW362" t="str">
            <v>GRABADO "EL LUCERO" CHICO EN VISTA INTERNA CENTRADA</v>
          </cell>
          <cell r="AX362" t="str">
            <v>NEGRO</v>
          </cell>
          <cell r="AY362" t="str">
            <v>BIANCO-CUERO FIORENTINO</v>
          </cell>
          <cell r="AZ362" t="str">
            <v>CUE0000056</v>
          </cell>
          <cell r="BA362">
            <v>0.17</v>
          </cell>
          <cell r="BB362" t="str">
            <v>FOR0000020</v>
          </cell>
          <cell r="BC362">
            <v>0.04</v>
          </cell>
          <cell r="BD362" t="str">
            <v>AV1401244040</v>
          </cell>
          <cell r="BE362">
            <v>0</v>
          </cell>
          <cell r="BR362" t="str">
            <v>CARAMELO</v>
          </cell>
          <cell r="BS362" t="str">
            <v>ARENA-CUERO BRIDGE</v>
          </cell>
          <cell r="BT362" t="str">
            <v>CUE0000004</v>
          </cell>
          <cell r="BU362">
            <v>0.17</v>
          </cell>
          <cell r="BV362" t="str">
            <v>FOR0000021</v>
          </cell>
          <cell r="BW362">
            <v>0.04</v>
          </cell>
          <cell r="BX362" t="str">
            <v>AV1401240545</v>
          </cell>
          <cell r="BY362">
            <v>0</v>
          </cell>
          <cell r="CL362" t="str">
            <v>PELO_HOLANDO</v>
          </cell>
          <cell r="CM362" t="str">
            <v>LEDER-PELO</v>
          </cell>
          <cell r="CN362" t="str">
            <v>CUE0000116</v>
          </cell>
          <cell r="CO362">
            <v>0.17</v>
          </cell>
          <cell r="CP362" t="str">
            <v>CUE0000009</v>
          </cell>
          <cell r="CQ362">
            <v>0</v>
          </cell>
          <cell r="CR362" t="str">
            <v>FOR0000020</v>
          </cell>
          <cell r="CS362">
            <v>0.04</v>
          </cell>
          <cell r="CT362" t="str">
            <v>AV1401244040</v>
          </cell>
          <cell r="CU362">
            <v>0</v>
          </cell>
          <cell r="DJ362" t="str">
            <v>CUE0000012</v>
          </cell>
          <cell r="DK362">
            <v>0</v>
          </cell>
          <cell r="ED362" t="str">
            <v>CUE0000012</v>
          </cell>
          <cell r="EE362">
            <v>7.0000000000000007E-2</v>
          </cell>
          <cell r="KD362">
            <v>4</v>
          </cell>
          <cell r="KE362">
            <v>4</v>
          </cell>
          <cell r="KF362">
            <v>4</v>
          </cell>
          <cell r="KG362">
            <v>3</v>
          </cell>
          <cell r="KH362">
            <v>3</v>
          </cell>
          <cell r="KI362">
            <v>3</v>
          </cell>
          <cell r="KJ362">
            <v>6</v>
          </cell>
          <cell r="KK362">
            <v>6</v>
          </cell>
          <cell r="KL362">
            <v>6</v>
          </cell>
          <cell r="KM362">
            <v>0</v>
          </cell>
          <cell r="KN362">
            <v>0</v>
          </cell>
          <cell r="KP362">
            <v>0</v>
          </cell>
          <cell r="KQ362">
            <v>0</v>
          </cell>
          <cell r="KS362">
            <v>0</v>
          </cell>
          <cell r="KV362">
            <v>0</v>
          </cell>
          <cell r="KY362">
            <v>0</v>
          </cell>
          <cell r="LB362">
            <v>0</v>
          </cell>
          <cell r="LE362">
            <v>0</v>
          </cell>
          <cell r="LH362">
            <v>0</v>
          </cell>
          <cell r="LK362">
            <v>0</v>
          </cell>
          <cell r="LN362">
            <v>45918</v>
          </cell>
          <cell r="LO362">
            <v>45939</v>
          </cell>
          <cell r="LP362" t="str">
            <v>COMPLETADO</v>
          </cell>
          <cell r="LS362" t="str">
            <v>QUE SE VEA LA MANCHA SI NO SALE DE RETAZOS USAR PLACA</v>
          </cell>
        </row>
        <row r="363">
          <cell r="A363" t="str">
            <v>2000-A</v>
          </cell>
          <cell r="B363" t="str">
            <v>LUCIANO</v>
          </cell>
          <cell r="C363" t="str">
            <v>PERDRIEL</v>
          </cell>
          <cell r="D363" t="str">
            <v>MARROQUINERIA CHICA</v>
          </cell>
          <cell r="E363">
            <v>20</v>
          </cell>
          <cell r="F363">
            <v>20</v>
          </cell>
          <cell r="G363">
            <v>20</v>
          </cell>
          <cell r="H363">
            <v>45918.656342592592</v>
          </cell>
          <cell r="I363" t="str">
            <v>PORTALAPICERA</v>
          </cell>
          <cell r="J363">
            <v>45919</v>
          </cell>
          <cell r="K363">
            <v>45919</v>
          </cell>
          <cell r="L363">
            <v>45924</v>
          </cell>
          <cell r="M363">
            <v>8</v>
          </cell>
          <cell r="N363" t="str">
            <v>M091</v>
          </cell>
          <cell r="O363" t="str">
            <v>AV170134014</v>
          </cell>
          <cell r="P363">
            <v>0</v>
          </cell>
          <cell r="AW363" t="str">
            <v>GRABADO EL LUCERO ARGENTINA. DEJAR 2 CM DESDE ABAJO, CENTRADO</v>
          </cell>
          <cell r="AX363" t="str">
            <v>MALBEC</v>
          </cell>
          <cell r="AY363" t="str">
            <v>ARENA-CUERO BRIDGE</v>
          </cell>
          <cell r="AZ363" t="str">
            <v>CUE0000008R</v>
          </cell>
          <cell r="BA363">
            <v>0.04</v>
          </cell>
          <cell r="BB363" t="str">
            <v>AV1401250545</v>
          </cell>
          <cell r="BC363">
            <v>0</v>
          </cell>
          <cell r="BR363" t="str">
            <v>CHOCOLATE</v>
          </cell>
          <cell r="BS363" t="str">
            <v>ARENA-CUERO BRIDGE</v>
          </cell>
          <cell r="BT363" t="str">
            <v>CUE0000005R</v>
          </cell>
          <cell r="BU363">
            <v>0.04</v>
          </cell>
          <cell r="BV363" t="str">
            <v>AV1401250545</v>
          </cell>
          <cell r="BW363">
            <v>0</v>
          </cell>
          <cell r="CP363" t="str">
            <v>CUE0000009</v>
          </cell>
          <cell r="CQ363">
            <v>0</v>
          </cell>
          <cell r="DJ363" t="str">
            <v>CUE0000012</v>
          </cell>
          <cell r="DK363">
            <v>0</v>
          </cell>
          <cell r="ED363" t="str">
            <v>CUE0000012</v>
          </cell>
          <cell r="EE363">
            <v>7.0000000000000007E-2</v>
          </cell>
          <cell r="KD363">
            <v>6</v>
          </cell>
          <cell r="KE363">
            <v>6</v>
          </cell>
          <cell r="KF363">
            <v>6</v>
          </cell>
          <cell r="KG363">
            <v>14</v>
          </cell>
          <cell r="KH363">
            <v>14</v>
          </cell>
          <cell r="KI363">
            <v>14</v>
          </cell>
          <cell r="KJ363">
            <v>0</v>
          </cell>
          <cell r="KK363">
            <v>0</v>
          </cell>
          <cell r="KM363">
            <v>0</v>
          </cell>
          <cell r="KN363">
            <v>0</v>
          </cell>
          <cell r="KP363">
            <v>0</v>
          </cell>
          <cell r="KQ363">
            <v>0</v>
          </cell>
          <cell r="KS363">
            <v>0</v>
          </cell>
          <cell r="KV363">
            <v>0</v>
          </cell>
          <cell r="KY363">
            <v>0</v>
          </cell>
          <cell r="LB363">
            <v>0</v>
          </cell>
          <cell r="LE363">
            <v>0</v>
          </cell>
          <cell r="LH363">
            <v>0</v>
          </cell>
          <cell r="LK363">
            <v>0</v>
          </cell>
          <cell r="LN363">
            <v>45919</v>
          </cell>
          <cell r="LO363">
            <v>45931</v>
          </cell>
          <cell r="LP363" t="str">
            <v>COMPLETADO</v>
          </cell>
        </row>
        <row r="364">
          <cell r="A364" t="str">
            <v>1971-A</v>
          </cell>
          <cell r="B364" t="str">
            <v>LUCIANO</v>
          </cell>
          <cell r="C364" t="str">
            <v>BARRACAS CHICA</v>
          </cell>
          <cell r="D364" t="str">
            <v>MARROQUINERIA CHICA</v>
          </cell>
          <cell r="E364">
            <v>101</v>
          </cell>
          <cell r="F364">
            <v>101</v>
          </cell>
          <cell r="G364">
            <v>77</v>
          </cell>
          <cell r="H364">
            <v>45921.451481481483</v>
          </cell>
          <cell r="I364" t="str">
            <v>LLAVERO ABC</v>
          </cell>
          <cell r="J364">
            <v>45916</v>
          </cell>
          <cell r="K364">
            <v>45916</v>
          </cell>
          <cell r="L364">
            <v>45943</v>
          </cell>
          <cell r="M364">
            <v>10</v>
          </cell>
          <cell r="N364" t="str">
            <v>M168</v>
          </cell>
          <cell r="O364" t="str">
            <v>AV0701570101</v>
          </cell>
          <cell r="P364">
            <v>1</v>
          </cell>
          <cell r="Q364" t="str">
            <v>VAR0000040</v>
          </cell>
          <cell r="R364">
            <v>1</v>
          </cell>
          <cell r="S364" t="str">
            <v>AV0400770101</v>
          </cell>
          <cell r="T364">
            <v>1</v>
          </cell>
          <cell r="U364" t="str">
            <v>VAR0000009</v>
          </cell>
          <cell r="V364">
            <v>1</v>
          </cell>
          <cell r="W364" t="str">
            <v>VAR0000041</v>
          </cell>
          <cell r="X364">
            <v>0.02</v>
          </cell>
          <cell r="Y364" t="str">
            <v>BAC1300020827</v>
          </cell>
          <cell r="Z364">
            <v>0.02</v>
          </cell>
          <cell r="AA364" t="str">
            <v>AV170134014</v>
          </cell>
          <cell r="AB364">
            <v>0</v>
          </cell>
          <cell r="AS364" t="str">
            <v xml:space="preserve"> CON TROQUEL</v>
          </cell>
          <cell r="AT364" t="str">
            <v>CUERO DE RETAZOS</v>
          </cell>
          <cell r="AX364" t="str">
            <v>AZUL_GAMUZA_MALBEC</v>
          </cell>
          <cell r="AY364" t="str">
            <v>NAPOLITANA-CUERO GAMUZA</v>
          </cell>
          <cell r="AZ364" t="str">
            <v>CUE0000038R</v>
          </cell>
          <cell r="BA364">
            <v>0.02</v>
          </cell>
          <cell r="BB364" t="str">
            <v>CUE0000008</v>
          </cell>
          <cell r="BC364">
            <v>0.02</v>
          </cell>
          <cell r="BR364" t="str">
            <v>OLIVA_GAMUZA_SUELA</v>
          </cell>
          <cell r="BS364" t="str">
            <v>NAPOLITANA-CUERO GAMUZA</v>
          </cell>
          <cell r="BT364" t="str">
            <v>CUE0000047R</v>
          </cell>
          <cell r="BU364">
            <v>0.02</v>
          </cell>
          <cell r="BV364" t="str">
            <v>CUE0000011</v>
          </cell>
          <cell r="BW364">
            <v>0.02</v>
          </cell>
          <cell r="CL364" t="str">
            <v>OXIDO_GAMUZA_CARAMELO</v>
          </cell>
          <cell r="CM364" t="str">
            <v>NAPOLITANA-CUERO GAMUZA</v>
          </cell>
          <cell r="CN364" t="str">
            <v>CUE0000048R</v>
          </cell>
          <cell r="CO364">
            <v>0.02</v>
          </cell>
          <cell r="CP364" t="str">
            <v>CUE0000004</v>
          </cell>
          <cell r="CQ364">
            <v>0.02</v>
          </cell>
          <cell r="DF364" t="str">
            <v>AZUL_GAMUZA_MALBEC</v>
          </cell>
          <cell r="DG364" t="str">
            <v>NAPOLITANA-CUERO GAMUZA</v>
          </cell>
          <cell r="DH364" t="str">
            <v>CUE0000038R</v>
          </cell>
          <cell r="DI364">
            <v>0.02</v>
          </cell>
          <cell r="DJ364" t="str">
            <v>CUE0000008</v>
          </cell>
          <cell r="DK364">
            <v>0.02</v>
          </cell>
          <cell r="DZ364" t="str">
            <v>OLIVA_GAMUZA_SUELA</v>
          </cell>
          <cell r="EA364" t="str">
            <v>NAPOLITANA-CUERO GAMUZA</v>
          </cell>
          <cell r="EB364" t="str">
            <v>CUE0000047R</v>
          </cell>
          <cell r="EC364">
            <v>0.02</v>
          </cell>
          <cell r="ED364" t="str">
            <v>CUE0000011</v>
          </cell>
          <cell r="EE364">
            <v>0.02</v>
          </cell>
          <cell r="ET364" t="str">
            <v>OXIDO_GAMUZA_CARAMELO</v>
          </cell>
          <cell r="EU364" t="str">
            <v>NAPOLITANA-CUERO GAMUZA</v>
          </cell>
          <cell r="EV364" t="str">
            <v>CUE0000048R</v>
          </cell>
          <cell r="EW364">
            <v>0.02</v>
          </cell>
          <cell r="EX364" t="str">
            <v>CUE0000004</v>
          </cell>
          <cell r="EY364">
            <v>0.02</v>
          </cell>
          <cell r="FN364" t="str">
            <v>OXIDO_GAMUZA_CARAMELO</v>
          </cell>
          <cell r="FO364" t="str">
            <v>NAPOLITANA-CUERO GAMUZA</v>
          </cell>
          <cell r="FP364" t="str">
            <v>CUE0000048R</v>
          </cell>
          <cell r="FQ364">
            <v>0.02</v>
          </cell>
          <cell r="FR364" t="str">
            <v>CUE0000004</v>
          </cell>
          <cell r="FS364">
            <v>0.02</v>
          </cell>
          <cell r="GH364" t="str">
            <v>OLIVA_GAMUZA_SUELA</v>
          </cell>
          <cell r="GI364" t="str">
            <v>NAPOLITANA-CUERO GAMUZA</v>
          </cell>
          <cell r="GJ364" t="str">
            <v>CUE0000047R</v>
          </cell>
          <cell r="GK364">
            <v>0.02</v>
          </cell>
          <cell r="GL364" t="str">
            <v>CUE0000011</v>
          </cell>
          <cell r="GM364">
            <v>0.02</v>
          </cell>
          <cell r="HB364" t="str">
            <v>OXIDO_GAMUZA_CARAMELO</v>
          </cell>
          <cell r="HC364" t="str">
            <v>NAPOLITANA-CUERO GAMUZA</v>
          </cell>
          <cell r="HD364" t="str">
            <v>CUE0000048R</v>
          </cell>
          <cell r="HE364">
            <v>0.02</v>
          </cell>
          <cell r="HF364" t="str">
            <v>CUE0000004</v>
          </cell>
          <cell r="HG364">
            <v>0.02</v>
          </cell>
          <cell r="HV364" t="str">
            <v>OXIDO_GAMUZA_CARAMELO</v>
          </cell>
          <cell r="HW364" t="str">
            <v>NAPOLITANA-CUERO GAMUZA</v>
          </cell>
          <cell r="HX364" t="str">
            <v>CUE0000048R</v>
          </cell>
          <cell r="HY364">
            <v>0.02</v>
          </cell>
          <cell r="HZ364" t="str">
            <v>CUE0000004</v>
          </cell>
          <cell r="IA364">
            <v>0.02</v>
          </cell>
          <cell r="KD364">
            <v>14</v>
          </cell>
          <cell r="KE364">
            <v>14</v>
          </cell>
          <cell r="KF364">
            <v>14</v>
          </cell>
          <cell r="KG364">
            <v>12</v>
          </cell>
          <cell r="KH364">
            <v>12</v>
          </cell>
          <cell r="KI364">
            <v>12</v>
          </cell>
          <cell r="KJ364">
            <v>12</v>
          </cell>
          <cell r="KK364">
            <v>12</v>
          </cell>
          <cell r="KL364">
            <v>12</v>
          </cell>
          <cell r="KM364">
            <v>12</v>
          </cell>
          <cell r="KN364">
            <v>12</v>
          </cell>
          <cell r="KO364">
            <v>12</v>
          </cell>
          <cell r="KP364">
            <v>6</v>
          </cell>
          <cell r="KQ364">
            <v>6</v>
          </cell>
          <cell r="KR364">
            <v>6</v>
          </cell>
          <cell r="KS364">
            <v>12</v>
          </cell>
          <cell r="KT364">
            <v>12</v>
          </cell>
          <cell r="KU364">
            <v>12</v>
          </cell>
          <cell r="KV364">
            <v>9</v>
          </cell>
          <cell r="KW364">
            <v>9</v>
          </cell>
          <cell r="KX364">
            <v>9</v>
          </cell>
          <cell r="KY364">
            <v>9</v>
          </cell>
          <cell r="KZ364">
            <v>9</v>
          </cell>
          <cell r="LB364">
            <v>9</v>
          </cell>
          <cell r="LC364">
            <v>9</v>
          </cell>
          <cell r="LE364">
            <v>6</v>
          </cell>
          <cell r="LF364">
            <v>6</v>
          </cell>
          <cell r="LH364">
            <v>0</v>
          </cell>
          <cell r="LK364">
            <v>0</v>
          </cell>
          <cell r="LN364">
            <v>45943</v>
          </cell>
          <cell r="LO364">
            <v>45958</v>
          </cell>
          <cell r="LP364" t="str">
            <v>COMPLETADO</v>
          </cell>
          <cell r="LQ364" t="str">
            <v>LETRA A</v>
          </cell>
          <cell r="LR364" t="str">
            <v>LETRA A</v>
          </cell>
          <cell r="LS364" t="str">
            <v>LETRA A</v>
          </cell>
          <cell r="LT364" t="str">
            <v>LETRA B</v>
          </cell>
          <cell r="LU364" t="str">
            <v>LETRA B</v>
          </cell>
          <cell r="LV364" t="str">
            <v>LETRA B</v>
          </cell>
          <cell r="LW364" t="str">
            <v>LETRA C</v>
          </cell>
          <cell r="LX364" t="str">
            <v>LETRA D</v>
          </cell>
          <cell r="LY364" t="str">
            <v>LETRA D</v>
          </cell>
          <cell r="LZ364" t="str">
            <v>LETRA F</v>
          </cell>
        </row>
        <row r="365">
          <cell r="A365" t="str">
            <v>19712-A</v>
          </cell>
          <cell r="B365" t="str">
            <v>LUCIANO</v>
          </cell>
          <cell r="C365" t="str">
            <v>BARRACAS CHICA</v>
          </cell>
          <cell r="D365" t="str">
            <v>MARROQUINERIA CHICA</v>
          </cell>
          <cell r="E365">
            <v>49</v>
          </cell>
          <cell r="F365">
            <v>49</v>
          </cell>
          <cell r="G365">
            <v>28</v>
          </cell>
          <cell r="H365">
            <v>45921.476377314815</v>
          </cell>
          <cell r="I365" t="str">
            <v>LLAVERO ABC</v>
          </cell>
          <cell r="J365">
            <v>45943</v>
          </cell>
          <cell r="K365">
            <v>45916</v>
          </cell>
          <cell r="L365">
            <v>45950</v>
          </cell>
          <cell r="M365">
            <v>10</v>
          </cell>
          <cell r="N365" t="str">
            <v>M168</v>
          </cell>
          <cell r="O365" t="str">
            <v>AV0701570101</v>
          </cell>
          <cell r="P365">
            <v>1</v>
          </cell>
          <cell r="Q365" t="str">
            <v>VAR0000040</v>
          </cell>
          <cell r="R365">
            <v>1</v>
          </cell>
          <cell r="S365" t="str">
            <v>AV0400770101</v>
          </cell>
          <cell r="T365">
            <v>1</v>
          </cell>
          <cell r="U365" t="str">
            <v>VAR0000009</v>
          </cell>
          <cell r="V365">
            <v>1</v>
          </cell>
          <cell r="W365" t="str">
            <v>VAR0000041</v>
          </cell>
          <cell r="X365">
            <v>0.02</v>
          </cell>
          <cell r="Y365" t="str">
            <v>BAC1300020827</v>
          </cell>
          <cell r="Z365">
            <v>0.02</v>
          </cell>
          <cell r="AA365" t="str">
            <v>AV170134014</v>
          </cell>
          <cell r="AB365">
            <v>0</v>
          </cell>
          <cell r="AS365" t="str">
            <v xml:space="preserve"> CON TROQUEL</v>
          </cell>
          <cell r="AT365" t="str">
            <v>CUERO DE RETAZOS</v>
          </cell>
          <cell r="AX365" t="str">
            <v>AZUL_GAMUZA_MALBEC</v>
          </cell>
          <cell r="AY365" t="str">
            <v>NAPOLITANA-CUERO GAMUZA</v>
          </cell>
          <cell r="AZ365" t="str">
            <v>CUE0000038R</v>
          </cell>
          <cell r="BA365">
            <v>0.02</v>
          </cell>
          <cell r="BB365" t="str">
            <v>CUE0000008</v>
          </cell>
          <cell r="BC365">
            <v>0.02</v>
          </cell>
          <cell r="BR365" t="str">
            <v>OLIVA_GAMUZA_CHOCOLATE</v>
          </cell>
          <cell r="BS365" t="str">
            <v>NAPOLITANA-CUERO GAMUZA</v>
          </cell>
          <cell r="BT365" t="str">
            <v>CUE0000047R</v>
          </cell>
          <cell r="BU365">
            <v>0.02</v>
          </cell>
          <cell r="BV365" t="str">
            <v>CUE0000005</v>
          </cell>
          <cell r="BW365">
            <v>0.02</v>
          </cell>
          <cell r="CL365" t="str">
            <v>OXIDO_GAMUZA_CARAMELO</v>
          </cell>
          <cell r="CM365" t="str">
            <v>NAPOLITANA-CUERO GAMUZA</v>
          </cell>
          <cell r="CN365" t="str">
            <v>CUE0000048R</v>
          </cell>
          <cell r="CO365">
            <v>0.02</v>
          </cell>
          <cell r="CP365" t="str">
            <v>CUE0000004</v>
          </cell>
          <cell r="CQ365">
            <v>0.02</v>
          </cell>
          <cell r="DF365" t="str">
            <v>OLIVA_GAMUZA_SUELA</v>
          </cell>
          <cell r="DG365" t="str">
            <v>NAPOLITANA-CUERO GAMUZA</v>
          </cell>
          <cell r="DH365" t="str">
            <v>CUE0000047R</v>
          </cell>
          <cell r="DI365">
            <v>0.02</v>
          </cell>
          <cell r="DJ365" t="str">
            <v>CUE0000011</v>
          </cell>
          <cell r="DK365">
            <v>0.02</v>
          </cell>
          <cell r="DZ365" t="str">
            <v>AVELLANA_GAMUZA_MALBEC</v>
          </cell>
          <cell r="EA365" t="str">
            <v>NAPOLITANA-CUERO GAMUZA</v>
          </cell>
          <cell r="EB365" t="str">
            <v>CUE0000037R</v>
          </cell>
          <cell r="EC365">
            <v>0.02</v>
          </cell>
          <cell r="ED365" t="str">
            <v>CUE0000008</v>
          </cell>
          <cell r="EE365">
            <v>0.02</v>
          </cell>
          <cell r="ET365" t="str">
            <v>OLIVA_GAMUZA_SUELA</v>
          </cell>
          <cell r="EU365" t="str">
            <v>NAPOLITANA-CUERO GAMUZA</v>
          </cell>
          <cell r="EV365" t="str">
            <v>CUE0000047R</v>
          </cell>
          <cell r="EW365">
            <v>0.02</v>
          </cell>
          <cell r="EX365" t="str">
            <v>CUE0000011</v>
          </cell>
          <cell r="EY365">
            <v>0.02</v>
          </cell>
          <cell r="FN365" t="str">
            <v>AZUL_GAMUZA_MALBEC</v>
          </cell>
          <cell r="FO365" t="str">
            <v>NAPOLITANA-CUERO GAMUZA</v>
          </cell>
          <cell r="FP365" t="str">
            <v>CUE0000038R</v>
          </cell>
          <cell r="FQ365">
            <v>0.02</v>
          </cell>
          <cell r="FR365" t="str">
            <v>CUE0000008</v>
          </cell>
          <cell r="FS365">
            <v>0.02</v>
          </cell>
          <cell r="GH365" t="str">
            <v>OLIVA_GAMUZA_SUELA</v>
          </cell>
          <cell r="GI365" t="str">
            <v>NAPOLITANA-CUERO GAMUZA</v>
          </cell>
          <cell r="GJ365" t="str">
            <v>CUE0000047R</v>
          </cell>
          <cell r="GK365">
            <v>0.02</v>
          </cell>
          <cell r="GL365" t="str">
            <v>CUE0000011</v>
          </cell>
          <cell r="GM365">
            <v>0.02</v>
          </cell>
          <cell r="HF365" t="str">
            <v>CUE0000004</v>
          </cell>
          <cell r="HG365">
            <v>0.02</v>
          </cell>
          <cell r="HZ365" t="str">
            <v>CUE0000004</v>
          </cell>
          <cell r="IA365">
            <v>0.02</v>
          </cell>
          <cell r="KD365">
            <v>6</v>
          </cell>
          <cell r="KE365">
            <v>6</v>
          </cell>
          <cell r="KG365">
            <v>4</v>
          </cell>
          <cell r="KH365">
            <v>4</v>
          </cell>
          <cell r="KI365">
            <v>4</v>
          </cell>
          <cell r="KJ365">
            <v>6</v>
          </cell>
          <cell r="KK365">
            <v>6</v>
          </cell>
          <cell r="KL365">
            <v>6</v>
          </cell>
          <cell r="KM365">
            <v>6</v>
          </cell>
          <cell r="KN365">
            <v>6</v>
          </cell>
          <cell r="KO365">
            <v>6</v>
          </cell>
          <cell r="KP365">
            <v>6</v>
          </cell>
          <cell r="KQ365">
            <v>6</v>
          </cell>
          <cell r="KR365">
            <v>6</v>
          </cell>
          <cell r="KS365">
            <v>9</v>
          </cell>
          <cell r="KT365">
            <v>9</v>
          </cell>
          <cell r="KV365">
            <v>6</v>
          </cell>
          <cell r="KW365">
            <v>6</v>
          </cell>
          <cell r="KY365">
            <v>6</v>
          </cell>
          <cell r="KZ365">
            <v>6</v>
          </cell>
          <cell r="LA365">
            <v>6</v>
          </cell>
          <cell r="LB365">
            <v>0</v>
          </cell>
          <cell r="LC365">
            <v>0</v>
          </cell>
          <cell r="LE365">
            <v>0</v>
          </cell>
          <cell r="LF365">
            <v>0</v>
          </cell>
          <cell r="LH365">
            <v>0</v>
          </cell>
          <cell r="LK365">
            <v>0</v>
          </cell>
          <cell r="LN365">
            <v>45943</v>
          </cell>
          <cell r="LO365">
            <v>45958</v>
          </cell>
          <cell r="LP365" t="str">
            <v>COMPLETADO</v>
          </cell>
          <cell r="LQ365" t="str">
            <v>LETRA H</v>
          </cell>
          <cell r="LR365" t="str">
            <v>LETRA J</v>
          </cell>
          <cell r="LS365" t="str">
            <v>LETRA J</v>
          </cell>
          <cell r="LT365" t="str">
            <v>LETRA L</v>
          </cell>
          <cell r="LU365" t="str">
            <v>LETRA L</v>
          </cell>
          <cell r="LV365" t="str">
            <v>LETRA K</v>
          </cell>
          <cell r="LW365" t="str">
            <v>LETRA N</v>
          </cell>
          <cell r="LX365" t="str">
            <v>LETRA R</v>
          </cell>
        </row>
        <row r="366">
          <cell r="A366" t="str">
            <v>19713-A</v>
          </cell>
          <cell r="B366" t="str">
            <v>LUCIANO</v>
          </cell>
          <cell r="C366" t="str">
            <v>BARRACAS CHICA</v>
          </cell>
          <cell r="D366" t="str">
            <v>MARROQUINERIA CHICA</v>
          </cell>
          <cell r="E366">
            <v>48</v>
          </cell>
          <cell r="F366">
            <v>48</v>
          </cell>
          <cell r="G366">
            <v>30</v>
          </cell>
          <cell r="H366">
            <v>45921.483553240738</v>
          </cell>
          <cell r="I366" t="str">
            <v>LLAVERO ABC</v>
          </cell>
          <cell r="J366">
            <v>45943</v>
          </cell>
          <cell r="K366">
            <v>45916</v>
          </cell>
          <cell r="L366">
            <v>45944</v>
          </cell>
          <cell r="M366">
            <v>10</v>
          </cell>
          <cell r="N366" t="str">
            <v>M168</v>
          </cell>
          <cell r="O366" t="str">
            <v>AV0701570101</v>
          </cell>
          <cell r="P366">
            <v>1</v>
          </cell>
          <cell r="Q366" t="str">
            <v>VAR0000040</v>
          </cell>
          <cell r="R366">
            <v>1</v>
          </cell>
          <cell r="S366" t="str">
            <v>AV0400770101</v>
          </cell>
          <cell r="T366">
            <v>1</v>
          </cell>
          <cell r="U366" t="str">
            <v>VAR0000009</v>
          </cell>
          <cell r="V366">
            <v>1</v>
          </cell>
          <cell r="W366" t="str">
            <v>VAR0000041</v>
          </cell>
          <cell r="X366">
            <v>0.02</v>
          </cell>
          <cell r="Y366" t="str">
            <v>BAC1300020827</v>
          </cell>
          <cell r="Z366">
            <v>0.02</v>
          </cell>
          <cell r="AA366" t="str">
            <v>AV170134014</v>
          </cell>
          <cell r="AB366">
            <v>0</v>
          </cell>
          <cell r="AS366" t="str">
            <v xml:space="preserve"> CON TROQUEL</v>
          </cell>
          <cell r="AT366" t="str">
            <v>CUERO DE RETAZOS</v>
          </cell>
          <cell r="AX366" t="str">
            <v>AZUL_GAMUZA_MALBEC</v>
          </cell>
          <cell r="AY366" t="str">
            <v>NAPOLITANA-CUERO GAMUZA</v>
          </cell>
          <cell r="AZ366" t="str">
            <v>CUE0000038R</v>
          </cell>
          <cell r="BA366">
            <v>0.02</v>
          </cell>
          <cell r="BB366" t="str">
            <v>CUE0000008</v>
          </cell>
          <cell r="BC366">
            <v>0.02</v>
          </cell>
          <cell r="BR366" t="str">
            <v>OXIDO_GAMUZA_NEGRO</v>
          </cell>
          <cell r="BS366" t="str">
            <v>NAPOLITANA-CUERO GAMUZA</v>
          </cell>
          <cell r="BT366" t="str">
            <v>CUE0000048R</v>
          </cell>
          <cell r="BU366">
            <v>0.02</v>
          </cell>
          <cell r="BV366" t="str">
            <v>CUE0000009</v>
          </cell>
          <cell r="BW366">
            <v>0.02</v>
          </cell>
          <cell r="CL366" t="str">
            <v>OXIDO_GAMUZA_NEGRO</v>
          </cell>
          <cell r="CM366" t="str">
            <v>NAPOLITANA-CUERO GAMUZA</v>
          </cell>
          <cell r="CN366" t="str">
            <v>CUE0000048R</v>
          </cell>
          <cell r="CO366">
            <v>0.02</v>
          </cell>
          <cell r="CP366" t="str">
            <v>CUE0000009</v>
          </cell>
          <cell r="CQ366">
            <v>0.02</v>
          </cell>
          <cell r="DF366" t="str">
            <v>AZUL_GAMUZA_MALBEC</v>
          </cell>
          <cell r="DG366" t="str">
            <v>NAPOLITANA-CUERO GAMUZA</v>
          </cell>
          <cell r="DH366" t="str">
            <v>CUE0000038R</v>
          </cell>
          <cell r="DI366">
            <v>0.02</v>
          </cell>
          <cell r="DJ366" t="str">
            <v>CUE0000008</v>
          </cell>
          <cell r="DK366">
            <v>0.02</v>
          </cell>
          <cell r="DZ366" t="str">
            <v>OXIDO_GAMUZA_NEGRO</v>
          </cell>
          <cell r="EA366" t="str">
            <v>NAPOLITANA-CUERO GAMUZA</v>
          </cell>
          <cell r="EB366" t="str">
            <v>CUE0000048R</v>
          </cell>
          <cell r="EC366">
            <v>0.02</v>
          </cell>
          <cell r="ED366" t="str">
            <v>CUE0000009</v>
          </cell>
          <cell r="EE366">
            <v>0.02</v>
          </cell>
          <cell r="ET366" t="str">
            <v>AZUL_GAMUZA_MALBEC</v>
          </cell>
          <cell r="EU366" t="str">
            <v>NAPOLITANA-CUERO GAMUZA</v>
          </cell>
          <cell r="EV366" t="str">
            <v>CUE0000038R</v>
          </cell>
          <cell r="EW366">
            <v>0.02</v>
          </cell>
          <cell r="EX366" t="str">
            <v>CUE0000008</v>
          </cell>
          <cell r="EY366">
            <v>0.02</v>
          </cell>
          <cell r="FN366" t="str">
            <v>OLIVA_GAMUZA_SUELA</v>
          </cell>
          <cell r="FO366" t="str">
            <v>NAPOLITANA-CUERO GAMUZA</v>
          </cell>
          <cell r="FP366" t="str">
            <v>CUE0000047R</v>
          </cell>
          <cell r="FQ366">
            <v>0.02</v>
          </cell>
          <cell r="FR366" t="str">
            <v>CUE0000011</v>
          </cell>
          <cell r="FS366">
            <v>0.02</v>
          </cell>
          <cell r="KD366">
            <v>6</v>
          </cell>
          <cell r="KE366">
            <v>6</v>
          </cell>
          <cell r="KF366">
            <v>6</v>
          </cell>
          <cell r="KG366">
            <v>6</v>
          </cell>
          <cell r="KH366">
            <v>6</v>
          </cell>
          <cell r="KI366">
            <v>6</v>
          </cell>
          <cell r="KJ366">
            <v>6</v>
          </cell>
          <cell r="KK366">
            <v>6</v>
          </cell>
          <cell r="KL366">
            <v>6</v>
          </cell>
          <cell r="KM366">
            <v>9</v>
          </cell>
          <cell r="KN366">
            <v>9</v>
          </cell>
          <cell r="KP366">
            <v>9</v>
          </cell>
          <cell r="KQ366">
            <v>9</v>
          </cell>
          <cell r="KS366">
            <v>6</v>
          </cell>
          <cell r="KT366">
            <v>6</v>
          </cell>
          <cell r="KU366">
            <v>6</v>
          </cell>
          <cell r="KV366">
            <v>6</v>
          </cell>
          <cell r="KW366">
            <v>6</v>
          </cell>
          <cell r="KX366">
            <v>6</v>
          </cell>
          <cell r="KY366">
            <v>0</v>
          </cell>
          <cell r="LB366">
            <v>0</v>
          </cell>
          <cell r="LE366">
            <v>0</v>
          </cell>
          <cell r="LH366">
            <v>0</v>
          </cell>
          <cell r="LK366">
            <v>0</v>
          </cell>
          <cell r="LN366">
            <v>45943</v>
          </cell>
          <cell r="LO366">
            <v>45958</v>
          </cell>
          <cell r="LP366" t="str">
            <v>COMPLETADO</v>
          </cell>
          <cell r="LQ366" t="str">
            <v>LETRA S</v>
          </cell>
          <cell r="LR366" t="str">
            <v>LETRA S</v>
          </cell>
          <cell r="LS366" t="str">
            <v>LETRA V</v>
          </cell>
          <cell r="LT366" t="str">
            <v>LETRA T</v>
          </cell>
          <cell r="LU366" t="str">
            <v>LETRA T</v>
          </cell>
          <cell r="LV366" t="str">
            <v>LETRA M</v>
          </cell>
        </row>
        <row r="367">
          <cell r="A367" t="str">
            <v>1998-A</v>
          </cell>
          <cell r="B367" t="str">
            <v>RUBEN</v>
          </cell>
          <cell r="C367" t="str">
            <v>BARRACAS GRANDE</v>
          </cell>
          <cell r="D367" t="str">
            <v>MARROQUINERIA GRANDE</v>
          </cell>
          <cell r="E367">
            <v>6</v>
          </cell>
          <cell r="F367">
            <v>6</v>
          </cell>
          <cell r="G367">
            <v>6</v>
          </cell>
          <cell r="H367">
            <v>45921.507453703707</v>
          </cell>
          <cell r="I367" t="str">
            <v>BANDOLERA LENA</v>
          </cell>
          <cell r="J367">
            <v>45918</v>
          </cell>
          <cell r="K367">
            <v>45918</v>
          </cell>
          <cell r="L367">
            <v>45918</v>
          </cell>
          <cell r="M367">
            <v>50</v>
          </cell>
          <cell r="N367" t="str">
            <v>M004</v>
          </cell>
          <cell r="O367" t="str">
            <v>AV0101070301</v>
          </cell>
          <cell r="P367">
            <v>1</v>
          </cell>
          <cell r="Q367" t="str">
            <v>AV0600560101</v>
          </cell>
          <cell r="R367">
            <v>1</v>
          </cell>
          <cell r="S367" t="str">
            <v>AV1000880101</v>
          </cell>
          <cell r="T367">
            <v>1</v>
          </cell>
          <cell r="U367" t="str">
            <v>AV0300400101</v>
          </cell>
          <cell r="V367">
            <v>3</v>
          </cell>
          <cell r="W367" t="str">
            <v>AV0600570101</v>
          </cell>
          <cell r="X367">
            <v>2</v>
          </cell>
          <cell r="Y367" t="str">
            <v>AV1000780101</v>
          </cell>
          <cell r="Z367">
            <v>2</v>
          </cell>
          <cell r="AA367" t="str">
            <v>AV0300460101</v>
          </cell>
          <cell r="AB367">
            <v>2</v>
          </cell>
          <cell r="AC367" t="str">
            <v>BAC1300020827</v>
          </cell>
          <cell r="AD367">
            <v>0.05</v>
          </cell>
          <cell r="AE367" t="str">
            <v>AV0300390101</v>
          </cell>
          <cell r="AF367">
            <v>1</v>
          </cell>
          <cell r="AG367" t="str">
            <v>AV0101040201</v>
          </cell>
          <cell r="AH367">
            <v>1</v>
          </cell>
          <cell r="AI367" t="str">
            <v>AV170129018</v>
          </cell>
          <cell r="AJ367">
            <v>0</v>
          </cell>
          <cell r="AS367" t="str">
            <v>TIRACIERRE CON TIRA DE CUERO Y GRABADO L* LUCERO</v>
          </cell>
          <cell r="AW367" t="str">
            <v xml:space="preserve">GRABADO "EL LUCERO" CHICO EN LA VISTA DEL CIERRE, EN EL FRENTE CENTRADO. </v>
          </cell>
          <cell r="AX367" t="str">
            <v>CARAMELO</v>
          </cell>
          <cell r="AY367" t="str">
            <v>ARENA-CUERO NAPADO</v>
          </cell>
          <cell r="AZ367" t="str">
            <v>CUE0000022</v>
          </cell>
          <cell r="BA367">
            <v>0.4</v>
          </cell>
          <cell r="BB367" t="str">
            <v>FOR0000021</v>
          </cell>
          <cell r="BC367">
            <v>0.45</v>
          </cell>
          <cell r="BD367" t="str">
            <v>AV0100010105</v>
          </cell>
          <cell r="BE367">
            <v>0.32</v>
          </cell>
          <cell r="BF367" t="str">
            <v>AV0100020305</v>
          </cell>
          <cell r="BG367">
            <v>0.16</v>
          </cell>
          <cell r="BH367" t="str">
            <v>AV1401240545</v>
          </cell>
          <cell r="BI367">
            <v>0</v>
          </cell>
          <cell r="KD367">
            <v>6</v>
          </cell>
          <cell r="KE367">
            <v>6</v>
          </cell>
          <cell r="KF367">
            <v>6</v>
          </cell>
          <cell r="KG367">
            <v>0</v>
          </cell>
          <cell r="KJ367">
            <v>0</v>
          </cell>
          <cell r="KM367">
            <v>0</v>
          </cell>
          <cell r="KP367">
            <v>0</v>
          </cell>
          <cell r="KS367">
            <v>0</v>
          </cell>
          <cell r="KV367">
            <v>0</v>
          </cell>
          <cell r="KY367">
            <v>0</v>
          </cell>
          <cell r="LB367">
            <v>0</v>
          </cell>
          <cell r="LE367">
            <v>0</v>
          </cell>
          <cell r="LH367">
            <v>0</v>
          </cell>
          <cell r="LK367">
            <v>0</v>
          </cell>
          <cell r="LN367">
            <v>45918</v>
          </cell>
          <cell r="LO367">
            <v>45939</v>
          </cell>
          <cell r="LP367" t="str">
            <v>COMPLETADO</v>
          </cell>
        </row>
        <row r="368">
          <cell r="A368" t="str">
            <v>2001-A</v>
          </cell>
          <cell r="B368" t="str">
            <v>RUBEN</v>
          </cell>
          <cell r="C368" t="str">
            <v>BARRACAS GRANDE</v>
          </cell>
          <cell r="D368" t="str">
            <v>MARROQUINERIA GRANDE</v>
          </cell>
          <cell r="E368">
            <v>24</v>
          </cell>
          <cell r="F368">
            <v>24</v>
          </cell>
          <cell r="G368">
            <v>24</v>
          </cell>
          <cell r="H368">
            <v>45921.579027777778</v>
          </cell>
          <cell r="I368" t="str">
            <v>NECESSAIRE MINI MARCOS</v>
          </cell>
          <cell r="J368">
            <v>45917</v>
          </cell>
          <cell r="K368">
            <v>45917</v>
          </cell>
          <cell r="L368">
            <v>45917</v>
          </cell>
          <cell r="M368">
            <v>40</v>
          </cell>
          <cell r="N368" t="str">
            <v>M073</v>
          </cell>
          <cell r="O368" t="str">
            <v>AV0101030201</v>
          </cell>
          <cell r="P368">
            <v>2</v>
          </cell>
          <cell r="Q368" t="str">
            <v>AV0400160101</v>
          </cell>
          <cell r="R368">
            <v>1</v>
          </cell>
          <cell r="S368" t="str">
            <v>AV1000380101</v>
          </cell>
          <cell r="T368">
            <v>1</v>
          </cell>
          <cell r="U368" t="str">
            <v>AV0300390101</v>
          </cell>
          <cell r="V368">
            <v>2</v>
          </cell>
          <cell r="W368" t="str">
            <v>AV170134014</v>
          </cell>
          <cell r="X368">
            <v>0</v>
          </cell>
          <cell r="AS368" t="str">
            <v>TIRACIERRE N 7 - LISO SIN MARCA + TIRA CON REMACHE Y GRABADO ESTRELLA</v>
          </cell>
          <cell r="AW368" t="str">
            <v xml:space="preserve">GRABADO "EL LUCERO ARGENTINA" GRANDE EN LATERAL DERECHO (EL QUE NO TIENE MANIJA) A 2 CM DESDE ABAJO </v>
          </cell>
          <cell r="AX368" t="str">
            <v>TABACO</v>
          </cell>
          <cell r="AY368" t="str">
            <v>ARENA-CUERO BRIDGE</v>
          </cell>
          <cell r="AZ368" t="str">
            <v>CUE0000012</v>
          </cell>
          <cell r="BA368">
            <v>0.23</v>
          </cell>
          <cell r="BB368" t="str">
            <v>AV1401250545</v>
          </cell>
          <cell r="BC368">
            <v>0</v>
          </cell>
          <cell r="BD368" t="str">
            <v>FOR0000021</v>
          </cell>
          <cell r="BE368">
            <v>0.26</v>
          </cell>
          <cell r="BF368" t="str">
            <v>AV0100010114</v>
          </cell>
          <cell r="BG368">
            <v>0.62</v>
          </cell>
          <cell r="BR368" t="str">
            <v>CEDRO</v>
          </cell>
          <cell r="BS368" t="str">
            <v>BIANCO-CUERO FIORENTINO</v>
          </cell>
          <cell r="BT368" t="str">
            <v>CUE0000055</v>
          </cell>
          <cell r="BU368">
            <v>0.23</v>
          </cell>
          <cell r="BV368" t="str">
            <v>AV1401250545</v>
          </cell>
          <cell r="BW368">
            <v>0</v>
          </cell>
          <cell r="BX368" t="str">
            <v>AV0100010111</v>
          </cell>
          <cell r="BY368">
            <v>0.26</v>
          </cell>
          <cell r="BZ368" t="str">
            <v>FOR0000021</v>
          </cell>
          <cell r="CA368">
            <v>0.62</v>
          </cell>
          <cell r="CL368" t="str">
            <v>ROJO</v>
          </cell>
          <cell r="CM368" t="str">
            <v>ARENA-CUERO BRIDGE</v>
          </cell>
          <cell r="CN368" t="str">
            <v>CUE0000010</v>
          </cell>
          <cell r="CO368">
            <v>0.23</v>
          </cell>
          <cell r="CP368" t="str">
            <v>AV1401254460</v>
          </cell>
          <cell r="CQ368">
            <v>0</v>
          </cell>
          <cell r="CR368" t="str">
            <v>FOR0000020</v>
          </cell>
          <cell r="CS368">
            <v>0.26</v>
          </cell>
          <cell r="CT368" t="str">
            <v>AV0100010113</v>
          </cell>
          <cell r="CU368">
            <v>0.62</v>
          </cell>
          <cell r="KD368">
            <v>9</v>
          </cell>
          <cell r="KE368">
            <v>9</v>
          </cell>
          <cell r="KF368">
            <v>9</v>
          </cell>
          <cell r="KG368">
            <v>9</v>
          </cell>
          <cell r="KH368">
            <v>9</v>
          </cell>
          <cell r="KI368">
            <v>9</v>
          </cell>
          <cell r="KJ368">
            <v>6</v>
          </cell>
          <cell r="KK368">
            <v>6</v>
          </cell>
          <cell r="KL368">
            <v>6</v>
          </cell>
          <cell r="KM368">
            <v>0</v>
          </cell>
          <cell r="KP368">
            <v>0</v>
          </cell>
          <cell r="KS368">
            <v>0</v>
          </cell>
          <cell r="KV368">
            <v>0</v>
          </cell>
          <cell r="KY368">
            <v>0</v>
          </cell>
          <cell r="LB368">
            <v>0</v>
          </cell>
          <cell r="LE368">
            <v>0</v>
          </cell>
          <cell r="LH368">
            <v>0</v>
          </cell>
          <cell r="LK368">
            <v>0</v>
          </cell>
          <cell r="LN368">
            <v>45917</v>
          </cell>
          <cell r="LO368">
            <v>45930</v>
          </cell>
          <cell r="LP368" t="str">
            <v>COMPLETADO</v>
          </cell>
        </row>
        <row r="369">
          <cell r="A369" t="str">
            <v>2003-A</v>
          </cell>
          <cell r="B369" t="str">
            <v>LUCIANO</v>
          </cell>
          <cell r="C369" t="str">
            <v>BARRACAS CHICA</v>
          </cell>
          <cell r="D369" t="str">
            <v>MARROQUINERIA CHICA</v>
          </cell>
          <cell r="E369">
            <v>7</v>
          </cell>
          <cell r="F369">
            <v>7</v>
          </cell>
          <cell r="H369">
            <v>45921.71234953704</v>
          </cell>
          <cell r="I369" t="str">
            <v>PORTAPASAPORTE WARA</v>
          </cell>
          <cell r="M369">
            <v>120</v>
          </cell>
          <cell r="N369" t="str">
            <v>M107</v>
          </cell>
          <cell r="O369" t="str">
            <v>BAC1300050727</v>
          </cell>
          <cell r="P369">
            <v>0.13</v>
          </cell>
          <cell r="Q369" t="str">
            <v>BAC0900100161</v>
          </cell>
          <cell r="R369">
            <v>0.01</v>
          </cell>
          <cell r="S369" t="str">
            <v>BAC0200071027</v>
          </cell>
          <cell r="T369">
            <v>0.04</v>
          </cell>
          <cell r="U369" t="str">
            <v>AV0101070301</v>
          </cell>
          <cell r="V369">
            <v>2</v>
          </cell>
          <cell r="W369" t="str">
            <v>AV0101030201</v>
          </cell>
          <cell r="X369">
            <v>1</v>
          </cell>
          <cell r="Y369" t="str">
            <v>AV1001010101</v>
          </cell>
          <cell r="Z369">
            <v>2</v>
          </cell>
          <cell r="AA369" t="str">
            <v>AV0600540101</v>
          </cell>
          <cell r="AB369">
            <v>1</v>
          </cell>
          <cell r="AC369" t="str">
            <v>AV170134014</v>
          </cell>
          <cell r="AD369">
            <v>0</v>
          </cell>
          <cell r="AS369" t="str">
            <v>TIRACIERRE INTERNO CON ARGOLLITA Y TIRA DE CUERO PEGADA</v>
          </cell>
          <cell r="AT369" t="str">
            <v>TIRACIERRE EXTERNO LUCERO GRANDE</v>
          </cell>
          <cell r="AW369" t="str">
            <v xml:space="preserve">GRABADO EL LUCERO CHICO EN ELINTERIOR, CENTRADO EN EL BOLSILLO CHICO CON CIERRE, PARTE INFERIOR </v>
          </cell>
          <cell r="AX369" t="str">
            <v>CARAMELO</v>
          </cell>
          <cell r="AY369" t="str">
            <v>ARENA-CUERO NAPADO</v>
          </cell>
          <cell r="AZ369" t="str">
            <v>CUE0000022R</v>
          </cell>
          <cell r="BA369">
            <v>0.25</v>
          </cell>
          <cell r="BB369" t="str">
            <v>FOR0000015</v>
          </cell>
          <cell r="BC369">
            <v>0.3</v>
          </cell>
          <cell r="BD369" t="str">
            <v>AV0100020305</v>
          </cell>
          <cell r="BE369">
            <v>0.32</v>
          </cell>
          <cell r="BF369" t="str">
            <v>AV0100010105</v>
          </cell>
          <cell r="BG369">
            <v>0.5</v>
          </cell>
          <cell r="BR369" t="str">
            <v>NEGRO</v>
          </cell>
          <cell r="BS369" t="str">
            <v>ARENA-CUERO NAPADO</v>
          </cell>
          <cell r="BT369" t="str">
            <v>CUE0000026R</v>
          </cell>
          <cell r="BU369">
            <v>0.25</v>
          </cell>
          <cell r="BV369" t="str">
            <v>FOR0000018</v>
          </cell>
          <cell r="BW369">
            <v>0.3</v>
          </cell>
          <cell r="BX369" t="str">
            <v>AV0100020303</v>
          </cell>
          <cell r="BY369">
            <v>0.32</v>
          </cell>
          <cell r="BZ369" t="str">
            <v>AV0100010103</v>
          </cell>
          <cell r="CA369">
            <v>0.5</v>
          </cell>
          <cell r="KD369">
            <v>5</v>
          </cell>
          <cell r="KE369">
            <v>5</v>
          </cell>
          <cell r="KG369">
            <v>2</v>
          </cell>
          <cell r="KH369">
            <v>2</v>
          </cell>
          <cell r="KJ369">
            <v>0</v>
          </cell>
          <cell r="KM369">
            <v>0</v>
          </cell>
          <cell r="KP369">
            <v>0</v>
          </cell>
          <cell r="KS369">
            <v>0</v>
          </cell>
          <cell r="KV369">
            <v>0</v>
          </cell>
          <cell r="KY369">
            <v>0</v>
          </cell>
          <cell r="LB369">
            <v>0</v>
          </cell>
          <cell r="LE369">
            <v>0</v>
          </cell>
          <cell r="LH369">
            <v>0</v>
          </cell>
          <cell r="LK369">
            <v>0</v>
          </cell>
          <cell r="LP369" t="str">
            <v>NO COMENZADO</v>
          </cell>
        </row>
        <row r="370">
          <cell r="A370" t="str">
            <v>2005-A</v>
          </cell>
          <cell r="B370" t="str">
            <v>LUCIANO</v>
          </cell>
          <cell r="C370" t="str">
            <v>BARRACAS CHICA</v>
          </cell>
          <cell r="D370" t="str">
            <v>MARROQUINERIA CHICA</v>
          </cell>
          <cell r="E370">
            <v>50</v>
          </cell>
          <cell r="F370">
            <v>50</v>
          </cell>
          <cell r="G370">
            <v>50</v>
          </cell>
          <cell r="H370">
            <v>45921.80909722222</v>
          </cell>
          <cell r="I370" t="str">
            <v>PORTACABLES 1</v>
          </cell>
          <cell r="J370">
            <v>45919</v>
          </cell>
          <cell r="K370">
            <v>45919</v>
          </cell>
          <cell r="L370">
            <v>45930</v>
          </cell>
          <cell r="M370">
            <v>2</v>
          </cell>
          <cell r="N370" t="str">
            <v>M081</v>
          </cell>
          <cell r="O370" t="str">
            <v>AV0700420101</v>
          </cell>
          <cell r="P370">
            <v>1</v>
          </cell>
          <cell r="Q370" t="str">
            <v>AV170134014</v>
          </cell>
          <cell r="R370">
            <v>0</v>
          </cell>
          <cell r="AX370" t="str">
            <v>NEGRO</v>
          </cell>
          <cell r="AY370" t="str">
            <v>LA HERMIDA-CUERO VACHETTA FINA LADO COLOR</v>
          </cell>
          <cell r="AZ370" t="str">
            <v>CUE0000063R</v>
          </cell>
          <cell r="BA370">
            <v>0.02</v>
          </cell>
          <cell r="BB370" t="str">
            <v>AV1401254060</v>
          </cell>
          <cell r="BC370">
            <v>0</v>
          </cell>
          <cell r="BR370" t="str">
            <v>NATURAL</v>
          </cell>
          <cell r="BS370" t="str">
            <v>LA HERMIDA-CUERO VACHETTA LADO NATURAL</v>
          </cell>
          <cell r="BT370" t="str">
            <v>CUE0000066R</v>
          </cell>
          <cell r="BU370">
            <v>0.02</v>
          </cell>
          <cell r="BV370" t="str">
            <v>AV1401250545</v>
          </cell>
          <cell r="BW370">
            <v>0</v>
          </cell>
          <cell r="CL370" t="str">
            <v>CHOCOLATE</v>
          </cell>
          <cell r="CM370" t="str">
            <v>LA HERMIDA-CUERO VACHETTA FINA LADO COLOR</v>
          </cell>
          <cell r="CN370" t="str">
            <v>CUE0000062R</v>
          </cell>
          <cell r="CO370">
            <v>0.02</v>
          </cell>
          <cell r="CP370" t="str">
            <v>AV1401254460</v>
          </cell>
          <cell r="CQ370">
            <v>0</v>
          </cell>
          <cell r="DF370" t="str">
            <v>SUELA</v>
          </cell>
          <cell r="DG370" t="str">
            <v>LA HERMIDA-CUERO VACHETTA LADO COLOR</v>
          </cell>
          <cell r="DH370" t="str">
            <v>CUE0000065R</v>
          </cell>
          <cell r="DI370">
            <v>0.02</v>
          </cell>
          <cell r="DJ370" t="str">
            <v>AV1401254460</v>
          </cell>
          <cell r="DK370">
            <v>0</v>
          </cell>
          <cell r="DZ370" t="str">
            <v>DULCE_DE_LECHE</v>
          </cell>
          <cell r="EA370" t="str">
            <v>LA HERMIDA-CUERO VACHETTA FINA LADO COLOR</v>
          </cell>
          <cell r="EB370" t="str">
            <v>CUE0000186R</v>
          </cell>
          <cell r="EC370">
            <v>0.02</v>
          </cell>
          <cell r="ED370" t="str">
            <v>AV1401250545</v>
          </cell>
          <cell r="EE370">
            <v>0</v>
          </cell>
          <cell r="KD370">
            <v>10</v>
          </cell>
          <cell r="KE370">
            <v>10</v>
          </cell>
          <cell r="KF370">
            <v>10</v>
          </cell>
          <cell r="KG370">
            <v>10</v>
          </cell>
          <cell r="KH370">
            <v>10</v>
          </cell>
          <cell r="KI370">
            <v>10</v>
          </cell>
          <cell r="KJ370">
            <v>10</v>
          </cell>
          <cell r="KK370">
            <v>10</v>
          </cell>
          <cell r="KL370">
            <v>10</v>
          </cell>
          <cell r="KM370">
            <v>10</v>
          </cell>
          <cell r="KN370">
            <v>10</v>
          </cell>
          <cell r="KO370">
            <v>10</v>
          </cell>
          <cell r="KP370">
            <v>10</v>
          </cell>
          <cell r="KQ370">
            <v>10</v>
          </cell>
          <cell r="KR370">
            <v>10</v>
          </cell>
          <cell r="KS370">
            <v>0</v>
          </cell>
          <cell r="KV370">
            <v>0</v>
          </cell>
          <cell r="KY370">
            <v>0</v>
          </cell>
          <cell r="LB370">
            <v>0</v>
          </cell>
          <cell r="LE370">
            <v>0</v>
          </cell>
          <cell r="LH370">
            <v>0</v>
          </cell>
          <cell r="LK370">
            <v>0</v>
          </cell>
          <cell r="LN370">
            <v>45919</v>
          </cell>
          <cell r="LO370">
            <v>45937</v>
          </cell>
          <cell r="LP370" t="str">
            <v>COMPLETADO</v>
          </cell>
        </row>
        <row r="371">
          <cell r="A371" t="str">
            <v>2006-A</v>
          </cell>
          <cell r="B371" t="str">
            <v>LUCIANO</v>
          </cell>
          <cell r="C371" t="str">
            <v>BARRACAS CHICA</v>
          </cell>
          <cell r="D371" t="str">
            <v>MARROQUINERIA CHICA</v>
          </cell>
          <cell r="E371">
            <v>50</v>
          </cell>
          <cell r="F371">
            <v>50</v>
          </cell>
          <cell r="G371">
            <v>50</v>
          </cell>
          <cell r="H371">
            <v>45921.812928240739</v>
          </cell>
          <cell r="I371" t="str">
            <v>PORTACABLES 2</v>
          </cell>
          <cell r="J371">
            <v>45926</v>
          </cell>
          <cell r="K371">
            <v>45919</v>
          </cell>
          <cell r="L371">
            <v>45927</v>
          </cell>
          <cell r="M371">
            <v>2</v>
          </cell>
          <cell r="N371" t="str">
            <v>M082</v>
          </cell>
          <cell r="O371" t="str">
            <v>AV0700420101</v>
          </cell>
          <cell r="P371">
            <v>1</v>
          </cell>
          <cell r="Q371" t="str">
            <v>AV170134014</v>
          </cell>
          <cell r="R371">
            <v>0</v>
          </cell>
          <cell r="AX371" t="str">
            <v>NEGRO</v>
          </cell>
          <cell r="AY371" t="str">
            <v>LA HERMIDA-CUERO VACHETTA FINA LADO COLOR</v>
          </cell>
          <cell r="AZ371" t="str">
            <v>CUE0000063R</v>
          </cell>
          <cell r="BA371">
            <v>0.01</v>
          </cell>
          <cell r="BB371" t="str">
            <v>AV1401254060</v>
          </cell>
          <cell r="BC371">
            <v>0</v>
          </cell>
          <cell r="BR371" t="str">
            <v>DULCE_DE_LECHE</v>
          </cell>
          <cell r="BS371" t="str">
            <v>LA HERMIDA-CUERO VACHETTA FINA LADO COLOR</v>
          </cell>
          <cell r="BT371" t="str">
            <v>CUE0000186R</v>
          </cell>
          <cell r="BU371">
            <v>0.01</v>
          </cell>
          <cell r="BV371" t="str">
            <v>AV1401250545</v>
          </cell>
          <cell r="BW371">
            <v>0</v>
          </cell>
          <cell r="CL371" t="str">
            <v>NATURAL</v>
          </cell>
          <cell r="CM371" t="str">
            <v>LA HERMIDA-CUERO VACHETTA LADO NATURAL</v>
          </cell>
          <cell r="CN371" t="str">
            <v>CUE0000066R</v>
          </cell>
          <cell r="CO371">
            <v>0.01</v>
          </cell>
          <cell r="DF371" t="str">
            <v>CHOCOLATE</v>
          </cell>
          <cell r="DG371" t="str">
            <v>LA HERMIDA-CUERO VACHETTA FINA LADO COLOR</v>
          </cell>
          <cell r="DH371" t="str">
            <v>CUE0000062R</v>
          </cell>
          <cell r="DI371">
            <v>0.01</v>
          </cell>
          <cell r="DJ371" t="str">
            <v>AV1401250545</v>
          </cell>
          <cell r="DK371">
            <v>0</v>
          </cell>
          <cell r="DZ371" t="str">
            <v>SUELA</v>
          </cell>
          <cell r="EA371" t="str">
            <v>LA HERMIDA-CUERO VACHETTA LADO COLOR</v>
          </cell>
          <cell r="EB371" t="str">
            <v>CUE0000065R</v>
          </cell>
          <cell r="EC371">
            <v>0.01</v>
          </cell>
          <cell r="ED371" t="str">
            <v>AV1401250545</v>
          </cell>
          <cell r="EE371">
            <v>0</v>
          </cell>
          <cell r="KD371">
            <v>10</v>
          </cell>
          <cell r="KE371">
            <v>10</v>
          </cell>
          <cell r="KF371">
            <v>10</v>
          </cell>
          <cell r="KG371">
            <v>10</v>
          </cell>
          <cell r="KH371">
            <v>10</v>
          </cell>
          <cell r="KI371">
            <v>10</v>
          </cell>
          <cell r="KJ371">
            <v>10</v>
          </cell>
          <cell r="KK371">
            <v>10</v>
          </cell>
          <cell r="KL371">
            <v>10</v>
          </cell>
          <cell r="KM371">
            <v>10</v>
          </cell>
          <cell r="KN371">
            <v>10</v>
          </cell>
          <cell r="KO371">
            <v>10</v>
          </cell>
          <cell r="KP371">
            <v>10</v>
          </cell>
          <cell r="KQ371">
            <v>10</v>
          </cell>
          <cell r="KR371">
            <v>10</v>
          </cell>
          <cell r="KS371">
            <v>0</v>
          </cell>
          <cell r="KV371">
            <v>0</v>
          </cell>
          <cell r="KY371">
            <v>0</v>
          </cell>
          <cell r="LB371">
            <v>0</v>
          </cell>
          <cell r="LE371">
            <v>0</v>
          </cell>
          <cell r="LH371">
            <v>0</v>
          </cell>
          <cell r="LK371">
            <v>0</v>
          </cell>
          <cell r="LN371">
            <v>45926</v>
          </cell>
          <cell r="LO371">
            <v>45958</v>
          </cell>
          <cell r="LP371" t="str">
            <v>COMPLETADO</v>
          </cell>
        </row>
        <row r="372">
          <cell r="A372" t="str">
            <v>2007-A</v>
          </cell>
          <cell r="B372" t="str">
            <v>LUCIANO</v>
          </cell>
          <cell r="C372" t="str">
            <v>BARRACAS CHICA</v>
          </cell>
          <cell r="D372" t="str">
            <v>MARROQUINERIA CHICA</v>
          </cell>
          <cell r="E372">
            <v>50</v>
          </cell>
          <cell r="F372">
            <v>50</v>
          </cell>
          <cell r="G372">
            <v>50</v>
          </cell>
          <cell r="H372">
            <v>45921.817453703705</v>
          </cell>
          <cell r="I372" t="str">
            <v>PORTACABLES 3</v>
          </cell>
          <cell r="J372">
            <v>45919</v>
          </cell>
          <cell r="K372">
            <v>45919</v>
          </cell>
          <cell r="L372">
            <v>45926</v>
          </cell>
          <cell r="M372">
            <v>2</v>
          </cell>
          <cell r="N372" t="str">
            <v>M083</v>
          </cell>
          <cell r="O372" t="str">
            <v>AV0700420101</v>
          </cell>
          <cell r="P372">
            <v>1</v>
          </cell>
          <cell r="Q372" t="str">
            <v>AV170134014</v>
          </cell>
          <cell r="R372">
            <v>0</v>
          </cell>
          <cell r="AW372" t="str">
            <v xml:space="preserve">GRABADO "EL LUCERO ARGENTINA CHICO" EN ESPALDA, A 1,5 CM DEL BORDE INFERIOR, CENTRADO.  </v>
          </cell>
          <cell r="AX372" t="str">
            <v>NATURAL</v>
          </cell>
          <cell r="AY372" t="str">
            <v>LA HERMIDA-CUERO VACHETTA LADO NATURAL</v>
          </cell>
          <cell r="AZ372" t="str">
            <v>CUE0000066R</v>
          </cell>
          <cell r="BA372">
            <v>0.01</v>
          </cell>
          <cell r="BB372" t="str">
            <v>AV1401250545</v>
          </cell>
          <cell r="BC372">
            <v>0</v>
          </cell>
          <cell r="BR372" t="str">
            <v>NEGRO</v>
          </cell>
          <cell r="BS372" t="str">
            <v>LA HERMIDA-CUERO VACHETTA FINA LADO COLOR</v>
          </cell>
          <cell r="BT372" t="str">
            <v>CUE0000063R</v>
          </cell>
          <cell r="BU372">
            <v>0.01</v>
          </cell>
          <cell r="BV372" t="str">
            <v>AV1401254060</v>
          </cell>
          <cell r="BW372">
            <v>0</v>
          </cell>
          <cell r="CL372" t="str">
            <v>CHOCOLATE</v>
          </cell>
          <cell r="CM372" t="str">
            <v>LA HERMIDA-CUERO VACHETTA FINA LADO COLOR</v>
          </cell>
          <cell r="CN372" t="str">
            <v>CUE0000062R</v>
          </cell>
          <cell r="CO372">
            <v>0.01</v>
          </cell>
          <cell r="CP372" t="str">
            <v>AV1401250545</v>
          </cell>
          <cell r="CQ372">
            <v>0</v>
          </cell>
          <cell r="DF372" t="str">
            <v>DULCE_DE_LECHE</v>
          </cell>
          <cell r="DG372" t="str">
            <v>LA HERMIDA-CUERO VACHETTA FINA LADO COLOR</v>
          </cell>
          <cell r="DH372" t="str">
            <v>CUE0000186R</v>
          </cell>
          <cell r="DI372">
            <v>0.01</v>
          </cell>
          <cell r="DJ372" t="str">
            <v>AV1401250545</v>
          </cell>
          <cell r="DK372">
            <v>0</v>
          </cell>
          <cell r="DZ372" t="str">
            <v>SUELA</v>
          </cell>
          <cell r="EA372" t="str">
            <v>LA HERMIDA-CUERO VACHETTA LADO COLOR</v>
          </cell>
          <cell r="EB372" t="str">
            <v>CUE0000065R</v>
          </cell>
          <cell r="EC372">
            <v>0.01</v>
          </cell>
          <cell r="ED372" t="str">
            <v>AV1401250545</v>
          </cell>
          <cell r="EE372">
            <v>0</v>
          </cell>
          <cell r="KD372">
            <v>10</v>
          </cell>
          <cell r="KE372">
            <v>10</v>
          </cell>
          <cell r="KF372">
            <v>10</v>
          </cell>
          <cell r="KG372">
            <v>10</v>
          </cell>
          <cell r="KH372">
            <v>10</v>
          </cell>
          <cell r="KI372">
            <v>10</v>
          </cell>
          <cell r="KJ372">
            <v>10</v>
          </cell>
          <cell r="KK372">
            <v>10</v>
          </cell>
          <cell r="KL372">
            <v>10</v>
          </cell>
          <cell r="KM372">
            <v>10</v>
          </cell>
          <cell r="KN372">
            <v>10</v>
          </cell>
          <cell r="KO372">
            <v>10</v>
          </cell>
          <cell r="KP372">
            <v>10</v>
          </cell>
          <cell r="KQ372">
            <v>10</v>
          </cell>
          <cell r="KR372">
            <v>10</v>
          </cell>
          <cell r="KS372">
            <v>0</v>
          </cell>
          <cell r="KV372">
            <v>0</v>
          </cell>
          <cell r="KY372">
            <v>0</v>
          </cell>
          <cell r="LB372">
            <v>0</v>
          </cell>
          <cell r="LE372">
            <v>0</v>
          </cell>
          <cell r="LH372">
            <v>0</v>
          </cell>
          <cell r="LK372">
            <v>0</v>
          </cell>
          <cell r="LN372">
            <v>45919</v>
          </cell>
          <cell r="LO372">
            <v>45931</v>
          </cell>
          <cell r="LP372" t="str">
            <v>COMPLETADO</v>
          </cell>
        </row>
        <row r="373">
          <cell r="A373" t="str">
            <v>2010-A</v>
          </cell>
          <cell r="B373" t="str">
            <v>LUCIANO</v>
          </cell>
          <cell r="C373" t="str">
            <v>BARRACAS CHICA</v>
          </cell>
          <cell r="D373" t="str">
            <v>MARROQUINERIA CHICA</v>
          </cell>
          <cell r="E373">
            <v>25</v>
          </cell>
          <cell r="F373">
            <v>25</v>
          </cell>
          <cell r="G373">
            <v>25</v>
          </cell>
          <cell r="H373">
            <v>45921.832800925928</v>
          </cell>
          <cell r="I373" t="str">
            <v>PORTAVINO CAFAYATE</v>
          </cell>
          <cell r="J373">
            <v>45917</v>
          </cell>
          <cell r="K373">
            <v>45917</v>
          </cell>
          <cell r="L373">
            <v>45917</v>
          </cell>
          <cell r="M373">
            <v>15</v>
          </cell>
          <cell r="N373" t="str">
            <v>M156</v>
          </cell>
          <cell r="O373" t="str">
            <v>AV0700420101</v>
          </cell>
          <cell r="P373">
            <v>1</v>
          </cell>
          <cell r="Q373" t="str">
            <v>AV170134014</v>
          </cell>
          <cell r="R373">
            <v>0</v>
          </cell>
          <cell r="AW373" t="str">
            <v>GRABADO "EL LUCERO ARGENTINA " EN LA PARTE DE ATRAS A 2 CM DESDE BASE CENTRADO</v>
          </cell>
          <cell r="AX373" t="str">
            <v>SUELA</v>
          </cell>
          <cell r="AY373" t="str">
            <v>LA HERMIDA-CUERO VACHETTA LADO COLOR</v>
          </cell>
          <cell r="AZ373" t="str">
            <v>CUE0000065R</v>
          </cell>
          <cell r="BA373">
            <v>0.14000000000000001</v>
          </cell>
          <cell r="BR373" t="str">
            <v>NATURAL</v>
          </cell>
          <cell r="BS373" t="str">
            <v>LA HERMIDA-CUERO VACHETTA LADO NATURAL</v>
          </cell>
          <cell r="BT373" t="str">
            <v>CUE0000066R</v>
          </cell>
          <cell r="BU373">
            <v>0.14000000000000001</v>
          </cell>
          <cell r="CL373" t="str">
            <v>NEGRO</v>
          </cell>
          <cell r="CM373" t="str">
            <v>BIANCO-CUERO FIORENTINO</v>
          </cell>
          <cell r="CN373" t="str">
            <v>CUE0000056R</v>
          </cell>
          <cell r="CO373">
            <v>0.14000000000000001</v>
          </cell>
          <cell r="KD373">
            <v>12</v>
          </cell>
          <cell r="KE373">
            <v>12</v>
          </cell>
          <cell r="KF373">
            <v>12</v>
          </cell>
          <cell r="KG373">
            <v>9</v>
          </cell>
          <cell r="KH373">
            <v>9</v>
          </cell>
          <cell r="KI373">
            <v>9</v>
          </cell>
          <cell r="KJ373">
            <v>4</v>
          </cell>
          <cell r="KK373">
            <v>4</v>
          </cell>
          <cell r="KL373">
            <v>4</v>
          </cell>
          <cell r="KM373">
            <v>0</v>
          </cell>
          <cell r="KP373">
            <v>0</v>
          </cell>
          <cell r="KS373">
            <v>0</v>
          </cell>
          <cell r="KV373">
            <v>0</v>
          </cell>
          <cell r="KY373">
            <v>0</v>
          </cell>
          <cell r="LB373">
            <v>0</v>
          </cell>
          <cell r="LE373">
            <v>0</v>
          </cell>
          <cell r="LH373">
            <v>0</v>
          </cell>
          <cell r="LK373">
            <v>0</v>
          </cell>
          <cell r="LN373">
            <v>45917</v>
          </cell>
          <cell r="LO373">
            <v>45939</v>
          </cell>
          <cell r="LP373" t="str">
            <v>COMPLETADO</v>
          </cell>
        </row>
        <row r="374">
          <cell r="A374" t="str">
            <v>2011-A</v>
          </cell>
          <cell r="B374" t="str">
            <v>LUCIANO</v>
          </cell>
          <cell r="C374" t="str">
            <v>INTERNO JAVIER</v>
          </cell>
          <cell r="D374" t="str">
            <v>MARROQUINERIA CHICA</v>
          </cell>
          <cell r="E374">
            <v>30</v>
          </cell>
          <cell r="F374">
            <v>30</v>
          </cell>
          <cell r="G374">
            <v>30</v>
          </cell>
          <cell r="H374">
            <v>45921.843541666669</v>
          </cell>
          <cell r="I374" t="str">
            <v>PORTAVINO RIOJA</v>
          </cell>
          <cell r="J374">
            <v>45917</v>
          </cell>
          <cell r="K374">
            <v>45917</v>
          </cell>
          <cell r="L374">
            <v>45917</v>
          </cell>
          <cell r="M374">
            <v>15</v>
          </cell>
          <cell r="N374" t="str">
            <v>M155</v>
          </cell>
          <cell r="O374" t="str">
            <v>AV170134014</v>
          </cell>
          <cell r="P374">
            <v>0</v>
          </cell>
          <cell r="AW374" t="str">
            <v>GRABADO "EL LUCERO ARGENTINA " EN LA PARTE DE ATRAS A 2 CM DE LA COSTURA DE LA MANIJA</v>
          </cell>
          <cell r="AX374" t="str">
            <v>SUELA</v>
          </cell>
          <cell r="AY374" t="str">
            <v>LA HERMIDA-CUERO VACHETTA LADO COLOR</v>
          </cell>
          <cell r="AZ374" t="str">
            <v>CUE0000065R</v>
          </cell>
          <cell r="BA374">
            <v>0.14000000000000001</v>
          </cell>
          <cell r="BR374" t="str">
            <v>NATURAL</v>
          </cell>
          <cell r="BS374" t="str">
            <v>LA HERMIDA-CUERO VACHETTA LADO NATURAL</v>
          </cell>
          <cell r="BT374" t="str">
            <v>CUE0000066R</v>
          </cell>
          <cell r="BU374">
            <v>0.14000000000000001</v>
          </cell>
          <cell r="CL374" t="str">
            <v>NEGRO</v>
          </cell>
          <cell r="CM374" t="str">
            <v>BIANCO-CUERO FIORENTINO</v>
          </cell>
          <cell r="CN374" t="str">
            <v>CUE0000056R</v>
          </cell>
          <cell r="CO374">
            <v>0.14000000000000001</v>
          </cell>
          <cell r="KD374">
            <v>12</v>
          </cell>
          <cell r="KE374">
            <v>12</v>
          </cell>
          <cell r="KF374">
            <v>12</v>
          </cell>
          <cell r="KG374">
            <v>12</v>
          </cell>
          <cell r="KH374">
            <v>12</v>
          </cell>
          <cell r="KI374">
            <v>12</v>
          </cell>
          <cell r="KJ374">
            <v>6</v>
          </cell>
          <cell r="KK374">
            <v>6</v>
          </cell>
          <cell r="KL374">
            <v>6</v>
          </cell>
          <cell r="KM374">
            <v>0</v>
          </cell>
          <cell r="KP374">
            <v>0</v>
          </cell>
          <cell r="KS374">
            <v>0</v>
          </cell>
          <cell r="KV374">
            <v>0</v>
          </cell>
          <cell r="KY374">
            <v>0</v>
          </cell>
          <cell r="LB374">
            <v>0</v>
          </cell>
          <cell r="LE374">
            <v>0</v>
          </cell>
          <cell r="LH374">
            <v>0</v>
          </cell>
          <cell r="LK374">
            <v>0</v>
          </cell>
          <cell r="LN374">
            <v>45917</v>
          </cell>
          <cell r="LO374">
            <v>45939</v>
          </cell>
          <cell r="LP374" t="str">
            <v>COMPLETADO</v>
          </cell>
        </row>
        <row r="375">
          <cell r="A375" t="str">
            <v>1914-B</v>
          </cell>
          <cell r="B375" t="str">
            <v>RUBEN</v>
          </cell>
          <cell r="C375" t="str">
            <v>BARRACAS GRANDE</v>
          </cell>
          <cell r="D375" t="str">
            <v>MARROQUINERIA GRANDE</v>
          </cell>
          <cell r="E375">
            <v>6</v>
          </cell>
          <cell r="F375">
            <v>6</v>
          </cell>
          <cell r="G375">
            <v>6</v>
          </cell>
          <cell r="H375">
            <v>45922.516875000001</v>
          </cell>
          <cell r="I375" t="str">
            <v>TOTE CACHI</v>
          </cell>
          <cell r="J375">
            <v>45891</v>
          </cell>
          <cell r="K375">
            <v>45891</v>
          </cell>
          <cell r="L375">
            <v>45891</v>
          </cell>
          <cell r="M375">
            <v>30</v>
          </cell>
          <cell r="N375" t="str">
            <v>M169</v>
          </cell>
          <cell r="O375" t="str">
            <v>AV170129018</v>
          </cell>
          <cell r="P375">
            <v>0</v>
          </cell>
          <cell r="AS375" t="str">
            <v>CORREA 2 CM / SIN PINTURA</v>
          </cell>
          <cell r="AT375" t="str">
            <v xml:space="preserve"> PEGAR ETIQUETA DE CUERO AL FRENTE</v>
          </cell>
          <cell r="AU375" t="str">
            <v>HILO AL TONO CON HILO GRUESO N 20</v>
          </cell>
          <cell r="AW375" t="str">
            <v>GRABADO ETIQUETA EN NAPADO 7,5CM X 5,5 CM  "EL LUCERO HIGH QUALITY GOODS"</v>
          </cell>
          <cell r="AX375" t="str">
            <v>CAFE_NOBUCK_TABACO</v>
          </cell>
          <cell r="AY375" t="str">
            <v>NAPOLITANA-CUERO NOBUCK</v>
          </cell>
          <cell r="AZ375" t="str">
            <v>CUE0000182</v>
          </cell>
          <cell r="BA375">
            <v>0.06</v>
          </cell>
          <cell r="BB375">
            <v>0</v>
          </cell>
          <cell r="BC375">
            <v>0.4</v>
          </cell>
          <cell r="KD375">
            <v>6</v>
          </cell>
          <cell r="KE375">
            <v>6</v>
          </cell>
          <cell r="KF375">
            <v>6</v>
          </cell>
          <cell r="KP375">
            <v>0</v>
          </cell>
          <cell r="KS375">
            <v>0</v>
          </cell>
          <cell r="KV375">
            <v>0</v>
          </cell>
          <cell r="KY375">
            <v>0</v>
          </cell>
          <cell r="LB375">
            <v>0</v>
          </cell>
          <cell r="LE375">
            <v>0</v>
          </cell>
          <cell r="LH375">
            <v>0</v>
          </cell>
          <cell r="LK375">
            <v>0</v>
          </cell>
          <cell r="LN375">
            <v>45891</v>
          </cell>
          <cell r="LO375">
            <v>45909</v>
          </cell>
          <cell r="LP375" t="str">
            <v>COMPLETADO</v>
          </cell>
        </row>
        <row r="376">
          <cell r="A376" t="str">
            <v>2018-A</v>
          </cell>
          <cell r="B376" t="str">
            <v>LUCIANO</v>
          </cell>
          <cell r="C376" t="str">
            <v>PERDRIEL</v>
          </cell>
          <cell r="D376" t="str">
            <v>MARROQUINERIA CHICA</v>
          </cell>
          <cell r="E376">
            <v>40</v>
          </cell>
          <cell r="F376">
            <v>40</v>
          </cell>
          <cell r="G376">
            <v>40</v>
          </cell>
          <cell r="H376">
            <v>45922.576979166668</v>
          </cell>
          <cell r="I376" t="str">
            <v>ESTUCHE 1</v>
          </cell>
          <cell r="J376">
            <v>45922</v>
          </cell>
          <cell r="K376">
            <v>45922</v>
          </cell>
          <cell r="L376">
            <v>45922</v>
          </cell>
          <cell r="M376">
            <v>4</v>
          </cell>
          <cell r="N376" t="str">
            <v>M203</v>
          </cell>
          <cell r="O376" t="str">
            <v>AV170134014</v>
          </cell>
          <cell r="P376">
            <v>0</v>
          </cell>
          <cell r="AX376" t="str">
            <v>AZUL_NOCHE</v>
          </cell>
          <cell r="AY376" t="str">
            <v>MA CUEROS-DESCARNE GAMUZADO 1/1.2</v>
          </cell>
          <cell r="AZ376" t="str">
            <v>CUE0000176R</v>
          </cell>
          <cell r="BA376">
            <v>0.02</v>
          </cell>
          <cell r="BR376" t="str">
            <v>GrisMedio</v>
          </cell>
          <cell r="BS376" t="str">
            <v>NAPOLITANA-CUERO GAMUZA</v>
          </cell>
          <cell r="BT376" t="str">
            <v>CUE0000041R</v>
          </cell>
          <cell r="BU376">
            <v>0.02</v>
          </cell>
          <cell r="KD376">
            <v>20</v>
          </cell>
          <cell r="KE376">
            <v>20</v>
          </cell>
          <cell r="KF376">
            <v>20</v>
          </cell>
          <cell r="KG376">
            <v>20</v>
          </cell>
          <cell r="KH376">
            <v>20</v>
          </cell>
          <cell r="KI376">
            <v>20</v>
          </cell>
          <cell r="KJ376">
            <v>0</v>
          </cell>
          <cell r="KM376">
            <v>0</v>
          </cell>
          <cell r="KP376">
            <v>0</v>
          </cell>
          <cell r="KS376">
            <v>0</v>
          </cell>
          <cell r="KV376">
            <v>0</v>
          </cell>
          <cell r="KY376">
            <v>0</v>
          </cell>
          <cell r="LB376">
            <v>0</v>
          </cell>
          <cell r="LE376">
            <v>0</v>
          </cell>
          <cell r="LH376">
            <v>0</v>
          </cell>
          <cell r="LK376">
            <v>0</v>
          </cell>
          <cell r="LN376">
            <v>45922</v>
          </cell>
          <cell r="LO376">
            <v>45937</v>
          </cell>
          <cell r="LP376" t="str">
            <v>COMPLETADO</v>
          </cell>
        </row>
        <row r="377">
          <cell r="A377" t="str">
            <v>2019-A</v>
          </cell>
          <cell r="B377" t="str">
            <v>LUCIANO</v>
          </cell>
          <cell r="C377" t="str">
            <v>PERDRIEL</v>
          </cell>
          <cell r="D377" t="str">
            <v>MARROQUINERIA CHICA</v>
          </cell>
          <cell r="E377">
            <v>80</v>
          </cell>
          <cell r="F377">
            <v>80</v>
          </cell>
          <cell r="G377">
            <v>80</v>
          </cell>
          <cell r="H377">
            <v>45922.582719907405</v>
          </cell>
          <cell r="I377" t="str">
            <v>ESTUCHE 2</v>
          </cell>
          <cell r="J377">
            <v>45922</v>
          </cell>
          <cell r="K377">
            <v>45922</v>
          </cell>
          <cell r="L377">
            <v>45922</v>
          </cell>
          <cell r="M377">
            <v>4</v>
          </cell>
          <cell r="N377" t="str">
            <v>M204</v>
          </cell>
          <cell r="O377" t="str">
            <v>AV170134014</v>
          </cell>
          <cell r="P377">
            <v>0</v>
          </cell>
          <cell r="AX377" t="str">
            <v>AZUL_NOCHE</v>
          </cell>
          <cell r="AY377" t="str">
            <v>MA CUEROS-DESCARNE GAMUZADO 1/1.2</v>
          </cell>
          <cell r="AZ377" t="str">
            <v>CUE0000176R</v>
          </cell>
          <cell r="BA377">
            <v>0.02</v>
          </cell>
          <cell r="BR377" t="str">
            <v>GrisMedio</v>
          </cell>
          <cell r="BS377" t="str">
            <v>NAPOLITANA-CUERO GAMUZA</v>
          </cell>
          <cell r="BT377" t="str">
            <v>CUE0000041R</v>
          </cell>
          <cell r="BU377">
            <v>0.02</v>
          </cell>
          <cell r="KD377">
            <v>40</v>
          </cell>
          <cell r="KE377">
            <v>40</v>
          </cell>
          <cell r="KF377">
            <v>40</v>
          </cell>
          <cell r="KG377">
            <v>40</v>
          </cell>
          <cell r="KH377">
            <v>40</v>
          </cell>
          <cell r="KI377">
            <v>40</v>
          </cell>
          <cell r="KJ377">
            <v>0</v>
          </cell>
          <cell r="KM377">
            <v>0</v>
          </cell>
          <cell r="KP377">
            <v>0</v>
          </cell>
          <cell r="KS377">
            <v>0</v>
          </cell>
          <cell r="KV377">
            <v>0</v>
          </cell>
          <cell r="KY377">
            <v>0</v>
          </cell>
          <cell r="LB377">
            <v>0</v>
          </cell>
          <cell r="LE377">
            <v>0</v>
          </cell>
          <cell r="LH377">
            <v>0</v>
          </cell>
          <cell r="LK377">
            <v>0</v>
          </cell>
          <cell r="LN377">
            <v>45922</v>
          </cell>
          <cell r="LO377">
            <v>45937</v>
          </cell>
          <cell r="LP377" t="str">
            <v>COMPLETADO</v>
          </cell>
        </row>
        <row r="378">
          <cell r="A378" t="str">
            <v>2020-A</v>
          </cell>
          <cell r="B378" t="str">
            <v>LUCIANO</v>
          </cell>
          <cell r="C378" t="str">
            <v>PERDRIEL</v>
          </cell>
          <cell r="D378" t="str">
            <v>MARROQUINERIA CHICA</v>
          </cell>
          <cell r="E378">
            <v>120</v>
          </cell>
          <cell r="F378">
            <v>120</v>
          </cell>
          <cell r="G378">
            <v>120</v>
          </cell>
          <cell r="H378">
            <v>45922.590532407405</v>
          </cell>
          <cell r="I378" t="str">
            <v>ESTUCHE 3</v>
          </cell>
          <cell r="J378">
            <v>45922</v>
          </cell>
          <cell r="K378">
            <v>45922</v>
          </cell>
          <cell r="L378">
            <v>45922</v>
          </cell>
          <cell r="M378">
            <v>4</v>
          </cell>
          <cell r="N378" t="str">
            <v>M205</v>
          </cell>
          <cell r="O378" t="str">
            <v>AV170134014</v>
          </cell>
          <cell r="P378">
            <v>0</v>
          </cell>
          <cell r="AX378" t="str">
            <v>AZUL_NOCHE</v>
          </cell>
          <cell r="AY378" t="str">
            <v>MA CUEROS-DESCARNE GAMUZADO 1/1.2</v>
          </cell>
          <cell r="AZ378" t="str">
            <v>CUE0000176R</v>
          </cell>
          <cell r="BA378">
            <v>0.02</v>
          </cell>
          <cell r="BR378" t="str">
            <v>GrisMedio</v>
          </cell>
          <cell r="BS378" t="str">
            <v>NAPOLITANA-CUERO GAMUZA</v>
          </cell>
          <cell r="BT378" t="str">
            <v>CUE0000041R</v>
          </cell>
          <cell r="BU378">
            <v>0.02</v>
          </cell>
          <cell r="KD378">
            <v>60</v>
          </cell>
          <cell r="KE378">
            <v>60</v>
          </cell>
          <cell r="KF378">
            <v>60</v>
          </cell>
          <cell r="KG378">
            <v>60</v>
          </cell>
          <cell r="KH378">
            <v>60</v>
          </cell>
          <cell r="KI378">
            <v>60</v>
          </cell>
          <cell r="KJ378">
            <v>0</v>
          </cell>
          <cell r="KM378">
            <v>0</v>
          </cell>
          <cell r="KP378">
            <v>0</v>
          </cell>
          <cell r="KS378">
            <v>0</v>
          </cell>
          <cell r="KV378">
            <v>0</v>
          </cell>
          <cell r="KY378">
            <v>0</v>
          </cell>
          <cell r="LB378">
            <v>0</v>
          </cell>
          <cell r="LE378">
            <v>0</v>
          </cell>
          <cell r="LH378">
            <v>0</v>
          </cell>
          <cell r="LK378">
            <v>0</v>
          </cell>
          <cell r="LN378">
            <v>45922</v>
          </cell>
          <cell r="LO378">
            <v>45937</v>
          </cell>
          <cell r="LP378" t="str">
            <v>COMPLETADO</v>
          </cell>
        </row>
        <row r="379">
          <cell r="A379" t="str">
            <v>2015-A</v>
          </cell>
          <cell r="B379" t="str">
            <v>RUBEN</v>
          </cell>
          <cell r="C379" t="str">
            <v>BARRACAS GRANDE</v>
          </cell>
          <cell r="D379" t="str">
            <v>MARROQUINERIA GRANDE</v>
          </cell>
          <cell r="E379">
            <v>45</v>
          </cell>
          <cell r="F379">
            <v>42</v>
          </cell>
          <cell r="G379">
            <v>42</v>
          </cell>
          <cell r="H379">
            <v>45923.433807870373</v>
          </cell>
          <cell r="I379" t="str">
            <v>TOTE CACHI</v>
          </cell>
          <cell r="J379">
            <v>45919</v>
          </cell>
          <cell r="K379">
            <v>45919</v>
          </cell>
          <cell r="L379">
            <v>45919</v>
          </cell>
          <cell r="M379">
            <v>30</v>
          </cell>
          <cell r="N379" t="str">
            <v>M169</v>
          </cell>
          <cell r="O379" t="str">
            <v>AV170129018</v>
          </cell>
          <cell r="P379">
            <v>0</v>
          </cell>
          <cell r="AS379" t="str">
            <v>CORREA 2 CM / SIN PINTURA</v>
          </cell>
          <cell r="AT379" t="str">
            <v xml:space="preserve"> PEGAR ETIQUETA DE CUERO AL FRENTE</v>
          </cell>
          <cell r="AU379" t="str">
            <v>HILO AL TONO CON HILO GRUESO N 20</v>
          </cell>
          <cell r="AV379" t="str">
            <v>REVISAR MOLDERIA APROBADA</v>
          </cell>
          <cell r="AW379" t="str">
            <v>GRABADO ETIQUETA EN NAPADO 7,5CM X 5,5 CM  "EL LUCERO HIGH QUALITY GOODS"</v>
          </cell>
          <cell r="AX379" t="str">
            <v>NEGRO_PELO_HOLANDO</v>
          </cell>
          <cell r="AY379" t="str">
            <v>ARENA-CUERO BRIDGE</v>
          </cell>
          <cell r="AZ379" t="str">
            <v>CUE0000009</v>
          </cell>
          <cell r="BA379">
            <v>0.06</v>
          </cell>
          <cell r="BB379" t="str">
            <v>CUE0000116</v>
          </cell>
          <cell r="BC379">
            <v>0.4</v>
          </cell>
          <cell r="BR379" t="str">
            <v>CAFE_NOBUCK_TABACO</v>
          </cell>
          <cell r="BS379" t="str">
            <v>NAPOLITANA-CUERO NOBUCK</v>
          </cell>
          <cell r="BT379" t="str">
            <v>CUE0000182</v>
          </cell>
          <cell r="BU379">
            <v>0.06</v>
          </cell>
          <cell r="BV379" t="str">
            <v>CUE0000012</v>
          </cell>
          <cell r="BW379">
            <v>0.4</v>
          </cell>
          <cell r="CL379" t="str">
            <v>SUELA</v>
          </cell>
          <cell r="CM379" t="str">
            <v>ARENA-CUERO NAPADO</v>
          </cell>
          <cell r="CN379" t="str">
            <v>CUE0000028</v>
          </cell>
          <cell r="CO379">
            <v>0.46</v>
          </cell>
          <cell r="DF379" t="str">
            <v>CARAMELO</v>
          </cell>
          <cell r="DG379" t="str">
            <v>ARENA-CUERO NAPADO</v>
          </cell>
          <cell r="DH379" t="str">
            <v>CUE0000022</v>
          </cell>
          <cell r="DI379">
            <v>0.46</v>
          </cell>
          <cell r="ED379" t="str">
            <v>CUE0000117</v>
          </cell>
          <cell r="EE379">
            <v>0.4</v>
          </cell>
          <cell r="KD379">
            <v>6</v>
          </cell>
          <cell r="KE379">
            <v>6</v>
          </cell>
          <cell r="KF379">
            <v>6</v>
          </cell>
          <cell r="KG379">
            <v>12</v>
          </cell>
          <cell r="KH379">
            <v>12</v>
          </cell>
          <cell r="KI379">
            <v>12</v>
          </cell>
          <cell r="KJ379">
            <v>9</v>
          </cell>
          <cell r="KK379">
            <v>6</v>
          </cell>
          <cell r="KL379">
            <v>6</v>
          </cell>
          <cell r="KM379">
            <v>18</v>
          </cell>
          <cell r="KN379">
            <v>18</v>
          </cell>
          <cell r="KO379">
            <v>18</v>
          </cell>
          <cell r="KP379">
            <v>0</v>
          </cell>
          <cell r="KQ379">
            <v>0</v>
          </cell>
          <cell r="KS379">
            <v>0</v>
          </cell>
          <cell r="KV379">
            <v>0</v>
          </cell>
          <cell r="KY379">
            <v>0</v>
          </cell>
          <cell r="LB379">
            <v>0</v>
          </cell>
          <cell r="LE379">
            <v>0</v>
          </cell>
          <cell r="LH379">
            <v>0</v>
          </cell>
          <cell r="LK379">
            <v>0</v>
          </cell>
          <cell r="LN379">
            <v>45919</v>
          </cell>
          <cell r="LO379">
            <v>45945</v>
          </cell>
          <cell r="LP379" t="str">
            <v>COMPLETADO</v>
          </cell>
          <cell r="LR379" t="str">
            <v xml:space="preserve"> NOBUCK DE NAPOLITANA USAR EL DESCARNE DEL LADO DEL FRENTE DE LA CARTERA!!!</v>
          </cell>
        </row>
        <row r="380">
          <cell r="A380" t="str">
            <v>2016-A</v>
          </cell>
          <cell r="B380" t="str">
            <v>RUBEN</v>
          </cell>
          <cell r="C380" t="str">
            <v>BARRACAS GRANDE</v>
          </cell>
          <cell r="D380" t="str">
            <v>MARROQUINERIA GRANDE</v>
          </cell>
          <cell r="E380">
            <v>42</v>
          </cell>
          <cell r="F380">
            <v>42</v>
          </cell>
          <cell r="G380">
            <v>42</v>
          </cell>
          <cell r="H380">
            <v>45923.44363425926</v>
          </cell>
          <cell r="I380" t="str">
            <v>TOTE TILCARA</v>
          </cell>
          <cell r="J380">
            <v>45919</v>
          </cell>
          <cell r="K380">
            <v>45919</v>
          </cell>
          <cell r="L380">
            <v>45919</v>
          </cell>
          <cell r="M380">
            <v>20</v>
          </cell>
          <cell r="N380" t="str">
            <v>M188</v>
          </cell>
          <cell r="O380" t="str">
            <v>AV170129018</v>
          </cell>
          <cell r="P380">
            <v>0</v>
          </cell>
          <cell r="AW380" t="str">
            <v xml:space="preserve">GRABADO EN ESPALDA "EL LUCERO GRANDE" CENTRADO ABAJO A 2 CM DESDE EL PESPUNTE </v>
          </cell>
          <cell r="AX380" t="str">
            <v>NEGRO</v>
          </cell>
          <cell r="AY380" t="str">
            <v>ARENA-CUERO NAPADO</v>
          </cell>
          <cell r="AZ380" t="str">
            <v>CUE0000026</v>
          </cell>
          <cell r="BA380">
            <v>0.47</v>
          </cell>
          <cell r="BR380" t="str">
            <v>CARAMELO</v>
          </cell>
          <cell r="BS380" t="str">
            <v>ARENA-CUERO NAPADO</v>
          </cell>
          <cell r="BT380" t="str">
            <v>CUE0000022</v>
          </cell>
          <cell r="BU380">
            <v>0.47</v>
          </cell>
          <cell r="KD380">
            <v>24</v>
          </cell>
          <cell r="KE380">
            <v>24</v>
          </cell>
          <cell r="KF380">
            <v>24</v>
          </cell>
          <cell r="KG380">
            <v>18</v>
          </cell>
          <cell r="KH380">
            <v>18</v>
          </cell>
          <cell r="KI380">
            <v>18</v>
          </cell>
          <cell r="KJ380">
            <v>0</v>
          </cell>
          <cell r="KM380">
            <v>0</v>
          </cell>
          <cell r="KP380">
            <v>0</v>
          </cell>
          <cell r="KS380">
            <v>0</v>
          </cell>
          <cell r="KV380">
            <v>0</v>
          </cell>
          <cell r="KY380">
            <v>0</v>
          </cell>
          <cell r="LB380">
            <v>0</v>
          </cell>
          <cell r="LE380">
            <v>0</v>
          </cell>
          <cell r="LH380">
            <v>0</v>
          </cell>
          <cell r="LK380">
            <v>0</v>
          </cell>
          <cell r="LN380">
            <v>45919</v>
          </cell>
          <cell r="LO380">
            <v>45945</v>
          </cell>
          <cell r="LP380" t="str">
            <v>COMPLETADO</v>
          </cell>
        </row>
        <row r="381">
          <cell r="A381" t="str">
            <v>2017-A</v>
          </cell>
          <cell r="B381" t="str">
            <v>RUBEN</v>
          </cell>
          <cell r="C381" t="str">
            <v>BARRACAS GRANDE</v>
          </cell>
          <cell r="D381" t="str">
            <v>MARROQUINERIA GRANDE</v>
          </cell>
          <cell r="E381">
            <v>44</v>
          </cell>
          <cell r="F381">
            <v>44</v>
          </cell>
          <cell r="G381">
            <v>44</v>
          </cell>
          <cell r="H381">
            <v>45923.448229166665</v>
          </cell>
          <cell r="I381" t="str">
            <v>TOTE IRUYA</v>
          </cell>
          <cell r="J381">
            <v>45919</v>
          </cell>
          <cell r="K381">
            <v>45919</v>
          </cell>
          <cell r="L381">
            <v>45919</v>
          </cell>
          <cell r="M381">
            <v>20</v>
          </cell>
          <cell r="N381" t="str">
            <v>M154</v>
          </cell>
          <cell r="O381" t="str">
            <v>AV170129018</v>
          </cell>
          <cell r="P381">
            <v>0</v>
          </cell>
          <cell r="AS381" t="str">
            <v>CORREA 2,5CM / SIN PINTURA</v>
          </cell>
          <cell r="AT381" t="str">
            <v>PEGAR ETIQUETA DE CUERO AL FRENTE HILO AL TONO CON HILO GRUESO N 20</v>
          </cell>
          <cell r="AW381" t="str">
            <v>GRABADO ETIQUETA EN NAPADO 7,5CM X 5,5 CM "EL LUCERO HIGH QUALITY GOODS</v>
          </cell>
          <cell r="AX381" t="str">
            <v>SUELA</v>
          </cell>
          <cell r="AY381" t="str">
            <v>ARENA-CUERO NAPADO</v>
          </cell>
          <cell r="AZ381" t="str">
            <v>CUE0000028</v>
          </cell>
          <cell r="BA381">
            <v>0.44999999999999996</v>
          </cell>
          <cell r="BR381" t="str">
            <v>NEGRO</v>
          </cell>
          <cell r="BS381" t="str">
            <v>ARENA-CUERO NAPADO</v>
          </cell>
          <cell r="BT381" t="str">
            <v>CUE0000026</v>
          </cell>
          <cell r="BU381">
            <v>0.44999999999999996</v>
          </cell>
          <cell r="CL381" t="str">
            <v>CARAMELO</v>
          </cell>
          <cell r="CM381" t="str">
            <v>ARENA-CUERO NAPADO</v>
          </cell>
          <cell r="CN381" t="str">
            <v>CUE0000022</v>
          </cell>
          <cell r="CO381">
            <v>0.44999999999999996</v>
          </cell>
          <cell r="DI381">
            <v>0.44999999999999996</v>
          </cell>
          <cell r="KD381">
            <v>10</v>
          </cell>
          <cell r="KE381">
            <v>10</v>
          </cell>
          <cell r="KF381">
            <v>10</v>
          </cell>
          <cell r="KG381">
            <v>14</v>
          </cell>
          <cell r="KH381">
            <v>14</v>
          </cell>
          <cell r="KI381">
            <v>14</v>
          </cell>
          <cell r="KJ381">
            <v>20</v>
          </cell>
          <cell r="KK381">
            <v>20</v>
          </cell>
          <cell r="KL381">
            <v>20</v>
          </cell>
          <cell r="KM381">
            <v>0</v>
          </cell>
          <cell r="KP381">
            <v>0</v>
          </cell>
          <cell r="KS381">
            <v>0</v>
          </cell>
          <cell r="KV381">
            <v>0</v>
          </cell>
          <cell r="KY381">
            <v>0</v>
          </cell>
          <cell r="LB381">
            <v>0</v>
          </cell>
          <cell r="LE381">
            <v>0</v>
          </cell>
          <cell r="LH381">
            <v>0</v>
          </cell>
          <cell r="LK381">
            <v>0</v>
          </cell>
          <cell r="LN381">
            <v>45919</v>
          </cell>
          <cell r="LO381">
            <v>45945</v>
          </cell>
          <cell r="LP381" t="str">
            <v>COMPLETADO</v>
          </cell>
        </row>
        <row r="382">
          <cell r="A382" t="str">
            <v>2021-A</v>
          </cell>
          <cell r="B382" t="str">
            <v>RUBEN</v>
          </cell>
          <cell r="C382" t="str">
            <v>PERDRIEL</v>
          </cell>
          <cell r="D382" t="str">
            <v>MARROQUINERIA CHICA</v>
          </cell>
          <cell r="E382">
            <v>80</v>
          </cell>
          <cell r="F382">
            <v>80</v>
          </cell>
          <cell r="G382">
            <v>80</v>
          </cell>
          <cell r="H382">
            <v>45923.469687500001</v>
          </cell>
          <cell r="I382" t="str">
            <v>ESTUCHE 4</v>
          </cell>
          <cell r="M382">
            <v>3</v>
          </cell>
          <cell r="N382" t="str">
            <v>M206</v>
          </cell>
          <cell r="O382" t="str">
            <v>AV170134014</v>
          </cell>
          <cell r="P382">
            <v>0</v>
          </cell>
          <cell r="AX382" t="str">
            <v>AZUL_NOCHE</v>
          </cell>
          <cell r="AY382" t="str">
            <v>MA CUEROS-DESCARNE GAMUZADO 1/1.2</v>
          </cell>
          <cell r="AZ382" t="str">
            <v>CUE0000176R</v>
          </cell>
          <cell r="BA382">
            <v>0.02</v>
          </cell>
          <cell r="BR382" t="str">
            <v>GrisMedio</v>
          </cell>
          <cell r="BS382" t="str">
            <v>NAPOLITANA-CUERO GAMUZA</v>
          </cell>
          <cell r="BT382" t="str">
            <v>CUE0000041R</v>
          </cell>
          <cell r="BU382">
            <v>0.02</v>
          </cell>
          <cell r="KD382">
            <v>40</v>
          </cell>
          <cell r="KE382">
            <v>40</v>
          </cell>
          <cell r="KF382">
            <v>40</v>
          </cell>
          <cell r="KG382">
            <v>40</v>
          </cell>
          <cell r="KH382">
            <v>40</v>
          </cell>
          <cell r="KI382">
            <v>40</v>
          </cell>
          <cell r="KJ382">
            <v>0</v>
          </cell>
          <cell r="KM382">
            <v>0</v>
          </cell>
          <cell r="KP382">
            <v>0</v>
          </cell>
          <cell r="KS382">
            <v>0</v>
          </cell>
          <cell r="KV382">
            <v>0</v>
          </cell>
          <cell r="KY382">
            <v>0</v>
          </cell>
          <cell r="LB382">
            <v>0</v>
          </cell>
          <cell r="LE382">
            <v>0</v>
          </cell>
          <cell r="LH382">
            <v>0</v>
          </cell>
          <cell r="LK382">
            <v>0</v>
          </cell>
          <cell r="LP382" t="str">
            <v>NO COMENZADO</v>
          </cell>
        </row>
        <row r="383">
          <cell r="A383" t="str">
            <v>2022-A</v>
          </cell>
          <cell r="B383" t="str">
            <v>LUCIANO</v>
          </cell>
          <cell r="C383" t="str">
            <v>PERDRIEL</v>
          </cell>
          <cell r="D383" t="str">
            <v>MARROQUINERIA CHICA</v>
          </cell>
          <cell r="E383">
            <v>20</v>
          </cell>
          <cell r="F383">
            <v>20</v>
          </cell>
          <cell r="G383">
            <v>20</v>
          </cell>
          <cell r="H383">
            <v>45923.538171296299</v>
          </cell>
          <cell r="I383" t="str">
            <v>ESTUCHE 5</v>
          </cell>
          <cell r="J383">
            <v>45922</v>
          </cell>
          <cell r="K383">
            <v>45922</v>
          </cell>
          <cell r="L383">
            <v>45922</v>
          </cell>
          <cell r="M383">
            <v>10</v>
          </cell>
          <cell r="N383" t="str">
            <v>M207</v>
          </cell>
          <cell r="O383" t="str">
            <v>AV1001380102</v>
          </cell>
          <cell r="P383">
            <v>1</v>
          </cell>
          <cell r="Q383" t="str">
            <v>AV170134014</v>
          </cell>
          <cell r="R383">
            <v>0</v>
          </cell>
          <cell r="AX383" t="str">
            <v>AZUL_NOCHE</v>
          </cell>
          <cell r="AY383" t="str">
            <v>MA CUEROS-DESCARNE GAMUZADO 1/1.2</v>
          </cell>
          <cell r="AZ383" t="str">
            <v>CUE0000176R</v>
          </cell>
          <cell r="BA383">
            <v>0.05</v>
          </cell>
          <cell r="BR383" t="str">
            <v>GrisMedio</v>
          </cell>
          <cell r="BS383" t="str">
            <v>NAPOLITANA-CUERO GAMUZA</v>
          </cell>
          <cell r="BT383" t="str">
            <v>CUE0000041R</v>
          </cell>
          <cell r="BU383">
            <v>0.05</v>
          </cell>
          <cell r="KD383">
            <v>10</v>
          </cell>
          <cell r="KE383">
            <v>10</v>
          </cell>
          <cell r="KF383">
            <v>10</v>
          </cell>
          <cell r="KG383">
            <v>10</v>
          </cell>
          <cell r="KH383">
            <v>10</v>
          </cell>
          <cell r="KI383">
            <v>10</v>
          </cell>
          <cell r="KJ383">
            <v>0</v>
          </cell>
          <cell r="KM383">
            <v>0</v>
          </cell>
          <cell r="KP383">
            <v>0</v>
          </cell>
          <cell r="KS383">
            <v>0</v>
          </cell>
          <cell r="KV383">
            <v>0</v>
          </cell>
          <cell r="KY383">
            <v>0</v>
          </cell>
          <cell r="LB383">
            <v>0</v>
          </cell>
          <cell r="LE383">
            <v>0</v>
          </cell>
          <cell r="LH383">
            <v>0</v>
          </cell>
          <cell r="LK383">
            <v>0</v>
          </cell>
          <cell r="LN383">
            <v>45922</v>
          </cell>
          <cell r="LO383">
            <v>45937</v>
          </cell>
          <cell r="LP383" t="str">
            <v>COMPLETADO</v>
          </cell>
        </row>
        <row r="384">
          <cell r="A384" t="str">
            <v>2023-A</v>
          </cell>
          <cell r="B384" t="str">
            <v>LUCIANO</v>
          </cell>
          <cell r="C384" t="str">
            <v>PERDRIEL</v>
          </cell>
          <cell r="D384" t="str">
            <v>MARROQUINERIA CHICA</v>
          </cell>
          <cell r="E384">
            <v>120</v>
          </cell>
          <cell r="F384">
            <v>120</v>
          </cell>
          <cell r="G384">
            <v>120</v>
          </cell>
          <cell r="H384">
            <v>45923.547858796293</v>
          </cell>
          <cell r="I384" t="str">
            <v>ESTUCHE 6</v>
          </cell>
          <cell r="J384">
            <v>45922</v>
          </cell>
          <cell r="K384">
            <v>45922</v>
          </cell>
          <cell r="L384">
            <v>45922</v>
          </cell>
          <cell r="M384">
            <v>4</v>
          </cell>
          <cell r="N384" t="str">
            <v>M208</v>
          </cell>
          <cell r="O384" t="str">
            <v>AV170134014</v>
          </cell>
          <cell r="P384">
            <v>0</v>
          </cell>
          <cell r="AX384" t="str">
            <v>AZUL_NOCHE</v>
          </cell>
          <cell r="AY384" t="str">
            <v>MA CUEROS-DESCARNE GAMUZADO 1/1.2</v>
          </cell>
          <cell r="AZ384" t="str">
            <v>CUE0000176R</v>
          </cell>
          <cell r="BA384">
            <v>0.02</v>
          </cell>
          <cell r="BR384" t="str">
            <v>GrisMedio</v>
          </cell>
          <cell r="BS384" t="str">
            <v>NAPOLITANA-CUERO GAMUZA</v>
          </cell>
          <cell r="BT384" t="str">
            <v>CUE0000041R</v>
          </cell>
          <cell r="BU384">
            <v>0.02</v>
          </cell>
          <cell r="KD384">
            <v>60</v>
          </cell>
          <cell r="KE384">
            <v>60</v>
          </cell>
          <cell r="KF384">
            <v>60</v>
          </cell>
          <cell r="KG384">
            <v>60</v>
          </cell>
          <cell r="KH384">
            <v>60</v>
          </cell>
          <cell r="KI384">
            <v>60</v>
          </cell>
          <cell r="KJ384">
            <v>0</v>
          </cell>
          <cell r="KM384">
            <v>0</v>
          </cell>
          <cell r="KP384">
            <v>0</v>
          </cell>
          <cell r="KS384">
            <v>0</v>
          </cell>
          <cell r="KV384">
            <v>0</v>
          </cell>
          <cell r="KY384">
            <v>0</v>
          </cell>
          <cell r="LB384">
            <v>0</v>
          </cell>
          <cell r="LE384">
            <v>0</v>
          </cell>
          <cell r="LH384">
            <v>0</v>
          </cell>
          <cell r="LK384">
            <v>0</v>
          </cell>
          <cell r="LN384">
            <v>45922</v>
          </cell>
          <cell r="LO384">
            <v>45937</v>
          </cell>
          <cell r="LP384" t="str">
            <v>COMPLETADO</v>
          </cell>
        </row>
        <row r="385">
          <cell r="A385" t="str">
            <v>2024-A</v>
          </cell>
          <cell r="B385" t="str">
            <v>LUCIANO</v>
          </cell>
          <cell r="C385" t="str">
            <v>PERDRIEL</v>
          </cell>
          <cell r="D385" t="str">
            <v>MARROQUINERIA CHICA</v>
          </cell>
          <cell r="E385">
            <v>40</v>
          </cell>
          <cell r="F385">
            <v>40</v>
          </cell>
          <cell r="G385">
            <v>40</v>
          </cell>
          <cell r="H385">
            <v>45923.561597222222</v>
          </cell>
          <cell r="I385" t="str">
            <v>ESTUCHE 7</v>
          </cell>
          <cell r="J385">
            <v>45922</v>
          </cell>
          <cell r="K385">
            <v>45922</v>
          </cell>
          <cell r="L385">
            <v>45922</v>
          </cell>
          <cell r="M385">
            <v>4</v>
          </cell>
          <cell r="N385" t="str">
            <v>M209</v>
          </cell>
          <cell r="O385" t="str">
            <v>AV170134014</v>
          </cell>
          <cell r="P385">
            <v>0</v>
          </cell>
          <cell r="AX385" t="str">
            <v>AZUL_NOCHE</v>
          </cell>
          <cell r="AY385" t="str">
            <v>MA CUEROS-DESCARNE GAMUZADO 1/1.2</v>
          </cell>
          <cell r="AZ385" t="str">
            <v>CUE0000176R</v>
          </cell>
          <cell r="BA385">
            <v>0.03</v>
          </cell>
          <cell r="BR385" t="str">
            <v>GrisMedio</v>
          </cell>
          <cell r="BS385" t="str">
            <v>NAPOLITANA-CUERO GAMUZA</v>
          </cell>
          <cell r="BT385" t="str">
            <v>CUE0000041R</v>
          </cell>
          <cell r="BU385">
            <v>0.03</v>
          </cell>
          <cell r="KD385">
            <v>20</v>
          </cell>
          <cell r="KE385">
            <v>20</v>
          </cell>
          <cell r="KF385">
            <v>20</v>
          </cell>
          <cell r="KG385">
            <v>20</v>
          </cell>
          <cell r="KH385">
            <v>20</v>
          </cell>
          <cell r="KI385">
            <v>20</v>
          </cell>
          <cell r="KJ385">
            <v>0</v>
          </cell>
          <cell r="KM385">
            <v>0</v>
          </cell>
          <cell r="KP385">
            <v>0</v>
          </cell>
          <cell r="KS385">
            <v>0</v>
          </cell>
          <cell r="KV385">
            <v>0</v>
          </cell>
          <cell r="KY385">
            <v>0</v>
          </cell>
          <cell r="LB385">
            <v>0</v>
          </cell>
          <cell r="LE385">
            <v>0</v>
          </cell>
          <cell r="LH385">
            <v>0</v>
          </cell>
          <cell r="LK385">
            <v>0</v>
          </cell>
          <cell r="LN385">
            <v>45922</v>
          </cell>
          <cell r="LO385">
            <v>45937</v>
          </cell>
          <cell r="LP385" t="str">
            <v>COMPLETADO</v>
          </cell>
        </row>
        <row r="386">
          <cell r="A386">
            <v>18613</v>
          </cell>
          <cell r="B386" t="str">
            <v>LUCIANO</v>
          </cell>
          <cell r="C386" t="str">
            <v>BARRACAS CHICA</v>
          </cell>
          <cell r="D386" t="str">
            <v>MARROQUINERIA CHICA</v>
          </cell>
          <cell r="E386">
            <v>3</v>
          </cell>
          <cell r="F386">
            <v>3</v>
          </cell>
          <cell r="G386">
            <v>3</v>
          </cell>
          <cell r="H386">
            <v>45930.512615740743</v>
          </cell>
          <cell r="I386" t="str">
            <v>PHONEBAG TANIA</v>
          </cell>
          <cell r="J386">
            <v>45923</v>
          </cell>
          <cell r="K386">
            <v>45923</v>
          </cell>
          <cell r="L386">
            <v>45933</v>
          </cell>
          <cell r="M386">
            <v>20</v>
          </cell>
          <cell r="N386" t="str">
            <v>M076</v>
          </cell>
          <cell r="O386" t="str">
            <v>AV0700510101</v>
          </cell>
          <cell r="P386">
            <v>1</v>
          </cell>
          <cell r="Q386" t="str">
            <v>AV0400770101</v>
          </cell>
          <cell r="R386">
            <v>1</v>
          </cell>
          <cell r="S386" t="str">
            <v>AV0400230101</v>
          </cell>
          <cell r="T386">
            <v>1</v>
          </cell>
          <cell r="U386" t="str">
            <v>AV0300400101</v>
          </cell>
          <cell r="V386">
            <v>3</v>
          </cell>
          <cell r="W386" t="str">
            <v>AV170129018</v>
          </cell>
          <cell r="X386">
            <v>0</v>
          </cell>
          <cell r="AS386" t="str">
            <v>CORREA 0.13 CM / SIMPLE SIN CONTRAPEGAR / SIN PINTURA</v>
          </cell>
          <cell r="AU386" t="str">
            <v>VERSION PELO bridge en: correa y SOLAPA</v>
          </cell>
          <cell r="AV386" t="str">
            <v>VERSION VINTAGE, todo en el mismo material.</v>
          </cell>
          <cell r="AW386" t="str">
            <v>GRABADO "EL LUCERO ARGENTINA" EN PARTE DE ATRAS INFERIOR CENTRADO</v>
          </cell>
          <cell r="AX386" t="str">
            <v>OLIVA_GAMUZA_TABACO</v>
          </cell>
          <cell r="AY386" t="str">
            <v>NAPOLITANA-CUERO GAMUZA</v>
          </cell>
          <cell r="AZ386" t="str">
            <v>CUE0000047R</v>
          </cell>
          <cell r="BA386">
            <v>0.04</v>
          </cell>
          <cell r="BB386" t="str">
            <v>CUE0000012</v>
          </cell>
          <cell r="BC386">
            <v>0.05</v>
          </cell>
          <cell r="BD386" t="str">
            <v>AV1401250545</v>
          </cell>
          <cell r="BE386">
            <v>0</v>
          </cell>
          <cell r="BF386" t="str">
            <v>AV1601300954</v>
          </cell>
          <cell r="BG386">
            <v>0</v>
          </cell>
          <cell r="KD386">
            <v>3</v>
          </cell>
          <cell r="KE386">
            <v>3</v>
          </cell>
          <cell r="KF386">
            <v>3</v>
          </cell>
          <cell r="KG386">
            <v>0</v>
          </cell>
          <cell r="KJ386">
            <v>0</v>
          </cell>
          <cell r="KM386">
            <v>0</v>
          </cell>
          <cell r="KP386">
            <v>0</v>
          </cell>
          <cell r="KS386">
            <v>0</v>
          </cell>
          <cell r="KV386">
            <v>0</v>
          </cell>
          <cell r="KY386">
            <v>0</v>
          </cell>
          <cell r="LB386">
            <v>0</v>
          </cell>
          <cell r="LE386">
            <v>0</v>
          </cell>
          <cell r="LH386">
            <v>0</v>
          </cell>
          <cell r="LK386">
            <v>0</v>
          </cell>
          <cell r="LN386">
            <v>45923</v>
          </cell>
          <cell r="LO386">
            <v>45937</v>
          </cell>
          <cell r="LP386" t="str">
            <v>COMPLETADO</v>
          </cell>
        </row>
        <row r="387">
          <cell r="A387">
            <v>19322</v>
          </cell>
          <cell r="B387" t="str">
            <v>RUBEN</v>
          </cell>
          <cell r="C387" t="str">
            <v>BARRACAS GRANDE</v>
          </cell>
          <cell r="D387" t="str">
            <v>MARROQUINERIA GRANDE</v>
          </cell>
          <cell r="E387">
            <v>6</v>
          </cell>
          <cell r="F387">
            <v>6</v>
          </cell>
          <cell r="H387">
            <v>45930.523761574077</v>
          </cell>
          <cell r="I387" t="str">
            <v>CARTERA HARPER</v>
          </cell>
          <cell r="M387">
            <v>50</v>
          </cell>
          <cell r="N387" t="str">
            <v>M158</v>
          </cell>
          <cell r="O387" t="str">
            <v>BAC1300020827</v>
          </cell>
          <cell r="P387">
            <v>0.06</v>
          </cell>
          <cell r="Q387" t="str">
            <v>AV0700420101</v>
          </cell>
          <cell r="R387">
            <v>2</v>
          </cell>
          <cell r="S387" t="str">
            <v>AV0101040201</v>
          </cell>
          <cell r="T387">
            <v>2</v>
          </cell>
          <cell r="U387" t="str">
            <v>AV1000840101</v>
          </cell>
          <cell r="V387">
            <v>2</v>
          </cell>
          <cell r="W387" t="str">
            <v>AV0600540101</v>
          </cell>
          <cell r="X387">
            <v>2</v>
          </cell>
          <cell r="Y387" t="str">
            <v>AV0700490101</v>
          </cell>
          <cell r="Z387">
            <v>1</v>
          </cell>
          <cell r="AA387" t="str">
            <v>AV170129018</v>
          </cell>
          <cell r="AB387">
            <v>0</v>
          </cell>
          <cell r="AS387" t="str">
            <v>NO LLEVA PINTURA</v>
          </cell>
          <cell r="AT387" t="str">
            <v xml:space="preserve"> SE MODIFICA LA CORREA Y PASA A TENER CORREA LARGA CON HEBILLA CINTO PASE 40  IDEM CARTERA  EMILIA</v>
          </cell>
          <cell r="AW387" t="str">
            <v>GRABADO "EL LUCERO" CHICO CENTRADO EN LA PRESILLA DERECHA</v>
          </cell>
          <cell r="AX387" t="str">
            <v>OLIVA_GAMUZA_TABACO</v>
          </cell>
          <cell r="AY387" t="str">
            <v>NAPOLITANA-CUERO GAMUZA</v>
          </cell>
          <cell r="AZ387" t="str">
            <v>CUE0000047</v>
          </cell>
          <cell r="BA387">
            <v>0.45</v>
          </cell>
          <cell r="BB387" t="str">
            <v>CUE0000012</v>
          </cell>
          <cell r="BC387">
            <v>0.18</v>
          </cell>
          <cell r="BD387" t="str">
            <v>FOR0000021</v>
          </cell>
          <cell r="BE387">
            <v>0.32</v>
          </cell>
          <cell r="BF387" t="str">
            <v>AV0100010114</v>
          </cell>
          <cell r="BG387">
            <v>0.83</v>
          </cell>
          <cell r="KD387">
            <v>6</v>
          </cell>
          <cell r="KE387">
            <v>6</v>
          </cell>
          <cell r="KG387">
            <v>0</v>
          </cell>
          <cell r="KJ387">
            <v>0</v>
          </cell>
          <cell r="KM387">
            <v>0</v>
          </cell>
          <cell r="KP387">
            <v>0</v>
          </cell>
          <cell r="KS387">
            <v>0</v>
          </cell>
          <cell r="KV387">
            <v>0</v>
          </cell>
          <cell r="KY387">
            <v>0</v>
          </cell>
          <cell r="LB387">
            <v>0</v>
          </cell>
          <cell r="LE387">
            <v>0</v>
          </cell>
          <cell r="LH387">
            <v>0</v>
          </cell>
          <cell r="LK387">
            <v>0</v>
          </cell>
          <cell r="LP387" t="str">
            <v>NO COMENZADO</v>
          </cell>
        </row>
        <row r="388">
          <cell r="A388" t="str">
            <v>1969-A</v>
          </cell>
          <cell r="B388" t="str">
            <v>LUCIANO</v>
          </cell>
          <cell r="C388" t="str">
            <v>PERDRIEL</v>
          </cell>
          <cell r="D388" t="str">
            <v>MARROQUINERIA CHICA</v>
          </cell>
          <cell r="E388">
            <v>17</v>
          </cell>
          <cell r="F388">
            <v>17</v>
          </cell>
          <cell r="G388">
            <v>17</v>
          </cell>
          <cell r="H388">
            <v>45930.5315625</v>
          </cell>
          <cell r="I388" t="str">
            <v>CINTO FLORA 2</v>
          </cell>
          <cell r="J388">
            <v>45972</v>
          </cell>
          <cell r="K388">
            <v>45911</v>
          </cell>
          <cell r="L388">
            <v>45972</v>
          </cell>
          <cell r="M388">
            <v>35</v>
          </cell>
          <cell r="N388" t="str">
            <v>M182</v>
          </cell>
          <cell r="O388" t="str">
            <v>VAR0000045</v>
          </cell>
          <cell r="P388">
            <v>1</v>
          </cell>
          <cell r="Q388" t="str">
            <v>AV170134014</v>
          </cell>
          <cell r="R388">
            <v>0</v>
          </cell>
          <cell r="AS388" t="str">
            <v xml:space="preserve"> LLEVA 5 ORIFICIOS / VA PINTADO</v>
          </cell>
          <cell r="AT388" t="str">
            <v>LLEVA STICKER DE TALLE</v>
          </cell>
          <cell r="AU388" t="str">
            <v>EL TALLE S/M SERA EL S DE CINTURON MIA 106 CM LARGO SIN HEBILLLA</v>
          </cell>
          <cell r="AV388" t="str">
            <v>EL TALLE M/L SERA EL M DE CINTURON MIA 115 CM LARGO SIN HEBILLLA</v>
          </cell>
          <cell r="AW388" t="str">
            <v>3 GRABADOS "EL LUCERO ARGENTINA CHICO, MAS SIMBOLO "TODO CUERO" MAS LETRA TALLE "S M" O "M L"</v>
          </cell>
          <cell r="AX388" t="str">
            <v>TABACO_GAMUZA_NEGRO</v>
          </cell>
          <cell r="AY388" t="str">
            <v>NAPOLITANA-CUERO GAMUZA</v>
          </cell>
          <cell r="AZ388" t="str">
            <v>CUE0000050R</v>
          </cell>
          <cell r="BA388">
            <v>0.09</v>
          </cell>
          <cell r="BB388" t="str">
            <v>CUE0000063</v>
          </cell>
          <cell r="BC388">
            <v>7.0000000000000007E-2</v>
          </cell>
          <cell r="BR388" t="str">
            <v>TABACO_GAMUZA_NEGRO</v>
          </cell>
          <cell r="BS388" t="str">
            <v>NAPOLITANA-CUERO GAMUZA</v>
          </cell>
          <cell r="BT388" t="str">
            <v>CUE0000050R</v>
          </cell>
          <cell r="BU388">
            <v>0.09</v>
          </cell>
          <cell r="BV388" t="str">
            <v>CUE0000063</v>
          </cell>
          <cell r="BW388">
            <v>7.0000000000000007E-2</v>
          </cell>
          <cell r="CL388" t="str">
            <v>CHOCOLATE_GAMUZA_NEGRO</v>
          </cell>
          <cell r="CM388" t="str">
            <v>NAPOLITANA-CUERO GAMUZA</v>
          </cell>
          <cell r="CN388" t="str">
            <v>CUE0000040R</v>
          </cell>
          <cell r="CO388">
            <v>0.09</v>
          </cell>
          <cell r="CP388" t="str">
            <v>CUE0000063</v>
          </cell>
          <cell r="CQ388">
            <v>7.0000000000000007E-2</v>
          </cell>
          <cell r="DF388" t="str">
            <v>CHOCOLATE_GAMUZA_NEGRO</v>
          </cell>
          <cell r="DG388" t="str">
            <v>NAPOLITANA-CUERO GAMUZA</v>
          </cell>
          <cell r="DH388" t="str">
            <v>CUE0000040R</v>
          </cell>
          <cell r="DI388">
            <v>0.09</v>
          </cell>
          <cell r="DJ388" t="str">
            <v>CUE0000063</v>
          </cell>
          <cell r="DK388">
            <v>7.0000000000000007E-2</v>
          </cell>
          <cell r="KD388">
            <v>6</v>
          </cell>
          <cell r="KE388">
            <v>6</v>
          </cell>
          <cell r="KF388">
            <v>6</v>
          </cell>
          <cell r="KG388">
            <v>2</v>
          </cell>
          <cell r="KH388">
            <v>2</v>
          </cell>
          <cell r="KI388">
            <v>2</v>
          </cell>
          <cell r="KJ388">
            <v>6</v>
          </cell>
          <cell r="KK388">
            <v>6</v>
          </cell>
          <cell r="KL388">
            <v>6</v>
          </cell>
          <cell r="KM388">
            <v>3</v>
          </cell>
          <cell r="KN388">
            <v>3</v>
          </cell>
          <cell r="KO388">
            <v>3</v>
          </cell>
          <cell r="KP388">
            <v>0</v>
          </cell>
          <cell r="KS388">
            <v>0</v>
          </cell>
          <cell r="KV388">
            <v>0</v>
          </cell>
          <cell r="KY388">
            <v>0</v>
          </cell>
          <cell r="LB388">
            <v>0</v>
          </cell>
          <cell r="LE388">
            <v>0</v>
          </cell>
          <cell r="LH388">
            <v>0</v>
          </cell>
          <cell r="LK388">
            <v>0</v>
          </cell>
          <cell r="LN388">
            <v>45971</v>
          </cell>
          <cell r="LO388">
            <v>45980</v>
          </cell>
          <cell r="LP388" t="str">
            <v>COMPLETADO</v>
          </cell>
          <cell r="LQ388" t="str">
            <v>TALLE S/M</v>
          </cell>
          <cell r="LR388" t="str">
            <v>TALLE M/L</v>
          </cell>
          <cell r="LS388" t="str">
            <v>TALLE S/M</v>
          </cell>
          <cell r="LT388" t="str">
            <v>TALLE M/L</v>
          </cell>
        </row>
        <row r="389">
          <cell r="A389" t="str">
            <v>2058-A</v>
          </cell>
          <cell r="B389" t="str">
            <v>RUBEN</v>
          </cell>
          <cell r="C389" t="str">
            <v>BARRACAS GRANDE</v>
          </cell>
          <cell r="D389" t="str">
            <v>MARROQUINERIA GRANDE</v>
          </cell>
          <cell r="E389">
            <v>12</v>
          </cell>
          <cell r="F389">
            <v>6</v>
          </cell>
          <cell r="G389">
            <v>6</v>
          </cell>
          <cell r="H389">
            <v>45936.795335648145</v>
          </cell>
          <cell r="I389" t="str">
            <v>CARTERA VERA</v>
          </cell>
          <cell r="J389">
            <v>45936</v>
          </cell>
          <cell r="K389">
            <v>45936</v>
          </cell>
          <cell r="L389">
            <v>45940</v>
          </cell>
          <cell r="M389">
            <v>40</v>
          </cell>
          <cell r="N389" t="str">
            <v>M184</v>
          </cell>
          <cell r="O389" t="str">
            <v>BAC1300020827</v>
          </cell>
          <cell r="P389">
            <v>0.06</v>
          </cell>
          <cell r="Q389" t="str">
            <v>AV0101040201</v>
          </cell>
          <cell r="R389">
            <v>1</v>
          </cell>
          <cell r="S389" t="str">
            <v>AV0600540101</v>
          </cell>
          <cell r="T389">
            <v>1</v>
          </cell>
          <cell r="U389" t="str">
            <v>AV1000920101</v>
          </cell>
          <cell r="V389">
            <v>1</v>
          </cell>
          <cell r="W389" t="str">
            <v>AV0101030201</v>
          </cell>
          <cell r="X389">
            <v>1</v>
          </cell>
          <cell r="Y389" t="str">
            <v>AV1000380101</v>
          </cell>
          <cell r="Z389">
            <v>1</v>
          </cell>
          <cell r="AA389" t="str">
            <v>AV0300390101</v>
          </cell>
          <cell r="AB389">
            <v>1</v>
          </cell>
          <cell r="AC389" t="str">
            <v>AV170129018</v>
          </cell>
          <cell r="AD389">
            <v>0</v>
          </cell>
          <cell r="AS389" t="str">
            <v>TIRACIERRE N1 - TIRA DE CUERO CON REMACHE Y GRABADO ESTRELLITA</v>
          </cell>
          <cell r="AT389" t="str">
            <v>TOTAL 12 ORIFICIOS</v>
          </cell>
          <cell r="AW389" t="str">
            <v>GRABADO "EL LUCERO" GRANDE EN ZOCALO BOLSILLO INTERNO CENTRADO ABAJO</v>
          </cell>
          <cell r="AX389" t="str">
            <v>CAFE_NOBUCK_TABACO</v>
          </cell>
          <cell r="AY389" t="str">
            <v>NAPOLITANA-CUERO NOBUCK</v>
          </cell>
          <cell r="AZ389" t="str">
            <v>CUE0000182</v>
          </cell>
          <cell r="BA389">
            <v>0.49</v>
          </cell>
          <cell r="BB389" t="str">
            <v>CUE0000012</v>
          </cell>
          <cell r="BC389">
            <v>0.12</v>
          </cell>
          <cell r="BD389" t="str">
            <v>FOR0000021</v>
          </cell>
          <cell r="BE389">
            <v>0.4</v>
          </cell>
          <cell r="BF389" t="str">
            <v>AV0100010114</v>
          </cell>
          <cell r="BG389">
            <v>0.78</v>
          </cell>
          <cell r="BR389" t="str">
            <v>OXIDO_GAMUZA_TABACO</v>
          </cell>
          <cell r="BS389" t="str">
            <v>NAPOLITANA-CUERO GAMUZA</v>
          </cell>
          <cell r="BT389" t="str">
            <v>CUE0000048</v>
          </cell>
          <cell r="BU389">
            <v>0.49</v>
          </cell>
          <cell r="BV389" t="str">
            <v>CUE0000012</v>
          </cell>
          <cell r="BW389">
            <v>0.12</v>
          </cell>
          <cell r="BX389" t="str">
            <v>FOR0000021</v>
          </cell>
          <cell r="BY389">
            <v>0.4</v>
          </cell>
          <cell r="BZ389" t="str">
            <v>AV0100010114</v>
          </cell>
          <cell r="CA389">
            <v>0.78</v>
          </cell>
          <cell r="KD389">
            <v>6</v>
          </cell>
          <cell r="KE389">
            <v>6</v>
          </cell>
          <cell r="KF389">
            <v>6</v>
          </cell>
          <cell r="KG389">
            <v>6</v>
          </cell>
          <cell r="KH389">
            <v>0</v>
          </cell>
          <cell r="KI389">
            <v>0</v>
          </cell>
          <cell r="KJ389">
            <v>0</v>
          </cell>
          <cell r="KM389">
            <v>0</v>
          </cell>
          <cell r="KP389">
            <v>0</v>
          </cell>
          <cell r="KS389">
            <v>0</v>
          </cell>
          <cell r="KV389">
            <v>0</v>
          </cell>
          <cell r="KY389">
            <v>0</v>
          </cell>
          <cell r="LB389">
            <v>0</v>
          </cell>
          <cell r="LE389">
            <v>0</v>
          </cell>
          <cell r="LH389">
            <v>0</v>
          </cell>
          <cell r="LK389">
            <v>0</v>
          </cell>
          <cell r="LN389">
            <v>45936</v>
          </cell>
          <cell r="LO389">
            <v>45951</v>
          </cell>
          <cell r="LP389" t="str">
            <v>COMPLETADO</v>
          </cell>
          <cell r="LQ389" t="str">
            <v>NOBUCK DE NAPOLITANA USAR EL NOBUCK DEL LADO DEL FRENTE DE LA CARTERA!!!</v>
          </cell>
          <cell r="LR389" t="str">
            <v>NOBUCK DE NAPOLITANA USAR EL NOBUCK DEL LADO DEL FRENTE DE LA CARTERA!!!</v>
          </cell>
        </row>
        <row r="390">
          <cell r="A390" t="str">
            <v>2059-A</v>
          </cell>
          <cell r="B390" t="str">
            <v>LUCIANO</v>
          </cell>
          <cell r="C390" t="str">
            <v>INTERNO JAVIER</v>
          </cell>
          <cell r="D390" t="str">
            <v>MARROQUINERIA CHICA</v>
          </cell>
          <cell r="E390">
            <v>12</v>
          </cell>
          <cell r="F390">
            <v>12</v>
          </cell>
          <cell r="G390">
            <v>12</v>
          </cell>
          <cell r="H390">
            <v>45936.798032407409</v>
          </cell>
          <cell r="I390" t="str">
            <v>PORTAVINO RIOJA</v>
          </cell>
          <cell r="J390">
            <v>45936</v>
          </cell>
          <cell r="K390">
            <v>45936</v>
          </cell>
          <cell r="L390">
            <v>45940</v>
          </cell>
          <cell r="M390">
            <v>15</v>
          </cell>
          <cell r="N390" t="str">
            <v>M155</v>
          </cell>
          <cell r="O390" t="str">
            <v>AV170134014</v>
          </cell>
          <cell r="P390">
            <v>0</v>
          </cell>
          <cell r="AW390" t="str">
            <v>GRABADO "EL LUCERO ARGENTINA " EN LA PARTE DE ATRAS A 2 CM DE LA COSTURA DE LA MANIJA</v>
          </cell>
          <cell r="AX390" t="str">
            <v>SUELA</v>
          </cell>
          <cell r="AY390" t="str">
            <v>LA HERMIDA-CUERO VACHETTA LADO COLOR</v>
          </cell>
          <cell r="AZ390" t="str">
            <v>CUE0000065R</v>
          </cell>
          <cell r="BA390">
            <v>0.14000000000000001</v>
          </cell>
          <cell r="KD390">
            <v>12</v>
          </cell>
          <cell r="KE390">
            <v>12</v>
          </cell>
          <cell r="KF390">
            <v>12</v>
          </cell>
          <cell r="KG390">
            <v>0</v>
          </cell>
          <cell r="KJ390">
            <v>0</v>
          </cell>
          <cell r="KM390">
            <v>0</v>
          </cell>
          <cell r="KP390">
            <v>0</v>
          </cell>
          <cell r="KS390">
            <v>0</v>
          </cell>
          <cell r="KV390">
            <v>0</v>
          </cell>
          <cell r="KY390">
            <v>0</v>
          </cell>
          <cell r="LB390">
            <v>0</v>
          </cell>
          <cell r="LE390">
            <v>0</v>
          </cell>
          <cell r="LH390">
            <v>0</v>
          </cell>
          <cell r="LK390">
            <v>0</v>
          </cell>
          <cell r="LN390">
            <v>45936</v>
          </cell>
          <cell r="LO390">
            <v>45951</v>
          </cell>
          <cell r="LP390" t="str">
            <v>COMPLETADO</v>
          </cell>
        </row>
        <row r="391">
          <cell r="A391" t="str">
            <v>2083-A</v>
          </cell>
          <cell r="B391" t="str">
            <v>LUCIANO</v>
          </cell>
          <cell r="C391" t="str">
            <v>EXT GABRIEL</v>
          </cell>
          <cell r="D391" t="str">
            <v>MARROQUINERIA CHICA</v>
          </cell>
          <cell r="E391">
            <v>28</v>
          </cell>
          <cell r="F391">
            <v>28</v>
          </cell>
          <cell r="G391">
            <v>28</v>
          </cell>
          <cell r="H391">
            <v>45936.810578703706</v>
          </cell>
          <cell r="I391" t="str">
            <v>TARJETERO BILL</v>
          </cell>
          <cell r="J391">
            <v>45939</v>
          </cell>
          <cell r="K391">
            <v>45939</v>
          </cell>
          <cell r="L391">
            <v>45939</v>
          </cell>
          <cell r="M391">
            <v>13</v>
          </cell>
          <cell r="N391" t="str">
            <v>M124</v>
          </cell>
          <cell r="O391" t="str">
            <v>AV170134014</v>
          </cell>
          <cell r="P391">
            <v>0</v>
          </cell>
          <cell r="AW391" t="str">
            <v xml:space="preserve">GRABADO " EL LUCERO ARG." CHICO EN EL FRENTE CENTRADO, A 1,5CM DEL BORDE INFERIOR  </v>
          </cell>
          <cell r="AX391" t="str">
            <v>CARAMELO</v>
          </cell>
          <cell r="AY391" t="str">
            <v>ARENA-CUERO BRIDGE</v>
          </cell>
          <cell r="AZ391" t="str">
            <v>CUE0000004R</v>
          </cell>
          <cell r="BA391">
            <v>0.05</v>
          </cell>
          <cell r="BB391" t="str">
            <v>AV1401254160</v>
          </cell>
          <cell r="BC391">
            <v>0</v>
          </cell>
          <cell r="BD391" t="str">
            <v>AV1601300955</v>
          </cell>
          <cell r="BE391">
            <v>0</v>
          </cell>
          <cell r="BR391" t="str">
            <v>ROJO</v>
          </cell>
          <cell r="BS391" t="str">
            <v>ARENA-CUERO BRIDGE</v>
          </cell>
          <cell r="BT391" t="str">
            <v>CUE0000010R</v>
          </cell>
          <cell r="BU391">
            <v>0.05</v>
          </cell>
          <cell r="BV391" t="str">
            <v>AV1401254460</v>
          </cell>
          <cell r="BW391">
            <v>0</v>
          </cell>
          <cell r="BX391" t="str">
            <v>AV1601300929</v>
          </cell>
          <cell r="BY391">
            <v>0</v>
          </cell>
          <cell r="CL391" t="str">
            <v>SUELA</v>
          </cell>
          <cell r="CM391" t="str">
            <v>ARENA-CUERO NAPADO</v>
          </cell>
          <cell r="CN391" t="str">
            <v>CUE0000028R</v>
          </cell>
          <cell r="CO391">
            <v>0.05</v>
          </cell>
          <cell r="CP391" t="str">
            <v>AV1401250545</v>
          </cell>
          <cell r="CQ391">
            <v>0</v>
          </cell>
          <cell r="CR391" t="str">
            <v>AV1601300955</v>
          </cell>
          <cell r="CS391">
            <v>0</v>
          </cell>
          <cell r="KD391">
            <v>4</v>
          </cell>
          <cell r="KE391">
            <v>4</v>
          </cell>
          <cell r="KF391">
            <v>4</v>
          </cell>
          <cell r="KG391">
            <v>12</v>
          </cell>
          <cell r="KH391">
            <v>12</v>
          </cell>
          <cell r="KI391">
            <v>12</v>
          </cell>
          <cell r="KJ391">
            <v>12</v>
          </cell>
          <cell r="KK391">
            <v>12</v>
          </cell>
          <cell r="KL391">
            <v>12</v>
          </cell>
          <cell r="KM391">
            <v>0</v>
          </cell>
          <cell r="KP391">
            <v>0</v>
          </cell>
          <cell r="KS391">
            <v>0</v>
          </cell>
          <cell r="KV391">
            <v>0</v>
          </cell>
          <cell r="KY391">
            <v>0</v>
          </cell>
          <cell r="LB391">
            <v>0</v>
          </cell>
          <cell r="LE391">
            <v>0</v>
          </cell>
          <cell r="LH391">
            <v>0</v>
          </cell>
          <cell r="LK391">
            <v>0</v>
          </cell>
          <cell r="LN391">
            <v>45939</v>
          </cell>
          <cell r="LO391">
            <v>45945</v>
          </cell>
          <cell r="LP391" t="str">
            <v>COMPLETADO</v>
          </cell>
        </row>
        <row r="392">
          <cell r="A392" t="str">
            <v>2084-A</v>
          </cell>
          <cell r="B392" t="str">
            <v>LUCIANO</v>
          </cell>
          <cell r="C392" t="str">
            <v>EXT GABRIEL</v>
          </cell>
          <cell r="D392" t="str">
            <v>MARROQUINERIA CHICA</v>
          </cell>
          <cell r="E392">
            <v>27</v>
          </cell>
          <cell r="F392">
            <v>27</v>
          </cell>
          <cell r="G392">
            <v>27</v>
          </cell>
          <cell r="H392">
            <v>45936.814131944448</v>
          </cell>
          <cell r="I392" t="str">
            <v>TARJETERO VINCENT</v>
          </cell>
          <cell r="J392">
            <v>45939</v>
          </cell>
          <cell r="K392">
            <v>45939</v>
          </cell>
          <cell r="L392">
            <v>45939</v>
          </cell>
          <cell r="M392">
            <v>35</v>
          </cell>
          <cell r="N392" t="str">
            <v>M130</v>
          </cell>
          <cell r="O392" t="str">
            <v>AV0700420101</v>
          </cell>
          <cell r="P392">
            <v>2</v>
          </cell>
          <cell r="Q392" t="str">
            <v>AV170134014</v>
          </cell>
          <cell r="R392">
            <v>0</v>
          </cell>
          <cell r="AW392" t="str">
            <v xml:space="preserve">GRABADO "EL LUCERO ARGENTINA" CHICO EN ESPALDA, A 1,5 CM DEL BORDE INFERIOR, CENTRADO.  </v>
          </cell>
          <cell r="AX392" t="str">
            <v>TABACO</v>
          </cell>
          <cell r="AY392" t="str">
            <v>ARENA-CUERO BRIDGE</v>
          </cell>
          <cell r="AZ392" t="str">
            <v>CUE0000012R</v>
          </cell>
          <cell r="BA392">
            <v>0.06</v>
          </cell>
          <cell r="BB392" t="str">
            <v>FOR0000015</v>
          </cell>
          <cell r="BC392">
            <v>0.02</v>
          </cell>
          <cell r="BD392" t="str">
            <v>AV1401250545</v>
          </cell>
          <cell r="BE392">
            <v>0</v>
          </cell>
          <cell r="BF392" t="str">
            <v>AV1601300954</v>
          </cell>
          <cell r="BG392">
            <v>0</v>
          </cell>
          <cell r="BR392" t="str">
            <v>ROJO</v>
          </cell>
          <cell r="BS392" t="str">
            <v>ARENA-CUERO BRIDGE</v>
          </cell>
          <cell r="BT392" t="str">
            <v>CUE0000010R</v>
          </cell>
          <cell r="BU392">
            <v>0.06</v>
          </cell>
          <cell r="BV392" t="str">
            <v>FOR0000016</v>
          </cell>
          <cell r="BW392">
            <v>0.02</v>
          </cell>
          <cell r="BX392" t="str">
            <v>AV1401254460</v>
          </cell>
          <cell r="BY392">
            <v>0</v>
          </cell>
          <cell r="BZ392" t="str">
            <v>AV1601300929</v>
          </cell>
          <cell r="CA392">
            <v>0</v>
          </cell>
          <cell r="CL392" t="str">
            <v>NEGRO</v>
          </cell>
          <cell r="CM392" t="str">
            <v>ARENA-CUERO BRIDGE</v>
          </cell>
          <cell r="CN392" t="str">
            <v>CUE0000009R</v>
          </cell>
          <cell r="CO392">
            <v>0.06</v>
          </cell>
          <cell r="CP392" t="str">
            <v>FOR0000018</v>
          </cell>
          <cell r="CQ392">
            <v>0.02</v>
          </cell>
          <cell r="CR392" t="str">
            <v>AV1401254060</v>
          </cell>
          <cell r="CS392">
            <v>0</v>
          </cell>
          <cell r="CT392" t="str">
            <v>AV1601300926</v>
          </cell>
          <cell r="CU392">
            <v>0</v>
          </cell>
          <cell r="DF392" t="str">
            <v>CHOCOLATE</v>
          </cell>
          <cell r="DG392" t="str">
            <v>ARENA-CUERO BRIDGE</v>
          </cell>
          <cell r="DH392" t="str">
            <v>CUE0000005R</v>
          </cell>
          <cell r="DI392">
            <v>0.06</v>
          </cell>
          <cell r="DJ392" t="str">
            <v>FOR0000015</v>
          </cell>
          <cell r="DK392">
            <v>0.02</v>
          </cell>
          <cell r="DL392" t="str">
            <v>AV1401250545</v>
          </cell>
          <cell r="DM392">
            <v>0</v>
          </cell>
          <cell r="DN392" t="str">
            <v>AV1601300954</v>
          </cell>
          <cell r="DO392">
            <v>0</v>
          </cell>
          <cell r="DZ392" t="str">
            <v>CARAMELO</v>
          </cell>
          <cell r="EA392" t="str">
            <v>ARENA-CUERO BRIDGE</v>
          </cell>
          <cell r="EB392" t="str">
            <v>CUE0000004R</v>
          </cell>
          <cell r="EC392">
            <v>0.06</v>
          </cell>
          <cell r="ED392" t="str">
            <v>FOR0000015</v>
          </cell>
          <cell r="EE392">
            <v>0.02</v>
          </cell>
          <cell r="EF392" t="str">
            <v>AV1401250545</v>
          </cell>
          <cell r="EG392">
            <v>0</v>
          </cell>
          <cell r="EH392" t="str">
            <v>AV1601300955</v>
          </cell>
          <cell r="EI392">
            <v>0</v>
          </cell>
          <cell r="KD392">
            <v>2</v>
          </cell>
          <cell r="KE392">
            <v>2</v>
          </cell>
          <cell r="KF392">
            <v>2</v>
          </cell>
          <cell r="KG392">
            <v>9</v>
          </cell>
          <cell r="KH392">
            <v>9</v>
          </cell>
          <cell r="KI392">
            <v>9</v>
          </cell>
          <cell r="KJ392">
            <v>6</v>
          </cell>
          <cell r="KK392">
            <v>6</v>
          </cell>
          <cell r="KL392">
            <v>6</v>
          </cell>
          <cell r="KM392">
            <v>6</v>
          </cell>
          <cell r="KN392">
            <v>6</v>
          </cell>
          <cell r="KO392">
            <v>6</v>
          </cell>
          <cell r="KP392">
            <v>4</v>
          </cell>
          <cell r="KQ392">
            <v>4</v>
          </cell>
          <cell r="KR392">
            <v>4</v>
          </cell>
          <cell r="KS392">
            <v>0</v>
          </cell>
          <cell r="KV392">
            <v>0</v>
          </cell>
          <cell r="KY392">
            <v>0</v>
          </cell>
          <cell r="LB392">
            <v>0</v>
          </cell>
          <cell r="LE392">
            <v>0</v>
          </cell>
          <cell r="LH392">
            <v>0</v>
          </cell>
          <cell r="LK392">
            <v>0</v>
          </cell>
          <cell r="LN392">
            <v>45939</v>
          </cell>
          <cell r="LO392">
            <v>45945</v>
          </cell>
          <cell r="LP392" t="str">
            <v>COMPLETADO</v>
          </cell>
        </row>
        <row r="393">
          <cell r="A393" t="str">
            <v>2008-A</v>
          </cell>
          <cell r="B393" t="str">
            <v>LUCIANO</v>
          </cell>
          <cell r="C393" t="str">
            <v>PERDRIEL</v>
          </cell>
          <cell r="D393" t="str">
            <v>INDUMENTARIA</v>
          </cell>
          <cell r="E393">
            <v>22</v>
          </cell>
          <cell r="F393">
            <v>10</v>
          </cell>
          <cell r="G393">
            <v>10</v>
          </cell>
          <cell r="H393">
            <v>45937.408634259256</v>
          </cell>
          <cell r="I393" t="str">
            <v>CHALECO INDIGO</v>
          </cell>
          <cell r="K393">
            <v>45932</v>
          </cell>
          <cell r="L393">
            <v>45943</v>
          </cell>
          <cell r="M393">
            <v>20</v>
          </cell>
          <cell r="N393" t="str">
            <v>M200</v>
          </cell>
          <cell r="O393" t="str">
            <v>CUE0000124</v>
          </cell>
          <cell r="P393">
            <v>1</v>
          </cell>
          <cell r="Q393" t="str">
            <v>VAR0000047</v>
          </cell>
          <cell r="R393">
            <v>1</v>
          </cell>
          <cell r="S393" t="str">
            <v>AV170129018</v>
          </cell>
          <cell r="T393">
            <v>0</v>
          </cell>
          <cell r="AS393" t="str">
            <v xml:space="preserve"> NO VA PINTADO</v>
          </cell>
          <cell r="AT393" t="str">
            <v>TALLE UNICO</v>
          </cell>
          <cell r="AX393" t="str">
            <v>OXIDO</v>
          </cell>
          <cell r="AY393" t="str">
            <v>MA CUEROS-DESCARNE GAMUZADO 1/1.2</v>
          </cell>
          <cell r="AZ393" t="str">
            <v>CUE0000172</v>
          </cell>
          <cell r="BA393">
            <v>0.64</v>
          </cell>
          <cell r="BR393" t="str">
            <v>CHOCOLATE</v>
          </cell>
          <cell r="BS393" t="str">
            <v>MA CUEROS-DESCARNE GAMUZADO 1/1.2</v>
          </cell>
          <cell r="BT393" t="str">
            <v>CUE0000175</v>
          </cell>
          <cell r="BU393">
            <v>0.64</v>
          </cell>
          <cell r="KD393">
            <v>12</v>
          </cell>
          <cell r="KE393">
            <v>0</v>
          </cell>
          <cell r="KF393">
            <v>0</v>
          </cell>
          <cell r="KG393">
            <v>10</v>
          </cell>
          <cell r="KH393">
            <v>10</v>
          </cell>
          <cell r="KI393">
            <v>10</v>
          </cell>
          <cell r="KJ393">
            <v>0</v>
          </cell>
          <cell r="KM393">
            <v>0</v>
          </cell>
          <cell r="KP393">
            <v>0</v>
          </cell>
          <cell r="KS393">
            <v>0</v>
          </cell>
          <cell r="KV393">
            <v>0</v>
          </cell>
          <cell r="KY393">
            <v>0</v>
          </cell>
          <cell r="LB393">
            <v>0</v>
          </cell>
          <cell r="LE393">
            <v>0</v>
          </cell>
          <cell r="LH393">
            <v>0</v>
          </cell>
          <cell r="LK393">
            <v>0</v>
          </cell>
          <cell r="LO393">
            <v>45950</v>
          </cell>
          <cell r="LP393" t="str">
            <v>NO COMENZADO</v>
          </cell>
        </row>
        <row r="394">
          <cell r="A394" t="str">
            <v>2009-A</v>
          </cell>
          <cell r="B394" t="str">
            <v>LUCIANO</v>
          </cell>
          <cell r="C394" t="str">
            <v>PERDRIEL</v>
          </cell>
          <cell r="D394" t="str">
            <v>INDUMENTARIA</v>
          </cell>
          <cell r="E394">
            <v>24</v>
          </cell>
          <cell r="F394">
            <v>10</v>
          </cell>
          <cell r="G394">
            <v>10</v>
          </cell>
          <cell r="H394">
            <v>45937.412766203706</v>
          </cell>
          <cell r="I394" t="str">
            <v>CHALECO TRINIDAD</v>
          </cell>
          <cell r="J394">
            <v>45932</v>
          </cell>
          <cell r="K394">
            <v>45932</v>
          </cell>
          <cell r="L394">
            <v>45933</v>
          </cell>
          <cell r="M394">
            <v>20</v>
          </cell>
          <cell r="N394" t="str">
            <v>M201</v>
          </cell>
          <cell r="O394" t="str">
            <v>CUE0000124</v>
          </cell>
          <cell r="P394">
            <v>1</v>
          </cell>
          <cell r="Q394" t="str">
            <v>VAR0000047</v>
          </cell>
          <cell r="R394">
            <v>1</v>
          </cell>
          <cell r="S394" t="str">
            <v>AV170129018</v>
          </cell>
          <cell r="T394">
            <v>0</v>
          </cell>
          <cell r="AS394" t="str">
            <v xml:space="preserve"> NO VA PINTADO</v>
          </cell>
          <cell r="AT394" t="str">
            <v>TALLE UNICO</v>
          </cell>
          <cell r="AX394" t="str">
            <v>OXIDO</v>
          </cell>
          <cell r="AY394" t="str">
            <v>MA CUEROS-DESCARNE GAMUZADO 1/1.2</v>
          </cell>
          <cell r="AZ394" t="str">
            <v>CUE0000172</v>
          </cell>
          <cell r="BA394">
            <v>0.64</v>
          </cell>
          <cell r="BR394" t="str">
            <v>CHOCOLATE</v>
          </cell>
          <cell r="BS394" t="str">
            <v>MA CUEROS-DESCARNE GAMUZADO 1/1.2</v>
          </cell>
          <cell r="BT394" t="str">
            <v>CUE0000175</v>
          </cell>
          <cell r="BU394">
            <v>0.64</v>
          </cell>
          <cell r="KD394">
            <v>12</v>
          </cell>
          <cell r="KE394">
            <v>0</v>
          </cell>
          <cell r="KF394">
            <v>0</v>
          </cell>
          <cell r="KG394">
            <v>10</v>
          </cell>
          <cell r="KH394">
            <v>8</v>
          </cell>
          <cell r="KI394">
            <v>8</v>
          </cell>
          <cell r="KJ394">
            <v>2</v>
          </cell>
          <cell r="KK394">
            <v>2</v>
          </cell>
          <cell r="KL394">
            <v>2</v>
          </cell>
          <cell r="KM394">
            <v>0</v>
          </cell>
          <cell r="KP394">
            <v>0</v>
          </cell>
          <cell r="KS394">
            <v>0</v>
          </cell>
          <cell r="KV394">
            <v>0</v>
          </cell>
          <cell r="KY394">
            <v>0</v>
          </cell>
          <cell r="LB394">
            <v>0</v>
          </cell>
          <cell r="LE394">
            <v>0</v>
          </cell>
          <cell r="LH394">
            <v>0</v>
          </cell>
          <cell r="LK394">
            <v>0</v>
          </cell>
          <cell r="LN394">
            <v>45932</v>
          </cell>
          <cell r="LO394">
            <v>45944</v>
          </cell>
          <cell r="LP394" t="str">
            <v>COMPLETADO</v>
          </cell>
        </row>
        <row r="395">
          <cell r="A395" t="str">
            <v>2012-A</v>
          </cell>
          <cell r="B395" t="str">
            <v>LUCIANO</v>
          </cell>
          <cell r="C395" t="str">
            <v>INTERNO JAVIER</v>
          </cell>
          <cell r="D395" t="str">
            <v>MARROQUINERIA CHICA</v>
          </cell>
          <cell r="E395">
            <v>24</v>
          </cell>
          <cell r="F395">
            <v>24</v>
          </cell>
          <cell r="G395">
            <v>24</v>
          </cell>
          <cell r="H395">
            <v>45921.854849537034</v>
          </cell>
          <cell r="I395" t="str">
            <v>PORTAVINO TANDIL</v>
          </cell>
          <cell r="J395">
            <v>45917</v>
          </cell>
          <cell r="K395">
            <v>45917</v>
          </cell>
          <cell r="L395">
            <v>45917</v>
          </cell>
          <cell r="M395">
            <v>35</v>
          </cell>
          <cell r="N395" t="str">
            <v>M165</v>
          </cell>
          <cell r="O395" t="str">
            <v>AV170134014</v>
          </cell>
          <cell r="P395">
            <v>0</v>
          </cell>
          <cell r="AH395">
            <v>0</v>
          </cell>
          <cell r="AS395" t="str">
            <v>PEGAR ETIQUETA DE CUERO AL FRENTE HILO AL TONO CON HILO GRUESO N 20</v>
          </cell>
          <cell r="AW395" t="str">
            <v>GRABADO ETIQUETA EN VINTAGE MEDIO  7,5CM X 5,5 CM  "EL LUCERO HIGH QUALITY GOODS"</v>
          </cell>
          <cell r="AX395" t="str">
            <v>TABACO</v>
          </cell>
          <cell r="AY395" t="str">
            <v>ARENA-CUERO BRIDGE</v>
          </cell>
          <cell r="AZ395" t="str">
            <v>CUE0000012R</v>
          </cell>
          <cell r="BA395">
            <v>0.21</v>
          </cell>
          <cell r="BO395">
            <v>0</v>
          </cell>
          <cell r="BQ395">
            <v>0</v>
          </cell>
          <cell r="BR395" t="str">
            <v>CARAMELO</v>
          </cell>
          <cell r="BS395" t="str">
            <v>ARENA-CUERO BRIDGE</v>
          </cell>
          <cell r="BT395" t="str">
            <v>CUE0000004R</v>
          </cell>
          <cell r="BU395">
            <v>0.21</v>
          </cell>
          <cell r="CL395" t="str">
            <v>MALBEC</v>
          </cell>
          <cell r="CM395" t="str">
            <v>ARENA-CUERO BRIDGE</v>
          </cell>
          <cell r="CN395" t="str">
            <v>CUE0000008R</v>
          </cell>
          <cell r="CO395">
            <v>0.21</v>
          </cell>
          <cell r="DF395" t="str">
            <v>NEGRO</v>
          </cell>
          <cell r="DG395" t="str">
            <v>ARENA-CUERO BRIDGE</v>
          </cell>
          <cell r="DH395" t="str">
            <v>CUE0000009R</v>
          </cell>
          <cell r="DI395">
            <v>0.21</v>
          </cell>
          <cell r="KD395">
            <v>9</v>
          </cell>
          <cell r="KE395">
            <v>9</v>
          </cell>
          <cell r="KF395">
            <v>9</v>
          </cell>
          <cell r="KG395">
            <v>4</v>
          </cell>
          <cell r="KH395">
            <v>4</v>
          </cell>
          <cell r="KI395">
            <v>4</v>
          </cell>
          <cell r="KJ395">
            <v>9</v>
          </cell>
          <cell r="KK395">
            <v>9</v>
          </cell>
          <cell r="KL395">
            <v>9</v>
          </cell>
          <cell r="KM395">
            <v>2</v>
          </cell>
          <cell r="KN395">
            <v>2</v>
          </cell>
          <cell r="KO395">
            <v>2</v>
          </cell>
          <cell r="KP395">
            <v>0</v>
          </cell>
          <cell r="KS395">
            <v>0</v>
          </cell>
          <cell r="KV395">
            <v>0</v>
          </cell>
          <cell r="KY395">
            <v>0</v>
          </cell>
          <cell r="LB395">
            <v>0</v>
          </cell>
          <cell r="LE395">
            <v>0</v>
          </cell>
          <cell r="LH395">
            <v>0</v>
          </cell>
          <cell r="LK395">
            <v>0</v>
          </cell>
          <cell r="LN395">
            <v>45917</v>
          </cell>
          <cell r="LO395">
            <v>45930</v>
          </cell>
          <cell r="LP395" t="str">
            <v>COMPLETADO</v>
          </cell>
        </row>
        <row r="396">
          <cell r="A396" t="str">
            <v>2060-A</v>
          </cell>
          <cell r="B396" t="str">
            <v>LUCIANO</v>
          </cell>
          <cell r="C396" t="str">
            <v>INTERNO JAVIER</v>
          </cell>
          <cell r="D396" t="str">
            <v>MARROQUINERIA CHICA</v>
          </cell>
          <cell r="E396">
            <v>6</v>
          </cell>
          <cell r="F396">
            <v>6</v>
          </cell>
          <cell r="G396">
            <v>6</v>
          </cell>
          <cell r="H396">
            <v>45942.715601851851</v>
          </cell>
          <cell r="I396" t="str">
            <v>PORTAVINO TANDIL</v>
          </cell>
          <cell r="J396">
            <v>45936</v>
          </cell>
          <cell r="K396">
            <v>45936</v>
          </cell>
          <cell r="L396">
            <v>45936</v>
          </cell>
          <cell r="M396">
            <v>35</v>
          </cell>
          <cell r="N396" t="str">
            <v>M165</v>
          </cell>
          <cell r="O396" t="str">
            <v>AV170134014</v>
          </cell>
          <cell r="P396">
            <v>0</v>
          </cell>
          <cell r="AS396" t="str">
            <v>PEGAR ETIQUETA DE CUERO AL FRENTE HILO AL TONO CON HILO GRUESO N 20</v>
          </cell>
          <cell r="AW396" t="str">
            <v>GRABADO ETIQUETA EN VINTAGE MEDIO  7,5CM X 5,5 CM  "EL LUCERO HIGH QUALITY GOODS"</v>
          </cell>
          <cell r="AX396" t="str">
            <v>TABACO</v>
          </cell>
          <cell r="AY396" t="str">
            <v>ARENA-CUERO BRIDGE</v>
          </cell>
          <cell r="AZ396" t="str">
            <v>CUE0000012R</v>
          </cell>
          <cell r="BA396">
            <v>0.21</v>
          </cell>
          <cell r="BR396" t="str">
            <v>CARAMELO</v>
          </cell>
          <cell r="BS396" t="str">
            <v>ARENA-CUERO BRIDGE</v>
          </cell>
          <cell r="BT396" t="str">
            <v>CUE0000004R</v>
          </cell>
          <cell r="BU396">
            <v>0.21</v>
          </cell>
          <cell r="KD396">
            <v>4</v>
          </cell>
          <cell r="KE396">
            <v>4</v>
          </cell>
          <cell r="KF396">
            <v>4</v>
          </cell>
          <cell r="KG396">
            <v>2</v>
          </cell>
          <cell r="KH396">
            <v>2</v>
          </cell>
          <cell r="KI396">
            <v>2</v>
          </cell>
          <cell r="KM396">
            <v>0</v>
          </cell>
          <cell r="KP396">
            <v>0</v>
          </cell>
          <cell r="KS396">
            <v>0</v>
          </cell>
          <cell r="KV396">
            <v>0</v>
          </cell>
          <cell r="KY396">
            <v>0</v>
          </cell>
          <cell r="LB396">
            <v>0</v>
          </cell>
          <cell r="LE396">
            <v>0</v>
          </cell>
          <cell r="LH396">
            <v>0</v>
          </cell>
          <cell r="LK396">
            <v>0</v>
          </cell>
          <cell r="LN396">
            <v>45936</v>
          </cell>
          <cell r="LO396">
            <v>45951</v>
          </cell>
          <cell r="LP396" t="str">
            <v>COMPLETADO</v>
          </cell>
        </row>
        <row r="397">
          <cell r="A397" t="str">
            <v>2057-A</v>
          </cell>
          <cell r="B397" t="str">
            <v>LUCIANO</v>
          </cell>
          <cell r="C397" t="str">
            <v>PERDRIEL</v>
          </cell>
          <cell r="D397" t="str">
            <v>MARROQUINERIA CHICA</v>
          </cell>
          <cell r="E397">
            <v>80</v>
          </cell>
          <cell r="F397">
            <v>80</v>
          </cell>
          <cell r="G397">
            <v>80</v>
          </cell>
          <cell r="H397">
            <v>45942.72760416667</v>
          </cell>
          <cell r="I397" t="str">
            <v>ESTUCHE 8</v>
          </cell>
          <cell r="J397">
            <v>45922</v>
          </cell>
          <cell r="K397">
            <v>45922</v>
          </cell>
          <cell r="L397">
            <v>45922</v>
          </cell>
          <cell r="M397">
            <v>4</v>
          </cell>
          <cell r="N397" t="str">
            <v>M210</v>
          </cell>
          <cell r="O397" t="str">
            <v>AV170134014</v>
          </cell>
          <cell r="P397">
            <v>0</v>
          </cell>
          <cell r="AX397" t="str">
            <v>AZUL_NOCHE</v>
          </cell>
          <cell r="AY397" t="str">
            <v>MA CUEROS-DESCARNE GAMUZADO 1/1.2</v>
          </cell>
          <cell r="AZ397" t="str">
            <v>CUE0000176R</v>
          </cell>
          <cell r="BA397">
            <v>0.01</v>
          </cell>
          <cell r="BR397" t="str">
            <v>GrisMedio</v>
          </cell>
          <cell r="BS397" t="str">
            <v>NAPOLITANA-CUERO GAMUZA</v>
          </cell>
          <cell r="BT397" t="str">
            <v>CUE0000041R</v>
          </cell>
          <cell r="BU397">
            <v>0.01</v>
          </cell>
          <cell r="KD397">
            <v>40</v>
          </cell>
          <cell r="KE397">
            <v>40</v>
          </cell>
          <cell r="KF397">
            <v>40</v>
          </cell>
          <cell r="KG397">
            <v>40</v>
          </cell>
          <cell r="KH397">
            <v>40</v>
          </cell>
          <cell r="KI397">
            <v>40</v>
          </cell>
          <cell r="KJ397">
            <v>0</v>
          </cell>
          <cell r="KM397">
            <v>0</v>
          </cell>
          <cell r="KP397">
            <v>0</v>
          </cell>
          <cell r="KS397">
            <v>0</v>
          </cell>
          <cell r="KV397">
            <v>0</v>
          </cell>
          <cell r="KY397">
            <v>0</v>
          </cell>
          <cell r="LB397">
            <v>0</v>
          </cell>
          <cell r="LE397">
            <v>0</v>
          </cell>
          <cell r="LH397">
            <v>0</v>
          </cell>
          <cell r="LK397">
            <v>0</v>
          </cell>
          <cell r="LN397">
            <v>45922</v>
          </cell>
          <cell r="LO397">
            <v>45937</v>
          </cell>
          <cell r="LP397" t="str">
            <v>COMPLETADO</v>
          </cell>
        </row>
        <row r="398">
          <cell r="A398" t="str">
            <v>2063-A</v>
          </cell>
          <cell r="B398" t="str">
            <v>RUBEN</v>
          </cell>
          <cell r="C398" t="str">
            <v>BARRACAS GRANDE</v>
          </cell>
          <cell r="D398" t="str">
            <v>MARROQUINERIA GRANDE</v>
          </cell>
          <cell r="E398">
            <v>9</v>
          </cell>
          <cell r="F398">
            <v>9</v>
          </cell>
          <cell r="G398">
            <v>9</v>
          </cell>
          <cell r="H398">
            <v>45942.738680555558</v>
          </cell>
          <cell r="I398" t="str">
            <v>CARTERA LONDRES</v>
          </cell>
          <cell r="J398">
            <v>45939</v>
          </cell>
          <cell r="K398">
            <v>45939</v>
          </cell>
          <cell r="L398">
            <v>45943</v>
          </cell>
          <cell r="M398">
            <v>50</v>
          </cell>
          <cell r="N398" t="str">
            <v>M043</v>
          </cell>
          <cell r="O398" t="str">
            <v>AV0101040201</v>
          </cell>
          <cell r="P398">
            <v>1</v>
          </cell>
          <cell r="Q398" t="str">
            <v>AV0300390101</v>
          </cell>
          <cell r="R398">
            <v>1</v>
          </cell>
          <cell r="S398" t="str">
            <v>AV0300400101</v>
          </cell>
          <cell r="T398">
            <v>4</v>
          </cell>
          <cell r="U398" t="str">
            <v>AV1000430101</v>
          </cell>
          <cell r="V398">
            <v>3</v>
          </cell>
          <cell r="W398" t="str">
            <v>BAC1300020827</v>
          </cell>
          <cell r="X398">
            <v>0.1</v>
          </cell>
          <cell r="Y398" t="str">
            <v>AV0300460101</v>
          </cell>
          <cell r="Z398">
            <v>1</v>
          </cell>
          <cell r="AA398" t="str">
            <v>AV170129018</v>
          </cell>
          <cell r="AB398">
            <v>0</v>
          </cell>
          <cell r="AH398">
            <v>0</v>
          </cell>
          <cell r="AS398" t="str">
            <v>TIRACIERRES N1 - TIRA CON REMACHE Y GRABADO ESTRELLITA</v>
          </cell>
          <cell r="AW398" t="str">
            <v>GRABADO EL LUCERO GRANDE EN ESPALDA A 3.5CM DEL BORDE SUPERIOR, CENTRADO</v>
          </cell>
          <cell r="AX398" t="str">
            <v>TABACO</v>
          </cell>
          <cell r="AY398" t="str">
            <v>ARENA-CUERO BRIDGE</v>
          </cell>
          <cell r="AZ398" t="str">
            <v>CUE0000012</v>
          </cell>
          <cell r="BA398">
            <v>0.53</v>
          </cell>
          <cell r="BB398" t="str">
            <v>FOR0000021</v>
          </cell>
          <cell r="BC398">
            <v>0.32</v>
          </cell>
          <cell r="BD398" t="str">
            <v>AV1101180538</v>
          </cell>
          <cell r="BE398">
            <v>1.1499999999999999</v>
          </cell>
          <cell r="BF398" t="str">
            <v>AV0100010214</v>
          </cell>
          <cell r="BG398">
            <v>0.28000000000000003</v>
          </cell>
          <cell r="BO398">
            <v>0</v>
          </cell>
          <cell r="BQ398">
            <v>0</v>
          </cell>
          <cell r="BR398" t="str">
            <v>CARAMELO</v>
          </cell>
          <cell r="BS398" t="str">
            <v>ARENA-CUERO BRIDGE</v>
          </cell>
          <cell r="BT398" t="str">
            <v>CUE0000004</v>
          </cell>
          <cell r="BU398">
            <v>0.53</v>
          </cell>
          <cell r="BV398" t="str">
            <v>FOR0000021</v>
          </cell>
          <cell r="BW398">
            <v>0.32</v>
          </cell>
          <cell r="BX398" t="str">
            <v>AV1101630525</v>
          </cell>
          <cell r="BY398">
            <v>1.1499999999999999</v>
          </cell>
          <cell r="BZ398" t="str">
            <v>AV0100010205</v>
          </cell>
          <cell r="CA398">
            <v>0.28000000000000003</v>
          </cell>
          <cell r="KD398">
            <v>6</v>
          </cell>
          <cell r="KE398">
            <v>6</v>
          </cell>
          <cell r="KF398">
            <v>6</v>
          </cell>
          <cell r="KG398">
            <v>3</v>
          </cell>
          <cell r="KH398">
            <v>3</v>
          </cell>
          <cell r="KI398">
            <v>3</v>
          </cell>
          <cell r="KJ398">
            <v>0</v>
          </cell>
          <cell r="KK398">
            <v>0</v>
          </cell>
          <cell r="KM398">
            <v>0</v>
          </cell>
          <cell r="KP398">
            <v>0</v>
          </cell>
          <cell r="KS398">
            <v>0</v>
          </cell>
          <cell r="KV398">
            <v>0</v>
          </cell>
          <cell r="KY398">
            <v>0</v>
          </cell>
          <cell r="LB398">
            <v>0</v>
          </cell>
          <cell r="LE398">
            <v>0</v>
          </cell>
          <cell r="LH398">
            <v>0</v>
          </cell>
          <cell r="LK398">
            <v>0</v>
          </cell>
          <cell r="LN398">
            <v>45942</v>
          </cell>
          <cell r="LO398">
            <v>45958</v>
          </cell>
          <cell r="LP398" t="str">
            <v>COMPLETADO</v>
          </cell>
        </row>
        <row r="399">
          <cell r="A399" t="str">
            <v>2064-A</v>
          </cell>
          <cell r="B399" t="str">
            <v>RUBEN</v>
          </cell>
          <cell r="C399" t="str">
            <v>BARRACAS GRANDE</v>
          </cell>
          <cell r="D399" t="str">
            <v>MARROQUINERIA GRANDE</v>
          </cell>
          <cell r="E399">
            <v>4</v>
          </cell>
          <cell r="F399">
            <v>4</v>
          </cell>
          <cell r="G399">
            <v>4</v>
          </cell>
          <cell r="H399">
            <v>45943.424050925925</v>
          </cell>
          <cell r="I399" t="str">
            <v>MOCHILA PORTIA</v>
          </cell>
          <cell r="J399">
            <v>45939</v>
          </cell>
          <cell r="K399">
            <v>45939</v>
          </cell>
          <cell r="L399">
            <v>45943</v>
          </cell>
          <cell r="M399">
            <v>120</v>
          </cell>
          <cell r="N399" t="str">
            <v>M059</v>
          </cell>
          <cell r="O399" t="str">
            <v>BAC1300020827</v>
          </cell>
          <cell r="P399">
            <v>0.03</v>
          </cell>
          <cell r="Q399" t="str">
            <v>BAC0200081126</v>
          </cell>
          <cell r="R399">
            <v>0.19</v>
          </cell>
          <cell r="S399" t="str">
            <v>AV0401150101</v>
          </cell>
          <cell r="T399">
            <v>2</v>
          </cell>
          <cell r="U399" t="str">
            <v>AV0101030201</v>
          </cell>
          <cell r="V399">
            <v>1</v>
          </cell>
          <cell r="W399" t="str">
            <v>AV0101060301</v>
          </cell>
          <cell r="X399">
            <v>2</v>
          </cell>
          <cell r="Y399" t="str">
            <v>AV0300410101</v>
          </cell>
          <cell r="Z399">
            <v>2</v>
          </cell>
          <cell r="AA399" t="str">
            <v>AV1001480101</v>
          </cell>
          <cell r="AB399">
            <v>1</v>
          </cell>
          <cell r="AC399" t="str">
            <v>AV0600540101</v>
          </cell>
          <cell r="AD399">
            <v>2</v>
          </cell>
          <cell r="AE399" t="str">
            <v>AV0400400101</v>
          </cell>
          <cell r="AF399">
            <v>1</v>
          </cell>
          <cell r="AG399" t="str">
            <v>AV0400410101</v>
          </cell>
          <cell r="AH399">
            <v>2</v>
          </cell>
          <cell r="AI399" t="str">
            <v>AV1001480101</v>
          </cell>
          <cell r="AJ399">
            <v>1</v>
          </cell>
          <cell r="AK399" t="str">
            <v>AV170129018</v>
          </cell>
          <cell r="AL399">
            <v>0</v>
          </cell>
          <cell r="AS399" t="str">
            <v>TIRACIERRE N1 - TIRA CON REMACHE EN INTERIOR</v>
          </cell>
          <cell r="AW399" t="str">
            <v xml:space="preserve">GRABADO "EL LUCERO" EN ESPALDA ENCIMA DE LA VISTA DE LAS CORREAS, CENTRADO </v>
          </cell>
          <cell r="AX399" t="str">
            <v>TABACO</v>
          </cell>
          <cell r="AY399" t="str">
            <v>ANAN-CUERO NAPOLE</v>
          </cell>
          <cell r="AZ399" t="str">
            <v>CUE0000178</v>
          </cell>
          <cell r="BA399">
            <v>0.6</v>
          </cell>
          <cell r="BB399" t="str">
            <v>FOR0000021</v>
          </cell>
          <cell r="BC399">
            <v>0.83</v>
          </cell>
          <cell r="BD399" t="str">
            <v>AV0100010114</v>
          </cell>
          <cell r="BE399">
            <v>0.85</v>
          </cell>
          <cell r="BF399" t="str">
            <v>CIE0000004</v>
          </cell>
          <cell r="BG399">
            <v>0.72</v>
          </cell>
          <cell r="BH399" t="str">
            <v>AV1101180538</v>
          </cell>
          <cell r="BI399">
            <v>2.5499999999999998</v>
          </cell>
          <cell r="BJ399" t="str">
            <v>AV1401240545</v>
          </cell>
          <cell r="BK399">
            <v>0</v>
          </cell>
          <cell r="KD399">
            <v>4</v>
          </cell>
          <cell r="KE399">
            <v>4</v>
          </cell>
          <cell r="KF399">
            <v>4</v>
          </cell>
          <cell r="KG399">
            <v>0</v>
          </cell>
          <cell r="KH399">
            <v>0</v>
          </cell>
          <cell r="LN399">
            <v>45939</v>
          </cell>
          <cell r="LO399">
            <v>45951</v>
          </cell>
          <cell r="LP399" t="str">
            <v>COMPLETADO</v>
          </cell>
        </row>
        <row r="400">
          <cell r="A400" t="str">
            <v>2068-A</v>
          </cell>
          <cell r="B400" t="str">
            <v>LUCIANO</v>
          </cell>
          <cell r="C400" t="str">
            <v>PERDRIEL</v>
          </cell>
          <cell r="D400" t="str">
            <v>MARROQUINERIA CHICA</v>
          </cell>
          <cell r="E400">
            <v>20</v>
          </cell>
          <cell r="F400">
            <v>20</v>
          </cell>
          <cell r="G400">
            <v>20</v>
          </cell>
          <cell r="H400">
            <v>45943.433275462965</v>
          </cell>
          <cell r="I400" t="str">
            <v>SOBRE MAJA PELO</v>
          </cell>
          <cell r="J400">
            <v>45961</v>
          </cell>
          <cell r="K400">
            <v>45939</v>
          </cell>
          <cell r="L400">
            <v>45964</v>
          </cell>
          <cell r="M400">
            <v>25</v>
          </cell>
          <cell r="N400" t="str">
            <v>M189</v>
          </cell>
          <cell r="O400" t="str">
            <v>VAR0000046</v>
          </cell>
          <cell r="P400">
            <v>1</v>
          </cell>
          <cell r="Q400" t="str">
            <v>AV170134014</v>
          </cell>
          <cell r="R400">
            <v>0</v>
          </cell>
          <cell r="AS400" t="str">
            <v>SIN PINTUTURA</v>
          </cell>
          <cell r="AX400" t="str">
            <v>PELO_HEREFORD</v>
          </cell>
          <cell r="AY400" t="str">
            <v>LEDER-PELO</v>
          </cell>
          <cell r="AZ400" t="str">
            <v>CUE0000117R</v>
          </cell>
          <cell r="BA400">
            <v>0.06</v>
          </cell>
          <cell r="BB400" t="str">
            <v>CUE0000012</v>
          </cell>
          <cell r="BC400">
            <v>0.01</v>
          </cell>
          <cell r="BR400" t="str">
            <v>PELO_HOLANDO</v>
          </cell>
          <cell r="BS400" t="str">
            <v>LEDER-PELO</v>
          </cell>
          <cell r="BT400" t="str">
            <v>CUE0000116R</v>
          </cell>
          <cell r="BU400">
            <v>0.06</v>
          </cell>
          <cell r="BV400" t="str">
            <v>CUE0000009</v>
          </cell>
          <cell r="BW400">
            <v>0.01</v>
          </cell>
          <cell r="KD400">
            <v>14</v>
          </cell>
          <cell r="KE400">
            <v>14</v>
          </cell>
          <cell r="KF400">
            <v>14</v>
          </cell>
          <cell r="KG400">
            <v>6</v>
          </cell>
          <cell r="KH400">
            <v>6</v>
          </cell>
          <cell r="KI400">
            <v>6</v>
          </cell>
          <cell r="KJ400">
            <v>0</v>
          </cell>
          <cell r="KM400">
            <v>0</v>
          </cell>
          <cell r="KP400">
            <v>0</v>
          </cell>
          <cell r="KS400">
            <v>0</v>
          </cell>
          <cell r="KV400">
            <v>0</v>
          </cell>
          <cell r="KY400">
            <v>0</v>
          </cell>
          <cell r="LB400">
            <v>0</v>
          </cell>
          <cell r="LE400">
            <v>0</v>
          </cell>
          <cell r="LH400">
            <v>0</v>
          </cell>
          <cell r="LK400">
            <v>0</v>
          </cell>
          <cell r="LN400">
            <v>45961</v>
          </cell>
          <cell r="LO400">
            <v>45972</v>
          </cell>
          <cell r="LP400" t="str">
            <v>COMPLETADO</v>
          </cell>
        </row>
        <row r="401">
          <cell r="A401" t="str">
            <v>2069-A</v>
          </cell>
          <cell r="B401" t="str">
            <v>LUCIANO</v>
          </cell>
          <cell r="C401" t="str">
            <v>PERDRIEL</v>
          </cell>
          <cell r="D401" t="str">
            <v>MARROQUINERIA CHICA</v>
          </cell>
          <cell r="E401">
            <v>31</v>
          </cell>
          <cell r="F401">
            <v>30</v>
          </cell>
          <cell r="G401">
            <v>30</v>
          </cell>
          <cell r="H401">
            <v>45943.437847222223</v>
          </cell>
          <cell r="I401" t="str">
            <v>CINTO RUS PELO</v>
          </cell>
          <cell r="J401">
            <v>45978</v>
          </cell>
          <cell r="K401">
            <v>45939</v>
          </cell>
          <cell r="L401">
            <v>45979</v>
          </cell>
          <cell r="M401">
            <v>20</v>
          </cell>
          <cell r="N401" t="str">
            <v>M176</v>
          </cell>
          <cell r="O401" t="str">
            <v>AV170134014</v>
          </cell>
          <cell r="P401">
            <v>0</v>
          </cell>
          <cell r="Q401" t="str">
            <v>VAR0000044</v>
          </cell>
          <cell r="R401">
            <v>1</v>
          </cell>
          <cell r="AS401" t="str">
            <v>LLEVA 5 ORIFICIOS</v>
          </cell>
          <cell r="AT401" t="str">
            <v>LLEVA STICKER DE TALLE</v>
          </cell>
          <cell r="AU401" t="str">
            <v>EL TALLE S/M SERA EL S DE CINTURON MIA 106 CM LARGO SIN HEBILLLA</v>
          </cell>
          <cell r="AV401" t="str">
            <v>EL TALLE M/L SERA EL M DE CINTURON MIA 115 CM LARGO SIN HEBILLLA</v>
          </cell>
          <cell r="AW401" t="str">
            <v>GRABADO "EL LUCERO CHICO " EN PUNTERA, CENTRADO</v>
          </cell>
          <cell r="AX401" t="str">
            <v>PELO_MARRON_ROJIZO</v>
          </cell>
          <cell r="AY401" t="str">
            <v>LEDER-PELO</v>
          </cell>
          <cell r="AZ401" t="str">
            <v>CUE0000115R</v>
          </cell>
          <cell r="BA401">
            <v>0.5</v>
          </cell>
          <cell r="BB401" t="str">
            <v>FOR0000026</v>
          </cell>
          <cell r="BC401">
            <v>0.5</v>
          </cell>
          <cell r="BR401" t="str">
            <v>PELO_BEIGE</v>
          </cell>
          <cell r="BS401" t="str">
            <v>LEDER-PELO</v>
          </cell>
          <cell r="BT401" t="str">
            <v>CUE0000125R</v>
          </cell>
          <cell r="BU401">
            <v>0.5</v>
          </cell>
          <cell r="BV401" t="str">
            <v>FOR0000026</v>
          </cell>
          <cell r="BW401">
            <v>0.5</v>
          </cell>
          <cell r="CL401" t="str">
            <v>PELO_HOLANDO</v>
          </cell>
          <cell r="CM401" t="str">
            <v>LEDER-PELO</v>
          </cell>
          <cell r="CN401" t="str">
            <v>CUE0000116R</v>
          </cell>
          <cell r="CO401">
            <v>0.5</v>
          </cell>
          <cell r="CP401" t="str">
            <v>FOR0000024</v>
          </cell>
          <cell r="CQ401">
            <v>0.5</v>
          </cell>
          <cell r="DF401" t="str">
            <v>PELO_HOLANDO</v>
          </cell>
          <cell r="DG401" t="str">
            <v>LEDER-PELO</v>
          </cell>
          <cell r="DH401" t="str">
            <v>CUE0000116R</v>
          </cell>
          <cell r="DI401">
            <v>0.5</v>
          </cell>
          <cell r="DJ401" t="str">
            <v>FOR0000024</v>
          </cell>
          <cell r="DK401">
            <v>0.5</v>
          </cell>
          <cell r="KD401">
            <v>4</v>
          </cell>
          <cell r="KE401">
            <v>4</v>
          </cell>
          <cell r="KF401">
            <v>4</v>
          </cell>
          <cell r="KG401">
            <v>3</v>
          </cell>
          <cell r="KH401">
            <v>3</v>
          </cell>
          <cell r="KI401">
            <v>3</v>
          </cell>
          <cell r="KJ401">
            <v>12</v>
          </cell>
          <cell r="KK401">
            <v>11</v>
          </cell>
          <cell r="KL401">
            <v>11</v>
          </cell>
          <cell r="KM401">
            <v>12</v>
          </cell>
          <cell r="KN401">
            <v>12</v>
          </cell>
          <cell r="KO401">
            <v>12</v>
          </cell>
          <cell r="KP401">
            <v>0</v>
          </cell>
          <cell r="KS401">
            <v>0</v>
          </cell>
          <cell r="KV401">
            <v>0</v>
          </cell>
          <cell r="KY401">
            <v>0</v>
          </cell>
          <cell r="LB401">
            <v>0</v>
          </cell>
          <cell r="LE401">
            <v>0</v>
          </cell>
          <cell r="LH401">
            <v>0</v>
          </cell>
          <cell r="LK401">
            <v>0</v>
          </cell>
          <cell r="LN401">
            <v>45978</v>
          </cell>
          <cell r="LO401">
            <v>45987</v>
          </cell>
          <cell r="LP401" t="str">
            <v>COMPLETADO</v>
          </cell>
          <cell r="LQ401" t="str">
            <v>TALLE S/M</v>
          </cell>
          <cell r="LR401" t="str">
            <v>TALLE M/L</v>
          </cell>
          <cell r="LS401" t="str">
            <v>TALLE S/M - SE TIENE QUE VER EN EL LARGO DEL CINTO PARTES BLANCAS Y PARTES NEGRAS SINO SALE ASI CANCELAR</v>
          </cell>
          <cell r="LT401" t="str">
            <v>TALLE M/L - SE TIENE QUE VER EN EL LARGO DEL CINTO PARTES BLANCAS Y PARTES NEGRAS SINO SALE ASI CANCELAR</v>
          </cell>
        </row>
        <row r="402">
          <cell r="A402" t="str">
            <v>2070-A</v>
          </cell>
          <cell r="B402" t="str">
            <v>LUCIANO</v>
          </cell>
          <cell r="C402" t="str">
            <v>BARRACAS CHICA</v>
          </cell>
          <cell r="D402" t="str">
            <v>MARROQUINERIA CHICA</v>
          </cell>
          <cell r="E402">
            <v>5</v>
          </cell>
          <cell r="F402">
            <v>5</v>
          </cell>
          <cell r="G402">
            <v>5</v>
          </cell>
          <cell r="H402">
            <v>45943.446145833332</v>
          </cell>
          <cell r="I402" t="str">
            <v>BILLETERA FICHERO</v>
          </cell>
          <cell r="J402">
            <v>45958</v>
          </cell>
          <cell r="K402">
            <v>45938</v>
          </cell>
          <cell r="L402">
            <v>45959</v>
          </cell>
          <cell r="M402">
            <v>55</v>
          </cell>
          <cell r="N402" t="str">
            <v>M015</v>
          </cell>
          <cell r="O402" t="str">
            <v>BAC1300050727</v>
          </cell>
          <cell r="P402">
            <v>0.06</v>
          </cell>
          <cell r="Q402" t="str">
            <v>BAC0200071027</v>
          </cell>
          <cell r="R402">
            <v>0.04</v>
          </cell>
          <cell r="S402" t="str">
            <v>BAC0900100161</v>
          </cell>
          <cell r="T402">
            <v>0.01</v>
          </cell>
          <cell r="U402" t="str">
            <v>FOR0000032</v>
          </cell>
          <cell r="V402">
            <v>0.01</v>
          </cell>
          <cell r="W402" t="str">
            <v>AV0101070301</v>
          </cell>
          <cell r="X402">
            <v>1</v>
          </cell>
          <cell r="Y402" t="str">
            <v>AV0600560101</v>
          </cell>
          <cell r="Z402">
            <v>1</v>
          </cell>
          <cell r="AA402" t="str">
            <v>AV0600550101</v>
          </cell>
          <cell r="AB402">
            <v>1</v>
          </cell>
          <cell r="AC402" t="str">
            <v>AV0300400101</v>
          </cell>
          <cell r="AD402">
            <v>2</v>
          </cell>
          <cell r="AE402" t="str">
            <v>AV1000380101</v>
          </cell>
          <cell r="AF402">
            <v>2</v>
          </cell>
          <cell r="AG402" t="str">
            <v>AV0101040201</v>
          </cell>
          <cell r="AH402">
            <v>1</v>
          </cell>
          <cell r="AI402" t="str">
            <v>AV0300390101</v>
          </cell>
          <cell r="AJ402">
            <v>1</v>
          </cell>
          <cell r="AK402" t="str">
            <v>AV170134014</v>
          </cell>
          <cell r="AL402">
            <v>0</v>
          </cell>
          <cell r="AS402" t="str">
            <v>TIRACIERRE N2 : vuelta de tira con remache + grabado estrella lucero</v>
          </cell>
          <cell r="AT402" t="str">
            <v xml:space="preserve">CAMBIAR LADO DE LA PULSERA A LA IZQUIERDA    </v>
          </cell>
          <cell r="AW402" t="str">
            <v xml:space="preserve">GRABADO "EL LUCERO" CHICO EN FRENTE, CENTRADO A 2 CM DESDE BOCA  </v>
          </cell>
          <cell r="AX402" t="str">
            <v>NEGRO</v>
          </cell>
          <cell r="AY402" t="str">
            <v>ARENA-CUERO NAPADO</v>
          </cell>
          <cell r="AZ402" t="str">
            <v>CUE0000026R</v>
          </cell>
          <cell r="BA402">
            <v>0.21</v>
          </cell>
          <cell r="BB402" t="str">
            <v>AV0100010103</v>
          </cell>
          <cell r="BC402">
            <v>0.45</v>
          </cell>
          <cell r="BD402" t="str">
            <v>AV0100020303</v>
          </cell>
          <cell r="BE402">
            <v>0.16</v>
          </cell>
          <cell r="BF402" t="str">
            <v>FOR0000018</v>
          </cell>
          <cell r="BG402">
            <v>0.16</v>
          </cell>
          <cell r="BR402" t="str">
            <v>ROJO</v>
          </cell>
          <cell r="BS402" t="str">
            <v>ARENA-CUERO NAPADO</v>
          </cell>
          <cell r="BT402" t="str">
            <v>CUE0000027R</v>
          </cell>
          <cell r="BU402">
            <v>0.21</v>
          </cell>
          <cell r="BV402" t="str">
            <v>AV0100010113</v>
          </cell>
          <cell r="BW402">
            <v>0.45</v>
          </cell>
          <cell r="BX402" t="str">
            <v>AV0100020313</v>
          </cell>
          <cell r="BY402">
            <v>0.16</v>
          </cell>
          <cell r="BZ402" t="str">
            <v>FOR0000016</v>
          </cell>
          <cell r="CA402">
            <v>0.16</v>
          </cell>
          <cell r="KD402">
            <v>2</v>
          </cell>
          <cell r="KE402">
            <v>2</v>
          </cell>
          <cell r="KF402">
            <v>2</v>
          </cell>
          <cell r="KG402">
            <v>3</v>
          </cell>
          <cell r="KH402">
            <v>3</v>
          </cell>
          <cell r="KI402">
            <v>3</v>
          </cell>
          <cell r="KJ402">
            <v>0</v>
          </cell>
          <cell r="KK402">
            <v>0</v>
          </cell>
          <cell r="KM402">
            <v>0</v>
          </cell>
          <cell r="KP402">
            <v>0</v>
          </cell>
          <cell r="KS402">
            <v>0</v>
          </cell>
          <cell r="KV402">
            <v>0</v>
          </cell>
          <cell r="KY402">
            <v>0</v>
          </cell>
          <cell r="LB402">
            <v>0</v>
          </cell>
          <cell r="LE402">
            <v>0</v>
          </cell>
          <cell r="LH402">
            <v>0</v>
          </cell>
          <cell r="LK402">
            <v>0</v>
          </cell>
          <cell r="LN402">
            <v>45958</v>
          </cell>
          <cell r="LO402">
            <v>45965</v>
          </cell>
          <cell r="LP402" t="str">
            <v>COMPLETADO</v>
          </cell>
        </row>
        <row r="403">
          <cell r="A403" t="str">
            <v>2071-A</v>
          </cell>
          <cell r="B403" t="str">
            <v>LUCIANO</v>
          </cell>
          <cell r="C403" t="str">
            <v>PERDRIEL</v>
          </cell>
          <cell r="D403" t="str">
            <v>MARROQUINERIA CHICA</v>
          </cell>
          <cell r="E403">
            <v>12</v>
          </cell>
          <cell r="F403">
            <v>12</v>
          </cell>
          <cell r="G403">
            <v>12</v>
          </cell>
          <cell r="H403">
            <v>45943.451284722221</v>
          </cell>
          <cell r="I403" t="str">
            <v>BILLETERA LIAM</v>
          </cell>
          <cell r="J403">
            <v>45958</v>
          </cell>
          <cell r="K403">
            <v>45938</v>
          </cell>
          <cell r="L403">
            <v>45959</v>
          </cell>
          <cell r="M403">
            <v>65</v>
          </cell>
          <cell r="N403" t="str">
            <v>M020</v>
          </cell>
          <cell r="O403" t="str">
            <v>BAC1300050727</v>
          </cell>
          <cell r="P403">
            <v>0.02</v>
          </cell>
          <cell r="Q403" t="str">
            <v>VAR0000002</v>
          </cell>
          <cell r="R403">
            <v>0.01</v>
          </cell>
          <cell r="S403" t="str">
            <v>AV0401380101</v>
          </cell>
          <cell r="T403">
            <v>1</v>
          </cell>
          <cell r="U403" t="str">
            <v>AV170134014</v>
          </cell>
          <cell r="V403">
            <v>0</v>
          </cell>
          <cell r="AW403" t="str">
            <v xml:space="preserve">GRABADO "EL LUCERO ARGENTINA" CHICO -CENTRADO A 1 CM DESDE EL BORDE INFERIOR  </v>
          </cell>
          <cell r="AX403" t="str">
            <v>NEGRO</v>
          </cell>
          <cell r="AY403" t="str">
            <v>VANESKA-CUERO NAPADO DUNA</v>
          </cell>
          <cell r="AZ403" t="str">
            <v>CUE0000059R</v>
          </cell>
          <cell r="BA403">
            <v>0.16</v>
          </cell>
          <cell r="BB403" t="str">
            <v>FOR0000018</v>
          </cell>
          <cell r="BC403">
            <v>0.24</v>
          </cell>
          <cell r="BD403" t="str">
            <v>AV1401254060</v>
          </cell>
          <cell r="BE403">
            <v>0</v>
          </cell>
          <cell r="BR403" t="str">
            <v>CHOCOLATE</v>
          </cell>
          <cell r="BS403" t="str">
            <v>ARENA-CUERO NAPADO</v>
          </cell>
          <cell r="BT403" t="str">
            <v>CUE0000110R</v>
          </cell>
          <cell r="BU403">
            <v>0.16</v>
          </cell>
          <cell r="BV403" t="str">
            <v>FOR0000015</v>
          </cell>
          <cell r="BW403">
            <v>0.24</v>
          </cell>
          <cell r="BX403" t="str">
            <v>AV1401250545</v>
          </cell>
          <cell r="BY403">
            <v>0</v>
          </cell>
          <cell r="KD403">
            <v>6</v>
          </cell>
          <cell r="KE403">
            <v>6</v>
          </cell>
          <cell r="KF403">
            <v>6</v>
          </cell>
          <cell r="KG403">
            <v>6</v>
          </cell>
          <cell r="KH403">
            <v>6</v>
          </cell>
          <cell r="KI403">
            <v>6</v>
          </cell>
          <cell r="KJ403">
            <v>0</v>
          </cell>
          <cell r="KK403">
            <v>0</v>
          </cell>
          <cell r="KM403">
            <v>0</v>
          </cell>
          <cell r="KP403">
            <v>0</v>
          </cell>
          <cell r="KS403">
            <v>0</v>
          </cell>
          <cell r="KV403">
            <v>0</v>
          </cell>
          <cell r="KY403">
            <v>0</v>
          </cell>
          <cell r="LB403">
            <v>0</v>
          </cell>
          <cell r="LE403">
            <v>0</v>
          </cell>
          <cell r="LH403">
            <v>0</v>
          </cell>
          <cell r="LK403">
            <v>0</v>
          </cell>
          <cell r="LN403">
            <v>45957</v>
          </cell>
          <cell r="LO403">
            <v>45965</v>
          </cell>
          <cell r="LP403" t="str">
            <v>COMPLETADO</v>
          </cell>
        </row>
        <row r="404">
          <cell r="A404" t="str">
            <v>2072-A</v>
          </cell>
          <cell r="B404" t="str">
            <v>LUCIANO</v>
          </cell>
          <cell r="C404" t="str">
            <v>PERDRIEL</v>
          </cell>
          <cell r="D404" t="str">
            <v>MARROQUINERIA CHICA</v>
          </cell>
          <cell r="E404">
            <v>6</v>
          </cell>
          <cell r="F404">
            <v>6</v>
          </cell>
          <cell r="G404">
            <v>6</v>
          </cell>
          <cell r="H404">
            <v>45943.455069444448</v>
          </cell>
          <cell r="I404" t="str">
            <v>BILLETERA LUCA</v>
          </cell>
          <cell r="J404">
            <v>45945</v>
          </cell>
          <cell r="K404">
            <v>45938</v>
          </cell>
          <cell r="L404">
            <v>45950</v>
          </cell>
          <cell r="M404">
            <v>40</v>
          </cell>
          <cell r="N404" t="str">
            <v>M021</v>
          </cell>
          <cell r="O404" t="str">
            <v>AV170134014</v>
          </cell>
          <cell r="P404">
            <v>0</v>
          </cell>
          <cell r="AS404" t="str">
            <v>VENTANA EN PVC NO EN RED</v>
          </cell>
          <cell r="AW404" t="str">
            <v xml:space="preserve">GRABADO "EL LUCERO ARGENTINA"CHICO EN INTERIOR ESQUINA INFERIOR DERECHO  </v>
          </cell>
          <cell r="AX404" t="str">
            <v>NEGRO</v>
          </cell>
          <cell r="AY404" t="str">
            <v>ARENA-CUERO BRIDGE</v>
          </cell>
          <cell r="AZ404" t="str">
            <v>CUE0000009R</v>
          </cell>
          <cell r="BA404">
            <v>0.08</v>
          </cell>
          <cell r="BB404" t="str">
            <v>FOR0000018</v>
          </cell>
          <cell r="BC404">
            <v>0.06</v>
          </cell>
          <cell r="BD404" t="str">
            <v>AV1401254060</v>
          </cell>
          <cell r="BE404">
            <v>0</v>
          </cell>
          <cell r="KD404">
            <v>6</v>
          </cell>
          <cell r="KE404">
            <v>6</v>
          </cell>
          <cell r="KF404">
            <v>6</v>
          </cell>
          <cell r="KG404">
            <v>0</v>
          </cell>
          <cell r="KH404">
            <v>0</v>
          </cell>
          <cell r="KJ404">
            <v>0</v>
          </cell>
          <cell r="KK404">
            <v>0</v>
          </cell>
          <cell r="KM404">
            <v>0</v>
          </cell>
          <cell r="KP404">
            <v>0</v>
          </cell>
          <cell r="KS404">
            <v>0</v>
          </cell>
          <cell r="KV404">
            <v>0</v>
          </cell>
          <cell r="KY404">
            <v>0</v>
          </cell>
          <cell r="LB404">
            <v>0</v>
          </cell>
          <cell r="LE404">
            <v>0</v>
          </cell>
          <cell r="LH404">
            <v>0</v>
          </cell>
          <cell r="LK404">
            <v>0</v>
          </cell>
          <cell r="LN404">
            <v>45945</v>
          </cell>
          <cell r="LO404">
            <v>45958</v>
          </cell>
          <cell r="LP404" t="str">
            <v>COMPLETADO</v>
          </cell>
        </row>
        <row r="405">
          <cell r="A405" t="str">
            <v>2073-A</v>
          </cell>
          <cell r="B405" t="str">
            <v>LUCIANO</v>
          </cell>
          <cell r="C405" t="str">
            <v>PERDRIEL</v>
          </cell>
          <cell r="D405" t="str">
            <v>MARROQUINERIA CHICA</v>
          </cell>
          <cell r="E405">
            <v>14</v>
          </cell>
          <cell r="F405">
            <v>14</v>
          </cell>
          <cell r="G405">
            <v>14</v>
          </cell>
          <cell r="H405">
            <v>45943.458506944444</v>
          </cell>
          <cell r="I405" t="str">
            <v>BILLETERA PENNY</v>
          </cell>
          <cell r="J405">
            <v>45957</v>
          </cell>
          <cell r="K405">
            <v>45938</v>
          </cell>
          <cell r="L405">
            <v>45958</v>
          </cell>
          <cell r="M405">
            <v>60</v>
          </cell>
          <cell r="N405" t="str">
            <v>M025</v>
          </cell>
          <cell r="O405" t="str">
            <v>BAC1300050727</v>
          </cell>
          <cell r="P405">
            <v>0.03</v>
          </cell>
          <cell r="Q405" t="str">
            <v>BAC0900100161</v>
          </cell>
          <cell r="R405">
            <v>0.01</v>
          </cell>
          <cell r="S405" t="str">
            <v>AV0300440101</v>
          </cell>
          <cell r="T405">
            <v>1</v>
          </cell>
          <cell r="U405" t="str">
            <v>AV0101070301</v>
          </cell>
          <cell r="V405">
            <v>1</v>
          </cell>
          <cell r="W405" t="str">
            <v>AV0700650101</v>
          </cell>
          <cell r="X405">
            <v>1</v>
          </cell>
          <cell r="Y405" t="str">
            <v>AV0600560101</v>
          </cell>
          <cell r="Z405">
            <v>1</v>
          </cell>
          <cell r="AA405" t="str">
            <v>AV170134014</v>
          </cell>
          <cell r="AB405">
            <v>0</v>
          </cell>
          <cell r="AW405" t="str">
            <v>CHAPA LETRAS LUCERO, CENTRADA EN FRENTE SOBRE SOLAPA A 2 CM DEL BORDE INFERIOR</v>
          </cell>
          <cell r="AX405" t="str">
            <v>NEGRO</v>
          </cell>
          <cell r="AY405" t="str">
            <v>ARENA-CUERO NAPADO</v>
          </cell>
          <cell r="AZ405" t="str">
            <v>CUE0000026R</v>
          </cell>
          <cell r="BA405">
            <v>0.16</v>
          </cell>
          <cell r="BB405" t="str">
            <v>FOR0000018</v>
          </cell>
          <cell r="BC405">
            <v>0.19</v>
          </cell>
          <cell r="BD405" t="str">
            <v>AV0100020303</v>
          </cell>
          <cell r="BE405">
            <v>0.17</v>
          </cell>
          <cell r="BF405" t="str">
            <v>AV1401254060</v>
          </cell>
          <cell r="BG405">
            <v>0</v>
          </cell>
          <cell r="BH405" t="str">
            <v>AV1601300926</v>
          </cell>
          <cell r="BI405">
            <v>0</v>
          </cell>
          <cell r="BR405" t="str">
            <v>ROJO</v>
          </cell>
          <cell r="BS405" t="str">
            <v>ARENA-CUERO NAPADO</v>
          </cell>
          <cell r="BT405" t="str">
            <v>CUE0000027R</v>
          </cell>
          <cell r="BU405">
            <v>0.16</v>
          </cell>
          <cell r="BV405" t="str">
            <v>FOR0000016</v>
          </cell>
          <cell r="BW405">
            <v>0.19</v>
          </cell>
          <cell r="BX405" t="str">
            <v>AV0100020313</v>
          </cell>
          <cell r="BY405">
            <v>0.17</v>
          </cell>
          <cell r="BZ405" t="str">
            <v>AV1401254460</v>
          </cell>
          <cell r="CA405">
            <v>0</v>
          </cell>
          <cell r="CB405" t="str">
            <v>AV1601300929</v>
          </cell>
          <cell r="CC405">
            <v>0</v>
          </cell>
          <cell r="KD405">
            <v>2</v>
          </cell>
          <cell r="KE405">
            <v>2</v>
          </cell>
          <cell r="KF405">
            <v>2</v>
          </cell>
          <cell r="KG405">
            <v>12</v>
          </cell>
          <cell r="KH405">
            <v>12</v>
          </cell>
          <cell r="KI405">
            <v>12</v>
          </cell>
          <cell r="KJ405">
            <v>0</v>
          </cell>
          <cell r="KK405">
            <v>0</v>
          </cell>
          <cell r="KM405">
            <v>0</v>
          </cell>
          <cell r="KP405">
            <v>0</v>
          </cell>
          <cell r="KS405">
            <v>0</v>
          </cell>
          <cell r="KV405">
            <v>0</v>
          </cell>
          <cell r="KY405">
            <v>0</v>
          </cell>
          <cell r="LB405">
            <v>0</v>
          </cell>
          <cell r="LE405">
            <v>0</v>
          </cell>
          <cell r="LH405">
            <v>0</v>
          </cell>
          <cell r="LK405">
            <v>0</v>
          </cell>
          <cell r="LN405">
            <v>45957</v>
          </cell>
          <cell r="LO405">
            <v>45965</v>
          </cell>
          <cell r="LP405" t="str">
            <v>COMPLETADO</v>
          </cell>
        </row>
        <row r="406">
          <cell r="A406" t="str">
            <v>2074-A</v>
          </cell>
          <cell r="B406" t="str">
            <v>LUCIANO</v>
          </cell>
          <cell r="C406" t="str">
            <v>PERDRIEL</v>
          </cell>
          <cell r="D406" t="str">
            <v>MARROQUINERIA CHICA</v>
          </cell>
          <cell r="E406">
            <v>21</v>
          </cell>
          <cell r="F406">
            <v>21</v>
          </cell>
          <cell r="G406">
            <v>21</v>
          </cell>
          <cell r="H406">
            <v>45943.487118055556</v>
          </cell>
          <cell r="I406" t="str">
            <v>MONEDERO GRACE</v>
          </cell>
          <cell r="J406">
            <v>45947</v>
          </cell>
          <cell r="K406">
            <v>45947</v>
          </cell>
          <cell r="L406">
            <v>45947</v>
          </cell>
          <cell r="M406">
            <v>15</v>
          </cell>
          <cell r="N406" t="str">
            <v>M143</v>
          </cell>
          <cell r="O406" t="str">
            <v>AV0101070301</v>
          </cell>
          <cell r="P406">
            <v>1</v>
          </cell>
          <cell r="Q406" t="str">
            <v>AV0600560101</v>
          </cell>
          <cell r="R406">
            <v>1</v>
          </cell>
          <cell r="AS406" t="str">
            <v>TIRACIERRE LUCERO CHICO</v>
          </cell>
          <cell r="AW406" t="str">
            <v>GRABADO "EL LUCERO ARGENTINA" CHICO" EN EL FRENTE, CENTRADO, A 3,5 CM DE LA UNION DE LA BASE</v>
          </cell>
          <cell r="AX406" t="str">
            <v>ROJO</v>
          </cell>
          <cell r="AY406" t="str">
            <v>ARENA-CUERO BRIDGE</v>
          </cell>
          <cell r="AZ406" t="str">
            <v>CUE0000010R</v>
          </cell>
          <cell r="BA406">
            <v>0.04</v>
          </cell>
          <cell r="BB406" t="str">
            <v>AV0100020313</v>
          </cell>
          <cell r="BC406">
            <v>0.2</v>
          </cell>
          <cell r="BR406" t="str">
            <v>CARAMELO</v>
          </cell>
          <cell r="BS406" t="str">
            <v>ARENA-CUERO BRIDGE</v>
          </cell>
          <cell r="BT406" t="str">
            <v>CUE0000004R</v>
          </cell>
          <cell r="BU406">
            <v>0.04</v>
          </cell>
          <cell r="BV406" t="str">
            <v>AV0100020305</v>
          </cell>
          <cell r="BW406">
            <v>0.2</v>
          </cell>
          <cell r="KD406">
            <v>9</v>
          </cell>
          <cell r="KE406">
            <v>9</v>
          </cell>
          <cell r="KF406">
            <v>9</v>
          </cell>
          <cell r="KG406">
            <v>12</v>
          </cell>
          <cell r="KH406">
            <v>12</v>
          </cell>
          <cell r="KI406">
            <v>12</v>
          </cell>
          <cell r="KJ406">
            <v>0</v>
          </cell>
          <cell r="KK406">
            <v>0</v>
          </cell>
          <cell r="KM406">
            <v>0</v>
          </cell>
          <cell r="KN406">
            <v>0</v>
          </cell>
          <cell r="KP406">
            <v>0</v>
          </cell>
          <cell r="KQ406">
            <v>0</v>
          </cell>
          <cell r="KS406">
            <v>0</v>
          </cell>
          <cell r="KV406">
            <v>0</v>
          </cell>
          <cell r="KY406">
            <v>0</v>
          </cell>
          <cell r="LB406">
            <v>0</v>
          </cell>
          <cell r="LE406">
            <v>0</v>
          </cell>
          <cell r="LH406">
            <v>0</v>
          </cell>
          <cell r="LK406">
            <v>0</v>
          </cell>
          <cell r="LN406">
            <v>45947</v>
          </cell>
          <cell r="LO406">
            <v>45950</v>
          </cell>
          <cell r="LP406" t="str">
            <v>COMPLETADO</v>
          </cell>
        </row>
        <row r="407">
          <cell r="A407" t="str">
            <v>2075-A</v>
          </cell>
          <cell r="B407" t="str">
            <v>LUCIANO</v>
          </cell>
          <cell r="C407" t="str">
            <v>PERDRIEL</v>
          </cell>
          <cell r="D407" t="str">
            <v>MARROQUINERIA CHICA</v>
          </cell>
          <cell r="E407">
            <v>26</v>
          </cell>
          <cell r="F407">
            <v>26</v>
          </cell>
          <cell r="G407">
            <v>26</v>
          </cell>
          <cell r="H407">
            <v>45943.504351851851</v>
          </cell>
          <cell r="I407" t="str">
            <v>MONEDERO LUISA</v>
          </cell>
          <cell r="J407">
            <v>45958</v>
          </cell>
          <cell r="K407">
            <v>45938</v>
          </cell>
          <cell r="L407">
            <v>45959</v>
          </cell>
          <cell r="M407">
            <v>50</v>
          </cell>
          <cell r="N407" t="str">
            <v>M064</v>
          </cell>
          <cell r="O407" t="str">
            <v>VAR0000002</v>
          </cell>
          <cell r="P407">
            <v>0.01</v>
          </cell>
          <cell r="Q407" t="str">
            <v>BAC0200071027</v>
          </cell>
          <cell r="R407">
            <v>0.01</v>
          </cell>
          <cell r="S407" t="str">
            <v>BAC1300050727</v>
          </cell>
          <cell r="T407">
            <v>0.02</v>
          </cell>
          <cell r="U407" t="str">
            <v>AV0700420101</v>
          </cell>
          <cell r="V407">
            <v>1</v>
          </cell>
          <cell r="W407" t="str">
            <v>AV0101070301</v>
          </cell>
          <cell r="X407">
            <v>1</v>
          </cell>
          <cell r="Y407" t="str">
            <v>AV0600560101</v>
          </cell>
          <cell r="Z407">
            <v>1</v>
          </cell>
          <cell r="AA407" t="str">
            <v>AV170134014</v>
          </cell>
          <cell r="AB407">
            <v>0</v>
          </cell>
          <cell r="AW407" t="str">
            <v>GRABADO EL LUCERO ARGENTINA PIEZA INTERNA IZQUIERDA ABAJO</v>
          </cell>
          <cell r="AX407" t="str">
            <v>NEGRO</v>
          </cell>
          <cell r="AY407" t="str">
            <v>ARENA-CUERO BRIDGE</v>
          </cell>
          <cell r="AZ407" t="str">
            <v>CUE0000009R</v>
          </cell>
          <cell r="BA407">
            <v>0.08</v>
          </cell>
          <cell r="BB407" t="str">
            <v>AV1401254060</v>
          </cell>
          <cell r="BC407">
            <v>0</v>
          </cell>
          <cell r="BD407" t="str">
            <v>FOR0000018</v>
          </cell>
          <cell r="BE407">
            <v>0.08</v>
          </cell>
          <cell r="BF407" t="str">
            <v>AV0100020303</v>
          </cell>
          <cell r="BG407">
            <v>0.1</v>
          </cell>
          <cell r="BR407" t="str">
            <v>ROJO</v>
          </cell>
          <cell r="BS407" t="str">
            <v>ARENA-CUERO BRIDGE</v>
          </cell>
          <cell r="BT407" t="str">
            <v>CUE0000010R</v>
          </cell>
          <cell r="BU407">
            <v>0.08</v>
          </cell>
          <cell r="BV407" t="str">
            <v>AV1401254460</v>
          </cell>
          <cell r="BW407">
            <v>0</v>
          </cell>
          <cell r="BX407" t="str">
            <v>FOR0000016</v>
          </cell>
          <cell r="BY407">
            <v>0.08</v>
          </cell>
          <cell r="BZ407" t="str">
            <v>AV0100020313</v>
          </cell>
          <cell r="CA407">
            <v>0.1</v>
          </cell>
          <cell r="CL407" t="str">
            <v>TABACO</v>
          </cell>
          <cell r="CM407" t="str">
            <v>ARENA-CUERO BRIDGE</v>
          </cell>
          <cell r="CN407" t="str">
            <v>CUE0000012R</v>
          </cell>
          <cell r="CO407">
            <v>0.08</v>
          </cell>
          <cell r="CP407" t="str">
            <v>AV1401250545</v>
          </cell>
          <cell r="CQ407">
            <v>0</v>
          </cell>
          <cell r="CR407" t="str">
            <v>FOR0000015</v>
          </cell>
          <cell r="CS407">
            <v>0.08</v>
          </cell>
          <cell r="CT407" t="str">
            <v>CIE0000004</v>
          </cell>
          <cell r="CU407">
            <v>0.1</v>
          </cell>
          <cell r="DF407" t="str">
            <v>CARAMELO</v>
          </cell>
          <cell r="DG407" t="str">
            <v>ARENA-CUERO BRIDGE</v>
          </cell>
          <cell r="DH407" t="str">
            <v>CUE0000004R</v>
          </cell>
          <cell r="DI407">
            <v>0.08</v>
          </cell>
          <cell r="DJ407" t="str">
            <v>AV1401250545</v>
          </cell>
          <cell r="DK407">
            <v>0</v>
          </cell>
          <cell r="DL407" t="str">
            <v>FOR0000015</v>
          </cell>
          <cell r="DM407">
            <v>0.08</v>
          </cell>
          <cell r="DN407" t="str">
            <v>AV0100020305</v>
          </cell>
          <cell r="DO407">
            <v>0.1</v>
          </cell>
          <cell r="KD407">
            <v>2</v>
          </cell>
          <cell r="KE407">
            <v>2</v>
          </cell>
          <cell r="KF407">
            <v>2</v>
          </cell>
          <cell r="KG407">
            <v>9</v>
          </cell>
          <cell r="KH407">
            <v>9</v>
          </cell>
          <cell r="KI407">
            <v>9</v>
          </cell>
          <cell r="KJ407">
            <v>6</v>
          </cell>
          <cell r="KK407">
            <v>6</v>
          </cell>
          <cell r="KL407">
            <v>6</v>
          </cell>
          <cell r="KM407">
            <v>9</v>
          </cell>
          <cell r="KN407">
            <v>9</v>
          </cell>
          <cell r="KO407">
            <v>9</v>
          </cell>
          <cell r="KP407">
            <v>0</v>
          </cell>
          <cell r="KQ407">
            <v>0</v>
          </cell>
          <cell r="KS407">
            <v>0</v>
          </cell>
          <cell r="KV407">
            <v>0</v>
          </cell>
          <cell r="KY407">
            <v>0</v>
          </cell>
          <cell r="LB407">
            <v>0</v>
          </cell>
          <cell r="LE407">
            <v>0</v>
          </cell>
          <cell r="LH407">
            <v>0</v>
          </cell>
          <cell r="LK407">
            <v>0</v>
          </cell>
          <cell r="LN407">
            <v>45958</v>
          </cell>
          <cell r="LO407">
            <v>45972</v>
          </cell>
          <cell r="LP407" t="str">
            <v>COMPLETADO</v>
          </cell>
        </row>
        <row r="408">
          <cell r="A408" t="str">
            <v>2076-A</v>
          </cell>
          <cell r="B408" t="str">
            <v>RUBEN</v>
          </cell>
          <cell r="C408" t="str">
            <v>BARRACAS GRANDE</v>
          </cell>
          <cell r="D408" t="str">
            <v>MARROQUINERIA GRANDE</v>
          </cell>
          <cell r="E408">
            <v>16</v>
          </cell>
          <cell r="F408">
            <v>16</v>
          </cell>
          <cell r="G408">
            <v>16</v>
          </cell>
          <cell r="H408">
            <v>45943.560891203706</v>
          </cell>
          <cell r="I408" t="str">
            <v>NECESSAIRE</v>
          </cell>
          <cell r="J408">
            <v>45939</v>
          </cell>
          <cell r="K408">
            <v>45939</v>
          </cell>
          <cell r="L408">
            <v>45943</v>
          </cell>
          <cell r="M408">
            <v>40</v>
          </cell>
          <cell r="N408" t="str">
            <v>M146</v>
          </cell>
          <cell r="O408" t="str">
            <v>AV0300430101</v>
          </cell>
          <cell r="P408">
            <v>2</v>
          </cell>
          <cell r="Q408" t="str">
            <v>AV0101030201</v>
          </cell>
          <cell r="R408">
            <v>2</v>
          </cell>
          <cell r="S408" t="str">
            <v>AV0600540101</v>
          </cell>
          <cell r="T408">
            <v>1</v>
          </cell>
          <cell r="U408" t="str">
            <v>AV0400390101</v>
          </cell>
          <cell r="V408">
            <v>2</v>
          </cell>
          <cell r="W408" t="str">
            <v>VAR0000009</v>
          </cell>
          <cell r="X408">
            <v>1</v>
          </cell>
          <cell r="Y408" t="str">
            <v>AV1002170326</v>
          </cell>
          <cell r="Z408">
            <v>0.8</v>
          </cell>
          <cell r="AA408" t="str">
            <v>VAR0000030</v>
          </cell>
          <cell r="AB408">
            <v>0.03</v>
          </cell>
          <cell r="AC408" t="str">
            <v>AV170129018</v>
          </cell>
          <cell r="AD408">
            <v>0</v>
          </cell>
          <cell r="AS408" t="str">
            <v xml:space="preserve">TIRACIERRE N°7 - (TIRACIERRE METAL + TIRA DE CUERO CON REMACHE + </v>
          </cell>
          <cell r="AT408" t="str">
            <v xml:space="preserve">TIRACIERRE N 1 - PARA CIERRES METAL&gt;&gt; TIRA CON REMACHE + GRABADO </v>
          </cell>
          <cell r="AW408" t="str">
            <v>TROQUEL EN 
INTERIOR "EL 
LUCERO 
ARGENTINA" 
IDEM MUESTRA</v>
          </cell>
          <cell r="AX408" t="str">
            <v>NEGRO</v>
          </cell>
          <cell r="AY408" t="str">
            <v>ARENA-CUERO BRIDGE</v>
          </cell>
          <cell r="AZ408" t="str">
            <v>CUE0000009</v>
          </cell>
          <cell r="BA408">
            <v>0.3</v>
          </cell>
          <cell r="BB408" t="str">
            <v>FOR0000020</v>
          </cell>
          <cell r="BC408">
            <v>0.2</v>
          </cell>
          <cell r="BD408" t="str">
            <v>AV0100010103</v>
          </cell>
          <cell r="BE408">
            <v>0.6</v>
          </cell>
          <cell r="BR408" t="str">
            <v>TABACO</v>
          </cell>
          <cell r="BS408" t="str">
            <v>ARENA-CUERO BRIDGE</v>
          </cell>
          <cell r="BT408" t="str">
            <v>CUE0000012</v>
          </cell>
          <cell r="BU408">
            <v>0.3</v>
          </cell>
          <cell r="BV408" t="str">
            <v>FOR0000021</v>
          </cell>
          <cell r="BW408">
            <v>0.2</v>
          </cell>
          <cell r="BX408" t="str">
            <v>AV0100010114</v>
          </cell>
          <cell r="BY408">
            <v>0.6</v>
          </cell>
          <cell r="CL408" t="str">
            <v>CARAMELO</v>
          </cell>
          <cell r="CM408" t="str">
            <v>ARENA-CUERO BRIDGE</v>
          </cell>
          <cell r="CN408" t="str">
            <v>CUE0000004</v>
          </cell>
          <cell r="CO408">
            <v>0.3</v>
          </cell>
          <cell r="CP408" t="str">
            <v>FOR0000021</v>
          </cell>
          <cell r="CQ408">
            <v>0.2</v>
          </cell>
          <cell r="CR408" t="str">
            <v>AV0100010105</v>
          </cell>
          <cell r="CS408">
            <v>0.6</v>
          </cell>
          <cell r="KD408">
            <v>6</v>
          </cell>
          <cell r="KE408">
            <v>6</v>
          </cell>
          <cell r="KF408">
            <v>6</v>
          </cell>
          <cell r="KG408">
            <v>4</v>
          </cell>
          <cell r="KH408">
            <v>4</v>
          </cell>
          <cell r="KI408">
            <v>4</v>
          </cell>
          <cell r="KJ408">
            <v>6</v>
          </cell>
          <cell r="KK408">
            <v>6</v>
          </cell>
          <cell r="KL408">
            <v>6</v>
          </cell>
          <cell r="KM408">
            <v>0</v>
          </cell>
          <cell r="KP408">
            <v>0</v>
          </cell>
          <cell r="KS408">
            <v>0</v>
          </cell>
          <cell r="KV408">
            <v>0</v>
          </cell>
          <cell r="KY408">
            <v>0</v>
          </cell>
          <cell r="LB408">
            <v>0</v>
          </cell>
          <cell r="LE408">
            <v>0</v>
          </cell>
          <cell r="LH408">
            <v>0</v>
          </cell>
          <cell r="LK408">
            <v>0</v>
          </cell>
          <cell r="LN408">
            <v>45939</v>
          </cell>
          <cell r="LO408">
            <v>45951</v>
          </cell>
          <cell r="LP408" t="str">
            <v>COMPLETADO</v>
          </cell>
        </row>
        <row r="409">
          <cell r="A409" t="str">
            <v>2077-A</v>
          </cell>
          <cell r="B409" t="str">
            <v>LUCIANO</v>
          </cell>
          <cell r="C409" t="str">
            <v>BARRACAS CHICA</v>
          </cell>
          <cell r="D409" t="str">
            <v>MARROQUINERIA CHICA</v>
          </cell>
          <cell r="E409">
            <v>16</v>
          </cell>
          <cell r="F409">
            <v>16</v>
          </cell>
          <cell r="G409">
            <v>16</v>
          </cell>
          <cell r="H409">
            <v>45943.565648148149</v>
          </cell>
          <cell r="I409" t="str">
            <v>NECESSAIRE FELI</v>
          </cell>
          <cell r="J409">
            <v>45958</v>
          </cell>
          <cell r="K409">
            <v>45939</v>
          </cell>
          <cell r="L409">
            <v>45959</v>
          </cell>
          <cell r="M409">
            <v>55</v>
          </cell>
          <cell r="N409" t="str">
            <v>M069</v>
          </cell>
          <cell r="O409" t="str">
            <v>AV0101040201</v>
          </cell>
          <cell r="P409">
            <v>1</v>
          </cell>
          <cell r="Q409" t="str">
            <v>BAC1300030827</v>
          </cell>
          <cell r="R409">
            <v>0.03</v>
          </cell>
          <cell r="S409" t="str">
            <v>BAC1300050727</v>
          </cell>
          <cell r="T409">
            <v>0.02</v>
          </cell>
          <cell r="U409" t="str">
            <v>BAC0200081126</v>
          </cell>
          <cell r="V409">
            <v>0.03</v>
          </cell>
          <cell r="W409" t="str">
            <v>AV0300390101</v>
          </cell>
          <cell r="X409">
            <v>1</v>
          </cell>
          <cell r="Y409" t="str">
            <v>AV1802220526</v>
          </cell>
          <cell r="Z409">
            <v>0.13</v>
          </cell>
          <cell r="AA409" t="str">
            <v>CIN0000002</v>
          </cell>
          <cell r="AB409">
            <v>1.05</v>
          </cell>
          <cell r="AC409" t="str">
            <v>AV170134014</v>
          </cell>
          <cell r="AD409">
            <v>0</v>
          </cell>
          <cell r="AS409" t="str">
            <v>TIRACIERRE N° 1 , CON TIRA GRABADA CON ESTRELLA Y REMACHE</v>
          </cell>
          <cell r="AW409" t="str">
            <v xml:space="preserve">TROQUEL EN INTERIOR "ELLUCERO ARGENTINA" IDEM MUESTRA  </v>
          </cell>
          <cell r="AX409" t="str">
            <v>NEGRO</v>
          </cell>
          <cell r="AY409" t="str">
            <v>ARENA-CUERO BRIDGE</v>
          </cell>
          <cell r="AZ409" t="str">
            <v>CUE0000009R</v>
          </cell>
          <cell r="BA409">
            <v>0.23</v>
          </cell>
          <cell r="BB409" t="str">
            <v>AV1401254060</v>
          </cell>
          <cell r="BC409">
            <v>0</v>
          </cell>
          <cell r="BD409" t="str">
            <v>AV0100010203</v>
          </cell>
          <cell r="BE409">
            <v>0.32</v>
          </cell>
          <cell r="BF409" t="str">
            <v>FOR0000005</v>
          </cell>
          <cell r="BG409">
            <v>0.08</v>
          </cell>
          <cell r="BR409" t="str">
            <v>CARAMELO</v>
          </cell>
          <cell r="BS409" t="str">
            <v>ARENA-CUERO BRIDGE</v>
          </cell>
          <cell r="BT409" t="str">
            <v>CUE0000004R</v>
          </cell>
          <cell r="BU409">
            <v>0.23</v>
          </cell>
          <cell r="BV409" t="str">
            <v>AV1401250545</v>
          </cell>
          <cell r="BW409">
            <v>0</v>
          </cell>
          <cell r="BX409" t="str">
            <v>AV0100010205</v>
          </cell>
          <cell r="BY409">
            <v>0.32</v>
          </cell>
          <cell r="BZ409" t="str">
            <v>FOR0000005</v>
          </cell>
          <cell r="CA409">
            <v>0.08</v>
          </cell>
          <cell r="CL409" t="str">
            <v>ROJO</v>
          </cell>
          <cell r="CM409" t="str">
            <v>ARENA-CUERO BRIDGE</v>
          </cell>
          <cell r="CN409" t="str">
            <v>CUE0000010R</v>
          </cell>
          <cell r="CO409">
            <v>0.23</v>
          </cell>
          <cell r="CP409" t="str">
            <v>AV1401254460</v>
          </cell>
          <cell r="CQ409">
            <v>0</v>
          </cell>
          <cell r="CR409" t="str">
            <v>AV0100010213</v>
          </cell>
          <cell r="CS409">
            <v>0.32</v>
          </cell>
          <cell r="CT409" t="str">
            <v>FOR0000005</v>
          </cell>
          <cell r="CU409">
            <v>0.08</v>
          </cell>
          <cell r="KD409">
            <v>2</v>
          </cell>
          <cell r="KE409">
            <v>2</v>
          </cell>
          <cell r="KF409">
            <v>2</v>
          </cell>
          <cell r="KG409">
            <v>2</v>
          </cell>
          <cell r="KH409">
            <v>2</v>
          </cell>
          <cell r="KI409">
            <v>2</v>
          </cell>
          <cell r="KJ409">
            <v>12</v>
          </cell>
          <cell r="KK409">
            <v>12</v>
          </cell>
          <cell r="KL409">
            <v>12</v>
          </cell>
          <cell r="KM409">
            <v>0</v>
          </cell>
          <cell r="KP409">
            <v>0</v>
          </cell>
          <cell r="KS409">
            <v>0</v>
          </cell>
          <cell r="KV409">
            <v>0</v>
          </cell>
          <cell r="KY409">
            <v>0</v>
          </cell>
          <cell r="LB409">
            <v>0</v>
          </cell>
          <cell r="LE409">
            <v>0</v>
          </cell>
          <cell r="LH409">
            <v>0</v>
          </cell>
          <cell r="LK409">
            <v>0</v>
          </cell>
          <cell r="LN409">
            <v>45958</v>
          </cell>
          <cell r="LO409">
            <v>45972</v>
          </cell>
          <cell r="LP409" t="str">
            <v>COMPLETADO</v>
          </cell>
        </row>
        <row r="410">
          <cell r="A410" t="str">
            <v>2078-A</v>
          </cell>
          <cell r="B410" t="str">
            <v>RUBEN</v>
          </cell>
          <cell r="C410" t="str">
            <v>BARRACAS GRANDE</v>
          </cell>
          <cell r="D410" t="str">
            <v>MARROQUINERIA GRANDE</v>
          </cell>
          <cell r="E410">
            <v>12</v>
          </cell>
          <cell r="F410">
            <v>12</v>
          </cell>
          <cell r="G410">
            <v>12</v>
          </cell>
          <cell r="H410">
            <v>45943.57603009259</v>
          </cell>
          <cell r="I410" t="str">
            <v>NECESSAIRE LANIN</v>
          </cell>
          <cell r="J410">
            <v>45939</v>
          </cell>
          <cell r="K410">
            <v>45939</v>
          </cell>
          <cell r="L410">
            <v>45943</v>
          </cell>
          <cell r="M410">
            <v>40</v>
          </cell>
          <cell r="N410" t="str">
            <v>M070</v>
          </cell>
          <cell r="O410" t="str">
            <v>AV0101040201</v>
          </cell>
          <cell r="P410">
            <v>2</v>
          </cell>
          <cell r="Q410" t="str">
            <v>AV1000380101</v>
          </cell>
          <cell r="R410">
            <v>2</v>
          </cell>
          <cell r="S410" t="str">
            <v>AV0300390101</v>
          </cell>
          <cell r="T410">
            <v>2</v>
          </cell>
          <cell r="U410" t="str">
            <v>AV1802220526</v>
          </cell>
          <cell r="V410">
            <v>0.25</v>
          </cell>
          <cell r="W410" t="str">
            <v>AV170134014</v>
          </cell>
          <cell r="X410">
            <v>0</v>
          </cell>
          <cell r="AS410" t="str">
            <v>TIRACIERRE N 20 - PARA CIERRES VISLON&gt;&gt; CUERO RECTO CON COSTURA</v>
          </cell>
          <cell r="AT410" t="str">
            <v>TIRACIERRE N 1 - PARA CIERRES METAL&gt;&gt; TIRA CON REMACHE + GRABADO</v>
          </cell>
          <cell r="AW410" t="str">
            <v xml:space="preserve">GRABADO "EL LUCERO GRANDE"EN EL LATERAL SIN MANIJA, A 1,5 CM DEL BORDE SUPERIOR.  </v>
          </cell>
          <cell r="AX410" t="str">
            <v>CARAMELO</v>
          </cell>
          <cell r="AY410" t="str">
            <v>ARENA-CUERO BRIDGE</v>
          </cell>
          <cell r="AZ410" t="str">
            <v>CUE0000004</v>
          </cell>
          <cell r="BA410">
            <v>0.22</v>
          </cell>
          <cell r="BB410" t="str">
            <v>AV1401250545</v>
          </cell>
          <cell r="BC410">
            <v>0</v>
          </cell>
          <cell r="BD410" t="str">
            <v>FOR0000004</v>
          </cell>
          <cell r="BE410">
            <v>0.28000000000000003</v>
          </cell>
          <cell r="BF410" t="str">
            <v>AV0100010105</v>
          </cell>
          <cell r="BG410">
            <v>0.74</v>
          </cell>
          <cell r="BH410" t="str">
            <v>CIN0000006</v>
          </cell>
          <cell r="BI410">
            <v>0.74</v>
          </cell>
          <cell r="BR410" t="str">
            <v>TABACO</v>
          </cell>
          <cell r="BS410" t="str">
            <v>ARENA-CUERO BRIDGE</v>
          </cell>
          <cell r="BT410" t="str">
            <v>CUE0000012</v>
          </cell>
          <cell r="BU410">
            <v>0.22</v>
          </cell>
          <cell r="BV410" t="str">
            <v>AV1401250545</v>
          </cell>
          <cell r="BW410">
            <v>0</v>
          </cell>
          <cell r="BX410" t="str">
            <v>FOR0000004</v>
          </cell>
          <cell r="BY410">
            <v>0.28000000000000003</v>
          </cell>
          <cell r="BZ410" t="str">
            <v>AV0100010114</v>
          </cell>
          <cell r="CA410">
            <v>0.74</v>
          </cell>
          <cell r="CB410" t="str">
            <v>AV1801610538</v>
          </cell>
          <cell r="CC410">
            <v>0.74</v>
          </cell>
          <cell r="KD410">
            <v>6</v>
          </cell>
          <cell r="KE410">
            <v>6</v>
          </cell>
          <cell r="KF410">
            <v>6</v>
          </cell>
          <cell r="KG410">
            <v>6</v>
          </cell>
          <cell r="KH410">
            <v>6</v>
          </cell>
          <cell r="KI410">
            <v>6</v>
          </cell>
          <cell r="KJ410">
            <v>0</v>
          </cell>
          <cell r="KK410">
            <v>0</v>
          </cell>
          <cell r="KM410">
            <v>0</v>
          </cell>
          <cell r="KP410">
            <v>0</v>
          </cell>
          <cell r="KS410">
            <v>0</v>
          </cell>
          <cell r="KV410">
            <v>0</v>
          </cell>
          <cell r="KY410">
            <v>0</v>
          </cell>
          <cell r="LB410">
            <v>0</v>
          </cell>
          <cell r="LE410">
            <v>0</v>
          </cell>
          <cell r="LH410">
            <v>0</v>
          </cell>
          <cell r="LK410">
            <v>0</v>
          </cell>
          <cell r="LN410">
            <v>45939</v>
          </cell>
          <cell r="LO410">
            <v>45951</v>
          </cell>
          <cell r="LP410" t="str">
            <v>COMPLETADO</v>
          </cell>
        </row>
        <row r="411">
          <cell r="A411" t="str">
            <v>2079-A</v>
          </cell>
          <cell r="B411" t="str">
            <v>RUBEN</v>
          </cell>
          <cell r="C411" t="str">
            <v>BARRACAS GRANDE</v>
          </cell>
          <cell r="D411" t="str">
            <v>MARROQUINERIA GRANDE</v>
          </cell>
          <cell r="E411">
            <v>6</v>
          </cell>
          <cell r="F411">
            <v>6</v>
          </cell>
          <cell r="G411">
            <v>6</v>
          </cell>
          <cell r="H411">
            <v>45944.487453703703</v>
          </cell>
          <cell r="I411" t="str">
            <v>NECESSAIRE LANIN FULL BLACK</v>
          </cell>
          <cell r="J411">
            <v>45939</v>
          </cell>
          <cell r="K411">
            <v>45939</v>
          </cell>
          <cell r="L411">
            <v>45943</v>
          </cell>
          <cell r="M411">
            <v>40</v>
          </cell>
          <cell r="N411" t="str">
            <v>M071</v>
          </cell>
          <cell r="O411" t="str">
            <v>AV1000380101</v>
          </cell>
          <cell r="P411">
            <v>2</v>
          </cell>
          <cell r="Q411" t="str">
            <v>AV0300390101</v>
          </cell>
          <cell r="R411">
            <v>2</v>
          </cell>
          <cell r="S411" t="str">
            <v>AV1802220526</v>
          </cell>
          <cell r="T411">
            <v>0.25</v>
          </cell>
          <cell r="U411" t="str">
            <v>AV170134014</v>
          </cell>
          <cell r="V411">
            <v>0</v>
          </cell>
          <cell r="AS411" t="str">
            <v>TIRACIERRE N 20 - PARA CIERRES VISLON&gt;&gt; CUERO RECTO CON COSTURA</v>
          </cell>
          <cell r="AW411" t="str">
            <v xml:space="preserve">GRABADO "EL LUCERO GRANDE"EN EL LATERAL SIN MANIJA, A 1,5 CM DEL BORDE SUPERIOR.  </v>
          </cell>
          <cell r="AX411" t="str">
            <v>NEGRO</v>
          </cell>
          <cell r="AY411" t="str">
            <v>ARENA-CUERO BRIDGE</v>
          </cell>
          <cell r="AZ411" t="str">
            <v>CUE0000009</v>
          </cell>
          <cell r="BA411">
            <v>0.22</v>
          </cell>
          <cell r="BB411" t="str">
            <v>FOR0000004</v>
          </cell>
          <cell r="BC411">
            <v>0.28000000000000003</v>
          </cell>
          <cell r="BD411" t="str">
            <v>AV0102190303</v>
          </cell>
          <cell r="BE411">
            <v>0.74</v>
          </cell>
          <cell r="BF411" t="str">
            <v>AV1801370726</v>
          </cell>
          <cell r="BG411">
            <v>0.74</v>
          </cell>
          <cell r="BH411" t="str">
            <v>AV0102180126</v>
          </cell>
          <cell r="BI411">
            <v>2</v>
          </cell>
          <cell r="BJ411" t="str">
            <v>AV1401254060</v>
          </cell>
          <cell r="BK411">
            <v>0</v>
          </cell>
          <cell r="KD411">
            <v>6</v>
          </cell>
          <cell r="KE411">
            <v>6</v>
          </cell>
          <cell r="KF411">
            <v>6</v>
          </cell>
          <cell r="KG411">
            <v>0</v>
          </cell>
          <cell r="KJ411">
            <v>0</v>
          </cell>
          <cell r="KM411">
            <v>0</v>
          </cell>
          <cell r="KP411">
            <v>0</v>
          </cell>
          <cell r="KS411">
            <v>0</v>
          </cell>
          <cell r="KV411">
            <v>0</v>
          </cell>
          <cell r="KY411">
            <v>0</v>
          </cell>
          <cell r="LB411">
            <v>0</v>
          </cell>
          <cell r="LE411">
            <v>0</v>
          </cell>
          <cell r="LH411">
            <v>0</v>
          </cell>
          <cell r="LK411">
            <v>0</v>
          </cell>
          <cell r="LN411">
            <v>45939</v>
          </cell>
          <cell r="LO411">
            <v>45951</v>
          </cell>
          <cell r="LP411" t="str">
            <v>COMPLETADO</v>
          </cell>
        </row>
        <row r="412">
          <cell r="A412" t="str">
            <v>2080-A</v>
          </cell>
          <cell r="B412" t="str">
            <v>LUCIANO</v>
          </cell>
          <cell r="C412" t="str">
            <v>BARRACAS CHICA</v>
          </cell>
          <cell r="D412" t="str">
            <v>MARROQUINERIA CHICA</v>
          </cell>
          <cell r="E412">
            <v>9</v>
          </cell>
          <cell r="F412">
            <v>9</v>
          </cell>
          <cell r="G412">
            <v>9</v>
          </cell>
          <cell r="H412">
            <v>45944.540162037039</v>
          </cell>
          <cell r="I412" t="str">
            <v>PORTAHIGIENE</v>
          </cell>
          <cell r="J412">
            <v>45971</v>
          </cell>
          <cell r="K412">
            <v>45939</v>
          </cell>
          <cell r="L412">
            <v>45975</v>
          </cell>
          <cell r="M412">
            <v>42</v>
          </cell>
          <cell r="N412" t="str">
            <v>M090</v>
          </cell>
          <cell r="O412" t="str">
            <v>AV0101040201</v>
          </cell>
          <cell r="P412">
            <v>1</v>
          </cell>
          <cell r="Q412" t="str">
            <v>BAC1300020827</v>
          </cell>
          <cell r="R412">
            <v>0.03</v>
          </cell>
          <cell r="S412" t="str">
            <v>AV0300390101</v>
          </cell>
          <cell r="T412">
            <v>1</v>
          </cell>
          <cell r="U412" t="str">
            <v>AV1000380101</v>
          </cell>
          <cell r="V412">
            <v>1</v>
          </cell>
          <cell r="W412" t="str">
            <v>BAC1300050727</v>
          </cell>
          <cell r="X412">
            <v>0.03</v>
          </cell>
          <cell r="Y412" t="str">
            <v>BAC0200081126</v>
          </cell>
          <cell r="Z412">
            <v>0.02</v>
          </cell>
          <cell r="AA412" t="str">
            <v>AV170134014</v>
          </cell>
          <cell r="AB412">
            <v>0</v>
          </cell>
          <cell r="AS412" t="str">
            <v>TIRACIERRE N° 1 , CON TIRA GRABADA CON ESTRELLA Y REMACHE</v>
          </cell>
          <cell r="AW412" t="str">
            <v>GRABADO "EL LUCERO GRANDE" EN PIEZA TRASERA CENTRADO A 2,5 CM DESDE ABAJO</v>
          </cell>
          <cell r="AX412" t="str">
            <v>CARAMELO</v>
          </cell>
          <cell r="AY412" t="str">
            <v>ARENA-CUERO BRIDGE</v>
          </cell>
          <cell r="AZ412" t="str">
            <v>CUE0000004R</v>
          </cell>
          <cell r="BA412">
            <v>7.0000000000000007E-2</v>
          </cell>
          <cell r="BB412" t="str">
            <v>AV1401250545</v>
          </cell>
          <cell r="BC412">
            <v>0</v>
          </cell>
          <cell r="BD412" t="str">
            <v>FOR0000021</v>
          </cell>
          <cell r="BE412">
            <v>0.06</v>
          </cell>
          <cell r="BF412" t="str">
            <v>AV0100010105</v>
          </cell>
          <cell r="BG412">
            <v>0.41</v>
          </cell>
          <cell r="BR412" t="str">
            <v>TABACO</v>
          </cell>
          <cell r="BS412" t="str">
            <v>ARENA-CUERO BRIDGE</v>
          </cell>
          <cell r="BT412" t="str">
            <v>CUE0000012R</v>
          </cell>
          <cell r="BU412">
            <v>7.0000000000000007E-2</v>
          </cell>
          <cell r="BV412" t="str">
            <v>AV1401250545</v>
          </cell>
          <cell r="BW412">
            <v>0</v>
          </cell>
          <cell r="BX412" t="str">
            <v>FOR0000021</v>
          </cell>
          <cell r="BY412">
            <v>0.06</v>
          </cell>
          <cell r="BZ412" t="str">
            <v>AV0100010111</v>
          </cell>
          <cell r="CA412">
            <v>0.41</v>
          </cell>
          <cell r="KD412">
            <v>3</v>
          </cell>
          <cell r="KE412">
            <v>3</v>
          </cell>
          <cell r="KF412">
            <v>3</v>
          </cell>
          <cell r="KG412">
            <v>6</v>
          </cell>
          <cell r="KH412">
            <v>6</v>
          </cell>
          <cell r="KI412">
            <v>6</v>
          </cell>
          <cell r="KJ412">
            <v>0</v>
          </cell>
          <cell r="KM412">
            <v>0</v>
          </cell>
          <cell r="KP412">
            <v>0</v>
          </cell>
          <cell r="KS412">
            <v>0</v>
          </cell>
          <cell r="KV412">
            <v>0</v>
          </cell>
          <cell r="KY412">
            <v>0</v>
          </cell>
          <cell r="LB412">
            <v>0</v>
          </cell>
          <cell r="LE412">
            <v>0</v>
          </cell>
          <cell r="LH412">
            <v>0</v>
          </cell>
          <cell r="LK412">
            <v>0</v>
          </cell>
          <cell r="LN412">
            <v>45975</v>
          </cell>
          <cell r="LO412">
            <v>45980</v>
          </cell>
          <cell r="LP412" t="str">
            <v>COMPLETADO</v>
          </cell>
        </row>
        <row r="413">
          <cell r="A413" t="str">
            <v>2081-A</v>
          </cell>
          <cell r="B413" t="str">
            <v>LUCIANO</v>
          </cell>
          <cell r="C413" t="str">
            <v>PERDRIEL</v>
          </cell>
          <cell r="D413" t="str">
            <v>MARROQUINERIA CHICA</v>
          </cell>
          <cell r="E413">
            <v>16</v>
          </cell>
          <cell r="F413">
            <v>16</v>
          </cell>
          <cell r="G413">
            <v>16</v>
          </cell>
          <cell r="H413">
            <v>45944.677083333336</v>
          </cell>
          <cell r="I413" t="str">
            <v>PORTALENTES  NOLE</v>
          </cell>
          <cell r="J413">
            <v>45946</v>
          </cell>
          <cell r="K413">
            <v>45939</v>
          </cell>
          <cell r="L413">
            <v>45950</v>
          </cell>
          <cell r="M413">
            <v>18</v>
          </cell>
          <cell r="N413" t="str">
            <v>M197</v>
          </cell>
          <cell r="O413" t="str">
            <v>AV170134014</v>
          </cell>
          <cell r="P413">
            <v>0</v>
          </cell>
          <cell r="AW413" t="str">
            <v>GRABADO EL LUCERO ARGENTINA CHICO, EN EL FRENTE, A 1.5CM DEL BORDE INFERIOR CENTRADO</v>
          </cell>
          <cell r="AX413" t="str">
            <v>NEGRO</v>
          </cell>
          <cell r="AY413" t="str">
            <v>ARENA-CUERO NAPADO</v>
          </cell>
          <cell r="AZ413" t="str">
            <v>CUE0000026R</v>
          </cell>
          <cell r="BA413">
            <v>0.1</v>
          </cell>
          <cell r="BR413" t="str">
            <v>ROJO</v>
          </cell>
          <cell r="BS413" t="str">
            <v>ARENA-CUERO NAPADO</v>
          </cell>
          <cell r="BT413" t="str">
            <v>CUE0000027R</v>
          </cell>
          <cell r="BU413">
            <v>0.1</v>
          </cell>
          <cell r="KD413">
            <v>12</v>
          </cell>
          <cell r="KE413">
            <v>12</v>
          </cell>
          <cell r="KF413">
            <v>12</v>
          </cell>
          <cell r="KG413">
            <v>4</v>
          </cell>
          <cell r="KH413">
            <v>4</v>
          </cell>
          <cell r="KI413">
            <v>4</v>
          </cell>
          <cell r="KJ413">
            <v>0</v>
          </cell>
          <cell r="KK413">
            <v>0</v>
          </cell>
          <cell r="KM413">
            <v>0</v>
          </cell>
          <cell r="KN413">
            <v>0</v>
          </cell>
          <cell r="KP413">
            <v>0</v>
          </cell>
          <cell r="KS413">
            <v>0</v>
          </cell>
          <cell r="KV413">
            <v>0</v>
          </cell>
          <cell r="KY413">
            <v>0</v>
          </cell>
          <cell r="LB413">
            <v>0</v>
          </cell>
          <cell r="LE413">
            <v>0</v>
          </cell>
          <cell r="LH413">
            <v>0</v>
          </cell>
          <cell r="LK413">
            <v>0</v>
          </cell>
          <cell r="LN413">
            <v>45946</v>
          </cell>
          <cell r="LO413">
            <v>45958</v>
          </cell>
          <cell r="LP413" t="str">
            <v>COMPLETADO</v>
          </cell>
        </row>
        <row r="414">
          <cell r="A414" t="str">
            <v>2082-A</v>
          </cell>
          <cell r="B414" t="str">
            <v>LUCIANO</v>
          </cell>
          <cell r="C414" t="str">
            <v>BARRACAS CHICA</v>
          </cell>
          <cell r="D414" t="str">
            <v>MARROQUINERIA CHICA</v>
          </cell>
          <cell r="E414">
            <v>84</v>
          </cell>
          <cell r="F414">
            <v>70</v>
          </cell>
          <cell r="G414">
            <v>70</v>
          </cell>
          <cell r="H414">
            <v>45944.68167824074</v>
          </cell>
          <cell r="I414" t="str">
            <v>SEÑALADOR</v>
          </cell>
          <cell r="J414">
            <v>45971</v>
          </cell>
          <cell r="K414">
            <v>45939</v>
          </cell>
          <cell r="L414">
            <v>45972</v>
          </cell>
          <cell r="M414">
            <v>2</v>
          </cell>
          <cell r="N414" t="str">
            <v>M117</v>
          </cell>
          <cell r="O414" t="str">
            <v>AV170134014</v>
          </cell>
          <cell r="P414">
            <v>0</v>
          </cell>
          <cell r="AW414" t="str">
            <v>GRABADO EL LUCERO ARGENTINA. DEJAR 2,5 CM DESDE ARRIBA, CENTRADO</v>
          </cell>
          <cell r="AX414" t="str">
            <v>NATURAL</v>
          </cell>
          <cell r="AY414" t="str">
            <v>LA HERMIDA-CUERO VACHETTA LADO NATURAL</v>
          </cell>
          <cell r="AZ414" t="str">
            <v>CUE0000066R</v>
          </cell>
          <cell r="BA414">
            <v>0.01</v>
          </cell>
          <cell r="BB414" t="str">
            <v>AV1401255460</v>
          </cell>
          <cell r="BC414">
            <v>0</v>
          </cell>
          <cell r="BR414" t="str">
            <v>CHOCOLATE</v>
          </cell>
          <cell r="BS414" t="str">
            <v>LA HERMIDA-CUERO VACHETTA FINA LADO COLOR</v>
          </cell>
          <cell r="BT414" t="str">
            <v>CUE0000062R</v>
          </cell>
          <cell r="BU414">
            <v>0.01</v>
          </cell>
          <cell r="BV414" t="str">
            <v>AV1401250545</v>
          </cell>
          <cell r="BW414">
            <v>0</v>
          </cell>
          <cell r="CL414" t="str">
            <v>SUELA</v>
          </cell>
          <cell r="CM414" t="str">
            <v>LA HERMIDA-CUERO VACHETTA LADO COLOR</v>
          </cell>
          <cell r="CN414" t="str">
            <v>CUE0000065R</v>
          </cell>
          <cell r="CO414">
            <v>0.01</v>
          </cell>
          <cell r="CP414" t="str">
            <v>AV1401250545</v>
          </cell>
          <cell r="CQ414">
            <v>0</v>
          </cell>
          <cell r="DF414" t="str">
            <v>VISON</v>
          </cell>
          <cell r="DG414" t="str">
            <v>LA HERMIDA-CUERO VACHETTA FINA LADO COLOR</v>
          </cell>
          <cell r="DH414" t="str">
            <v>CUE0000189R</v>
          </cell>
          <cell r="DI414">
            <v>0.01</v>
          </cell>
          <cell r="DJ414" t="str">
            <v>HIL0000001</v>
          </cell>
          <cell r="DK414">
            <v>0</v>
          </cell>
          <cell r="DZ414" t="str">
            <v>NEGRO</v>
          </cell>
          <cell r="EA414" t="str">
            <v>LA HERMIDA-CUERO VACHETTA FINA LADO COLOR</v>
          </cell>
          <cell r="EB414" t="str">
            <v>CUE0000063R</v>
          </cell>
          <cell r="EC414">
            <v>0.01</v>
          </cell>
          <cell r="ED414" t="str">
            <v>AV1401254060</v>
          </cell>
          <cell r="EE414">
            <v>0</v>
          </cell>
          <cell r="ET414" t="str">
            <v>DULCE_DE_LECHE</v>
          </cell>
          <cell r="EU414" t="str">
            <v>LA HERMIDA-CUERO VACHETTA FINA LADO COLOR</v>
          </cell>
          <cell r="EV414" t="str">
            <v>CUE0000186R</v>
          </cell>
          <cell r="EW414">
            <v>0.01</v>
          </cell>
          <cell r="EX414" t="str">
            <v>AV1401254160</v>
          </cell>
          <cell r="EY414">
            <v>0</v>
          </cell>
          <cell r="KD414">
            <v>14</v>
          </cell>
          <cell r="KE414">
            <v>14</v>
          </cell>
          <cell r="KF414">
            <v>14</v>
          </cell>
          <cell r="KG414">
            <v>14</v>
          </cell>
          <cell r="KH414">
            <v>14</v>
          </cell>
          <cell r="KI414">
            <v>14</v>
          </cell>
          <cell r="KJ414">
            <v>14</v>
          </cell>
          <cell r="KK414">
            <v>14</v>
          </cell>
          <cell r="KL414">
            <v>14</v>
          </cell>
          <cell r="KM414">
            <v>14</v>
          </cell>
          <cell r="KN414">
            <v>0</v>
          </cell>
          <cell r="KO414">
            <v>0</v>
          </cell>
          <cell r="KP414">
            <v>14</v>
          </cell>
          <cell r="KQ414">
            <v>14</v>
          </cell>
          <cell r="KR414">
            <v>14</v>
          </cell>
          <cell r="KS414">
            <v>14</v>
          </cell>
          <cell r="KT414">
            <v>14</v>
          </cell>
          <cell r="KU414">
            <v>14</v>
          </cell>
          <cell r="KV414">
            <v>0</v>
          </cell>
          <cell r="KY414">
            <v>0</v>
          </cell>
          <cell r="LB414">
            <v>0</v>
          </cell>
          <cell r="LE414">
            <v>0</v>
          </cell>
          <cell r="LH414">
            <v>0</v>
          </cell>
          <cell r="LK414">
            <v>0</v>
          </cell>
          <cell r="LN414">
            <v>45971</v>
          </cell>
          <cell r="LO414">
            <v>45980</v>
          </cell>
          <cell r="LP414" t="str">
            <v>COMPLETADO</v>
          </cell>
        </row>
        <row r="415">
          <cell r="A415" t="str">
            <v>2085-A</v>
          </cell>
          <cell r="B415" t="str">
            <v>LUCIANO</v>
          </cell>
          <cell r="C415" t="str">
            <v>BARRACAS CHICA</v>
          </cell>
          <cell r="D415" t="str">
            <v>MARROQUINERIA CHICA</v>
          </cell>
          <cell r="E415">
            <v>10</v>
          </cell>
          <cell r="F415">
            <v>10</v>
          </cell>
          <cell r="G415">
            <v>0</v>
          </cell>
          <cell r="H415">
            <v>45944.714560185188</v>
          </cell>
          <cell r="I415" t="str">
            <v>PORTAPASAPORTE WARA</v>
          </cell>
          <cell r="M415">
            <v>120</v>
          </cell>
          <cell r="N415" t="str">
            <v>M107</v>
          </cell>
          <cell r="O415" t="str">
            <v>BAC1300050727</v>
          </cell>
          <cell r="P415">
            <v>0.13</v>
          </cell>
          <cell r="Q415" t="str">
            <v>BAC0900100161</v>
          </cell>
          <cell r="R415">
            <v>0.01</v>
          </cell>
          <cell r="S415" t="str">
            <v>BAC0200071027</v>
          </cell>
          <cell r="T415">
            <v>0.04</v>
          </cell>
          <cell r="U415" t="str">
            <v>AV0101070301</v>
          </cell>
          <cell r="V415">
            <v>2</v>
          </cell>
          <cell r="W415" t="str">
            <v>AV0101030201</v>
          </cell>
          <cell r="X415">
            <v>1</v>
          </cell>
          <cell r="Y415" t="str">
            <v>AV1001010101</v>
          </cell>
          <cell r="Z415">
            <v>2</v>
          </cell>
          <cell r="AA415" t="str">
            <v>AV0600540101</v>
          </cell>
          <cell r="AB415">
            <v>1</v>
          </cell>
          <cell r="AC415" t="str">
            <v>AV170134014</v>
          </cell>
          <cell r="AD415">
            <v>0</v>
          </cell>
          <cell r="AS415" t="str">
            <v>TIRACIERRE INTERNO CON ARGOLLITA Y TIRA DE CUERO PEGADA</v>
          </cell>
          <cell r="AT415" t="str">
            <v>TIRACIERRE EXTERNO LUCERO GRANDE</v>
          </cell>
          <cell r="AW415" t="str">
            <v xml:space="preserve">GRABADO EL LUCERO CHICO EN ELINTERIOR, CENTRADO EN EL BOLSILLO CHICO CON CIERRE, PARTE INFERIOR </v>
          </cell>
          <cell r="AX415" t="str">
            <v>ROJO</v>
          </cell>
          <cell r="AY415" t="str">
            <v>ARENA-CUERO NAPADO</v>
          </cell>
          <cell r="AZ415" t="str">
            <v>CUE0000027R</v>
          </cell>
          <cell r="BA415">
            <v>0.25</v>
          </cell>
          <cell r="BB415" t="str">
            <v>FOR0000016</v>
          </cell>
          <cell r="BC415">
            <v>0.3</v>
          </cell>
          <cell r="BD415" t="str">
            <v>AV0100020313</v>
          </cell>
          <cell r="BE415">
            <v>0.32</v>
          </cell>
          <cell r="BF415" t="str">
            <v>AV0100010113</v>
          </cell>
          <cell r="BG415">
            <v>0.5</v>
          </cell>
          <cell r="BR415" t="str">
            <v>CAOBA</v>
          </cell>
          <cell r="BS415" t="str">
            <v>ANAN-CUERO NAPOLE</v>
          </cell>
          <cell r="BT415" t="str">
            <v>CUE0000179R</v>
          </cell>
          <cell r="BU415">
            <v>0.25</v>
          </cell>
          <cell r="BV415" t="str">
            <v>FOR0000015</v>
          </cell>
          <cell r="BW415">
            <v>0.3</v>
          </cell>
          <cell r="BX415" t="str">
            <v>CIE0000001</v>
          </cell>
          <cell r="BY415">
            <v>0.32</v>
          </cell>
          <cell r="BZ415" t="str">
            <v>AV0100010111</v>
          </cell>
          <cell r="CA415">
            <v>0.5</v>
          </cell>
          <cell r="KD415">
            <v>4</v>
          </cell>
          <cell r="KE415">
            <v>4</v>
          </cell>
          <cell r="KG415">
            <v>6</v>
          </cell>
          <cell r="KH415">
            <v>6</v>
          </cell>
          <cell r="KJ415">
            <v>0</v>
          </cell>
          <cell r="KK415">
            <v>0</v>
          </cell>
          <cell r="KM415">
            <v>0</v>
          </cell>
          <cell r="KN415">
            <v>0</v>
          </cell>
          <cell r="KP415">
            <v>0</v>
          </cell>
          <cell r="KS415">
            <v>0</v>
          </cell>
          <cell r="KV415">
            <v>0</v>
          </cell>
          <cell r="KY415">
            <v>0</v>
          </cell>
          <cell r="LB415">
            <v>0</v>
          </cell>
          <cell r="LE415">
            <v>0</v>
          </cell>
          <cell r="LH415">
            <v>0</v>
          </cell>
          <cell r="LK415">
            <v>0</v>
          </cell>
          <cell r="LP415" t="str">
            <v>NO COMENZADO</v>
          </cell>
        </row>
        <row r="416">
          <cell r="A416" t="str">
            <v>2086-A</v>
          </cell>
          <cell r="B416" t="str">
            <v>LUCIANO</v>
          </cell>
          <cell r="C416" t="str">
            <v>BARRACAS CHICA</v>
          </cell>
          <cell r="D416" t="str">
            <v>MARROQUINERIA CHICA</v>
          </cell>
          <cell r="E416">
            <v>3</v>
          </cell>
          <cell r="F416">
            <v>3</v>
          </cell>
          <cell r="H416">
            <v>45944.727187500001</v>
          </cell>
          <cell r="I416" t="str">
            <v>PORTAPASAPORTE WARA FULL BLACK</v>
          </cell>
          <cell r="M416">
            <v>120</v>
          </cell>
          <cell r="N416" t="str">
            <v>M211</v>
          </cell>
          <cell r="O416" t="str">
            <v>BAC1300050727</v>
          </cell>
          <cell r="P416">
            <v>0.13</v>
          </cell>
          <cell r="Q416" t="str">
            <v>BAC0900100161</v>
          </cell>
          <cell r="R416">
            <v>0.01</v>
          </cell>
          <cell r="S416" t="str">
            <v>BAC0200071027</v>
          </cell>
          <cell r="T416">
            <v>0.04</v>
          </cell>
          <cell r="U416" t="str">
            <v>AV0101070301</v>
          </cell>
          <cell r="V416">
            <v>2</v>
          </cell>
          <cell r="W416" t="str">
            <v>AV0101030201</v>
          </cell>
          <cell r="X416">
            <v>1</v>
          </cell>
          <cell r="Y416" t="str">
            <v>AV1001010101</v>
          </cell>
          <cell r="Z416">
            <v>2</v>
          </cell>
          <cell r="AA416" t="str">
            <v>AV0600540101</v>
          </cell>
          <cell r="AB416">
            <v>1</v>
          </cell>
          <cell r="AC416" t="str">
            <v>AV170134014</v>
          </cell>
          <cell r="AD416">
            <v>0</v>
          </cell>
          <cell r="AW416" t="str">
            <v xml:space="preserve">GRABADO EL LUCERO CHICO EN EL INTERIOR, CENTRADO EN EL BOLSILLO CHICO CON CIERRE, PARTE INFERIOR </v>
          </cell>
          <cell r="AX416" t="str">
            <v>NEGRO</v>
          </cell>
          <cell r="AY416" t="str">
            <v>ARENA-CUERO NAPADO</v>
          </cell>
          <cell r="AZ416" t="str">
            <v>CUE0000026R</v>
          </cell>
          <cell r="BA416">
            <v>0.25</v>
          </cell>
          <cell r="BB416" t="str">
            <v>FOR0000018</v>
          </cell>
          <cell r="BC416">
            <v>0.3</v>
          </cell>
          <cell r="BD416" t="str">
            <v>AV0100020303</v>
          </cell>
          <cell r="BE416">
            <v>0.32</v>
          </cell>
          <cell r="BF416" t="str">
            <v>AV0100010103</v>
          </cell>
          <cell r="BG416">
            <v>0.5</v>
          </cell>
          <cell r="KD416">
            <v>3</v>
          </cell>
          <cell r="KE416">
            <v>3</v>
          </cell>
          <cell r="KG416">
            <v>0</v>
          </cell>
          <cell r="KJ416">
            <v>0</v>
          </cell>
          <cell r="KM416">
            <v>0</v>
          </cell>
          <cell r="KP416">
            <v>0</v>
          </cell>
          <cell r="KS416">
            <v>0</v>
          </cell>
          <cell r="KV416">
            <v>0</v>
          </cell>
          <cell r="KY416">
            <v>0</v>
          </cell>
          <cell r="LB416">
            <v>0</v>
          </cell>
          <cell r="LE416">
            <v>0</v>
          </cell>
          <cell r="LH416">
            <v>0</v>
          </cell>
          <cell r="LK416">
            <v>0</v>
          </cell>
          <cell r="LP416" t="str">
            <v>NO COMENZADO</v>
          </cell>
        </row>
        <row r="417">
          <cell r="A417" t="str">
            <v>2061-A</v>
          </cell>
          <cell r="B417" t="str">
            <v>RUBEN</v>
          </cell>
          <cell r="C417" t="str">
            <v>BARRACAS GRANDE</v>
          </cell>
          <cell r="D417" t="str">
            <v>MARROQUINERIA GRANDE</v>
          </cell>
          <cell r="E417">
            <v>13</v>
          </cell>
          <cell r="F417">
            <v>13</v>
          </cell>
          <cell r="G417">
            <v>13</v>
          </cell>
          <cell r="H417">
            <v>45944.749756944446</v>
          </cell>
          <cell r="I417" t="str">
            <v>CARTERA HARPER</v>
          </cell>
          <cell r="J417">
            <v>45944</v>
          </cell>
          <cell r="K417">
            <v>45944</v>
          </cell>
          <cell r="L417">
            <v>45948</v>
          </cell>
          <cell r="M417">
            <v>50</v>
          </cell>
          <cell r="N417" t="str">
            <v>M158</v>
          </cell>
          <cell r="O417" t="str">
            <v>BAC1300020827</v>
          </cell>
          <cell r="P417">
            <v>0.06</v>
          </cell>
          <cell r="Q417" t="str">
            <v>AV0700420101</v>
          </cell>
          <cell r="R417">
            <v>2</v>
          </cell>
          <cell r="S417" t="str">
            <v>AV0101040201</v>
          </cell>
          <cell r="T417">
            <v>2</v>
          </cell>
          <cell r="U417" t="str">
            <v>AV1000840101</v>
          </cell>
          <cell r="V417">
            <v>2</v>
          </cell>
          <cell r="W417" t="str">
            <v>AV0600540101</v>
          </cell>
          <cell r="X417">
            <v>2</v>
          </cell>
          <cell r="Y417" t="str">
            <v>AV0700490101</v>
          </cell>
          <cell r="Z417">
            <v>1</v>
          </cell>
          <cell r="AA417" t="str">
            <v>AV170129018</v>
          </cell>
          <cell r="AB417">
            <v>0</v>
          </cell>
          <cell r="AS417" t="str">
            <v>NO LLEVA PINTURA</v>
          </cell>
          <cell r="AT417" t="str">
            <v xml:space="preserve"> SE MODIFICA LA CORREA Y PASA A TENER CORREA LARGA CON HEBILLA CINTO PASE 40  IDEM CARTERA  EMILIA</v>
          </cell>
          <cell r="AW417" t="str">
            <v>GRABADO "EL LUCERO" CHICO CENTRADO EN LA PRESILLA DERECHA</v>
          </cell>
          <cell r="AX417" t="str">
            <v>AZUL_GAMUZA_TABACO</v>
          </cell>
          <cell r="AY417" t="str">
            <v>NAPOLITANA-CUERO GAMUZA</v>
          </cell>
          <cell r="AZ417" t="str">
            <v>CUE0000038</v>
          </cell>
          <cell r="BA417">
            <v>0.45</v>
          </cell>
          <cell r="BB417" t="str">
            <v>CUE0000012</v>
          </cell>
          <cell r="BC417">
            <v>0.18</v>
          </cell>
          <cell r="BD417" t="str">
            <v>FOR0000021</v>
          </cell>
          <cell r="BE417">
            <v>0.32</v>
          </cell>
          <cell r="BF417" t="str">
            <v>AV0100010114</v>
          </cell>
          <cell r="BG417">
            <v>0.83</v>
          </cell>
          <cell r="BR417" t="str">
            <v>CAFE_GAMUZA_TABACO</v>
          </cell>
          <cell r="BS417" t="str">
            <v>NAPOLITANA-CUERO GAMUZA</v>
          </cell>
          <cell r="BT417" t="str">
            <v>CUE0000039</v>
          </cell>
          <cell r="BU417">
            <v>0.45</v>
          </cell>
          <cell r="BV417" t="str">
            <v>CUE0000012</v>
          </cell>
          <cell r="BW417">
            <v>0.18</v>
          </cell>
          <cell r="BX417" t="str">
            <v>FOR0000021</v>
          </cell>
          <cell r="BY417">
            <v>0.32</v>
          </cell>
          <cell r="BZ417" t="str">
            <v>AV0100010114</v>
          </cell>
          <cell r="CA417">
            <v>0.83</v>
          </cell>
          <cell r="KD417">
            <v>4</v>
          </cell>
          <cell r="KE417">
            <v>4</v>
          </cell>
          <cell r="KF417">
            <v>4</v>
          </cell>
          <cell r="KG417">
            <v>9</v>
          </cell>
          <cell r="KH417">
            <v>9</v>
          </cell>
          <cell r="KI417">
            <v>9</v>
          </cell>
          <cell r="KJ417">
            <v>0</v>
          </cell>
          <cell r="KM417">
            <v>0</v>
          </cell>
          <cell r="KP417">
            <v>0</v>
          </cell>
          <cell r="KS417">
            <v>0</v>
          </cell>
          <cell r="KV417">
            <v>0</v>
          </cell>
          <cell r="KY417">
            <v>0</v>
          </cell>
          <cell r="LB417">
            <v>0</v>
          </cell>
          <cell r="LE417">
            <v>0</v>
          </cell>
          <cell r="LH417">
            <v>0</v>
          </cell>
          <cell r="LK417">
            <v>0</v>
          </cell>
          <cell r="LN417">
            <v>45947</v>
          </cell>
          <cell r="LO417">
            <v>45958</v>
          </cell>
          <cell r="LP417" t="str">
            <v>COMPLETADO</v>
          </cell>
        </row>
        <row r="418">
          <cell r="A418" t="str">
            <v>2062-A</v>
          </cell>
          <cell r="B418" t="str">
            <v>RUBEN</v>
          </cell>
          <cell r="C418" t="str">
            <v>BARRACAS GRANDE</v>
          </cell>
          <cell r="D418" t="str">
            <v>MARROQUINERIA GRANDE</v>
          </cell>
          <cell r="E418">
            <v>16</v>
          </cell>
          <cell r="F418">
            <v>16</v>
          </cell>
          <cell r="H418">
            <v>45944.753449074073</v>
          </cell>
          <cell r="I418" t="str">
            <v>CARTERA INES</v>
          </cell>
          <cell r="M418">
            <v>35</v>
          </cell>
          <cell r="N418" t="str">
            <v>M170</v>
          </cell>
          <cell r="O418" t="str">
            <v>AV0300460101</v>
          </cell>
          <cell r="P418">
            <v>1</v>
          </cell>
          <cell r="Q418" t="str">
            <v>AV170129018</v>
          </cell>
          <cell r="R418">
            <v>0</v>
          </cell>
          <cell r="AS418" t="str">
            <v>SIN FORRERIA</v>
          </cell>
          <cell r="AT418" t="str">
            <v>SIN PINTURA</v>
          </cell>
          <cell r="AW418" t="str">
            <v>GRABADO "EL LUCERO" CHICO CENTRADO EN PIEZA INTERNA PORTA IMAN TRASERA</v>
          </cell>
          <cell r="AX418" t="str">
            <v>NEGRO</v>
          </cell>
          <cell r="AY418" t="str">
            <v>ARENA-CUERO BRIDGE</v>
          </cell>
          <cell r="AZ418" t="str">
            <v>CUE0000009</v>
          </cell>
          <cell r="BA418">
            <v>0.41000000000000003</v>
          </cell>
          <cell r="BU418">
            <v>0.41000000000000003</v>
          </cell>
          <cell r="CL418" t="str">
            <v>PELO_HOLANDO</v>
          </cell>
          <cell r="CM418" t="str">
            <v>LEDER-PELO</v>
          </cell>
          <cell r="CN418" t="str">
            <v>CUE0000116</v>
          </cell>
          <cell r="CO418">
            <v>0.34</v>
          </cell>
          <cell r="CP418" t="str">
            <v>CUE0000009</v>
          </cell>
          <cell r="CQ418">
            <v>7.0000000000000007E-2</v>
          </cell>
          <cell r="DF418" t="str">
            <v>PELO_HEREFORD</v>
          </cell>
          <cell r="DG418" t="str">
            <v>LEDER-PELO</v>
          </cell>
          <cell r="DH418" t="str">
            <v>CUE0000117</v>
          </cell>
          <cell r="DI418">
            <v>0.34</v>
          </cell>
          <cell r="DJ418" t="str">
            <v>CUE0000012</v>
          </cell>
          <cell r="DK418">
            <v>7.0000000000000007E-2</v>
          </cell>
          <cell r="EC418">
            <v>0.41000000000000003</v>
          </cell>
          <cell r="KD418">
            <v>4</v>
          </cell>
          <cell r="KE418">
            <v>4</v>
          </cell>
          <cell r="KG418">
            <v>0</v>
          </cell>
          <cell r="KH418">
            <v>0</v>
          </cell>
          <cell r="KJ418">
            <v>6</v>
          </cell>
          <cell r="KK418">
            <v>6</v>
          </cell>
          <cell r="KM418">
            <v>6</v>
          </cell>
          <cell r="KN418">
            <v>6</v>
          </cell>
          <cell r="KP418">
            <v>0</v>
          </cell>
          <cell r="KQ418">
            <v>0</v>
          </cell>
          <cell r="KS418">
            <v>0</v>
          </cell>
          <cell r="KV418">
            <v>0</v>
          </cell>
          <cell r="KY418">
            <v>0</v>
          </cell>
          <cell r="LB418">
            <v>0</v>
          </cell>
          <cell r="LE418">
            <v>0</v>
          </cell>
          <cell r="LH418">
            <v>0</v>
          </cell>
          <cell r="LK418">
            <v>0</v>
          </cell>
          <cell r="LP418" t="str">
            <v>NO COMENZADO</v>
          </cell>
          <cell r="LS418" t="str">
            <v>QUE SE VEA LA MANCHA SI NO SALE DE RETAZOS USAR PLACA</v>
          </cell>
          <cell r="LT418" t="str">
            <v>QUE SE VEA LA MANCHA SI NO SALE DE RETAZOS USAR PLACA</v>
          </cell>
        </row>
        <row r="419">
          <cell r="A419" t="str">
            <v>2066-A</v>
          </cell>
          <cell r="B419" t="str">
            <v>RUBEN</v>
          </cell>
          <cell r="C419" t="str">
            <v>BARRACAS GRANDE</v>
          </cell>
          <cell r="D419" t="str">
            <v>MARROQUINERIA GRANDE</v>
          </cell>
          <cell r="E419">
            <v>6</v>
          </cell>
          <cell r="F419">
            <v>6</v>
          </cell>
          <cell r="G419">
            <v>6</v>
          </cell>
          <cell r="H419">
            <v>45944.770937499998</v>
          </cell>
          <cell r="I419" t="str">
            <v>PORTALAPTOP MILTON</v>
          </cell>
          <cell r="J419">
            <v>45944</v>
          </cell>
          <cell r="K419">
            <v>45944</v>
          </cell>
          <cell r="L419">
            <v>45948</v>
          </cell>
          <cell r="M419">
            <v>18</v>
          </cell>
          <cell r="N419" t="str">
            <v>M095</v>
          </cell>
          <cell r="O419" t="str">
            <v>AV170129018</v>
          </cell>
          <cell r="P419">
            <v>0</v>
          </cell>
          <cell r="AS419" t="str">
            <v>MODIFICAR EL MOLDE VA PUNTA REDONDEADA</v>
          </cell>
          <cell r="AW419" t="str">
            <v xml:space="preserve">GRABADO "EL LUCERO ARGENTINA" GRANDE EN ESPALDA, CENTRADO A 1,5 CM DESDE EL BORDE INFERIOR </v>
          </cell>
          <cell r="AX419" t="str">
            <v>NEGRO</v>
          </cell>
          <cell r="AY419" t="str">
            <v>ARENA-CUERO BRIDGE</v>
          </cell>
          <cell r="AZ419" t="str">
            <v>CUE0000009</v>
          </cell>
          <cell r="BA419">
            <v>0.27</v>
          </cell>
          <cell r="BB419" t="str">
            <v>AV1401244040</v>
          </cell>
          <cell r="BC419">
            <v>0</v>
          </cell>
          <cell r="KD419">
            <v>6</v>
          </cell>
          <cell r="KE419">
            <v>6</v>
          </cell>
          <cell r="KF419">
            <v>6</v>
          </cell>
          <cell r="KG419">
            <v>0</v>
          </cell>
          <cell r="KH419">
            <v>0</v>
          </cell>
          <cell r="KJ419">
            <v>0</v>
          </cell>
          <cell r="KK419">
            <v>0</v>
          </cell>
          <cell r="KM419">
            <v>0</v>
          </cell>
          <cell r="KP419">
            <v>0</v>
          </cell>
          <cell r="KS419">
            <v>0</v>
          </cell>
          <cell r="KV419">
            <v>0</v>
          </cell>
          <cell r="KY419">
            <v>0</v>
          </cell>
          <cell r="LB419">
            <v>0</v>
          </cell>
          <cell r="LE419">
            <v>0</v>
          </cell>
          <cell r="LH419">
            <v>0</v>
          </cell>
          <cell r="LK419">
            <v>0</v>
          </cell>
          <cell r="LN419">
            <v>45947</v>
          </cell>
          <cell r="LO419">
            <v>45958</v>
          </cell>
          <cell r="LP419" t="str">
            <v>COMPLETADO</v>
          </cell>
        </row>
        <row r="420">
          <cell r="A420" t="str">
            <v>2067-A</v>
          </cell>
          <cell r="B420" t="str">
            <v>RUBEN</v>
          </cell>
          <cell r="C420" t="str">
            <v>BARRACAS GRANDE</v>
          </cell>
          <cell r="D420" t="str">
            <v>MARROQUINERIA GRANDE</v>
          </cell>
          <cell r="E420">
            <v>9</v>
          </cell>
          <cell r="F420">
            <v>9</v>
          </cell>
          <cell r="G420">
            <v>9</v>
          </cell>
          <cell r="H420">
            <v>45944.773587962962</v>
          </cell>
          <cell r="I420" t="str">
            <v>RIÑONERA EVAN CHICA</v>
          </cell>
          <cell r="J420">
            <v>45944</v>
          </cell>
          <cell r="K420">
            <v>45944</v>
          </cell>
          <cell r="L420">
            <v>45948</v>
          </cell>
          <cell r="M420">
            <v>45</v>
          </cell>
          <cell r="N420" t="str">
            <v>M113</v>
          </cell>
          <cell r="O420" t="str">
            <v>AV0101030201</v>
          </cell>
          <cell r="P420">
            <v>2</v>
          </cell>
          <cell r="Q420" t="str">
            <v>AV0300260101</v>
          </cell>
          <cell r="R420">
            <v>1</v>
          </cell>
          <cell r="S420" t="str">
            <v>AV0400900101</v>
          </cell>
          <cell r="T420">
            <v>1</v>
          </cell>
          <cell r="U420" t="str">
            <v>AV0300390101</v>
          </cell>
          <cell r="V420">
            <v>2</v>
          </cell>
          <cell r="W420" t="str">
            <v>AV1000380101</v>
          </cell>
          <cell r="X420">
            <v>1</v>
          </cell>
          <cell r="Y420" t="str">
            <v>AV170129018</v>
          </cell>
          <cell r="Z420">
            <v>0</v>
          </cell>
          <cell r="AS420" t="str">
            <v>TIRACIERRE N° 4 , TIRA CONTRAPEGADA+ REMACHE + GRABADO "L" LUCERO</v>
          </cell>
          <cell r="AW420" t="str">
            <v xml:space="preserve">GRABADO EL LUCERO CHICO: ESPALDA CENTRADO A 2 CM DE BORDE INFERIOR  </v>
          </cell>
          <cell r="AX420" t="str">
            <v>TABACO</v>
          </cell>
          <cell r="AY420" t="str">
            <v>ARENA-CUERO BRIDGE</v>
          </cell>
          <cell r="AZ420" t="str">
            <v>CUE0000012</v>
          </cell>
          <cell r="BA420">
            <v>0.22</v>
          </cell>
          <cell r="BB420" t="str">
            <v>FOR0000021</v>
          </cell>
          <cell r="BC420">
            <v>0.09</v>
          </cell>
          <cell r="BD420" t="str">
            <v>AV1101200538</v>
          </cell>
          <cell r="BE420">
            <v>1.56</v>
          </cell>
          <cell r="BF420" t="str">
            <v>AV0100010114</v>
          </cell>
          <cell r="BG420">
            <v>0.5</v>
          </cell>
          <cell r="BH420" t="str">
            <v>AV1101180538</v>
          </cell>
          <cell r="BI420">
            <v>1.3</v>
          </cell>
          <cell r="BJ420" t="str">
            <v>AV1401240545</v>
          </cell>
          <cell r="BK420">
            <v>0</v>
          </cell>
          <cell r="BR420" t="str">
            <v>NEGRO</v>
          </cell>
          <cell r="BS420" t="str">
            <v>ARENA-CUERO BRIDGE</v>
          </cell>
          <cell r="BT420" t="str">
            <v>CUE0000009</v>
          </cell>
          <cell r="BU420">
            <v>0.22</v>
          </cell>
          <cell r="BV420" t="str">
            <v>FOR0000020</v>
          </cell>
          <cell r="BW420">
            <v>0.09</v>
          </cell>
          <cell r="BX420" t="str">
            <v>AV1101190526</v>
          </cell>
          <cell r="BY420">
            <v>1.56</v>
          </cell>
          <cell r="BZ420" t="str">
            <v>AV0100010103</v>
          </cell>
          <cell r="CA420">
            <v>0.5</v>
          </cell>
          <cell r="CB420" t="str">
            <v>AV1101170526</v>
          </cell>
          <cell r="CC420">
            <v>1.3</v>
          </cell>
          <cell r="CD420" t="str">
            <v>AV1401244040</v>
          </cell>
          <cell r="CE420">
            <v>0</v>
          </cell>
          <cell r="CF420" t="str">
            <v>AV1601300926</v>
          </cell>
          <cell r="CG420">
            <v>0</v>
          </cell>
          <cell r="KD420">
            <v>3</v>
          </cell>
          <cell r="KE420">
            <v>3</v>
          </cell>
          <cell r="KF420">
            <v>3</v>
          </cell>
          <cell r="KG420">
            <v>6</v>
          </cell>
          <cell r="KH420">
            <v>6</v>
          </cell>
          <cell r="KI420">
            <v>6</v>
          </cell>
          <cell r="KJ420">
            <v>0</v>
          </cell>
          <cell r="KK420">
            <v>0</v>
          </cell>
          <cell r="KM420">
            <v>0</v>
          </cell>
          <cell r="KP420">
            <v>0</v>
          </cell>
          <cell r="KS420">
            <v>0</v>
          </cell>
          <cell r="KV420">
            <v>0</v>
          </cell>
          <cell r="KY420">
            <v>0</v>
          </cell>
          <cell r="LB420">
            <v>0</v>
          </cell>
          <cell r="LE420">
            <v>0</v>
          </cell>
          <cell r="LH420">
            <v>0</v>
          </cell>
          <cell r="LK420">
            <v>0</v>
          </cell>
          <cell r="LN420">
            <v>45947</v>
          </cell>
          <cell r="LO420">
            <v>45958</v>
          </cell>
          <cell r="LP420" t="str">
            <v>COMPLETADO</v>
          </cell>
        </row>
        <row r="421">
          <cell r="A421" t="str">
            <v>2002-A</v>
          </cell>
          <cell r="B421" t="str">
            <v>LUCIANO</v>
          </cell>
          <cell r="C421" t="str">
            <v>BARRACAS CHICA</v>
          </cell>
          <cell r="D421" t="str">
            <v>MARROQUINERIA CHICA</v>
          </cell>
          <cell r="E421">
            <v>21</v>
          </cell>
          <cell r="F421">
            <v>21</v>
          </cell>
          <cell r="G421">
            <v>21</v>
          </cell>
          <cell r="H421">
            <v>45921.583912037036</v>
          </cell>
          <cell r="I421" t="str">
            <v>PORTABILLETES CORVUS</v>
          </cell>
          <cell r="J421">
            <v>45919</v>
          </cell>
          <cell r="K421">
            <v>45919</v>
          </cell>
          <cell r="L421">
            <v>45936</v>
          </cell>
          <cell r="M421">
            <v>23</v>
          </cell>
          <cell r="N421" t="str">
            <v>M079</v>
          </cell>
          <cell r="O421" t="str">
            <v>AV0400150124</v>
          </cell>
          <cell r="P421">
            <v>1</v>
          </cell>
          <cell r="Q421" t="str">
            <v>AV170134014</v>
          </cell>
          <cell r="R421">
            <v>0</v>
          </cell>
          <cell r="AH421">
            <v>0</v>
          </cell>
          <cell r="AW421" t="str">
            <v>GRABADO "EL LUCERO ARG" CHICO EN PARTE INTERIOR DERECHA, CENTRADO EN EL BORDE INFERIOR.</v>
          </cell>
          <cell r="AX421" t="str">
            <v>NEGRO</v>
          </cell>
          <cell r="AY421" t="str">
            <v>ARENA-CUERO BRIDGE</v>
          </cell>
          <cell r="AZ421" t="str">
            <v>CUE0000009R</v>
          </cell>
          <cell r="BA421">
            <v>0.08</v>
          </cell>
          <cell r="BB421" t="str">
            <v>AV1401254060</v>
          </cell>
          <cell r="BC421">
            <v>0</v>
          </cell>
          <cell r="BO421">
            <v>0</v>
          </cell>
          <cell r="BQ421">
            <v>0</v>
          </cell>
          <cell r="BR421" t="str">
            <v>CARAMELO</v>
          </cell>
          <cell r="BS421" t="str">
            <v>ARENA-CUERO BRIDGE</v>
          </cell>
          <cell r="BT421" t="str">
            <v>CUE0000004R</v>
          </cell>
          <cell r="BU421">
            <v>0.08</v>
          </cell>
          <cell r="BV421" t="str">
            <v>AV1401250545</v>
          </cell>
          <cell r="BW421">
            <v>0</v>
          </cell>
          <cell r="CL421" t="str">
            <v>MALBEC</v>
          </cell>
          <cell r="CM421" t="str">
            <v>ARENA-CUERO BRIDGE</v>
          </cell>
          <cell r="CN421" t="str">
            <v>CUE0000008R</v>
          </cell>
          <cell r="CO421">
            <v>0.08</v>
          </cell>
          <cell r="CP421" t="str">
            <v>AV1401250545</v>
          </cell>
          <cell r="CQ421">
            <v>0</v>
          </cell>
          <cell r="KD421">
            <v>9</v>
          </cell>
          <cell r="KE421">
            <v>9</v>
          </cell>
          <cell r="KF421">
            <v>9</v>
          </cell>
          <cell r="KG421">
            <v>3</v>
          </cell>
          <cell r="KH421">
            <v>3</v>
          </cell>
          <cell r="KI421">
            <v>3</v>
          </cell>
          <cell r="KJ421">
            <v>9</v>
          </cell>
          <cell r="KK421">
            <v>9</v>
          </cell>
          <cell r="KL421">
            <v>9</v>
          </cell>
          <cell r="KM421">
            <v>0</v>
          </cell>
          <cell r="KN421">
            <v>0</v>
          </cell>
          <cell r="KP421">
            <v>0</v>
          </cell>
          <cell r="KS421">
            <v>0</v>
          </cell>
          <cell r="KV421">
            <v>0</v>
          </cell>
          <cell r="KY421">
            <v>0</v>
          </cell>
          <cell r="LB421">
            <v>0</v>
          </cell>
          <cell r="LE421">
            <v>0</v>
          </cell>
          <cell r="LH421">
            <v>0</v>
          </cell>
          <cell r="LK421">
            <v>0</v>
          </cell>
          <cell r="LN421">
            <v>45919</v>
          </cell>
          <cell r="LO421">
            <v>45944</v>
          </cell>
          <cell r="LP421" t="str">
            <v>COMPLETADO</v>
          </cell>
        </row>
        <row r="422">
          <cell r="A422" t="str">
            <v>2004-A</v>
          </cell>
          <cell r="B422" t="str">
            <v>LUCIANO</v>
          </cell>
          <cell r="C422" t="str">
            <v>PERDRIEL</v>
          </cell>
          <cell r="D422" t="str">
            <v>MARROQUINERIA CHICA</v>
          </cell>
          <cell r="E422">
            <v>6</v>
          </cell>
          <cell r="F422">
            <v>6</v>
          </cell>
          <cell r="G422">
            <v>0</v>
          </cell>
          <cell r="H422">
            <v>45942</v>
          </cell>
          <cell r="I422" t="str">
            <v>PORTAHIGIENE</v>
          </cell>
          <cell r="M422">
            <v>42</v>
          </cell>
          <cell r="N422" t="str">
            <v>M090</v>
          </cell>
          <cell r="O422" t="str">
            <v>AV0101040201</v>
          </cell>
          <cell r="P422">
            <v>1</v>
          </cell>
          <cell r="Q422" t="str">
            <v>BAC1300020827</v>
          </cell>
          <cell r="R422">
            <v>0.03</v>
          </cell>
          <cell r="S422" t="str">
            <v>AV0300390101</v>
          </cell>
          <cell r="T422">
            <v>1</v>
          </cell>
          <cell r="U422" t="str">
            <v>AV1000380101</v>
          </cell>
          <cell r="V422">
            <v>1</v>
          </cell>
          <cell r="W422" t="str">
            <v>BAC1300050727</v>
          </cell>
          <cell r="X422">
            <v>0.03</v>
          </cell>
          <cell r="Y422" t="str">
            <v>BAC0200081126</v>
          </cell>
          <cell r="Z422">
            <v>0.02</v>
          </cell>
          <cell r="AA422" t="str">
            <v>AV170134014</v>
          </cell>
          <cell r="AB422">
            <v>0</v>
          </cell>
          <cell r="AH422">
            <v>0</v>
          </cell>
          <cell r="AS422" t="str">
            <v>TIRACIERRE N° 1 , CON TIRA GRABADA CON ESTRELLA Y REMACHE</v>
          </cell>
          <cell r="AW422" t="str">
            <v>GRABADO "EL LUCERO GRANDE" EN PIEZA TRASERA CENTRADO A 2,5 CM DESDE ABAJO</v>
          </cell>
          <cell r="AX422" t="str">
            <v>CARAMELO</v>
          </cell>
          <cell r="AY422" t="str">
            <v>ARENA-CUERO BRIDGE</v>
          </cell>
          <cell r="AZ422" t="str">
            <v>CUE0000004R</v>
          </cell>
          <cell r="BA422">
            <v>7.0000000000000007E-2</v>
          </cell>
          <cell r="BB422" t="str">
            <v>AV1401250545</v>
          </cell>
          <cell r="BC422">
            <v>0</v>
          </cell>
          <cell r="BD422" t="str">
            <v>FOR0000021</v>
          </cell>
          <cell r="BE422">
            <v>0.06</v>
          </cell>
          <cell r="BF422" t="str">
            <v>AV0100010205</v>
          </cell>
          <cell r="BG422">
            <v>0.41</v>
          </cell>
          <cell r="BO422">
            <v>0</v>
          </cell>
          <cell r="BQ422">
            <v>0</v>
          </cell>
          <cell r="BR422" t="str">
            <v>AZUL_REVES_AZUL</v>
          </cell>
          <cell r="BS422" t="str">
            <v>BIANCO-CUERO MODENA ESPESOR 1,4</v>
          </cell>
          <cell r="BT422" t="str">
            <v>CUE0000119R</v>
          </cell>
          <cell r="BU422">
            <v>7.0000000000000007E-2</v>
          </cell>
          <cell r="BV422" t="str">
            <v>AV1401254360</v>
          </cell>
          <cell r="BW422">
            <v>0</v>
          </cell>
          <cell r="BX422" t="str">
            <v>FOR0000020</v>
          </cell>
          <cell r="BY422">
            <v>0.06</v>
          </cell>
          <cell r="BZ422" t="str">
            <v>AV0100010215</v>
          </cell>
          <cell r="CA422">
            <v>0.41</v>
          </cell>
          <cell r="KD422">
            <v>2</v>
          </cell>
          <cell r="KE422">
            <v>2</v>
          </cell>
          <cell r="KG422">
            <v>4</v>
          </cell>
          <cell r="KH422">
            <v>4</v>
          </cell>
          <cell r="KM422">
            <v>0</v>
          </cell>
          <cell r="KN422">
            <v>0</v>
          </cell>
          <cell r="LP422" t="str">
            <v>NO COMENZADO</v>
          </cell>
        </row>
        <row r="423">
          <cell r="A423" t="str">
            <v>2013-A</v>
          </cell>
          <cell r="B423" t="str">
            <v>LUCIANO</v>
          </cell>
          <cell r="C423" t="str">
            <v>PERDRIEL</v>
          </cell>
          <cell r="D423" t="str">
            <v>MARROQUINERIA CHICA</v>
          </cell>
          <cell r="E423">
            <v>4</v>
          </cell>
          <cell r="F423">
            <v>4</v>
          </cell>
          <cell r="G423">
            <v>4</v>
          </cell>
          <cell r="H423">
            <v>45921.857210648152</v>
          </cell>
          <cell r="I423" t="str">
            <v>BANDEJA CHICA PELO</v>
          </cell>
          <cell r="J423">
            <v>45961</v>
          </cell>
          <cell r="K423">
            <v>45919</v>
          </cell>
          <cell r="L423">
            <v>45961</v>
          </cell>
          <cell r="M423">
            <v>10</v>
          </cell>
          <cell r="N423" t="str">
            <v>M175</v>
          </cell>
          <cell r="O423" t="str">
            <v>VAR0000043</v>
          </cell>
          <cell r="P423">
            <v>4</v>
          </cell>
          <cell r="Q423" t="str">
            <v>AV170134014</v>
          </cell>
          <cell r="R423">
            <v>0</v>
          </cell>
          <cell r="AS423" t="str">
            <v>NUEVO</v>
          </cell>
          <cell r="AT423" t="str">
            <v>SIN PINTUTURA</v>
          </cell>
          <cell r="BR423" t="str">
            <v>PELO_HOLANDO</v>
          </cell>
          <cell r="BS423" t="str">
            <v>LEDER-PELO</v>
          </cell>
          <cell r="BT423" t="str">
            <v>CUE0000116R</v>
          </cell>
          <cell r="BU423">
            <v>0.09</v>
          </cell>
          <cell r="KD423">
            <v>0</v>
          </cell>
          <cell r="KE423">
            <v>0</v>
          </cell>
          <cell r="KG423">
            <v>4</v>
          </cell>
          <cell r="KH423">
            <v>4</v>
          </cell>
          <cell r="KI423">
            <v>4</v>
          </cell>
          <cell r="KJ423">
            <v>0</v>
          </cell>
          <cell r="KM423">
            <v>0</v>
          </cell>
          <cell r="KP423">
            <v>0</v>
          </cell>
          <cell r="KS423">
            <v>0</v>
          </cell>
          <cell r="KV423">
            <v>0</v>
          </cell>
          <cell r="KY423">
            <v>0</v>
          </cell>
          <cell r="LB423">
            <v>0</v>
          </cell>
          <cell r="LE423">
            <v>0</v>
          </cell>
          <cell r="LH423">
            <v>0</v>
          </cell>
          <cell r="LK423">
            <v>0</v>
          </cell>
          <cell r="LN423">
            <v>45961</v>
          </cell>
          <cell r="LO423">
            <v>45972</v>
          </cell>
          <cell r="LP423" t="str">
            <v>COMPLETADO</v>
          </cell>
        </row>
        <row r="424">
          <cell r="A424" t="str">
            <v>1989-B</v>
          </cell>
          <cell r="B424" t="str">
            <v>RUBEN</v>
          </cell>
          <cell r="C424" t="str">
            <v>BARRACAS GRANDE</v>
          </cell>
          <cell r="D424" t="str">
            <v>MARROQUINERIA GRANDE</v>
          </cell>
          <cell r="E424">
            <v>18</v>
          </cell>
          <cell r="F424">
            <v>18</v>
          </cell>
          <cell r="G424">
            <v>18</v>
          </cell>
          <cell r="H424">
            <v>45951</v>
          </cell>
          <cell r="I424" t="str">
            <v>CARTERA INES</v>
          </cell>
          <cell r="J424">
            <v>45951</v>
          </cell>
          <cell r="K424">
            <v>45951</v>
          </cell>
          <cell r="L424">
            <v>45951</v>
          </cell>
          <cell r="M424">
            <v>35</v>
          </cell>
          <cell r="N424" t="str">
            <v>M170</v>
          </cell>
          <cell r="O424" t="str">
            <v>AV0300460101</v>
          </cell>
          <cell r="P424">
            <v>1</v>
          </cell>
          <cell r="Q424" t="str">
            <v>AV170129018</v>
          </cell>
          <cell r="R424">
            <v>0</v>
          </cell>
          <cell r="AS424" t="str">
            <v>SIN FORRERIA</v>
          </cell>
          <cell r="AT424" t="str">
            <v>SIN PINTURA</v>
          </cell>
          <cell r="AW424" t="str">
            <v>GRABADO "EL LUCERO" CHICO CENTRADO EN PIEZA INTERNA PORTA IMAN TRASERA</v>
          </cell>
          <cell r="AX424" t="str">
            <v>PELO_HEREFORD</v>
          </cell>
          <cell r="AY424" t="str">
            <v>LEDER-PELO</v>
          </cell>
          <cell r="AZ424" t="str">
            <v>CUE0000117</v>
          </cell>
          <cell r="BA424">
            <v>0.34</v>
          </cell>
          <cell r="BB424" t="str">
            <v>CUE0000012</v>
          </cell>
          <cell r="BC424">
            <v>7.0000000000000007E-2</v>
          </cell>
          <cell r="KD424">
            <v>18</v>
          </cell>
          <cell r="KE424">
            <v>18</v>
          </cell>
          <cell r="KF424">
            <v>18</v>
          </cell>
          <cell r="KG424">
            <v>0</v>
          </cell>
          <cell r="KI424">
            <v>0</v>
          </cell>
          <cell r="KJ424">
            <v>0</v>
          </cell>
          <cell r="KL424">
            <v>0</v>
          </cell>
          <cell r="KM424">
            <v>0</v>
          </cell>
          <cell r="KO424">
            <v>0</v>
          </cell>
          <cell r="KP424">
            <v>0</v>
          </cell>
          <cell r="KR424">
            <v>0</v>
          </cell>
          <cell r="KS424">
            <v>0</v>
          </cell>
          <cell r="KU424">
            <v>0</v>
          </cell>
          <cell r="KV424">
            <v>0</v>
          </cell>
          <cell r="KX424">
            <v>0</v>
          </cell>
          <cell r="KY424">
            <v>0</v>
          </cell>
          <cell r="LA424">
            <v>0</v>
          </cell>
          <cell r="LB424">
            <v>0</v>
          </cell>
          <cell r="LD424">
            <v>0</v>
          </cell>
          <cell r="LE424">
            <v>0</v>
          </cell>
          <cell r="LG424">
            <v>0</v>
          </cell>
          <cell r="LH424">
            <v>0</v>
          </cell>
          <cell r="LJ424">
            <v>0</v>
          </cell>
          <cell r="LK424">
            <v>0</v>
          </cell>
          <cell r="LM424">
            <v>0</v>
          </cell>
          <cell r="LN424">
            <v>45951</v>
          </cell>
          <cell r="LO424">
            <v>45966</v>
          </cell>
          <cell r="LP424" t="str">
            <v>COMPLETADO</v>
          </cell>
        </row>
        <row r="425">
          <cell r="A425" t="str">
            <v>1993-B</v>
          </cell>
          <cell r="B425" t="str">
            <v>RUBEN</v>
          </cell>
          <cell r="C425" t="str">
            <v>BARRACAS GRANDE</v>
          </cell>
          <cell r="D425" t="str">
            <v>MARROQUINERIA GRANDE</v>
          </cell>
          <cell r="E425">
            <v>10</v>
          </cell>
          <cell r="F425">
            <v>10</v>
          </cell>
          <cell r="G425">
            <v>10</v>
          </cell>
          <cell r="H425">
            <v>45951</v>
          </cell>
          <cell r="I425" t="str">
            <v>MINI EMMA</v>
          </cell>
          <cell r="J425">
            <v>45958</v>
          </cell>
          <cell r="K425">
            <v>45951</v>
          </cell>
          <cell r="L425">
            <v>45958</v>
          </cell>
          <cell r="M425">
            <v>55</v>
          </cell>
          <cell r="N425" t="str">
            <v>M137</v>
          </cell>
          <cell r="O425" t="str">
            <v>BAC1300020827</v>
          </cell>
          <cell r="P425">
            <v>0.01</v>
          </cell>
          <cell r="Q425" t="str">
            <v>AV0300440101</v>
          </cell>
          <cell r="R425">
            <v>1</v>
          </cell>
          <cell r="S425" t="str">
            <v>VAR0000011</v>
          </cell>
          <cell r="T425">
            <v>0.44</v>
          </cell>
          <cell r="U425" t="str">
            <v>AV0400770101</v>
          </cell>
          <cell r="V425">
            <v>2</v>
          </cell>
          <cell r="W425" t="str">
            <v>AV0400230101</v>
          </cell>
          <cell r="X425">
            <v>1</v>
          </cell>
          <cell r="Y425" t="str">
            <v>AV0601400101</v>
          </cell>
          <cell r="Z425">
            <v>2</v>
          </cell>
          <cell r="AA425" t="str">
            <v>AV0300400101</v>
          </cell>
          <cell r="AB425">
            <v>1</v>
          </cell>
          <cell r="AC425" t="str">
            <v>AV170134014</v>
          </cell>
          <cell r="AD425">
            <v>0</v>
          </cell>
          <cell r="AW425" t="str">
            <v xml:space="preserve">GRABADO EL LUCERO GRANDE ARRIBA CENTRADO. DEJAR 3CM Y GRABAR  </v>
          </cell>
          <cell r="AX425" t="str">
            <v>PELO_HEREFORD</v>
          </cell>
          <cell r="AY425" t="str">
            <v>LEDER-PELO</v>
          </cell>
          <cell r="AZ425" t="str">
            <v>CUE0000117</v>
          </cell>
          <cell r="BA425">
            <v>0.14000000000000001</v>
          </cell>
          <cell r="BB425" t="str">
            <v>CUE0000028</v>
          </cell>
          <cell r="BC425">
            <v>0.12</v>
          </cell>
          <cell r="KD425">
            <v>10</v>
          </cell>
          <cell r="KE425">
            <v>10</v>
          </cell>
          <cell r="KF425">
            <v>10</v>
          </cell>
          <cell r="KG425">
            <v>0</v>
          </cell>
          <cell r="KI425">
            <v>0</v>
          </cell>
          <cell r="KJ425">
            <v>0</v>
          </cell>
          <cell r="KL425">
            <v>0</v>
          </cell>
          <cell r="KM425">
            <v>0</v>
          </cell>
          <cell r="KO425">
            <v>0</v>
          </cell>
          <cell r="KP425">
            <v>0</v>
          </cell>
          <cell r="KR425">
            <v>0</v>
          </cell>
          <cell r="KS425">
            <v>0</v>
          </cell>
          <cell r="KU425">
            <v>0</v>
          </cell>
          <cell r="KV425">
            <v>0</v>
          </cell>
          <cell r="KX425">
            <v>0</v>
          </cell>
          <cell r="KY425">
            <v>0</v>
          </cell>
          <cell r="LA425">
            <v>0</v>
          </cell>
          <cell r="LB425">
            <v>0</v>
          </cell>
          <cell r="LD425">
            <v>0</v>
          </cell>
          <cell r="LE425">
            <v>0</v>
          </cell>
          <cell r="LG425">
            <v>0</v>
          </cell>
          <cell r="LH425">
            <v>0</v>
          </cell>
          <cell r="LJ425">
            <v>0</v>
          </cell>
          <cell r="LK425">
            <v>0</v>
          </cell>
          <cell r="LM425">
            <v>0</v>
          </cell>
          <cell r="LN425">
            <v>45954</v>
          </cell>
          <cell r="LO425">
            <v>45966</v>
          </cell>
          <cell r="LP425" t="str">
            <v>COMPLETADO</v>
          </cell>
        </row>
        <row r="426">
          <cell r="A426" t="str">
            <v>1999-B</v>
          </cell>
          <cell r="B426" t="str">
            <v>RUBEN</v>
          </cell>
          <cell r="C426" t="str">
            <v>BARRACAS GRANDE</v>
          </cell>
          <cell r="D426" t="str">
            <v>MARROQUINERIA GRANDE</v>
          </cell>
          <cell r="E426">
            <v>4</v>
          </cell>
          <cell r="F426">
            <v>4</v>
          </cell>
          <cell r="G426">
            <v>0</v>
          </cell>
          <cell r="H426">
            <v>45951</v>
          </cell>
          <cell r="I426" t="str">
            <v>BANDOLERA CARLA</v>
          </cell>
          <cell r="J426">
            <v>45951</v>
          </cell>
          <cell r="K426">
            <v>45953</v>
          </cell>
          <cell r="L426">
            <v>45951</v>
          </cell>
          <cell r="M426">
            <v>35</v>
          </cell>
          <cell r="N426" t="str">
            <v>M002</v>
          </cell>
          <cell r="O426" t="str">
            <v>AV1001210101</v>
          </cell>
          <cell r="P426">
            <v>1</v>
          </cell>
          <cell r="Q426" t="str">
            <v>AV0401380101</v>
          </cell>
          <cell r="R426">
            <v>1</v>
          </cell>
          <cell r="S426" t="str">
            <v>AV0400400101</v>
          </cell>
          <cell r="T426">
            <v>1</v>
          </cell>
          <cell r="U426" t="str">
            <v>AV170129018</v>
          </cell>
          <cell r="V426">
            <v>0</v>
          </cell>
          <cell r="AS426" t="str">
            <v>CORREA IDEM MUESTRA. EN EL LATERAL NO LLEVA REMACHES</v>
          </cell>
          <cell r="AT426" t="str">
            <v>LA CORREA DEBE SALIR DE ADENTRO DE LA VISTA INTERNA</v>
          </cell>
          <cell r="AU426" t="str">
            <v>CONSULTAR SI VA PINTADA O NO O</v>
          </cell>
          <cell r="AV426" t="str">
            <v>REVISAR TIEMPO</v>
          </cell>
          <cell r="AW426" t="str">
            <v>GRABADO "EL LUCERO" CHICO EN VISTA INTERNA CENTRADA</v>
          </cell>
          <cell r="AX426" t="str">
            <v>PELO_HEREFORD</v>
          </cell>
          <cell r="AY426" t="str">
            <v>LEDER-PELO</v>
          </cell>
          <cell r="AZ426" t="str">
            <v>CUE0000117</v>
          </cell>
          <cell r="BA426">
            <v>0.17</v>
          </cell>
          <cell r="BB426" t="str">
            <v>CUE0000012</v>
          </cell>
          <cell r="BC426">
            <v>0</v>
          </cell>
          <cell r="BD426" t="str">
            <v>FOR0000021</v>
          </cell>
          <cell r="BE426">
            <v>0.04</v>
          </cell>
          <cell r="BF426" t="str">
            <v>AV1401240545</v>
          </cell>
          <cell r="BG426">
            <v>0</v>
          </cell>
          <cell r="ED426" t="str">
            <v>CUE0000012</v>
          </cell>
          <cell r="EE426">
            <v>7.0000000000000007E-2</v>
          </cell>
          <cell r="KD426">
            <v>4</v>
          </cell>
          <cell r="KE426">
            <v>4</v>
          </cell>
          <cell r="KF426">
            <v>0</v>
          </cell>
          <cell r="KG426">
            <v>0</v>
          </cell>
          <cell r="KI426">
            <v>0</v>
          </cell>
          <cell r="KJ426">
            <v>0</v>
          </cell>
          <cell r="KL426">
            <v>0</v>
          </cell>
          <cell r="KM426">
            <v>0</v>
          </cell>
          <cell r="KO426">
            <v>0</v>
          </cell>
          <cell r="KP426">
            <v>0</v>
          </cell>
          <cell r="KQ426">
            <v>0</v>
          </cell>
          <cell r="KR426">
            <v>0</v>
          </cell>
          <cell r="KS426">
            <v>0</v>
          </cell>
          <cell r="KU426">
            <v>0</v>
          </cell>
          <cell r="KV426">
            <v>0</v>
          </cell>
          <cell r="KX426">
            <v>0</v>
          </cell>
          <cell r="KY426">
            <v>0</v>
          </cell>
          <cell r="LA426">
            <v>0</v>
          </cell>
          <cell r="LB426">
            <v>0</v>
          </cell>
          <cell r="LD426">
            <v>0</v>
          </cell>
          <cell r="LE426">
            <v>0</v>
          </cell>
          <cell r="LG426">
            <v>0</v>
          </cell>
          <cell r="LH426">
            <v>0</v>
          </cell>
          <cell r="LJ426">
            <v>0</v>
          </cell>
          <cell r="LK426">
            <v>0</v>
          </cell>
          <cell r="LM426">
            <v>0</v>
          </cell>
          <cell r="LN426">
            <v>45951</v>
          </cell>
          <cell r="LO426">
            <v>45951</v>
          </cell>
          <cell r="LP426" t="str">
            <v>COMPLETADO</v>
          </cell>
        </row>
        <row r="427">
          <cell r="A427" t="str">
            <v>2012-B</v>
          </cell>
          <cell r="B427" t="str">
            <v>LUCIANO</v>
          </cell>
          <cell r="C427" t="str">
            <v>INTERNO JAVIER</v>
          </cell>
          <cell r="D427" t="str">
            <v>MARROQUINERIA CHICA</v>
          </cell>
          <cell r="E427">
            <v>6</v>
          </cell>
          <cell r="F427">
            <v>6</v>
          </cell>
          <cell r="G427">
            <v>6</v>
          </cell>
          <cell r="H427">
            <v>45951</v>
          </cell>
          <cell r="I427" t="str">
            <v>PORTAVINO TANDIL</v>
          </cell>
          <cell r="J427">
            <v>45953</v>
          </cell>
          <cell r="K427">
            <v>45951</v>
          </cell>
          <cell r="L427">
            <v>45953</v>
          </cell>
          <cell r="M427">
            <v>35</v>
          </cell>
          <cell r="N427" t="str">
            <v>M165</v>
          </cell>
          <cell r="O427" t="str">
            <v>AV170134014</v>
          </cell>
          <cell r="P427">
            <v>0</v>
          </cell>
          <cell r="AS427" t="str">
            <v>PEGAR ETIQUETA DE CUERO AL FRENTE HILO AL TONO CON HILO GRUESO N 20</v>
          </cell>
          <cell r="AW427" t="str">
            <v>GRABADO ETIQUETA EN VINTAGE MEDIO  7,5CM X 5,5 CM  "EL LUCERO HIGH QUALITY GOODS"</v>
          </cell>
          <cell r="AX427" t="str">
            <v>PELO_HEREFORD</v>
          </cell>
          <cell r="AY427" t="str">
            <v>LEDER-PELO</v>
          </cell>
          <cell r="AZ427" t="str">
            <v>CUE0000117R</v>
          </cell>
          <cell r="BA427">
            <v>0.12</v>
          </cell>
          <cell r="BB427" t="str">
            <v>CUE0000012</v>
          </cell>
          <cell r="BC427">
            <v>0.09</v>
          </cell>
          <cell r="ED427" t="str">
            <v>CUE0000012</v>
          </cell>
          <cell r="EE427">
            <v>7.0000000000000007E-2</v>
          </cell>
          <cell r="KD427">
            <v>6</v>
          </cell>
          <cell r="KE427">
            <v>6</v>
          </cell>
          <cell r="KF427">
            <v>6</v>
          </cell>
          <cell r="KG427">
            <v>0</v>
          </cell>
          <cell r="KI427">
            <v>0</v>
          </cell>
          <cell r="KJ427">
            <v>0</v>
          </cell>
          <cell r="KL427">
            <v>0</v>
          </cell>
          <cell r="KM427">
            <v>0</v>
          </cell>
          <cell r="KO427">
            <v>0</v>
          </cell>
          <cell r="KP427">
            <v>0</v>
          </cell>
          <cell r="KQ427">
            <v>0</v>
          </cell>
          <cell r="KR427">
            <v>0</v>
          </cell>
          <cell r="KS427">
            <v>0</v>
          </cell>
          <cell r="KU427">
            <v>0</v>
          </cell>
          <cell r="KV427">
            <v>0</v>
          </cell>
          <cell r="KX427">
            <v>0</v>
          </cell>
          <cell r="KY427">
            <v>0</v>
          </cell>
          <cell r="LA427">
            <v>0</v>
          </cell>
          <cell r="LB427">
            <v>0</v>
          </cell>
          <cell r="LD427">
            <v>0</v>
          </cell>
          <cell r="LE427">
            <v>0</v>
          </cell>
          <cell r="LG427">
            <v>0</v>
          </cell>
          <cell r="LH427">
            <v>0</v>
          </cell>
          <cell r="LJ427">
            <v>0</v>
          </cell>
          <cell r="LK427">
            <v>0</v>
          </cell>
          <cell r="LM427">
            <v>0</v>
          </cell>
          <cell r="LN427">
            <v>45953</v>
          </cell>
          <cell r="LO427">
            <v>45966</v>
          </cell>
          <cell r="LP427" t="str">
            <v>COMPLETADO</v>
          </cell>
          <cell r="LQ427" t="str">
            <v>QUE SE VEA LA MANCHA SI NO SALE DE RETAZOS USAR PLACA</v>
          </cell>
        </row>
        <row r="428">
          <cell r="A428" t="str">
            <v>2013-B</v>
          </cell>
          <cell r="B428" t="str">
            <v>LUCIANO</v>
          </cell>
          <cell r="C428" t="str">
            <v>PERDRIEL</v>
          </cell>
          <cell r="D428" t="str">
            <v>MARROQUINERIA CHICA</v>
          </cell>
          <cell r="E428">
            <v>4</v>
          </cell>
          <cell r="F428">
            <v>4</v>
          </cell>
          <cell r="G428">
            <v>4</v>
          </cell>
          <cell r="H428">
            <v>45951</v>
          </cell>
          <cell r="I428" t="str">
            <v>BANDEJA CHICA PELO</v>
          </cell>
          <cell r="J428">
            <v>45961</v>
          </cell>
          <cell r="K428">
            <v>45951</v>
          </cell>
          <cell r="L428">
            <v>45964</v>
          </cell>
          <cell r="M428">
            <v>10</v>
          </cell>
          <cell r="N428" t="str">
            <v>M175</v>
          </cell>
          <cell r="O428" t="str">
            <v>VAR0000043</v>
          </cell>
          <cell r="P428">
            <v>4</v>
          </cell>
          <cell r="Q428" t="str">
            <v>AV170134014</v>
          </cell>
          <cell r="R428">
            <v>0</v>
          </cell>
          <cell r="AS428" t="str">
            <v>NUEVO</v>
          </cell>
          <cell r="AT428" t="str">
            <v>SIN PINTUTURA</v>
          </cell>
          <cell r="AX428" t="str">
            <v>PELO_HEREFORD</v>
          </cell>
          <cell r="AY428" t="str">
            <v>LEDER-PELO</v>
          </cell>
          <cell r="AZ428" t="str">
            <v>CUE0000117R</v>
          </cell>
          <cell r="BA428">
            <v>0.09</v>
          </cell>
          <cell r="ED428" t="str">
            <v>CUE0000012</v>
          </cell>
          <cell r="EE428">
            <v>7.0000000000000007E-2</v>
          </cell>
          <cell r="KD428">
            <v>4</v>
          </cell>
          <cell r="KE428">
            <v>4</v>
          </cell>
          <cell r="KF428">
            <v>4</v>
          </cell>
          <cell r="KG428">
            <v>0</v>
          </cell>
          <cell r="KI428">
            <v>0</v>
          </cell>
          <cell r="KJ428">
            <v>0</v>
          </cell>
          <cell r="KL428">
            <v>0</v>
          </cell>
          <cell r="KM428">
            <v>0</v>
          </cell>
          <cell r="KO428">
            <v>0</v>
          </cell>
          <cell r="KP428">
            <v>0</v>
          </cell>
          <cell r="KQ428">
            <v>0</v>
          </cell>
          <cell r="KR428">
            <v>0</v>
          </cell>
          <cell r="KS428">
            <v>0</v>
          </cell>
          <cell r="KU428">
            <v>0</v>
          </cell>
          <cell r="KV428">
            <v>0</v>
          </cell>
          <cell r="KX428">
            <v>0</v>
          </cell>
          <cell r="KY428">
            <v>0</v>
          </cell>
          <cell r="LA428">
            <v>0</v>
          </cell>
          <cell r="LB428">
            <v>0</v>
          </cell>
          <cell r="LD428">
            <v>0</v>
          </cell>
          <cell r="LE428">
            <v>0</v>
          </cell>
          <cell r="LG428">
            <v>0</v>
          </cell>
          <cell r="LH428">
            <v>0</v>
          </cell>
          <cell r="LJ428">
            <v>0</v>
          </cell>
          <cell r="LK428">
            <v>0</v>
          </cell>
          <cell r="LM428">
            <v>0</v>
          </cell>
          <cell r="LN428">
            <v>45961</v>
          </cell>
          <cell r="LO428">
            <v>45972</v>
          </cell>
          <cell r="LP428" t="str">
            <v>COMPLETADO</v>
          </cell>
          <cell r="LQ428" t="str">
            <v>QUE SE VEA LA MANCHA SI NO SALE DE RETAZOS USAR PLACA</v>
          </cell>
        </row>
        <row r="429">
          <cell r="A429" t="str">
            <v>2062-B</v>
          </cell>
          <cell r="B429" t="str">
            <v>LUCIANO</v>
          </cell>
          <cell r="C429" t="str">
            <v>BARRACAS GRANDE</v>
          </cell>
          <cell r="D429" t="str">
            <v>MARROQUINERIA GRANDE</v>
          </cell>
          <cell r="E429">
            <v>4</v>
          </cell>
          <cell r="F429">
            <v>4</v>
          </cell>
          <cell r="G429">
            <v>4</v>
          </cell>
          <cell r="H429">
            <v>45951</v>
          </cell>
          <cell r="I429" t="str">
            <v>CARTERA INES</v>
          </cell>
          <cell r="J429">
            <v>45958</v>
          </cell>
          <cell r="K429">
            <v>45951</v>
          </cell>
          <cell r="L429">
            <v>45958</v>
          </cell>
          <cell r="M429">
            <v>35</v>
          </cell>
          <cell r="N429" t="str">
            <v>M170</v>
          </cell>
          <cell r="O429" t="str">
            <v>AV0300460101</v>
          </cell>
          <cell r="P429">
            <v>1</v>
          </cell>
          <cell r="Q429" t="str">
            <v>AV170129018</v>
          </cell>
          <cell r="R429">
            <v>0</v>
          </cell>
          <cell r="AS429" t="str">
            <v>SIN FORRERIA</v>
          </cell>
          <cell r="AT429" t="str">
            <v>SIN PINTURA</v>
          </cell>
          <cell r="BR429" t="str">
            <v>MALBEC</v>
          </cell>
          <cell r="BS429" t="str">
            <v>ARENA-CUERO BRIDGE</v>
          </cell>
          <cell r="BT429" t="str">
            <v>CUE0000008</v>
          </cell>
          <cell r="BU429">
            <v>0.41000000000000003</v>
          </cell>
          <cell r="ED429" t="str">
            <v>CUE0000012</v>
          </cell>
          <cell r="EE429">
            <v>7.0000000000000007E-2</v>
          </cell>
          <cell r="KD429">
            <v>0</v>
          </cell>
          <cell r="KE429">
            <v>0</v>
          </cell>
          <cell r="KF429">
            <v>0</v>
          </cell>
          <cell r="KG429">
            <v>4</v>
          </cell>
          <cell r="KH429">
            <v>4</v>
          </cell>
          <cell r="KI429">
            <v>4</v>
          </cell>
          <cell r="KJ429">
            <v>0</v>
          </cell>
          <cell r="KL429">
            <v>0</v>
          </cell>
          <cell r="KM429">
            <v>0</v>
          </cell>
          <cell r="KO429">
            <v>0</v>
          </cell>
          <cell r="KP429">
            <v>0</v>
          </cell>
          <cell r="KQ429">
            <v>0</v>
          </cell>
          <cell r="KR429">
            <v>0</v>
          </cell>
          <cell r="KS429">
            <v>0</v>
          </cell>
          <cell r="KU429">
            <v>0</v>
          </cell>
          <cell r="KV429">
            <v>0</v>
          </cell>
          <cell r="KX429">
            <v>0</v>
          </cell>
          <cell r="KY429">
            <v>0</v>
          </cell>
          <cell r="LA429">
            <v>0</v>
          </cell>
          <cell r="LB429">
            <v>0</v>
          </cell>
          <cell r="LD429">
            <v>0</v>
          </cell>
          <cell r="LE429">
            <v>0</v>
          </cell>
          <cell r="LG429">
            <v>0</v>
          </cell>
          <cell r="LH429">
            <v>0</v>
          </cell>
          <cell r="LJ429">
            <v>0</v>
          </cell>
          <cell r="LK429">
            <v>0</v>
          </cell>
          <cell r="LM429">
            <v>0</v>
          </cell>
          <cell r="LN429">
            <v>45954</v>
          </cell>
          <cell r="LO429">
            <v>45966</v>
          </cell>
          <cell r="LP429" t="str">
            <v>COMPLETADO</v>
          </cell>
        </row>
        <row r="430">
          <cell r="A430" t="str">
            <v>2063-B</v>
          </cell>
          <cell r="B430" t="str">
            <v>RUBEN</v>
          </cell>
          <cell r="C430" t="str">
            <v>BARRACAS GRANDE</v>
          </cell>
          <cell r="D430" t="str">
            <v>MARROQUINERIA GRANDE</v>
          </cell>
          <cell r="E430">
            <v>6</v>
          </cell>
          <cell r="F430">
            <v>6</v>
          </cell>
          <cell r="G430">
            <v>6</v>
          </cell>
          <cell r="H430">
            <v>45951</v>
          </cell>
          <cell r="I430" t="str">
            <v>CARTERA LONDRES</v>
          </cell>
          <cell r="J430">
            <v>45951</v>
          </cell>
          <cell r="K430">
            <v>45951</v>
          </cell>
          <cell r="L430">
            <v>45954</v>
          </cell>
          <cell r="M430">
            <v>50</v>
          </cell>
          <cell r="N430" t="str">
            <v>M043</v>
          </cell>
          <cell r="O430" t="str">
            <v>AV0101040201</v>
          </cell>
          <cell r="P430">
            <v>1</v>
          </cell>
          <cell r="Q430" t="str">
            <v>AV0300390101</v>
          </cell>
          <cell r="R430">
            <v>1</v>
          </cell>
          <cell r="S430" t="str">
            <v>AV0300400101</v>
          </cell>
          <cell r="T430">
            <v>4</v>
          </cell>
          <cell r="U430" t="str">
            <v>AV1000430101</v>
          </cell>
          <cell r="V430">
            <v>3</v>
          </cell>
          <cell r="W430" t="str">
            <v>BAC1300020827</v>
          </cell>
          <cell r="X430">
            <v>0.1</v>
          </cell>
          <cell r="Y430" t="str">
            <v>AV0300460101</v>
          </cell>
          <cell r="Z430">
            <v>1</v>
          </cell>
          <cell r="AA430" t="str">
            <v>AV170129018</v>
          </cell>
          <cell r="AB430">
            <v>0</v>
          </cell>
          <cell r="AS430" t="str">
            <v>TIRACIERRES N1 - TIRA CON REMACHE Y GRABADO ESTRELLITA</v>
          </cell>
          <cell r="AW430" t="str">
            <v>GRABADO EL LUCERO GRANDE EN ESPALDA A 3.5CM DEL BORDE SUPERIOR, CENTRADO</v>
          </cell>
          <cell r="AX430" t="str">
            <v>CHOCOLATE</v>
          </cell>
          <cell r="AY430" t="str">
            <v>ARENA-CUERO BRIDGE</v>
          </cell>
          <cell r="AZ430" t="str">
            <v>CUE0000005</v>
          </cell>
          <cell r="BA430">
            <v>0.53</v>
          </cell>
          <cell r="BB430" t="str">
            <v>FOR0000021</v>
          </cell>
          <cell r="BC430">
            <v>0.32</v>
          </cell>
          <cell r="BD430" t="str">
            <v>AV1101180538</v>
          </cell>
          <cell r="BE430">
            <v>1.1499999999999999</v>
          </cell>
          <cell r="BF430" t="str">
            <v>CIE0000002</v>
          </cell>
          <cell r="BG430">
            <v>0.28000000000000003</v>
          </cell>
          <cell r="ED430" t="str">
            <v>CUE0000012</v>
          </cell>
          <cell r="EE430">
            <v>7.0000000000000007E-2</v>
          </cell>
          <cell r="KD430">
            <v>6</v>
          </cell>
          <cell r="KE430">
            <v>6</v>
          </cell>
          <cell r="KF430">
            <v>6</v>
          </cell>
          <cell r="KG430">
            <v>0</v>
          </cell>
          <cell r="KI430">
            <v>0</v>
          </cell>
          <cell r="KJ430">
            <v>0</v>
          </cell>
          <cell r="KL430">
            <v>0</v>
          </cell>
          <cell r="KM430">
            <v>0</v>
          </cell>
          <cell r="KO430">
            <v>0</v>
          </cell>
          <cell r="KP430">
            <v>0</v>
          </cell>
          <cell r="KQ430">
            <v>0</v>
          </cell>
          <cell r="KR430">
            <v>0</v>
          </cell>
          <cell r="KS430">
            <v>0</v>
          </cell>
          <cell r="KU430">
            <v>0</v>
          </cell>
          <cell r="KV430">
            <v>0</v>
          </cell>
          <cell r="KX430">
            <v>0</v>
          </cell>
          <cell r="KY430">
            <v>0</v>
          </cell>
          <cell r="LA430">
            <v>0</v>
          </cell>
          <cell r="LB430">
            <v>0</v>
          </cell>
          <cell r="LD430">
            <v>0</v>
          </cell>
          <cell r="LE430">
            <v>0</v>
          </cell>
          <cell r="LG430">
            <v>0</v>
          </cell>
          <cell r="LH430">
            <v>0</v>
          </cell>
          <cell r="LJ430">
            <v>0</v>
          </cell>
          <cell r="LK430">
            <v>0</v>
          </cell>
          <cell r="LM430">
            <v>0</v>
          </cell>
          <cell r="LN430">
            <v>45954</v>
          </cell>
          <cell r="LO430">
            <v>45958</v>
          </cell>
          <cell r="LP430" t="str">
            <v>COMPLETADO</v>
          </cell>
        </row>
        <row r="431">
          <cell r="A431" t="str">
            <v>2064-B</v>
          </cell>
          <cell r="B431" t="str">
            <v>RUBEN</v>
          </cell>
          <cell r="C431" t="str">
            <v>BARRACAS GRANDE</v>
          </cell>
          <cell r="D431" t="str">
            <v>MARROQUINERIA GRANDE</v>
          </cell>
          <cell r="E431">
            <v>6</v>
          </cell>
          <cell r="F431">
            <v>6</v>
          </cell>
          <cell r="G431">
            <v>6</v>
          </cell>
          <cell r="H431">
            <v>45951</v>
          </cell>
          <cell r="I431" t="str">
            <v>MOCHILA PORTIA</v>
          </cell>
          <cell r="J431">
            <v>45951</v>
          </cell>
          <cell r="K431">
            <v>45951</v>
          </cell>
          <cell r="L431">
            <v>45954</v>
          </cell>
          <cell r="M431">
            <v>120</v>
          </cell>
          <cell r="N431" t="str">
            <v>M059</v>
          </cell>
          <cell r="O431" t="str">
            <v>BAC1300020827</v>
          </cell>
          <cell r="P431">
            <v>0.03</v>
          </cell>
          <cell r="Q431" t="str">
            <v>BAC0200081126</v>
          </cell>
          <cell r="R431">
            <v>0.19</v>
          </cell>
          <cell r="S431" t="str">
            <v>AV0401150101</v>
          </cell>
          <cell r="T431">
            <v>2</v>
          </cell>
          <cell r="U431" t="str">
            <v>AV0101030201</v>
          </cell>
          <cell r="V431">
            <v>1</v>
          </cell>
          <cell r="W431" t="str">
            <v>AV0101060301</v>
          </cell>
          <cell r="X431">
            <v>2</v>
          </cell>
          <cell r="Y431" t="str">
            <v>AV0300410101</v>
          </cell>
          <cell r="Z431">
            <v>2</v>
          </cell>
          <cell r="AA431" t="str">
            <v>AV1001480101</v>
          </cell>
          <cell r="AB431">
            <v>1</v>
          </cell>
          <cell r="AC431" t="str">
            <v>AV0600540101</v>
          </cell>
          <cell r="AD431">
            <v>2</v>
          </cell>
          <cell r="AE431" t="str">
            <v>AV0400400101</v>
          </cell>
          <cell r="AF431">
            <v>1</v>
          </cell>
          <cell r="AG431" t="str">
            <v>AV0400410101</v>
          </cell>
          <cell r="AH431">
            <v>2</v>
          </cell>
          <cell r="AI431" t="str">
            <v>AV1001480101</v>
          </cell>
          <cell r="AJ431">
            <v>1</v>
          </cell>
          <cell r="AK431" t="str">
            <v>AV170129018</v>
          </cell>
          <cell r="AL431">
            <v>0</v>
          </cell>
          <cell r="AS431" t="str">
            <v>TIRACIERRE N1 - TIRA CON REMACHE EN INTERIOR</v>
          </cell>
          <cell r="AW431" t="str">
            <v xml:space="preserve">GRABADO "EL LUCERO" EN ESPALDA ENCIMA DE LA VISTA DE LAS CORREAS, CENTRADO </v>
          </cell>
          <cell r="AX431" t="str">
            <v>CHOCOLATE</v>
          </cell>
          <cell r="AY431" t="str">
            <v>ARENA-CUERO BRIDGE</v>
          </cell>
          <cell r="AZ431" t="str">
            <v>CUE0000005</v>
          </cell>
          <cell r="BA431">
            <v>0.6</v>
          </cell>
          <cell r="BB431" t="str">
            <v>FOR0000021</v>
          </cell>
          <cell r="BC431">
            <v>0.83</v>
          </cell>
          <cell r="BD431" t="str">
            <v>AV0100010111</v>
          </cell>
          <cell r="BE431">
            <v>0.85</v>
          </cell>
          <cell r="BF431" t="str">
            <v>CIE0000001</v>
          </cell>
          <cell r="BG431">
            <v>0.72</v>
          </cell>
          <cell r="BH431" t="str">
            <v>AV1101180538</v>
          </cell>
          <cell r="BI431">
            <v>2.5499999999999998</v>
          </cell>
          <cell r="BJ431" t="str">
            <v>AV1401240545</v>
          </cell>
          <cell r="BK431">
            <v>0</v>
          </cell>
          <cell r="ED431" t="str">
            <v>CUE0000012</v>
          </cell>
          <cell r="EE431">
            <v>7.0000000000000007E-2</v>
          </cell>
          <cell r="KD431">
            <v>6</v>
          </cell>
          <cell r="KE431">
            <v>6</v>
          </cell>
          <cell r="KF431">
            <v>6</v>
          </cell>
          <cell r="KG431">
            <v>0</v>
          </cell>
          <cell r="KI431">
            <v>0</v>
          </cell>
          <cell r="KJ431">
            <v>0</v>
          </cell>
          <cell r="KL431">
            <v>0</v>
          </cell>
          <cell r="KM431">
            <v>0</v>
          </cell>
          <cell r="KO431">
            <v>0</v>
          </cell>
          <cell r="KP431">
            <v>0</v>
          </cell>
          <cell r="KQ431">
            <v>0</v>
          </cell>
          <cell r="KR431">
            <v>0</v>
          </cell>
          <cell r="KS431">
            <v>0</v>
          </cell>
          <cell r="KU431">
            <v>0</v>
          </cell>
          <cell r="KV431">
            <v>0</v>
          </cell>
          <cell r="KX431">
            <v>0</v>
          </cell>
          <cell r="KY431">
            <v>0</v>
          </cell>
          <cell r="LA431">
            <v>0</v>
          </cell>
          <cell r="LB431">
            <v>0</v>
          </cell>
          <cell r="LD431">
            <v>0</v>
          </cell>
          <cell r="LE431">
            <v>0</v>
          </cell>
          <cell r="LG431">
            <v>0</v>
          </cell>
          <cell r="LH431">
            <v>0</v>
          </cell>
          <cell r="LJ431">
            <v>0</v>
          </cell>
          <cell r="LK431">
            <v>0</v>
          </cell>
          <cell r="LM431">
            <v>0</v>
          </cell>
          <cell r="LN431">
            <v>45954</v>
          </cell>
          <cell r="LO431">
            <v>45958</v>
          </cell>
          <cell r="LP431" t="str">
            <v>COMPLETADO</v>
          </cell>
        </row>
        <row r="432">
          <cell r="A432" t="str">
            <v>2066-B</v>
          </cell>
          <cell r="B432" t="str">
            <v>RUBEN</v>
          </cell>
          <cell r="C432" t="str">
            <v>BARRACAS GRANDE</v>
          </cell>
          <cell r="D432" t="str">
            <v>MARROQUINERIA GRANDE</v>
          </cell>
          <cell r="E432">
            <v>6</v>
          </cell>
          <cell r="F432">
            <v>6</v>
          </cell>
          <cell r="G432">
            <v>6</v>
          </cell>
          <cell r="H432">
            <v>45951</v>
          </cell>
          <cell r="I432" t="str">
            <v>PORTALAPTOP MILTON</v>
          </cell>
          <cell r="J432">
            <v>45951</v>
          </cell>
          <cell r="K432">
            <v>45951</v>
          </cell>
          <cell r="L432">
            <v>45954</v>
          </cell>
          <cell r="M432">
            <v>18</v>
          </cell>
          <cell r="N432" t="str">
            <v>M095</v>
          </cell>
          <cell r="O432" t="str">
            <v>AV170129018</v>
          </cell>
          <cell r="P432">
            <v>0</v>
          </cell>
          <cell r="AS432" t="str">
            <v>MODIFICAR EL MOLDE VA PUNTA REDONDEADA</v>
          </cell>
          <cell r="AW432" t="str">
            <v xml:space="preserve">GRABADO "EL LUCERO ARGENTINA" GRANDE EN ESPALDA, CENTRADO A 1,5 CM DESDE EL BORDE INFERIOR </v>
          </cell>
          <cell r="AX432" t="str">
            <v>MALBEC</v>
          </cell>
          <cell r="AY432" t="str">
            <v>ARENA-CUERO BRIDGE</v>
          </cell>
          <cell r="AZ432" t="str">
            <v>CUE0000008</v>
          </cell>
          <cell r="BA432">
            <v>0.27</v>
          </cell>
          <cell r="BB432" t="str">
            <v>AV1401240545</v>
          </cell>
          <cell r="BC432">
            <v>0</v>
          </cell>
          <cell r="ED432" t="str">
            <v>CUE0000012</v>
          </cell>
          <cell r="EE432">
            <v>7.0000000000000007E-2</v>
          </cell>
          <cell r="KD432">
            <v>6</v>
          </cell>
          <cell r="KE432">
            <v>6</v>
          </cell>
          <cell r="KF432">
            <v>6</v>
          </cell>
          <cell r="KG432">
            <v>0</v>
          </cell>
          <cell r="KH432">
            <v>0</v>
          </cell>
          <cell r="KI432">
            <v>0</v>
          </cell>
          <cell r="KJ432">
            <v>0</v>
          </cell>
          <cell r="KL432">
            <v>0</v>
          </cell>
          <cell r="KM432">
            <v>0</v>
          </cell>
          <cell r="KO432">
            <v>0</v>
          </cell>
          <cell r="KP432">
            <v>0</v>
          </cell>
          <cell r="KQ432">
            <v>0</v>
          </cell>
          <cell r="KR432">
            <v>0</v>
          </cell>
          <cell r="KS432">
            <v>0</v>
          </cell>
          <cell r="KU432">
            <v>0</v>
          </cell>
          <cell r="KV432">
            <v>0</v>
          </cell>
          <cell r="KX432">
            <v>0</v>
          </cell>
          <cell r="KY432">
            <v>0</v>
          </cell>
          <cell r="LA432">
            <v>0</v>
          </cell>
          <cell r="LB432">
            <v>0</v>
          </cell>
          <cell r="LD432">
            <v>0</v>
          </cell>
          <cell r="LE432">
            <v>0</v>
          </cell>
          <cell r="LG432">
            <v>0</v>
          </cell>
          <cell r="LH432">
            <v>0</v>
          </cell>
          <cell r="LJ432">
            <v>0</v>
          </cell>
          <cell r="LK432">
            <v>0</v>
          </cell>
          <cell r="LM432">
            <v>0</v>
          </cell>
          <cell r="LN432">
            <v>45954</v>
          </cell>
          <cell r="LO432">
            <v>45966</v>
          </cell>
          <cell r="LP432" t="str">
            <v>COMPLETADO</v>
          </cell>
        </row>
        <row r="433">
          <cell r="A433" t="str">
            <v>2067-B</v>
          </cell>
          <cell r="B433" t="str">
            <v>RUBEN</v>
          </cell>
          <cell r="C433" t="str">
            <v>BARRACAS GRANDE</v>
          </cell>
          <cell r="D433" t="str">
            <v>MARROQUINERIA GRANDE</v>
          </cell>
          <cell r="E433">
            <v>6</v>
          </cell>
          <cell r="F433">
            <v>6</v>
          </cell>
          <cell r="G433">
            <v>6</v>
          </cell>
          <cell r="H433">
            <v>45951</v>
          </cell>
          <cell r="I433" t="str">
            <v>RIÑONERA EVAN CHICA</v>
          </cell>
          <cell r="J433">
            <v>45951</v>
          </cell>
          <cell r="K433">
            <v>45951</v>
          </cell>
          <cell r="L433">
            <v>45954</v>
          </cell>
          <cell r="M433">
            <v>45</v>
          </cell>
          <cell r="N433" t="str">
            <v>M113</v>
          </cell>
          <cell r="O433" t="str">
            <v>AV0101030201</v>
          </cell>
          <cell r="P433">
            <v>2</v>
          </cell>
          <cell r="Q433" t="str">
            <v>AV0300260101</v>
          </cell>
          <cell r="R433">
            <v>1</v>
          </cell>
          <cell r="S433" t="str">
            <v>AV0400900101</v>
          </cell>
          <cell r="T433">
            <v>1</v>
          </cell>
          <cell r="U433" t="str">
            <v>AV0300390101</v>
          </cell>
          <cell r="V433">
            <v>2</v>
          </cell>
          <cell r="W433" t="str">
            <v>AV1000380101</v>
          </cell>
          <cell r="X433">
            <v>1</v>
          </cell>
          <cell r="Y433" t="str">
            <v>AV170129018</v>
          </cell>
          <cell r="Z433">
            <v>0</v>
          </cell>
          <cell r="AS433" t="str">
            <v>TIRACIERRE N° 4 , TIRA CONTRAPEGADA+ REMACHE + GRABADO "L" LUCERO</v>
          </cell>
          <cell r="AW433" t="str">
            <v xml:space="preserve">GRABADO EL LUCERO CHICO: ESPALDA CENTRADO A 2 CM DE BORDE INFERIOR  </v>
          </cell>
          <cell r="AX433" t="str">
            <v>CHOCOLATE</v>
          </cell>
          <cell r="AY433" t="str">
            <v>ARENA-CUERO BRIDGE</v>
          </cell>
          <cell r="AZ433" t="str">
            <v>CUE0000005</v>
          </cell>
          <cell r="BA433">
            <v>0.22</v>
          </cell>
          <cell r="BB433" t="str">
            <v>FOR0000021</v>
          </cell>
          <cell r="BC433">
            <v>0.09</v>
          </cell>
          <cell r="BD433" t="str">
            <v>AV1101200538</v>
          </cell>
          <cell r="BE433">
            <v>1.56</v>
          </cell>
          <cell r="BF433" t="str">
            <v>AV0100010111</v>
          </cell>
          <cell r="BG433">
            <v>0.5</v>
          </cell>
          <cell r="BH433" t="str">
            <v>AV1101180538</v>
          </cell>
          <cell r="BI433">
            <v>1.3</v>
          </cell>
          <cell r="BJ433" t="str">
            <v>AV1401240545</v>
          </cell>
          <cell r="BK433">
            <v>0</v>
          </cell>
          <cell r="ED433" t="str">
            <v>CUE0000012</v>
          </cell>
          <cell r="EE433">
            <v>7.0000000000000007E-2</v>
          </cell>
          <cell r="KD433">
            <v>6</v>
          </cell>
          <cell r="KE433">
            <v>6</v>
          </cell>
          <cell r="KF433">
            <v>6</v>
          </cell>
          <cell r="KG433">
            <v>0</v>
          </cell>
          <cell r="KI433">
            <v>0</v>
          </cell>
          <cell r="KJ433">
            <v>0</v>
          </cell>
          <cell r="KL433">
            <v>0</v>
          </cell>
          <cell r="KM433">
            <v>0</v>
          </cell>
          <cell r="KO433">
            <v>0</v>
          </cell>
          <cell r="KP433">
            <v>0</v>
          </cell>
          <cell r="KQ433">
            <v>0</v>
          </cell>
          <cell r="KR433">
            <v>0</v>
          </cell>
          <cell r="KS433">
            <v>0</v>
          </cell>
          <cell r="KU433">
            <v>0</v>
          </cell>
          <cell r="KV433">
            <v>0</v>
          </cell>
          <cell r="KX433">
            <v>0</v>
          </cell>
          <cell r="KY433">
            <v>0</v>
          </cell>
          <cell r="LA433">
            <v>0</v>
          </cell>
          <cell r="LB433">
            <v>0</v>
          </cell>
          <cell r="LD433">
            <v>0</v>
          </cell>
          <cell r="LE433">
            <v>0</v>
          </cell>
          <cell r="LG433">
            <v>0</v>
          </cell>
          <cell r="LH433">
            <v>0</v>
          </cell>
          <cell r="LJ433">
            <v>0</v>
          </cell>
          <cell r="LK433">
            <v>0</v>
          </cell>
          <cell r="LM433">
            <v>0</v>
          </cell>
          <cell r="LN433">
            <v>45954</v>
          </cell>
          <cell r="LO433">
            <v>45958</v>
          </cell>
          <cell r="LP433" t="str">
            <v>COMPLETADO</v>
          </cell>
        </row>
        <row r="434">
          <cell r="A434" t="str">
            <v>2078-B</v>
          </cell>
          <cell r="B434" t="str">
            <v>RUBEN</v>
          </cell>
          <cell r="C434" t="str">
            <v>BARRACAS GRANDE</v>
          </cell>
          <cell r="D434" t="str">
            <v>MARROQUINERIA GRANDE</v>
          </cell>
          <cell r="E434">
            <v>9</v>
          </cell>
          <cell r="F434">
            <v>9</v>
          </cell>
          <cell r="G434">
            <v>9</v>
          </cell>
          <cell r="H434">
            <v>45951</v>
          </cell>
          <cell r="I434" t="str">
            <v>NECESSAIRE LANIN</v>
          </cell>
          <cell r="J434">
            <v>45951</v>
          </cell>
          <cell r="K434">
            <v>45951</v>
          </cell>
          <cell r="L434">
            <v>45954</v>
          </cell>
          <cell r="M434">
            <v>40</v>
          </cell>
          <cell r="N434" t="str">
            <v>M070</v>
          </cell>
          <cell r="O434" t="str">
            <v>AV0101040201</v>
          </cell>
          <cell r="P434">
            <v>2</v>
          </cell>
          <cell r="Q434" t="str">
            <v>AV1000380101</v>
          </cell>
          <cell r="R434">
            <v>2</v>
          </cell>
          <cell r="S434" t="str">
            <v>AV0300390101</v>
          </cell>
          <cell r="T434">
            <v>2</v>
          </cell>
          <cell r="U434" t="str">
            <v>AV1802220526</v>
          </cell>
          <cell r="V434">
            <v>0.25</v>
          </cell>
          <cell r="W434" t="str">
            <v>AV170134014</v>
          </cell>
          <cell r="X434">
            <v>0</v>
          </cell>
          <cell r="AS434" t="str">
            <v>TIRACIERRE N 20 - PARA CIERRES VISLON&gt;&gt; CUERO RECTO CON COSTURA</v>
          </cell>
          <cell r="AT434" t="str">
            <v>TIRACIERRE N 1 - PARA CIERRES METAL&gt;&gt; TIRA CON REMACHE + GRABADO</v>
          </cell>
          <cell r="AW434" t="str">
            <v xml:space="preserve">GRABADO "EL LUCERO GRANDE"EN EL LATERAL SIN MANIJA, A 1,5 CM DEL BORDE SUPERIOR.  </v>
          </cell>
          <cell r="AX434" t="str">
            <v>CHOCOLATE</v>
          </cell>
          <cell r="AY434" t="str">
            <v>ARENA-CUERO BRIDGE</v>
          </cell>
          <cell r="AZ434" t="str">
            <v>CUE0000005</v>
          </cell>
          <cell r="BA434">
            <v>0.22</v>
          </cell>
          <cell r="BB434" t="str">
            <v>AV1401250545</v>
          </cell>
          <cell r="BC434">
            <v>0</v>
          </cell>
          <cell r="BD434" t="str">
            <v>FOR0000004</v>
          </cell>
          <cell r="BE434">
            <v>0.28000000000000003</v>
          </cell>
          <cell r="BF434" t="str">
            <v>AV0100010111</v>
          </cell>
          <cell r="BG434">
            <v>0.74</v>
          </cell>
          <cell r="BH434" t="str">
            <v>AV1801610538</v>
          </cell>
          <cell r="BI434">
            <v>0.74</v>
          </cell>
          <cell r="ED434" t="str">
            <v>CUE0000012</v>
          </cell>
          <cell r="EE434">
            <v>7.0000000000000007E-2</v>
          </cell>
          <cell r="KD434">
            <v>9</v>
          </cell>
          <cell r="KE434">
            <v>9</v>
          </cell>
          <cell r="KF434">
            <v>9</v>
          </cell>
          <cell r="KG434">
            <v>0</v>
          </cell>
          <cell r="KI434">
            <v>0</v>
          </cell>
          <cell r="KJ434">
            <v>0</v>
          </cell>
          <cell r="KL434">
            <v>0</v>
          </cell>
          <cell r="KM434">
            <v>0</v>
          </cell>
          <cell r="KO434">
            <v>0</v>
          </cell>
          <cell r="KP434">
            <v>0</v>
          </cell>
          <cell r="KQ434">
            <v>0</v>
          </cell>
          <cell r="KR434">
            <v>0</v>
          </cell>
          <cell r="KS434">
            <v>0</v>
          </cell>
          <cell r="KU434">
            <v>0</v>
          </cell>
          <cell r="KV434">
            <v>0</v>
          </cell>
          <cell r="KX434">
            <v>0</v>
          </cell>
          <cell r="KY434">
            <v>0</v>
          </cell>
          <cell r="LA434">
            <v>0</v>
          </cell>
          <cell r="LB434">
            <v>0</v>
          </cell>
          <cell r="LD434">
            <v>0</v>
          </cell>
          <cell r="LE434">
            <v>0</v>
          </cell>
          <cell r="LG434">
            <v>0</v>
          </cell>
          <cell r="LH434">
            <v>0</v>
          </cell>
          <cell r="LJ434">
            <v>0</v>
          </cell>
          <cell r="LK434">
            <v>0</v>
          </cell>
          <cell r="LM434">
            <v>0</v>
          </cell>
          <cell r="LN434">
            <v>45954</v>
          </cell>
          <cell r="LO434">
            <v>45958</v>
          </cell>
          <cell r="LP434" t="str">
            <v>COMPLETADO</v>
          </cell>
        </row>
        <row r="435">
          <cell r="A435" t="str">
            <v>2060-B</v>
          </cell>
          <cell r="B435" t="str">
            <v>LUCIANO</v>
          </cell>
          <cell r="C435" t="str">
            <v>INTERNO JAVIER</v>
          </cell>
          <cell r="D435" t="str">
            <v>MARROQUINERIA CHICA</v>
          </cell>
          <cell r="E435">
            <v>6</v>
          </cell>
          <cell r="F435">
            <v>6</v>
          </cell>
          <cell r="G435">
            <v>6</v>
          </cell>
          <cell r="H435">
            <v>45951</v>
          </cell>
          <cell r="I435" t="str">
            <v>PORTAVINO TANDIL</v>
          </cell>
          <cell r="J435">
            <v>45958</v>
          </cell>
          <cell r="K435">
            <v>45951</v>
          </cell>
          <cell r="L435">
            <v>45958</v>
          </cell>
          <cell r="M435">
            <v>35</v>
          </cell>
          <cell r="N435" t="str">
            <v>M165</v>
          </cell>
          <cell r="O435" t="str">
            <v>AV170134014</v>
          </cell>
          <cell r="P435">
            <v>0</v>
          </cell>
          <cell r="AS435" t="str">
            <v>PEGAR ETIQUETA DE CUERO AL FRENTE HILO AL TONO CON HILO GRUESO N 20</v>
          </cell>
          <cell r="AW435" t="str">
            <v>GRABADO ETIQUETA EN VINTAGE MEDIO  7,5CM X 5,5 CM  "EL LUCERO HIGH QUALITY GOODS"</v>
          </cell>
          <cell r="AX435" t="str">
            <v>MALBEC</v>
          </cell>
          <cell r="AY435" t="str">
            <v>ARENA-CUERO BRIDGE</v>
          </cell>
          <cell r="AZ435" t="str">
            <v>CUE0000008R</v>
          </cell>
          <cell r="BA435">
            <v>0.21</v>
          </cell>
          <cell r="ED435" t="str">
            <v>CUE0000012</v>
          </cell>
          <cell r="EE435">
            <v>7.0000000000000007E-2</v>
          </cell>
          <cell r="KD435">
            <v>6</v>
          </cell>
          <cell r="KE435">
            <v>6</v>
          </cell>
          <cell r="KF435">
            <v>6</v>
          </cell>
          <cell r="KG435">
            <v>0</v>
          </cell>
          <cell r="KI435">
            <v>0</v>
          </cell>
          <cell r="KJ435">
            <v>0</v>
          </cell>
          <cell r="KL435">
            <v>0</v>
          </cell>
          <cell r="KM435">
            <v>0</v>
          </cell>
          <cell r="KO435">
            <v>0</v>
          </cell>
          <cell r="KP435">
            <v>0</v>
          </cell>
          <cell r="KQ435">
            <v>0</v>
          </cell>
          <cell r="KR435">
            <v>0</v>
          </cell>
          <cell r="KS435">
            <v>0</v>
          </cell>
          <cell r="KU435">
            <v>0</v>
          </cell>
          <cell r="KV435">
            <v>0</v>
          </cell>
          <cell r="KX435">
            <v>0</v>
          </cell>
          <cell r="KY435">
            <v>0</v>
          </cell>
          <cell r="LA435">
            <v>0</v>
          </cell>
          <cell r="LB435">
            <v>0</v>
          </cell>
          <cell r="LD435">
            <v>0</v>
          </cell>
          <cell r="LE435">
            <v>0</v>
          </cell>
          <cell r="LG435">
            <v>0</v>
          </cell>
          <cell r="LH435">
            <v>0</v>
          </cell>
          <cell r="LJ435">
            <v>0</v>
          </cell>
          <cell r="LK435">
            <v>0</v>
          </cell>
          <cell r="LM435">
            <v>0</v>
          </cell>
          <cell r="LN435">
            <v>45954</v>
          </cell>
          <cell r="LO435">
            <v>45966</v>
          </cell>
          <cell r="LP435" t="str">
            <v>COMPLETADO</v>
          </cell>
          <cell r="LQ435" t="str">
            <v>QUE SE VEA LA MANCHA SI NO SALE DE RETAZOS USAR PLACA</v>
          </cell>
        </row>
        <row r="436">
          <cell r="A436" t="str">
            <v>1995-C</v>
          </cell>
          <cell r="B436" t="str">
            <v>RUBEN</v>
          </cell>
          <cell r="C436" t="str">
            <v>BARRACAS GRANDE</v>
          </cell>
          <cell r="D436" t="str">
            <v>MARROQUINERIA GRANDE</v>
          </cell>
          <cell r="E436">
            <v>4</v>
          </cell>
          <cell r="F436">
            <v>4</v>
          </cell>
          <cell r="G436">
            <v>4</v>
          </cell>
          <cell r="H436">
            <v>45957.703657407408</v>
          </cell>
          <cell r="I436" t="str">
            <v>CARTERA CHALTEN</v>
          </cell>
          <cell r="J436">
            <v>45918</v>
          </cell>
          <cell r="K436">
            <v>45918</v>
          </cell>
          <cell r="L436">
            <v>45939</v>
          </cell>
          <cell r="M436">
            <v>40</v>
          </cell>
          <cell r="N436" t="str">
            <v>M140</v>
          </cell>
          <cell r="O436" t="str">
            <v>AV170129018</v>
          </cell>
          <cell r="P436">
            <v>0</v>
          </cell>
          <cell r="Q436" t="str">
            <v>BAC1300020827</v>
          </cell>
          <cell r="R436">
            <v>0.01</v>
          </cell>
          <cell r="S436" t="str">
            <v>AV0401220101</v>
          </cell>
          <cell r="T436">
            <v>4</v>
          </cell>
          <cell r="U436" t="str">
            <v>AV0101040201</v>
          </cell>
          <cell r="V436">
            <v>1</v>
          </cell>
          <cell r="W436" t="str">
            <v>AV1000780101</v>
          </cell>
          <cell r="X436">
            <v>2</v>
          </cell>
          <cell r="Y436" t="str">
            <v>AV0400230101</v>
          </cell>
          <cell r="Z436">
            <v>1</v>
          </cell>
          <cell r="AA436" t="str">
            <v>AV0300390101</v>
          </cell>
          <cell r="AB436">
            <v>2</v>
          </cell>
          <cell r="AS436" t="str">
            <v>TIRACIERRE N1 - TIRA CONTRAPEGADA CON REMACHE + GRABADO ESTRELLA</v>
          </cell>
          <cell r="AW436" t="str">
            <v xml:space="preserve">GRABADO EL LUCERO EN PIEZA LATERAL    </v>
          </cell>
          <cell r="AX436" t="str">
            <v>TABACO</v>
          </cell>
          <cell r="AY436" t="str">
            <v>ARENA-CUERO BRIDGE</v>
          </cell>
          <cell r="AZ436" t="str">
            <v>CUE0000012</v>
          </cell>
          <cell r="BA436">
            <v>0.65</v>
          </cell>
          <cell r="BB436" t="str">
            <v>FOR0000021</v>
          </cell>
          <cell r="BC436">
            <v>0.27</v>
          </cell>
          <cell r="BD436" t="str">
            <v>AV0100010214</v>
          </cell>
          <cell r="BE436">
            <v>0.22</v>
          </cell>
          <cell r="CN436" t="str">
            <v>CUE0000008</v>
          </cell>
          <cell r="CO436">
            <v>0.65</v>
          </cell>
          <cell r="CP436" t="str">
            <v>FOR0000020</v>
          </cell>
          <cell r="CQ436">
            <v>0.27</v>
          </cell>
          <cell r="CR436" t="str">
            <v>AV0100010261</v>
          </cell>
          <cell r="CS436">
            <v>0.22</v>
          </cell>
          <cell r="DH436" t="str">
            <v>CUE0000156</v>
          </cell>
          <cell r="DI436">
            <v>0.65</v>
          </cell>
          <cell r="DJ436" t="str">
            <v>FOR0000020</v>
          </cell>
          <cell r="DK436">
            <v>0.27</v>
          </cell>
          <cell r="DL436" t="str">
            <v>AV0100010215</v>
          </cell>
          <cell r="DM436">
            <v>0.22</v>
          </cell>
          <cell r="ED436" t="str">
            <v>CUE0000012</v>
          </cell>
          <cell r="EE436">
            <v>7.0000000000000007E-2</v>
          </cell>
          <cell r="KD436">
            <v>4</v>
          </cell>
          <cell r="KE436">
            <v>4</v>
          </cell>
          <cell r="KF436">
            <v>4</v>
          </cell>
          <cell r="KG436">
            <v>0</v>
          </cell>
          <cell r="KI436">
            <v>0</v>
          </cell>
          <cell r="KJ436">
            <v>0</v>
          </cell>
          <cell r="KK436">
            <v>0</v>
          </cell>
          <cell r="KL436">
            <v>0</v>
          </cell>
          <cell r="KM436">
            <v>0</v>
          </cell>
          <cell r="KN436">
            <v>0</v>
          </cell>
          <cell r="KO436">
            <v>0</v>
          </cell>
          <cell r="KP436">
            <v>0</v>
          </cell>
          <cell r="KQ436">
            <v>0</v>
          </cell>
          <cell r="KR436">
            <v>0</v>
          </cell>
          <cell r="KS436">
            <v>0</v>
          </cell>
          <cell r="KU436">
            <v>0</v>
          </cell>
          <cell r="KV436">
            <v>0</v>
          </cell>
          <cell r="KX436">
            <v>0</v>
          </cell>
          <cell r="KY436">
            <v>0</v>
          </cell>
          <cell r="LA436">
            <v>0</v>
          </cell>
          <cell r="LB436">
            <v>0</v>
          </cell>
          <cell r="LD436">
            <v>0</v>
          </cell>
          <cell r="LE436">
            <v>0</v>
          </cell>
          <cell r="LG436">
            <v>0</v>
          </cell>
          <cell r="LH436">
            <v>0</v>
          </cell>
          <cell r="LJ436">
            <v>0</v>
          </cell>
          <cell r="LK436">
            <v>0</v>
          </cell>
          <cell r="LM436">
            <v>0</v>
          </cell>
          <cell r="LN436">
            <v>45918</v>
          </cell>
          <cell r="LO436">
            <v>45939</v>
          </cell>
          <cell r="LP436" t="str">
            <v>COMPLETADO</v>
          </cell>
        </row>
        <row r="437">
          <cell r="A437" t="str">
            <v>2087-A</v>
          </cell>
          <cell r="B437" t="str">
            <v>LUCIANO</v>
          </cell>
          <cell r="C437" t="str">
            <v>PERDRIEL</v>
          </cell>
          <cell r="D437" t="str">
            <v>MARROQUINERIA CHICA</v>
          </cell>
          <cell r="E437">
            <v>10</v>
          </cell>
          <cell r="F437">
            <v>10</v>
          </cell>
          <cell r="G437">
            <v>10</v>
          </cell>
          <cell r="H437">
            <v>45957.720520833333</v>
          </cell>
          <cell r="I437" t="str">
            <v>ESTUCHE 9</v>
          </cell>
          <cell r="J437">
            <v>45953</v>
          </cell>
          <cell r="K437">
            <v>45952</v>
          </cell>
          <cell r="L437">
            <v>45954</v>
          </cell>
          <cell r="M437">
            <v>4</v>
          </cell>
          <cell r="N437" t="str">
            <v>M213</v>
          </cell>
          <cell r="O437" t="str">
            <v>AV170134014</v>
          </cell>
          <cell r="P437">
            <v>0</v>
          </cell>
          <cell r="AS437" t="str">
            <v xml:space="preserve">ESTUCHE NUEVO IDEM ESTUCE N7 PERO MAS GRANDE LARGO 23CM </v>
          </cell>
          <cell r="AW437" t="str">
            <v>GRABADO BAJO 
RELIEVE  "EL 
LUCERO CHICO" AL 
FRENTE CENTRADO 
ABAJO</v>
          </cell>
          <cell r="AX437" t="str">
            <v>GrisMedio</v>
          </cell>
          <cell r="AY437" t="str">
            <v>NAPOLITANA-CUERO GAMUZA</v>
          </cell>
          <cell r="AZ437" t="str">
            <v>CUE0000041R</v>
          </cell>
          <cell r="BA437">
            <v>0.03</v>
          </cell>
          <cell r="KD437">
            <v>10</v>
          </cell>
          <cell r="KE437">
            <v>10</v>
          </cell>
          <cell r="KF437">
            <v>10</v>
          </cell>
          <cell r="KG437">
            <v>0</v>
          </cell>
          <cell r="KJ437">
            <v>0</v>
          </cell>
          <cell r="KM437">
            <v>0</v>
          </cell>
          <cell r="KP437">
            <v>0</v>
          </cell>
          <cell r="KS437">
            <v>0</v>
          </cell>
          <cell r="KV437">
            <v>0</v>
          </cell>
          <cell r="KY437">
            <v>0</v>
          </cell>
          <cell r="LB437">
            <v>0</v>
          </cell>
          <cell r="LE437">
            <v>0</v>
          </cell>
          <cell r="LH437">
            <v>0</v>
          </cell>
          <cell r="LK437">
            <v>0</v>
          </cell>
          <cell r="LN437">
            <v>45953</v>
          </cell>
          <cell r="LO437">
            <v>45958</v>
          </cell>
          <cell r="LP437" t="str">
            <v>COMPLETADO</v>
          </cell>
        </row>
        <row r="438">
          <cell r="A438" t="str">
            <v>2089-A</v>
          </cell>
          <cell r="B438" t="str">
            <v>LUCIANO</v>
          </cell>
          <cell r="C438" t="str">
            <v>PERDRIEL</v>
          </cell>
          <cell r="D438" t="str">
            <v>MARROQUINERIA CHICA</v>
          </cell>
          <cell r="E438">
            <v>30</v>
          </cell>
          <cell r="F438">
            <v>30</v>
          </cell>
          <cell r="H438">
            <v>45957.730347222219</v>
          </cell>
          <cell r="I438" t="str">
            <v>PORTA AROS CHICO</v>
          </cell>
          <cell r="N438" t="str">
            <v>M214</v>
          </cell>
          <cell r="O438" t="str">
            <v>AV170134014</v>
          </cell>
          <cell r="P438">
            <v>0</v>
          </cell>
          <cell r="AW438" t="str">
            <v>GRABADO BAJO RELIEVE  "EL LUCERO CHICO" 2CM CENTRADO LADO DERECHO</v>
          </cell>
          <cell r="AX438" t="str">
            <v>MALBEC</v>
          </cell>
          <cell r="AY438" t="str">
            <v>ARENA-CUERO BRIDGE</v>
          </cell>
          <cell r="AZ438" t="str">
            <v>CUE0000008R</v>
          </cell>
          <cell r="BA438">
            <v>0.01</v>
          </cell>
          <cell r="BR438" t="str">
            <v>LONDON</v>
          </cell>
          <cell r="BS438" t="str">
            <v>ARENA-CUERO BRIDGE</v>
          </cell>
          <cell r="BT438" t="str">
            <v>CUE0000007R</v>
          </cell>
          <cell r="BU438">
            <v>0.01</v>
          </cell>
          <cell r="CL438" t="str">
            <v>SUELA</v>
          </cell>
          <cell r="CM438" t="str">
            <v>ARENA-CUERO BRIDGE</v>
          </cell>
          <cell r="CN438" t="str">
            <v>CUE0000011R</v>
          </cell>
          <cell r="CO438">
            <v>0.01</v>
          </cell>
          <cell r="DF438" t="str">
            <v>CARAMELO</v>
          </cell>
          <cell r="DG438" t="str">
            <v>ARENA-CUERO BRIDGE</v>
          </cell>
          <cell r="DH438" t="str">
            <v>CUE0000004R</v>
          </cell>
          <cell r="DI438">
            <v>0.01</v>
          </cell>
          <cell r="DZ438" t="str">
            <v>ROJO</v>
          </cell>
          <cell r="EA438" t="str">
            <v>ARENA-CUERO BRIDGE</v>
          </cell>
          <cell r="EB438" t="str">
            <v>CUE0000010R</v>
          </cell>
          <cell r="EC438">
            <v>0.01</v>
          </cell>
          <cell r="KD438">
            <v>6</v>
          </cell>
          <cell r="KE438">
            <v>6</v>
          </cell>
          <cell r="KG438">
            <v>6</v>
          </cell>
          <cell r="KH438">
            <v>6</v>
          </cell>
          <cell r="KJ438">
            <v>6</v>
          </cell>
          <cell r="KK438">
            <v>6</v>
          </cell>
          <cell r="KM438">
            <v>6</v>
          </cell>
          <cell r="KN438">
            <v>6</v>
          </cell>
          <cell r="KP438">
            <v>6</v>
          </cell>
          <cell r="KQ438">
            <v>6</v>
          </cell>
          <cell r="KS438">
            <v>0</v>
          </cell>
          <cell r="KV438">
            <v>0</v>
          </cell>
          <cell r="KY438">
            <v>0</v>
          </cell>
          <cell r="LB438">
            <v>0</v>
          </cell>
          <cell r="LE438">
            <v>0</v>
          </cell>
          <cell r="LH438">
            <v>0</v>
          </cell>
          <cell r="LK438">
            <v>0</v>
          </cell>
          <cell r="LP438" t="str">
            <v>NO COMENZADO</v>
          </cell>
        </row>
        <row r="439">
          <cell r="A439" t="str">
            <v>2090-A</v>
          </cell>
          <cell r="B439" t="str">
            <v>LUCIANO</v>
          </cell>
          <cell r="C439" t="str">
            <v>PERDRIEL</v>
          </cell>
          <cell r="D439" t="str">
            <v>MARROQUINERIA CHICA</v>
          </cell>
          <cell r="E439">
            <v>30</v>
          </cell>
          <cell r="F439">
            <v>30</v>
          </cell>
          <cell r="H439">
            <v>45957.742731481485</v>
          </cell>
          <cell r="I439" t="str">
            <v>PORTA AROS GRANDE</v>
          </cell>
          <cell r="N439" t="str">
            <v>M215</v>
          </cell>
          <cell r="O439" t="str">
            <v>AV170134014</v>
          </cell>
          <cell r="P439">
            <v>0</v>
          </cell>
          <cell r="AW439" t="str">
            <v>GRABADO BAJO RELIEVE  "EL LUCERO CHICO" 2CM CENTRADO 
LADO DERECHO</v>
          </cell>
          <cell r="AX439" t="str">
            <v>MALBEC</v>
          </cell>
          <cell r="AY439" t="str">
            <v>ARENA-CUERO BRIDGE</v>
          </cell>
          <cell r="AZ439" t="str">
            <v>CUE0000008R</v>
          </cell>
          <cell r="BA439">
            <v>0.01</v>
          </cell>
          <cell r="BR439" t="str">
            <v>LONDON</v>
          </cell>
          <cell r="BS439" t="str">
            <v>ARENA-CUERO BRIDGE</v>
          </cell>
          <cell r="BT439" t="str">
            <v>CUE0000007R</v>
          </cell>
          <cell r="BU439">
            <v>0.01</v>
          </cell>
          <cell r="CL439" t="str">
            <v>SUELA</v>
          </cell>
          <cell r="CM439" t="str">
            <v>ARENA-CUERO BRIDGE</v>
          </cell>
          <cell r="CN439" t="str">
            <v>CUE0000011R</v>
          </cell>
          <cell r="CO439">
            <v>0.01</v>
          </cell>
          <cell r="DF439" t="str">
            <v>CARAMELO</v>
          </cell>
          <cell r="DG439" t="str">
            <v>ARENA-CUERO BRIDGE</v>
          </cell>
          <cell r="DH439" t="str">
            <v>CUE0000004R</v>
          </cell>
          <cell r="DI439">
            <v>0.01</v>
          </cell>
          <cell r="DZ439" t="str">
            <v>ROJO</v>
          </cell>
          <cell r="EA439" t="str">
            <v>ARENA-CUERO BRIDGE</v>
          </cell>
          <cell r="EB439" t="str">
            <v>CUE0000010R</v>
          </cell>
          <cell r="EC439">
            <v>0.01</v>
          </cell>
          <cell r="KD439">
            <v>6</v>
          </cell>
          <cell r="KE439">
            <v>6</v>
          </cell>
          <cell r="KG439">
            <v>6</v>
          </cell>
          <cell r="KH439">
            <v>6</v>
          </cell>
          <cell r="KJ439">
            <v>6</v>
          </cell>
          <cell r="KK439">
            <v>6</v>
          </cell>
          <cell r="KM439">
            <v>6</v>
          </cell>
          <cell r="KN439">
            <v>6</v>
          </cell>
          <cell r="KP439">
            <v>6</v>
          </cell>
          <cell r="KQ439">
            <v>6</v>
          </cell>
          <cell r="KS439">
            <v>0</v>
          </cell>
          <cell r="KV439">
            <v>0</v>
          </cell>
          <cell r="KY439">
            <v>0</v>
          </cell>
          <cell r="LB439">
            <v>0</v>
          </cell>
          <cell r="LE439">
            <v>0</v>
          </cell>
          <cell r="LH439">
            <v>0</v>
          </cell>
          <cell r="LK439">
            <v>0</v>
          </cell>
          <cell r="LP439" t="str">
            <v>NO COMENZADO</v>
          </cell>
        </row>
        <row r="440">
          <cell r="A440" t="str">
            <v>2058-C</v>
          </cell>
          <cell r="B440" t="str">
            <v>RUBEN</v>
          </cell>
          <cell r="C440" t="str">
            <v>BARRACAS GRANDE</v>
          </cell>
          <cell r="D440" t="str">
            <v>MARROQUINERIA GRANDE</v>
          </cell>
          <cell r="E440">
            <v>6</v>
          </cell>
          <cell r="F440">
            <v>6</v>
          </cell>
          <cell r="G440">
            <v>6</v>
          </cell>
          <cell r="H440">
            <v>45957.768090277779</v>
          </cell>
          <cell r="I440" t="str">
            <v>CARTERA VERA</v>
          </cell>
          <cell r="J440">
            <v>45959</v>
          </cell>
          <cell r="K440">
            <v>45957</v>
          </cell>
          <cell r="L440">
            <v>45959</v>
          </cell>
          <cell r="M440">
            <v>40</v>
          </cell>
          <cell r="N440" t="str">
            <v>M184</v>
          </cell>
          <cell r="O440" t="str">
            <v>BAC1300020827</v>
          </cell>
          <cell r="P440">
            <v>0.06</v>
          </cell>
          <cell r="Q440" t="str">
            <v>AV0101040201</v>
          </cell>
          <cell r="R440">
            <v>1</v>
          </cell>
          <cell r="S440" t="str">
            <v>AV0600540101</v>
          </cell>
          <cell r="T440">
            <v>1</v>
          </cell>
          <cell r="U440" t="str">
            <v>AV1000920101</v>
          </cell>
          <cell r="V440">
            <v>1</v>
          </cell>
          <cell r="W440" t="str">
            <v>AV0101030201</v>
          </cell>
          <cell r="X440">
            <v>1</v>
          </cell>
          <cell r="Y440" t="str">
            <v>AV1000380101</v>
          </cell>
          <cell r="Z440">
            <v>1</v>
          </cell>
          <cell r="AA440" t="str">
            <v>AV0300390101</v>
          </cell>
          <cell r="AB440">
            <v>1</v>
          </cell>
          <cell r="AC440" t="str">
            <v>AV170129018</v>
          </cell>
          <cell r="AD440">
            <v>0</v>
          </cell>
          <cell r="AS440" t="str">
            <v>TIRACIERRE N1 - TIRA DE CUERO CON REMACHE Y GRABADO ESTRELLITA</v>
          </cell>
          <cell r="AT440" t="str">
            <v>TOTAL 12 ORIFICIOS</v>
          </cell>
          <cell r="AW440" t="str">
            <v>GRABADO "EL LUCERO" GRANDE EN ZOCALO BOLSILLO INTERNO CENTRADO ABAJO</v>
          </cell>
          <cell r="AX440" t="str">
            <v>GrisOscuro_GAMUZA_TABACO</v>
          </cell>
          <cell r="AY440" t="str">
            <v>NAPOLITANA-CUERO GAMUZA</v>
          </cell>
          <cell r="AZ440" t="str">
            <v>CUE0000042</v>
          </cell>
          <cell r="BA440">
            <v>0.49</v>
          </cell>
          <cell r="BB440" t="str">
            <v>CUE0000012</v>
          </cell>
          <cell r="BC440">
            <v>0.12</v>
          </cell>
          <cell r="BD440" t="str">
            <v>FOR0000021</v>
          </cell>
          <cell r="BE440">
            <v>0.4</v>
          </cell>
          <cell r="BF440" t="str">
            <v>AV0100010114</v>
          </cell>
          <cell r="BG440">
            <v>0.78</v>
          </cell>
          <cell r="KD440">
            <v>6</v>
          </cell>
          <cell r="KE440">
            <v>6</v>
          </cell>
          <cell r="KF440">
            <v>6</v>
          </cell>
          <cell r="KG440">
            <v>0</v>
          </cell>
          <cell r="KI440">
            <v>0</v>
          </cell>
          <cell r="KJ440">
            <v>0</v>
          </cell>
          <cell r="KL440">
            <v>0</v>
          </cell>
          <cell r="KM440">
            <v>0</v>
          </cell>
          <cell r="KO440">
            <v>0</v>
          </cell>
          <cell r="KP440">
            <v>0</v>
          </cell>
          <cell r="KR440">
            <v>0</v>
          </cell>
          <cell r="KS440">
            <v>0</v>
          </cell>
          <cell r="KU440">
            <v>0</v>
          </cell>
          <cell r="KV440">
            <v>0</v>
          </cell>
          <cell r="KX440">
            <v>0</v>
          </cell>
          <cell r="KY440">
            <v>0</v>
          </cell>
          <cell r="LA440">
            <v>0</v>
          </cell>
          <cell r="LB440">
            <v>0</v>
          </cell>
          <cell r="LD440">
            <v>0</v>
          </cell>
          <cell r="LE440">
            <v>0</v>
          </cell>
          <cell r="LG440">
            <v>0</v>
          </cell>
          <cell r="LH440">
            <v>0</v>
          </cell>
          <cell r="LJ440">
            <v>0</v>
          </cell>
          <cell r="LK440">
            <v>0</v>
          </cell>
          <cell r="LM440">
            <v>0</v>
          </cell>
          <cell r="LN440">
            <v>45959</v>
          </cell>
          <cell r="LO440">
            <v>45966</v>
          </cell>
          <cell r="LP440" t="str">
            <v>COMPLETADO</v>
          </cell>
        </row>
        <row r="441">
          <cell r="A441" t="str">
            <v>1952-B</v>
          </cell>
          <cell r="B441" t="str">
            <v>RUBEN</v>
          </cell>
          <cell r="C441" t="str">
            <v>BARRACAS GRANDE</v>
          </cell>
          <cell r="D441" t="str">
            <v>MARROQUINERIA GRANDE</v>
          </cell>
          <cell r="E441">
            <v>6</v>
          </cell>
          <cell r="F441">
            <v>6</v>
          </cell>
          <cell r="G441">
            <v>6</v>
          </cell>
          <cell r="H441">
            <v>45957.784733796296</v>
          </cell>
          <cell r="I441" t="str">
            <v>CARTERA VERA</v>
          </cell>
          <cell r="J441">
            <v>45959</v>
          </cell>
          <cell r="K441">
            <v>45957</v>
          </cell>
          <cell r="L441">
            <v>45959</v>
          </cell>
          <cell r="M441">
            <v>40</v>
          </cell>
          <cell r="N441" t="str">
            <v>M184</v>
          </cell>
          <cell r="O441" t="str">
            <v>BAC1300020827</v>
          </cell>
          <cell r="P441">
            <v>0.06</v>
          </cell>
          <cell r="Q441" t="str">
            <v>AV0101040201</v>
          </cell>
          <cell r="R441">
            <v>1</v>
          </cell>
          <cell r="S441" t="str">
            <v>AV0600540101</v>
          </cell>
          <cell r="T441">
            <v>1</v>
          </cell>
          <cell r="U441" t="str">
            <v>AV1000920101</v>
          </cell>
          <cell r="V441">
            <v>1</v>
          </cell>
          <cell r="W441" t="str">
            <v>AV0101030201</v>
          </cell>
          <cell r="X441">
            <v>1</v>
          </cell>
          <cell r="Y441" t="str">
            <v>AV1000380101</v>
          </cell>
          <cell r="Z441">
            <v>1</v>
          </cell>
          <cell r="AA441" t="str">
            <v>AV0300390101</v>
          </cell>
          <cell r="AB441">
            <v>1</v>
          </cell>
          <cell r="AC441" t="str">
            <v>AV170129018</v>
          </cell>
          <cell r="AD441">
            <v>0</v>
          </cell>
          <cell r="AS441" t="str">
            <v>TIRACIERRE N1 - TIRA DE CUERO CON REMACHE Y GRABADO ESTRELLITA</v>
          </cell>
          <cell r="AT441" t="str">
            <v>TOTAL 12 ORIFICIOS</v>
          </cell>
          <cell r="AW441" t="str">
            <v>GRABADO "EL LUCERO" GRANDE EN ZOCALO BOLSILLO INTERNO CENTRADO ABAJO</v>
          </cell>
          <cell r="AX441" t="str">
            <v>GrisOscuro_GAMUZA_TABACO</v>
          </cell>
          <cell r="AY441" t="str">
            <v>NAPOLITANA-CUERO GAMUZA</v>
          </cell>
          <cell r="AZ441" t="str">
            <v>CUE0000042</v>
          </cell>
          <cell r="BA441">
            <v>0.49</v>
          </cell>
          <cell r="BB441" t="str">
            <v>CUE0000012</v>
          </cell>
          <cell r="BC441">
            <v>0.12</v>
          </cell>
          <cell r="BD441" t="str">
            <v>FOR0000021</v>
          </cell>
          <cell r="BE441">
            <v>0.4</v>
          </cell>
          <cell r="BF441" t="str">
            <v>AV0100010114</v>
          </cell>
          <cell r="BG441">
            <v>0.78</v>
          </cell>
          <cell r="KD441">
            <v>6</v>
          </cell>
          <cell r="KE441">
            <v>6</v>
          </cell>
          <cell r="KF441">
            <v>6</v>
          </cell>
          <cell r="KG441">
            <v>0</v>
          </cell>
          <cell r="KJ441">
            <v>0</v>
          </cell>
          <cell r="KM441">
            <v>0</v>
          </cell>
          <cell r="KP441">
            <v>0</v>
          </cell>
          <cell r="KS441">
            <v>0</v>
          </cell>
          <cell r="KV441">
            <v>0</v>
          </cell>
          <cell r="KY441">
            <v>0</v>
          </cell>
          <cell r="LB441">
            <v>0</v>
          </cell>
          <cell r="LE441">
            <v>0</v>
          </cell>
          <cell r="LH441">
            <v>0</v>
          </cell>
          <cell r="LK441">
            <v>0</v>
          </cell>
          <cell r="LN441">
            <v>45959</v>
          </cell>
          <cell r="LO441">
            <v>45966</v>
          </cell>
          <cell r="LP441" t="str">
            <v>COMPLETADO</v>
          </cell>
        </row>
        <row r="442">
          <cell r="A442" t="str">
            <v>1968-B</v>
          </cell>
          <cell r="B442" t="str">
            <v>LUCIANO</v>
          </cell>
          <cell r="C442" t="str">
            <v>PERDRIEL</v>
          </cell>
          <cell r="D442" t="str">
            <v>MARROQUINERIA CHICA</v>
          </cell>
          <cell r="E442">
            <v>4</v>
          </cell>
          <cell r="F442">
            <v>4</v>
          </cell>
          <cell r="G442">
            <v>4</v>
          </cell>
          <cell r="H442">
            <v>45957.789490740739</v>
          </cell>
          <cell r="I442" t="str">
            <v>CINTO FLORA 1</v>
          </cell>
          <cell r="J442">
            <v>45972</v>
          </cell>
          <cell r="K442">
            <v>45957</v>
          </cell>
          <cell r="L442">
            <v>45972</v>
          </cell>
          <cell r="M442">
            <v>30</v>
          </cell>
          <cell r="N442" t="str">
            <v>M181</v>
          </cell>
          <cell r="O442" t="str">
            <v>VAR0000045</v>
          </cell>
          <cell r="P442">
            <v>1</v>
          </cell>
          <cell r="Q442" t="str">
            <v>AV170134014</v>
          </cell>
          <cell r="R442">
            <v>0</v>
          </cell>
          <cell r="S442" t="str">
            <v>CUE0000124</v>
          </cell>
          <cell r="T442">
            <v>1</v>
          </cell>
          <cell r="AS442" t="str">
            <v xml:space="preserve"> LLEVA 5 ORIFICIOS / VA SIN PINTURA /  LLEVA STICKER DE TALLE</v>
          </cell>
          <cell r="AU442" t="str">
            <v xml:space="preserve"> EL TALLE S/M SERA EL S DE CINTURON MIA 106 CM LARGO SIN HEBILLLA</v>
          </cell>
          <cell r="AV442" t="str">
            <v xml:space="preserve"> EL TALLE M/L SERA EL M DE CINTURON MIA 115 CM LARGO SIN HEBILLLA</v>
          </cell>
          <cell r="AW442" t="str">
            <v>3 GRABADOS "EL LUCERO ARGENTINA CHICO, MAS SIMBOLO "TODO CUERO" MAS LETRA TALLE "S M" O "M L"</v>
          </cell>
          <cell r="AX442" t="str">
            <v>GrisOscuro</v>
          </cell>
          <cell r="AY442" t="str">
            <v>NAPOLITANA-CUERO GAMUZA</v>
          </cell>
          <cell r="AZ442" t="str">
            <v>CUE0000042R</v>
          </cell>
          <cell r="BA442">
            <v>0.16</v>
          </cell>
          <cell r="BR442" t="str">
            <v>GrisOscuro</v>
          </cell>
          <cell r="BS442" t="str">
            <v>NAPOLITANA-CUERO GAMUZA</v>
          </cell>
          <cell r="BT442" t="str">
            <v>CUE0000042R</v>
          </cell>
          <cell r="BU442">
            <v>0.16</v>
          </cell>
          <cell r="KD442">
            <v>2</v>
          </cell>
          <cell r="KE442">
            <v>2</v>
          </cell>
          <cell r="KF442">
            <v>2</v>
          </cell>
          <cell r="KG442">
            <v>2</v>
          </cell>
          <cell r="KH442">
            <v>2</v>
          </cell>
          <cell r="KI442">
            <v>2</v>
          </cell>
          <cell r="KJ442">
            <v>0</v>
          </cell>
          <cell r="KM442">
            <v>0</v>
          </cell>
          <cell r="KP442">
            <v>0</v>
          </cell>
          <cell r="KS442">
            <v>0</v>
          </cell>
          <cell r="KV442">
            <v>0</v>
          </cell>
          <cell r="KY442">
            <v>0</v>
          </cell>
          <cell r="LB442">
            <v>0</v>
          </cell>
          <cell r="LE442">
            <v>0</v>
          </cell>
          <cell r="LH442">
            <v>0</v>
          </cell>
          <cell r="LK442">
            <v>0</v>
          </cell>
          <cell r="LN442">
            <v>45971</v>
          </cell>
          <cell r="LO442">
            <v>45980</v>
          </cell>
          <cell r="LP442" t="str">
            <v>COMPLETADO</v>
          </cell>
          <cell r="LQ442" t="str">
            <v xml:space="preserve"> TALLE S/M - FRENTE Y REVES EN GAMUZA -  NO HAY GAMUZA CHOCO IDEM PRIMER CORTE - USAR NOBUCK DEL LADO DEL DESCARNE</v>
          </cell>
          <cell r="LR442" t="str">
            <v xml:space="preserve"> TALLE M/L - FRENTE Y REVES EN GAMUZA -  NO HAY GAMUZA CHOCO IDEM PRIMER CORTE - USAR NOBUCK DEL LADO DEL DESCARNE</v>
          </cell>
        </row>
        <row r="443">
          <cell r="A443" t="str">
            <v>1969-B</v>
          </cell>
          <cell r="B443" t="str">
            <v>LUCIANO</v>
          </cell>
          <cell r="C443" t="str">
            <v>PERDRIEL</v>
          </cell>
          <cell r="D443" t="str">
            <v>MARROQUINERIA CHICA</v>
          </cell>
          <cell r="E443">
            <v>5</v>
          </cell>
          <cell r="F443">
            <v>5</v>
          </cell>
          <cell r="G443">
            <v>5</v>
          </cell>
          <cell r="H443">
            <v>45957.793032407404</v>
          </cell>
          <cell r="I443" t="str">
            <v>CINTO FLORA 2</v>
          </cell>
          <cell r="J443">
            <v>45972</v>
          </cell>
          <cell r="K443">
            <v>45957</v>
          </cell>
          <cell r="L443">
            <v>45972</v>
          </cell>
          <cell r="M443">
            <v>35</v>
          </cell>
          <cell r="N443" t="str">
            <v>M182</v>
          </cell>
          <cell r="O443" t="str">
            <v>VAR0000045</v>
          </cell>
          <cell r="P443">
            <v>1</v>
          </cell>
          <cell r="Q443" t="str">
            <v>AV170134014</v>
          </cell>
          <cell r="R443">
            <v>0</v>
          </cell>
          <cell r="AS443" t="str">
            <v xml:space="preserve"> LLEVA 5 ORIFICIOS / VA PINTADO</v>
          </cell>
          <cell r="AT443" t="str">
            <v>LLEVA STICKER DE TALLE</v>
          </cell>
          <cell r="AU443" t="str">
            <v>EL TALLE S/M SERA EL S DE CINTURON MIA 106 CM LARGO SIN HEBILLLA</v>
          </cell>
          <cell r="AV443" t="str">
            <v>EL TALLE M/L SERA EL M DE CINTURON MIA 115 CM LARGO SIN HEBILLLA</v>
          </cell>
          <cell r="AW443" t="str">
            <v>3 GRABADOS "EL LUCERO ARGENTINA CHICO, MAS SIMBOLO "TODO CUERO" MAS LETRA TALLE "S M" O "M L"</v>
          </cell>
          <cell r="AX443" t="str">
            <v>GrisOscuro_GAMUZA_NEGRO</v>
          </cell>
          <cell r="AY443" t="str">
            <v>NAPOLITANA-CUERO GAMUZA</v>
          </cell>
          <cell r="AZ443" t="str">
            <v>CUE0000042R</v>
          </cell>
          <cell r="BA443">
            <v>0.09</v>
          </cell>
          <cell r="BB443" t="str">
            <v>CUE0000063</v>
          </cell>
          <cell r="BC443">
            <v>7.0000000000000007E-2</v>
          </cell>
          <cell r="BR443" t="str">
            <v>GrisOscuro_GAMUZA_NEGRO</v>
          </cell>
          <cell r="BS443" t="str">
            <v>NAPOLITANA-CUERO GAMUZA</v>
          </cell>
          <cell r="BT443" t="str">
            <v>CUE0000042R</v>
          </cell>
          <cell r="BU443">
            <v>0.09</v>
          </cell>
          <cell r="BV443" t="str">
            <v>CUE0000063</v>
          </cell>
          <cell r="BW443">
            <v>7.0000000000000007E-2</v>
          </cell>
          <cell r="KD443">
            <v>4</v>
          </cell>
          <cell r="KE443">
            <v>4</v>
          </cell>
          <cell r="KF443">
            <v>4</v>
          </cell>
          <cell r="KG443">
            <v>1</v>
          </cell>
          <cell r="KH443">
            <v>1</v>
          </cell>
          <cell r="KI443">
            <v>1</v>
          </cell>
          <cell r="KJ443">
            <v>0</v>
          </cell>
          <cell r="KM443">
            <v>0</v>
          </cell>
          <cell r="KP443">
            <v>0</v>
          </cell>
          <cell r="KS443">
            <v>0</v>
          </cell>
          <cell r="KV443">
            <v>0</v>
          </cell>
          <cell r="KY443">
            <v>0</v>
          </cell>
          <cell r="LB443">
            <v>0</v>
          </cell>
          <cell r="LE443">
            <v>0</v>
          </cell>
          <cell r="LH443">
            <v>0</v>
          </cell>
          <cell r="LK443">
            <v>0</v>
          </cell>
          <cell r="LN443">
            <v>45971</v>
          </cell>
          <cell r="LO443">
            <v>45980</v>
          </cell>
          <cell r="LP443" t="str">
            <v>COMPLETADO</v>
          </cell>
          <cell r="LQ443" t="str">
            <v>TALLE S/M</v>
          </cell>
          <cell r="LR443" t="str">
            <v>TALLE M/L</v>
          </cell>
        </row>
        <row r="444">
          <cell r="A444" t="str">
            <v>2025-A</v>
          </cell>
          <cell r="B444" t="str">
            <v>LUCIANO</v>
          </cell>
          <cell r="C444" t="str">
            <v>PERDRIEL</v>
          </cell>
          <cell r="D444" t="str">
            <v>MARROQUINERIA CHICA</v>
          </cell>
          <cell r="E444">
            <v>10</v>
          </cell>
          <cell r="F444">
            <v>10</v>
          </cell>
          <cell r="H444">
            <v>45957.823750000003</v>
          </cell>
          <cell r="I444" t="str">
            <v>PAÑO CON VISOR PARA CADENAS</v>
          </cell>
          <cell r="M444">
            <v>45</v>
          </cell>
          <cell r="N444" t="str">
            <v>M212</v>
          </cell>
          <cell r="O444" t="str">
            <v>VAR0000051</v>
          </cell>
          <cell r="P444">
            <v>0.45</v>
          </cell>
          <cell r="Q444" t="str">
            <v>BAC0900100161</v>
          </cell>
          <cell r="R444">
            <v>0.01</v>
          </cell>
          <cell r="AS444" t="str">
            <v xml:space="preserve">presillas ANCHAS con ALFILERES DE ganchos tal cual ULTIMA MUESTRA  en gamuza </v>
          </cell>
          <cell r="AT444" t="str">
            <v>indicador flotante con troquel redondo ATRAS para poder sacar la tarjeta</v>
          </cell>
          <cell r="AX444" t="str">
            <v>AZUL_NAPADO_AZUL_NOCHE</v>
          </cell>
          <cell r="AY444" t="str">
            <v>ARENA-CUERO BRIDGE</v>
          </cell>
          <cell r="AZ444" t="str">
            <v>CUE0000001R</v>
          </cell>
          <cell r="BA444">
            <v>0.14000000000000001</v>
          </cell>
          <cell r="BB444" t="str">
            <v>CUE0000176</v>
          </cell>
          <cell r="BC444">
            <v>0.31</v>
          </cell>
          <cell r="KD444">
            <v>10</v>
          </cell>
          <cell r="KE444">
            <v>10</v>
          </cell>
          <cell r="KG444">
            <v>0</v>
          </cell>
          <cell r="KJ444">
            <v>0</v>
          </cell>
          <cell r="KM444">
            <v>0</v>
          </cell>
          <cell r="KP444">
            <v>0</v>
          </cell>
          <cell r="KS444">
            <v>0</v>
          </cell>
          <cell r="KV444">
            <v>0</v>
          </cell>
          <cell r="KY444">
            <v>0</v>
          </cell>
          <cell r="LB444">
            <v>0</v>
          </cell>
          <cell r="LE444">
            <v>0</v>
          </cell>
          <cell r="LH444">
            <v>0</v>
          </cell>
          <cell r="LK444">
            <v>0</v>
          </cell>
          <cell r="LP444" t="str">
            <v>NO COMENZADO</v>
          </cell>
          <cell r="LQ444" t="str">
            <v>TODO REBAJADO IDEM MUESTRA - EXTERIOR ARENA --CUERO NAPADO-- AZUL / INTERIOR MA --GAMUZA COLOR --AZUL NOCHE</v>
          </cell>
        </row>
        <row r="445">
          <cell r="A445" t="str">
            <v>2026-A</v>
          </cell>
          <cell r="B445" t="str">
            <v>LUCIANO</v>
          </cell>
          <cell r="C445" t="str">
            <v>PERDRIEL</v>
          </cell>
          <cell r="D445" t="str">
            <v>MARROQUINERIA CHICA</v>
          </cell>
          <cell r="E445">
            <v>6</v>
          </cell>
          <cell r="F445">
            <v>6</v>
          </cell>
          <cell r="H445">
            <v>45957.844259259262</v>
          </cell>
          <cell r="I445" t="str">
            <v>PAÑO CON VISOR PARA PULSERAS</v>
          </cell>
          <cell r="M445">
            <v>40</v>
          </cell>
          <cell r="N445" t="str">
            <v>M216</v>
          </cell>
          <cell r="O445" t="str">
            <v>VAR0000051</v>
          </cell>
          <cell r="P445">
            <v>0.45</v>
          </cell>
          <cell r="Q445" t="str">
            <v>BAC0900100161</v>
          </cell>
          <cell r="R445">
            <v>0.01</v>
          </cell>
          <cell r="S445" t="str">
            <v>AV170134014</v>
          </cell>
          <cell r="T445">
            <v>0</v>
          </cell>
          <cell r="AS445" t="str">
            <v xml:space="preserve"> presillas ANCHAS con ALFILERES DE ganchos tal cual ULTIMA MUESTRA  en gamuza </v>
          </cell>
          <cell r="AT445" t="str">
            <v>indicador flotante con troquel redondo ATRAS para poder sacar la tarjeta</v>
          </cell>
          <cell r="AX445" t="str">
            <v>AZUL_NAPADO_AZUL_NOCHE</v>
          </cell>
          <cell r="AY445" t="str">
            <v>ARENA-CUERO BRIDGE</v>
          </cell>
          <cell r="AZ445" t="str">
            <v>CUE0000001R</v>
          </cell>
          <cell r="BA445">
            <v>0.1</v>
          </cell>
          <cell r="BB445" t="str">
            <v>CUE0000176</v>
          </cell>
          <cell r="BC445">
            <v>0.18</v>
          </cell>
          <cell r="KD445">
            <v>6</v>
          </cell>
          <cell r="KE445">
            <v>6</v>
          </cell>
          <cell r="KG445">
            <v>0</v>
          </cell>
          <cell r="KJ445">
            <v>0</v>
          </cell>
          <cell r="KM445">
            <v>0</v>
          </cell>
          <cell r="KP445">
            <v>0</v>
          </cell>
          <cell r="KS445">
            <v>0</v>
          </cell>
          <cell r="KV445">
            <v>0</v>
          </cell>
          <cell r="KY445">
            <v>0</v>
          </cell>
          <cell r="LB445">
            <v>0</v>
          </cell>
          <cell r="LE445">
            <v>0</v>
          </cell>
          <cell r="LH445">
            <v>0</v>
          </cell>
          <cell r="LK445">
            <v>0</v>
          </cell>
          <cell r="LP445" t="str">
            <v>NO COMENZADO</v>
          </cell>
        </row>
        <row r="446">
          <cell r="A446" t="str">
            <v>2088-A</v>
          </cell>
          <cell r="B446" t="str">
            <v>LUCIANO</v>
          </cell>
          <cell r="C446" t="str">
            <v>PERDRIEL</v>
          </cell>
          <cell r="D446" t="str">
            <v>MARROQUINERIA CHICA</v>
          </cell>
          <cell r="E446">
            <v>4</v>
          </cell>
          <cell r="F446">
            <v>4</v>
          </cell>
          <cell r="G446">
            <v>4</v>
          </cell>
          <cell r="H446">
            <v>45957.936851851853</v>
          </cell>
          <cell r="I446" t="str">
            <v>PAÑO CON VISOR PARA PULSERAS</v>
          </cell>
          <cell r="J446">
            <v>45957</v>
          </cell>
          <cell r="K446">
            <v>45957</v>
          </cell>
          <cell r="L446">
            <v>45958</v>
          </cell>
          <cell r="M446">
            <v>40</v>
          </cell>
          <cell r="N446" t="str">
            <v>M216</v>
          </cell>
          <cell r="O446" t="str">
            <v>VAR0000051</v>
          </cell>
          <cell r="P446">
            <v>0.45</v>
          </cell>
          <cell r="Q446" t="str">
            <v>BAC0900100161</v>
          </cell>
          <cell r="R446">
            <v>0.01</v>
          </cell>
          <cell r="S446" t="str">
            <v>AV170134014</v>
          </cell>
          <cell r="T446">
            <v>0</v>
          </cell>
          <cell r="AS446" t="str">
            <v xml:space="preserve"> presillas ANCHAS con ALFILERES DE ganchos tal cual ULTIMA MUESTRA  en gamuza </v>
          </cell>
          <cell r="AT446" t="str">
            <v>indicador flotante con troquel redondo ATRAS para poder sacar la tarjeta</v>
          </cell>
          <cell r="AX446" t="str">
            <v>AZUL_NAPADO_AZUL_NOCHE</v>
          </cell>
          <cell r="AY446" t="str">
            <v>ARENA-CUERO BRIDGE</v>
          </cell>
          <cell r="AZ446" t="str">
            <v>CUE0000001R</v>
          </cell>
          <cell r="BA446">
            <v>0.1</v>
          </cell>
          <cell r="BB446" t="str">
            <v>CUE0000176</v>
          </cell>
          <cell r="BC446">
            <v>0.18</v>
          </cell>
          <cell r="KD446">
            <v>4</v>
          </cell>
          <cell r="KE446">
            <v>4</v>
          </cell>
          <cell r="KF446">
            <v>4</v>
          </cell>
          <cell r="KG446">
            <v>0</v>
          </cell>
          <cell r="KJ446">
            <v>0</v>
          </cell>
          <cell r="KM446">
            <v>0</v>
          </cell>
          <cell r="KP446">
            <v>0</v>
          </cell>
          <cell r="KS446">
            <v>0</v>
          </cell>
          <cell r="KV446">
            <v>0</v>
          </cell>
          <cell r="KY446">
            <v>0</v>
          </cell>
          <cell r="LB446">
            <v>0</v>
          </cell>
          <cell r="LE446">
            <v>0</v>
          </cell>
          <cell r="LH446">
            <v>0</v>
          </cell>
          <cell r="LK446">
            <v>0</v>
          </cell>
          <cell r="LN446">
            <v>45957</v>
          </cell>
          <cell r="LO446">
            <v>45959</v>
          </cell>
          <cell r="LP446" t="str">
            <v>COMPLETADO</v>
          </cell>
        </row>
        <row r="447">
          <cell r="A447" t="str">
            <v>2065-A</v>
          </cell>
          <cell r="B447" t="str">
            <v>RUBEN</v>
          </cell>
          <cell r="C447" t="str">
            <v>BARRACAS GRANDE</v>
          </cell>
          <cell r="D447" t="str">
            <v>MARROQUINERIA GRANDE</v>
          </cell>
          <cell r="E447">
            <v>10</v>
          </cell>
          <cell r="F447">
            <v>10</v>
          </cell>
          <cell r="G447">
            <v>10</v>
          </cell>
          <cell r="H447">
            <v>45958.864398148151</v>
          </cell>
          <cell r="I447" t="str">
            <v>PORTAFOLIO RUBEN</v>
          </cell>
          <cell r="J447">
            <v>45961</v>
          </cell>
          <cell r="K447">
            <v>45959</v>
          </cell>
          <cell r="L447">
            <v>45961</v>
          </cell>
          <cell r="M447">
            <v>100</v>
          </cell>
          <cell r="N447" t="str">
            <v>M088</v>
          </cell>
          <cell r="O447" t="str">
            <v>BAC1300020827</v>
          </cell>
          <cell r="P447">
            <v>7.0000000000000007E-2</v>
          </cell>
          <cell r="Q447" t="str">
            <v>AV0101040201</v>
          </cell>
          <cell r="R447">
            <v>2</v>
          </cell>
          <cell r="S447" t="str">
            <v>AV0101030201</v>
          </cell>
          <cell r="T447">
            <v>2</v>
          </cell>
          <cell r="U447" t="str">
            <v>AV0400900101</v>
          </cell>
          <cell r="V447">
            <v>1</v>
          </cell>
          <cell r="W447" t="str">
            <v>AV1000840101</v>
          </cell>
          <cell r="X447">
            <v>1</v>
          </cell>
          <cell r="Y447" t="str">
            <v>AV0600680101</v>
          </cell>
          <cell r="Z447">
            <v>2</v>
          </cell>
          <cell r="AA447" t="str">
            <v>AV1000790101</v>
          </cell>
          <cell r="AB447">
            <v>2</v>
          </cell>
          <cell r="AC447" t="str">
            <v>AV0600540101</v>
          </cell>
          <cell r="AD447">
            <v>2</v>
          </cell>
          <cell r="AE447" t="str">
            <v>BAC0200081126</v>
          </cell>
          <cell r="AF447">
            <v>0.09</v>
          </cell>
          <cell r="AG447" t="str">
            <v>AV0700510101</v>
          </cell>
          <cell r="AH447">
            <v>1</v>
          </cell>
          <cell r="AI447" t="str">
            <v>AV1302250428</v>
          </cell>
          <cell r="AJ447">
            <v>2.8</v>
          </cell>
          <cell r="AK447" t="str">
            <v>AV0300390101</v>
          </cell>
          <cell r="AL447">
            <v>2</v>
          </cell>
          <cell r="AM447" t="str">
            <v>AV170129018</v>
          </cell>
          <cell r="AN447">
            <v>0</v>
          </cell>
          <cell r="AS447" t="str">
            <v>TIRACIERRE LUCERO EN EXTERIOR</v>
          </cell>
          <cell r="AT447" t="str">
            <v>TIRACIERRE N1 - TIRA CON REMACHE EN INTERIOR</v>
          </cell>
          <cell r="AW447" t="str">
            <v>GRABADO "EL LUCERO GRANDE" EN ESPALDA PARTE SUPERIOR, CENTRADO</v>
          </cell>
          <cell r="AX447" t="str">
            <v>NEGRO</v>
          </cell>
          <cell r="AY447" t="str">
            <v>ARENA-CUERO BRIDGE</v>
          </cell>
          <cell r="AZ447" t="str">
            <v>CUE0000009</v>
          </cell>
          <cell r="BA447">
            <v>0.64</v>
          </cell>
          <cell r="BB447" t="str">
            <v>FOR0000020</v>
          </cell>
          <cell r="BC447">
            <v>0.8</v>
          </cell>
          <cell r="BD447" t="str">
            <v>AV0100010103</v>
          </cell>
          <cell r="BE447">
            <v>1.45</v>
          </cell>
          <cell r="BF447" t="str">
            <v>AV1102130726</v>
          </cell>
          <cell r="BG447">
            <v>2.2000000000000002</v>
          </cell>
          <cell r="BH447" t="str">
            <v>AV1801370726</v>
          </cell>
          <cell r="BI447">
            <v>2.8</v>
          </cell>
          <cell r="BJ447" t="str">
            <v>AV1401244040</v>
          </cell>
          <cell r="BK447">
            <v>0</v>
          </cell>
          <cell r="BR447" t="str">
            <v>CHOCOLATE</v>
          </cell>
          <cell r="BS447" t="str">
            <v>ARENA-CUERO BRIDGE</v>
          </cell>
          <cell r="BT447" t="str">
            <v>CUE0000005</v>
          </cell>
          <cell r="BU447">
            <v>0.64</v>
          </cell>
          <cell r="BV447" t="str">
            <v>FOR0000021</v>
          </cell>
          <cell r="BW447">
            <v>0.8</v>
          </cell>
          <cell r="BX447" t="str">
            <v>AV0100010111</v>
          </cell>
          <cell r="BY447">
            <v>1.45</v>
          </cell>
          <cell r="BZ447" t="str">
            <v>AV1101580538</v>
          </cell>
          <cell r="CA447">
            <v>2.2000000000000002</v>
          </cell>
          <cell r="CB447" t="str">
            <v>AV1801370725</v>
          </cell>
          <cell r="CC447">
            <v>2.8</v>
          </cell>
          <cell r="CD447" t="str">
            <v>AV1401240545</v>
          </cell>
          <cell r="CE447">
            <v>0</v>
          </cell>
          <cell r="CF447" t="str">
            <v>AV1601300954</v>
          </cell>
          <cell r="CG447">
            <v>0</v>
          </cell>
          <cell r="CL447" t="str">
            <v>TABACO</v>
          </cell>
          <cell r="CM447" t="str">
            <v>ARENA-CUERO BRIDGE</v>
          </cell>
          <cell r="CN447" t="str">
            <v>CUE0000012</v>
          </cell>
          <cell r="CO447">
            <v>0.64</v>
          </cell>
          <cell r="CP447" t="str">
            <v>FOR0000021</v>
          </cell>
          <cell r="CQ447">
            <v>0.8</v>
          </cell>
          <cell r="CR447" t="str">
            <v>AV0100010114</v>
          </cell>
          <cell r="CS447">
            <v>1.45</v>
          </cell>
          <cell r="CT447" t="str">
            <v>AV1101580538</v>
          </cell>
          <cell r="CU447">
            <v>2.2000000000000002</v>
          </cell>
          <cell r="CV447" t="str">
            <v>AV1801370725</v>
          </cell>
          <cell r="CW447">
            <v>2.8</v>
          </cell>
          <cell r="CX447" t="str">
            <v>AV1401240545</v>
          </cell>
          <cell r="CY447">
            <v>0</v>
          </cell>
          <cell r="CZ447" t="str">
            <v>AV1601300954</v>
          </cell>
          <cell r="DA447">
            <v>0</v>
          </cell>
          <cell r="ED447" t="str">
            <v>CUE0000012</v>
          </cell>
          <cell r="EE447">
            <v>7.0000000000000007E-2</v>
          </cell>
          <cell r="KD447">
            <v>2</v>
          </cell>
          <cell r="KE447">
            <v>2</v>
          </cell>
          <cell r="KF447">
            <v>2</v>
          </cell>
          <cell r="KG447">
            <v>4</v>
          </cell>
          <cell r="KH447">
            <v>4</v>
          </cell>
          <cell r="KI447">
            <v>4</v>
          </cell>
          <cell r="KJ447">
            <v>4</v>
          </cell>
          <cell r="KK447">
            <v>4</v>
          </cell>
          <cell r="KL447">
            <v>4</v>
          </cell>
          <cell r="KM447">
            <v>0</v>
          </cell>
          <cell r="KP447">
            <v>0</v>
          </cell>
          <cell r="KQ447">
            <v>0</v>
          </cell>
          <cell r="KS447">
            <v>0</v>
          </cell>
          <cell r="KV447">
            <v>0</v>
          </cell>
          <cell r="KY447">
            <v>0</v>
          </cell>
          <cell r="LB447">
            <v>0</v>
          </cell>
          <cell r="LE447">
            <v>0</v>
          </cell>
          <cell r="LH447">
            <v>0</v>
          </cell>
          <cell r="LK447">
            <v>0</v>
          </cell>
          <cell r="LN447">
            <v>45961</v>
          </cell>
          <cell r="LO447">
            <v>45966</v>
          </cell>
          <cell r="LP447" t="str">
            <v>COMPLETADO</v>
          </cell>
        </row>
        <row r="448">
          <cell r="A448" t="str">
            <v>2058-B</v>
          </cell>
          <cell r="B448" t="str">
            <v>RUBEN</v>
          </cell>
          <cell r="C448" t="str">
            <v>BARRACAS GRANDE</v>
          </cell>
          <cell r="D448" t="str">
            <v>MARROQUINERIA GRANDE</v>
          </cell>
          <cell r="E448">
            <v>6</v>
          </cell>
          <cell r="F448">
            <v>6</v>
          </cell>
          <cell r="G448">
            <v>6</v>
          </cell>
          <cell r="H448">
            <v>45959.410787037035</v>
          </cell>
          <cell r="I448" t="str">
            <v>CARTERA VERA</v>
          </cell>
          <cell r="J448">
            <v>45947</v>
          </cell>
          <cell r="K448">
            <v>45947</v>
          </cell>
          <cell r="L448">
            <v>45951</v>
          </cell>
          <cell r="M448">
            <v>40</v>
          </cell>
          <cell r="N448" t="str">
            <v>M184</v>
          </cell>
          <cell r="O448" t="str">
            <v>BAC1300020827</v>
          </cell>
          <cell r="P448">
            <v>0.06</v>
          </cell>
          <cell r="Q448" t="str">
            <v>AV0101040201</v>
          </cell>
          <cell r="R448">
            <v>1</v>
          </cell>
          <cell r="S448" t="str">
            <v>AV0600540101</v>
          </cell>
          <cell r="T448">
            <v>1</v>
          </cell>
          <cell r="U448" t="str">
            <v>AV1000920101</v>
          </cell>
          <cell r="V448">
            <v>1</v>
          </cell>
          <cell r="W448" t="str">
            <v>AV0101030201</v>
          </cell>
          <cell r="X448">
            <v>1</v>
          </cell>
          <cell r="Y448" t="str">
            <v>AV1000380101</v>
          </cell>
          <cell r="Z448">
            <v>1</v>
          </cell>
          <cell r="AA448" t="str">
            <v>AV0300390101</v>
          </cell>
          <cell r="AB448">
            <v>1</v>
          </cell>
          <cell r="AC448" t="str">
            <v>AV170129018</v>
          </cell>
          <cell r="AD448">
            <v>0</v>
          </cell>
          <cell r="AS448" t="str">
            <v>TIRACIERRE N1 - TIRA DE CUERO CON REMACHE Y GRABADO ESTRELLITA</v>
          </cell>
          <cell r="AT448" t="str">
            <v>TOTAL 12 ORIFICIOS</v>
          </cell>
          <cell r="AW448" t="str">
            <v>GRABADO "EL LUCERO" GRANDE EN ZOCALO BOLSILLO INTERNO CENTRADO ABAJO</v>
          </cell>
          <cell r="AX448" t="str">
            <v>CAOBA</v>
          </cell>
          <cell r="AY448" t="str">
            <v>ANAN-CUERO NAPOLE</v>
          </cell>
          <cell r="AZ448" t="str">
            <v>CUE0000179</v>
          </cell>
          <cell r="BA448">
            <v>0.61</v>
          </cell>
          <cell r="BB448" t="str">
            <v>FOR0000021</v>
          </cell>
          <cell r="BC448">
            <v>0.4</v>
          </cell>
          <cell r="BD448" t="str">
            <v>AV0100010111</v>
          </cell>
          <cell r="BE448">
            <v>0.78</v>
          </cell>
          <cell r="KD448">
            <v>6</v>
          </cell>
          <cell r="KE448">
            <v>6</v>
          </cell>
          <cell r="KF448">
            <v>6</v>
          </cell>
          <cell r="KG448">
            <v>0</v>
          </cell>
          <cell r="KJ448">
            <v>0</v>
          </cell>
          <cell r="KM448">
            <v>0</v>
          </cell>
          <cell r="KP448">
            <v>0</v>
          </cell>
          <cell r="KS448">
            <v>0</v>
          </cell>
          <cell r="KV448">
            <v>0</v>
          </cell>
          <cell r="KY448">
            <v>0</v>
          </cell>
          <cell r="LB448">
            <v>0</v>
          </cell>
          <cell r="LE448">
            <v>0</v>
          </cell>
          <cell r="LH448">
            <v>0</v>
          </cell>
          <cell r="LK448">
            <v>0</v>
          </cell>
          <cell r="LN448">
            <v>45950</v>
          </cell>
          <cell r="LO448">
            <v>45958</v>
          </cell>
          <cell r="LP448" t="str">
            <v>COMPLETADO</v>
          </cell>
        </row>
        <row r="449">
          <cell r="A449" t="str">
            <v>1962-B</v>
          </cell>
          <cell r="B449" t="str">
            <v>RUBEN</v>
          </cell>
          <cell r="C449" t="str">
            <v>BARRACAS GRANDE</v>
          </cell>
          <cell r="D449" t="str">
            <v>MARROQUINERIA GRANDE</v>
          </cell>
          <cell r="E449">
            <v>2</v>
          </cell>
          <cell r="F449">
            <v>2</v>
          </cell>
          <cell r="G449">
            <v>2</v>
          </cell>
          <cell r="H449">
            <v>45959.552303240744</v>
          </cell>
          <cell r="I449" t="str">
            <v>BOLSO TUBO GRANDE</v>
          </cell>
          <cell r="J449">
            <v>45959</v>
          </cell>
          <cell r="K449">
            <v>45957</v>
          </cell>
          <cell r="L449">
            <v>45959</v>
          </cell>
          <cell r="M449">
            <v>90</v>
          </cell>
          <cell r="N449" t="str">
            <v>M030</v>
          </cell>
          <cell r="O449" t="str">
            <v>BAC1300020827</v>
          </cell>
          <cell r="P449">
            <v>0.08</v>
          </cell>
          <cell r="Q449" t="str">
            <v>AV0101030201</v>
          </cell>
          <cell r="R449">
            <v>2</v>
          </cell>
          <cell r="S449" t="str">
            <v>AV0101040201</v>
          </cell>
          <cell r="T449">
            <v>1</v>
          </cell>
          <cell r="U449" t="str">
            <v>AV0300250101</v>
          </cell>
          <cell r="V449">
            <v>4</v>
          </cell>
          <cell r="W449" t="str">
            <v>AV0300410101</v>
          </cell>
          <cell r="X449">
            <v>9</v>
          </cell>
          <cell r="Y449" t="str">
            <v>AV1302250428</v>
          </cell>
          <cell r="Z449">
            <v>2</v>
          </cell>
          <cell r="AA449" t="str">
            <v>AV1302240428</v>
          </cell>
          <cell r="AB449">
            <v>0.8</v>
          </cell>
          <cell r="AC449" t="str">
            <v>AV1001450101</v>
          </cell>
          <cell r="AD449">
            <v>2</v>
          </cell>
          <cell r="AE449" t="str">
            <v>AV0700630101</v>
          </cell>
          <cell r="AF449">
            <v>2</v>
          </cell>
          <cell r="AG449" t="str">
            <v>AV0701130101</v>
          </cell>
          <cell r="AH449">
            <v>1</v>
          </cell>
          <cell r="AI449" t="str">
            <v>AV0600540101</v>
          </cell>
          <cell r="AJ449">
            <v>2</v>
          </cell>
          <cell r="AK449" t="str">
            <v>AV0300390101</v>
          </cell>
          <cell r="AL449">
            <v>1</v>
          </cell>
          <cell r="AM449" t="str">
            <v>AV170129018</v>
          </cell>
          <cell r="AN449">
            <v>0</v>
          </cell>
          <cell r="AO449" t="str">
            <v>VAR0000048</v>
          </cell>
          <cell r="AP449">
            <v>5</v>
          </cell>
          <cell r="AS449" t="str">
            <v>TIRACIERRE INTERNO: N1 TIRA CON REMACHE + GRABADO ESTRELLITA</v>
          </cell>
          <cell r="AT449" t="str">
            <v>TIRACIERRES EXTERNOS "EL LUCERO" GRANDE</v>
          </cell>
          <cell r="AU449" t="str">
            <v>GAMUZA: CON VISTA DE CUERO EN BOLSILLO FRENTE</v>
          </cell>
          <cell r="AV449" t="str">
            <v>SIN CLAVOS DE FONDO / SIN BOLSILLO AL FRENTE / CORREA PUNTA REDONDEADA</v>
          </cell>
          <cell r="AW449" t="str">
            <v xml:space="preserve">EL LUCERO ARGENTINA TAMAÑO GRANDE, EN TROQUEL COCIDO DEBAJO DE VISTA DE CIERRE INTERNO </v>
          </cell>
          <cell r="AX449" t="str">
            <v>GrisOscuro_GAMUZA_TABACO</v>
          </cell>
          <cell r="AY449" t="str">
            <v>NAPOLITANA-CUERO GAMUZA</v>
          </cell>
          <cell r="AZ449" t="str">
            <v>CUE0000042</v>
          </cell>
          <cell r="BA449">
            <v>0.82</v>
          </cell>
          <cell r="BB449" t="str">
            <v>CUE0000012</v>
          </cell>
          <cell r="BC449">
            <v>0.43</v>
          </cell>
          <cell r="BD449" t="str">
            <v>FOR0000021</v>
          </cell>
          <cell r="BE449">
            <v>0.72</v>
          </cell>
          <cell r="BF449" t="str">
            <v>AV0100010114</v>
          </cell>
          <cell r="BG449">
            <v>1.02</v>
          </cell>
          <cell r="BH449" t="str">
            <v>AV1801370725</v>
          </cell>
          <cell r="BI449">
            <v>2</v>
          </cell>
          <cell r="ED449" t="str">
            <v>CUE0000012</v>
          </cell>
          <cell r="EE449">
            <v>7.0000000000000007E-2</v>
          </cell>
          <cell r="KD449">
            <v>2</v>
          </cell>
          <cell r="KE449">
            <v>2</v>
          </cell>
          <cell r="KF449">
            <v>2</v>
          </cell>
          <cell r="KG449">
            <v>0</v>
          </cell>
          <cell r="KJ449">
            <v>0</v>
          </cell>
          <cell r="KM449">
            <v>0</v>
          </cell>
          <cell r="KP449">
            <v>0</v>
          </cell>
          <cell r="KQ449">
            <v>0</v>
          </cell>
          <cell r="KS449">
            <v>0</v>
          </cell>
          <cell r="KV449">
            <v>0</v>
          </cell>
          <cell r="KY449">
            <v>0</v>
          </cell>
          <cell r="LB449">
            <v>0</v>
          </cell>
          <cell r="LE449">
            <v>0</v>
          </cell>
          <cell r="LH449">
            <v>0</v>
          </cell>
          <cell r="LK449">
            <v>0</v>
          </cell>
          <cell r="LN449">
            <v>45959</v>
          </cell>
          <cell r="LO449">
            <v>45966</v>
          </cell>
          <cell r="LP449" t="str">
            <v>COMPLETADO</v>
          </cell>
        </row>
        <row r="450">
          <cell r="A450" t="str">
            <v>2091-A</v>
          </cell>
          <cell r="B450" t="str">
            <v>RUBEN</v>
          </cell>
          <cell r="C450" t="str">
            <v>BARRACAS GRANDE</v>
          </cell>
          <cell r="D450" t="str">
            <v>MARROQUINERIA GRANDE</v>
          </cell>
          <cell r="E450">
            <v>6</v>
          </cell>
          <cell r="F450">
            <v>6</v>
          </cell>
          <cell r="G450">
            <v>6</v>
          </cell>
          <cell r="H450">
            <v>45960.417986111112</v>
          </cell>
          <cell r="I450" t="str">
            <v>TOTE CACHI</v>
          </cell>
          <cell r="J450">
            <v>45964</v>
          </cell>
          <cell r="K450">
            <v>45959</v>
          </cell>
          <cell r="L450">
            <v>45964</v>
          </cell>
          <cell r="M450">
            <v>30</v>
          </cell>
          <cell r="N450" t="str">
            <v>M169</v>
          </cell>
          <cell r="O450" t="str">
            <v>AV170129018</v>
          </cell>
          <cell r="P450">
            <v>0</v>
          </cell>
          <cell r="AS450" t="str">
            <v>CORREA 2 CM / SIN PINTURA</v>
          </cell>
          <cell r="AT450" t="str">
            <v xml:space="preserve"> PEGAR ETIQUETA DE CUERO AL FRENTE</v>
          </cell>
          <cell r="AU450" t="str">
            <v>HILO AL TONO CON HILO GRUESO N 20</v>
          </cell>
          <cell r="AV450" t="str">
            <v>REVISAR MOLDERIA APROBADA</v>
          </cell>
          <cell r="AW450" t="str">
            <v>GRABADO ETIQUETA EN NAPADO 7,5CM X 5,5 CM  "EL LUCERO HIGH QUALITY GOODS"</v>
          </cell>
          <cell r="AX450" t="str">
            <v>LONDON</v>
          </cell>
          <cell r="AY450" t="str">
            <v>ARENA-CUERO BRIDGE</v>
          </cell>
          <cell r="AZ450" t="str">
            <v>CUE0000007</v>
          </cell>
          <cell r="BA450">
            <v>0.46</v>
          </cell>
          <cell r="KD450">
            <v>6</v>
          </cell>
          <cell r="KE450">
            <v>6</v>
          </cell>
          <cell r="KF450">
            <v>6</v>
          </cell>
          <cell r="KG450">
            <v>0</v>
          </cell>
          <cell r="KJ450">
            <v>0</v>
          </cell>
          <cell r="KM450">
            <v>0</v>
          </cell>
          <cell r="KP450">
            <v>0</v>
          </cell>
          <cell r="KS450">
            <v>0</v>
          </cell>
          <cell r="KV450">
            <v>0</v>
          </cell>
          <cell r="KY450">
            <v>0</v>
          </cell>
          <cell r="LB450">
            <v>0</v>
          </cell>
          <cell r="LE450">
            <v>0</v>
          </cell>
          <cell r="LH450">
            <v>0</v>
          </cell>
          <cell r="LK450">
            <v>0</v>
          </cell>
          <cell r="LN450">
            <v>45961</v>
          </cell>
          <cell r="LO450">
            <v>45972</v>
          </cell>
          <cell r="LP450" t="str">
            <v>COMPLETADO</v>
          </cell>
        </row>
        <row r="451">
          <cell r="A451" t="str">
            <v>2092-A</v>
          </cell>
          <cell r="B451" t="str">
            <v>RUBEN</v>
          </cell>
          <cell r="C451" t="str">
            <v>BARRACAS GRANDE</v>
          </cell>
          <cell r="D451" t="str">
            <v>MARROQUINERIA GRANDE</v>
          </cell>
          <cell r="E451">
            <v>30</v>
          </cell>
          <cell r="F451">
            <v>30</v>
          </cell>
          <cell r="G451">
            <v>30</v>
          </cell>
          <cell r="H451">
            <v>45960.419421296298</v>
          </cell>
          <cell r="I451" t="str">
            <v>BANDOLERA JADE</v>
          </cell>
          <cell r="J451">
            <v>45964</v>
          </cell>
          <cell r="K451">
            <v>45959</v>
          </cell>
          <cell r="L451">
            <v>45964</v>
          </cell>
          <cell r="M451">
            <v>35</v>
          </cell>
          <cell r="N451" t="str">
            <v>M199</v>
          </cell>
          <cell r="O451" t="str">
            <v>CUE0000124</v>
          </cell>
          <cell r="P451">
            <v>1</v>
          </cell>
          <cell r="Q451" t="str">
            <v>AV170129018</v>
          </cell>
          <cell r="R451">
            <v>0</v>
          </cell>
          <cell r="AW451" t="str">
            <v>GRABADO "EL LUCERO ARGENTINA" CHICO ABAJO,  ATRAS CENTRADO.</v>
          </cell>
          <cell r="AX451" t="str">
            <v>NEGRO</v>
          </cell>
          <cell r="AY451" t="str">
            <v>ARENA-CUERO NAPADO</v>
          </cell>
          <cell r="AZ451" t="str">
            <v>CUE0000026</v>
          </cell>
          <cell r="BA451">
            <v>0.21</v>
          </cell>
          <cell r="BB451" t="str">
            <v>FOR0000020</v>
          </cell>
          <cell r="BC451">
            <v>7.0000000000000007E-2</v>
          </cell>
          <cell r="BR451" t="str">
            <v>LONDON</v>
          </cell>
          <cell r="BS451" t="str">
            <v>ARENA-CUERO NAPADO</v>
          </cell>
          <cell r="BT451" t="str">
            <v>CUE0000024</v>
          </cell>
          <cell r="BU451">
            <v>0.21</v>
          </cell>
          <cell r="BV451" t="str">
            <v>FOR0000021</v>
          </cell>
          <cell r="BW451">
            <v>7.0000000000000007E-2</v>
          </cell>
          <cell r="CL451" t="str">
            <v>AVELLANA_GAMUZA_SUELA</v>
          </cell>
          <cell r="CM451" t="str">
            <v>NAPOLITANA-CUERO GAMUZA</v>
          </cell>
          <cell r="CN451" t="str">
            <v>CUE0000037</v>
          </cell>
          <cell r="CO451">
            <v>0.12</v>
          </cell>
          <cell r="CP451" t="str">
            <v>CUE0000028</v>
          </cell>
          <cell r="CQ451">
            <v>0.09</v>
          </cell>
          <cell r="CR451" t="str">
            <v>FOR0000021</v>
          </cell>
          <cell r="CS451">
            <v>7.0000000000000007E-2</v>
          </cell>
          <cell r="DF451" t="str">
            <v>VESUBIO_GAMUZA_SUELA</v>
          </cell>
          <cell r="DG451" t="str">
            <v>NAPOLITANA-CUERO GAMUZA</v>
          </cell>
          <cell r="DH451" t="str">
            <v>CUE0000053</v>
          </cell>
          <cell r="DI451">
            <v>0.12</v>
          </cell>
          <cell r="DJ451" t="str">
            <v>CUE0000028</v>
          </cell>
          <cell r="DK451">
            <v>0.09</v>
          </cell>
          <cell r="DL451" t="str">
            <v>FOR0000021</v>
          </cell>
          <cell r="DM451">
            <v>7.0000000000000007E-2</v>
          </cell>
          <cell r="EC451">
            <v>0.21</v>
          </cell>
          <cell r="EX451" t="str">
            <v>CUE0000028</v>
          </cell>
          <cell r="EY451">
            <v>0.09</v>
          </cell>
          <cell r="FR451" t="str">
            <v>CUE0000028</v>
          </cell>
          <cell r="FS451">
            <v>0.09</v>
          </cell>
          <cell r="KD451">
            <v>4</v>
          </cell>
          <cell r="KE451">
            <v>4</v>
          </cell>
          <cell r="KF451">
            <v>4</v>
          </cell>
          <cell r="KG451">
            <v>14</v>
          </cell>
          <cell r="KH451">
            <v>14</v>
          </cell>
          <cell r="KI451">
            <v>14</v>
          </cell>
          <cell r="KJ451">
            <v>8</v>
          </cell>
          <cell r="KK451">
            <v>8</v>
          </cell>
          <cell r="KL451">
            <v>8</v>
          </cell>
          <cell r="KM451">
            <v>4</v>
          </cell>
          <cell r="KN451">
            <v>4</v>
          </cell>
          <cell r="KO451">
            <v>4</v>
          </cell>
          <cell r="KP451">
            <v>0</v>
          </cell>
          <cell r="KQ451">
            <v>0</v>
          </cell>
          <cell r="KS451">
            <v>0</v>
          </cell>
          <cell r="KT451">
            <v>0</v>
          </cell>
          <cell r="KV451">
            <v>0</v>
          </cell>
          <cell r="KW451">
            <v>0</v>
          </cell>
          <cell r="KY451">
            <v>0</v>
          </cell>
          <cell r="LB451">
            <v>0</v>
          </cell>
          <cell r="LE451">
            <v>0</v>
          </cell>
          <cell r="LH451">
            <v>0</v>
          </cell>
          <cell r="LK451">
            <v>0</v>
          </cell>
          <cell r="LN451">
            <v>45964</v>
          </cell>
          <cell r="LO451">
            <v>45972</v>
          </cell>
          <cell r="LP451" t="str">
            <v>COMPLETADO</v>
          </cell>
        </row>
        <row r="452">
          <cell r="A452" t="str">
            <v>2093-A</v>
          </cell>
          <cell r="B452" t="str">
            <v>RUBEN</v>
          </cell>
          <cell r="C452" t="str">
            <v>BARRACAS GRANDE</v>
          </cell>
          <cell r="D452" t="str">
            <v>MARROQUINERIA GRANDE</v>
          </cell>
          <cell r="E452">
            <v>18</v>
          </cell>
          <cell r="F452">
            <v>18</v>
          </cell>
          <cell r="G452">
            <v>18</v>
          </cell>
          <cell r="H452">
            <v>45960.429398148146</v>
          </cell>
          <cell r="I452" t="str">
            <v>BANDOLERA MATILDA</v>
          </cell>
          <cell r="J452">
            <v>45964</v>
          </cell>
          <cell r="K452">
            <v>45959</v>
          </cell>
          <cell r="L452">
            <v>45964</v>
          </cell>
          <cell r="M452">
            <v>30</v>
          </cell>
          <cell r="N452" t="str">
            <v>M171</v>
          </cell>
          <cell r="O452" t="str">
            <v>AV0300390101</v>
          </cell>
          <cell r="P452">
            <v>1</v>
          </cell>
          <cell r="Q452" t="str">
            <v>VAR0000053</v>
          </cell>
          <cell r="R452">
            <v>1</v>
          </cell>
          <cell r="S452" t="str">
            <v>VAR0000054</v>
          </cell>
          <cell r="T452">
            <v>1</v>
          </cell>
          <cell r="U452" t="str">
            <v>AV170129018</v>
          </cell>
          <cell r="V452">
            <v>0</v>
          </cell>
          <cell r="AS452" t="str">
            <v>LLEVA ESTE MODELO DE CERRADURA PERO CON BAÑO NIQUEL</v>
          </cell>
          <cell r="AX452" t="str">
            <v>PELO_HEREFORD</v>
          </cell>
          <cell r="AY452" t="str">
            <v>LEDER-PELO</v>
          </cell>
          <cell r="AZ452" t="str">
            <v>CUE0000117</v>
          </cell>
          <cell r="BA452">
            <v>0.15</v>
          </cell>
          <cell r="BB452" t="str">
            <v>CUE0000012</v>
          </cell>
          <cell r="BC452">
            <v>7.0000000000000007E-2</v>
          </cell>
          <cell r="BR452" t="str">
            <v>PELO_HOLANDO</v>
          </cell>
          <cell r="BS452" t="str">
            <v>LEDER-PELO</v>
          </cell>
          <cell r="BT452" t="str">
            <v>CUE0000116</v>
          </cell>
          <cell r="BU452">
            <v>0.15</v>
          </cell>
          <cell r="BV452" t="str">
            <v>CUE0000009</v>
          </cell>
          <cell r="BW452">
            <v>7.0000000000000007E-2</v>
          </cell>
          <cell r="KD452">
            <v>12</v>
          </cell>
          <cell r="KE452">
            <v>12</v>
          </cell>
          <cell r="KF452">
            <v>12</v>
          </cell>
          <cell r="KG452">
            <v>6</v>
          </cell>
          <cell r="KH452">
            <v>6</v>
          </cell>
          <cell r="KI452">
            <v>6</v>
          </cell>
          <cell r="KJ452">
            <v>0</v>
          </cell>
          <cell r="KM452">
            <v>0</v>
          </cell>
          <cell r="KP452">
            <v>0</v>
          </cell>
          <cell r="KS452">
            <v>0</v>
          </cell>
          <cell r="KV452">
            <v>0</v>
          </cell>
          <cell r="KY452">
            <v>0</v>
          </cell>
          <cell r="LB452">
            <v>0</v>
          </cell>
          <cell r="LE452">
            <v>0</v>
          </cell>
          <cell r="LH452">
            <v>0</v>
          </cell>
          <cell r="LK452">
            <v>0</v>
          </cell>
          <cell r="LN452">
            <v>45964</v>
          </cell>
          <cell r="LO452">
            <v>45972</v>
          </cell>
          <cell r="LP452" t="str">
            <v>COMPLETADO</v>
          </cell>
          <cell r="LQ452" t="str">
            <v>QUE SE VEA LA MANCHA SI NO SALE DE RETAZOS USAR PLACA</v>
          </cell>
          <cell r="LR452" t="str">
            <v>QUE SE VEA LA MANCHA SI NO SALE DE RETAZOS USAR PLACA</v>
          </cell>
        </row>
        <row r="453">
          <cell r="A453" t="str">
            <v>2094-A</v>
          </cell>
          <cell r="B453" t="str">
            <v>RUBEN</v>
          </cell>
          <cell r="C453" t="str">
            <v>BARRACAS GRANDE</v>
          </cell>
          <cell r="D453" t="str">
            <v>MARROQUINERIA GRANDE</v>
          </cell>
          <cell r="E453">
            <v>18</v>
          </cell>
          <cell r="F453">
            <v>18</v>
          </cell>
          <cell r="G453">
            <v>18</v>
          </cell>
          <cell r="H453">
            <v>45960.435729166667</v>
          </cell>
          <cell r="I453" t="str">
            <v>BANDOLERA CASIOPEA</v>
          </cell>
          <cell r="J453">
            <v>45961</v>
          </cell>
          <cell r="K453">
            <v>45959</v>
          </cell>
          <cell r="L453">
            <v>45961</v>
          </cell>
          <cell r="M453">
            <v>45</v>
          </cell>
          <cell r="N453" t="str">
            <v>M003</v>
          </cell>
          <cell r="O453" t="str">
            <v>AV0300400101</v>
          </cell>
          <cell r="P453">
            <v>3</v>
          </cell>
          <cell r="Q453" t="str">
            <v>AV0101030201</v>
          </cell>
          <cell r="R453">
            <v>1</v>
          </cell>
          <cell r="S453" t="str">
            <v>AV0400770101</v>
          </cell>
          <cell r="T453">
            <v>2</v>
          </cell>
          <cell r="U453" t="str">
            <v>AV1001210101</v>
          </cell>
          <cell r="V453">
            <v>1</v>
          </cell>
          <cell r="W453" t="str">
            <v>AV0300390101</v>
          </cell>
          <cell r="X453">
            <v>1</v>
          </cell>
          <cell r="Y453" t="str">
            <v>AV0700650101</v>
          </cell>
          <cell r="Z453">
            <v>1</v>
          </cell>
          <cell r="AA453" t="str">
            <v>AV0300440101</v>
          </cell>
          <cell r="AB453">
            <v>1</v>
          </cell>
          <cell r="AC453" t="str">
            <v>AV0101040201</v>
          </cell>
          <cell r="AD453">
            <v>1</v>
          </cell>
          <cell r="AE453" t="str">
            <v>AV0600540101</v>
          </cell>
          <cell r="AF453">
            <v>1</v>
          </cell>
          <cell r="AG453" t="str">
            <v>AV170129018</v>
          </cell>
          <cell r="AH453">
            <v>0</v>
          </cell>
          <cell r="AS453" t="str">
            <v>TIRACIERRE EXTERNO EL LUCERO / TIRACIERRE INTERNO N1: TIRA CON REMACHE</v>
          </cell>
          <cell r="AW453" t="str">
            <v xml:space="preserve">GRABADO "EL LUCERO GRANDE" EN EL FRENTE DE LA SOLAPA, CENTRADA A 2CM DEL CIERRE </v>
          </cell>
          <cell r="AX453" t="str">
            <v>ROJO</v>
          </cell>
          <cell r="AY453" t="str">
            <v>ARENA-CUERO NAPADO</v>
          </cell>
          <cell r="AZ453" t="str">
            <v>CUE0000027</v>
          </cell>
          <cell r="BA453">
            <v>0.22</v>
          </cell>
          <cell r="BB453" t="str">
            <v>FOR0000020</v>
          </cell>
          <cell r="BC453">
            <v>0.18</v>
          </cell>
          <cell r="BD453" t="str">
            <v>AV0100010213</v>
          </cell>
          <cell r="BE453">
            <v>0.38</v>
          </cell>
          <cell r="BF453" t="str">
            <v>AV1401244440</v>
          </cell>
          <cell r="BG453">
            <v>0</v>
          </cell>
          <cell r="BH453" t="str">
            <v>AV1601300929</v>
          </cell>
          <cell r="BI453">
            <v>0</v>
          </cell>
          <cell r="BR453" t="str">
            <v>NEGRO</v>
          </cell>
          <cell r="BS453" t="str">
            <v>ARENA-CUERO NAPADO</v>
          </cell>
          <cell r="BT453" t="str">
            <v>CUE0000026</v>
          </cell>
          <cell r="BU453">
            <v>0.22</v>
          </cell>
          <cell r="BV453" t="str">
            <v>FOR0000020</v>
          </cell>
          <cell r="BW453">
            <v>0.18</v>
          </cell>
          <cell r="BX453" t="str">
            <v>AV0100010203</v>
          </cell>
          <cell r="BY453">
            <v>0.38</v>
          </cell>
          <cell r="BZ453" t="str">
            <v>AV1401244040</v>
          </cell>
          <cell r="CA453">
            <v>0</v>
          </cell>
          <cell r="CB453" t="str">
            <v>AV1601300926</v>
          </cell>
          <cell r="CC453">
            <v>0</v>
          </cell>
          <cell r="KD453">
            <v>8</v>
          </cell>
          <cell r="KE453">
            <v>8</v>
          </cell>
          <cell r="KF453">
            <v>8</v>
          </cell>
          <cell r="KG453">
            <v>10</v>
          </cell>
          <cell r="KH453">
            <v>10</v>
          </cell>
          <cell r="KI453">
            <v>10</v>
          </cell>
          <cell r="KJ453">
            <v>0</v>
          </cell>
          <cell r="KK453">
            <v>0</v>
          </cell>
          <cell r="KM453">
            <v>0</v>
          </cell>
          <cell r="KP453">
            <v>0</v>
          </cell>
          <cell r="KS453">
            <v>0</v>
          </cell>
          <cell r="KV453">
            <v>0</v>
          </cell>
          <cell r="KY453">
            <v>0</v>
          </cell>
          <cell r="LB453">
            <v>0</v>
          </cell>
          <cell r="LE453">
            <v>0</v>
          </cell>
          <cell r="LH453">
            <v>0</v>
          </cell>
          <cell r="LK453">
            <v>0</v>
          </cell>
          <cell r="LN453">
            <v>45960</v>
          </cell>
          <cell r="LO453">
            <v>45966</v>
          </cell>
          <cell r="LP453" t="str">
            <v>COMPLETADO</v>
          </cell>
        </row>
        <row r="454">
          <cell r="A454" t="str">
            <v>2095-A</v>
          </cell>
          <cell r="B454" t="str">
            <v>RUBEN</v>
          </cell>
          <cell r="C454" t="str">
            <v>BARRACAS GRANDE</v>
          </cell>
          <cell r="D454" t="str">
            <v>MARROQUINERIA GRANDE</v>
          </cell>
          <cell r="E454">
            <v>40</v>
          </cell>
          <cell r="F454">
            <v>40</v>
          </cell>
          <cell r="G454">
            <v>36</v>
          </cell>
          <cell r="H454">
            <v>45960.503969907404</v>
          </cell>
          <cell r="I454" t="str">
            <v>TOTE IRUYA</v>
          </cell>
          <cell r="J454">
            <v>45964</v>
          </cell>
          <cell r="K454">
            <v>45961</v>
          </cell>
          <cell r="L454">
            <v>45964</v>
          </cell>
          <cell r="M454">
            <v>20</v>
          </cell>
          <cell r="N454" t="str">
            <v>M154</v>
          </cell>
          <cell r="O454" t="str">
            <v>AV170129018</v>
          </cell>
          <cell r="P454">
            <v>0</v>
          </cell>
          <cell r="AS454" t="str">
            <v>CORREA 2,5CM / SIN PINTURA</v>
          </cell>
          <cell r="AT454" t="str">
            <v>PEGAR ETIQUETA DE CUERO AL FRENTE HILO AL TONO CON HILO GRUESO N 20</v>
          </cell>
          <cell r="AW454" t="str">
            <v>GRABADO ETIQUETA EN NAPADO 7,5CM X 5,5 CM "EL LUCERO HIGH QUALITY GOODS</v>
          </cell>
          <cell r="AX454" t="str">
            <v>PELO_HOLANDO</v>
          </cell>
          <cell r="AY454" t="str">
            <v>LEDER-PELO</v>
          </cell>
          <cell r="AZ454" t="str">
            <v>CUE0000116</v>
          </cell>
          <cell r="BA454">
            <v>0.35</v>
          </cell>
          <cell r="BB454" t="str">
            <v>CUE0000009</v>
          </cell>
          <cell r="BC454">
            <v>0.1</v>
          </cell>
          <cell r="BR454" t="str">
            <v>PELO_HEREFORD</v>
          </cell>
          <cell r="BS454" t="str">
            <v>LEDER-PELO</v>
          </cell>
          <cell r="BT454" t="str">
            <v>CUE0000117</v>
          </cell>
          <cell r="BU454">
            <v>0.35</v>
          </cell>
          <cell r="BV454" t="str">
            <v>CUE0000012</v>
          </cell>
          <cell r="BW454">
            <v>0.1</v>
          </cell>
          <cell r="CO454">
            <v>0.44999999999999996</v>
          </cell>
          <cell r="DI454">
            <v>0.44999999999999996</v>
          </cell>
          <cell r="KD454">
            <v>20</v>
          </cell>
          <cell r="KE454">
            <v>20</v>
          </cell>
          <cell r="KF454">
            <v>20</v>
          </cell>
          <cell r="KG454">
            <v>20</v>
          </cell>
          <cell r="KH454">
            <v>20</v>
          </cell>
          <cell r="KI454">
            <v>16</v>
          </cell>
          <cell r="KJ454">
            <v>0</v>
          </cell>
          <cell r="KK454">
            <v>0</v>
          </cell>
          <cell r="KM454">
            <v>0</v>
          </cell>
          <cell r="KN454">
            <v>0</v>
          </cell>
          <cell r="KP454">
            <v>0</v>
          </cell>
          <cell r="KS454">
            <v>0</v>
          </cell>
          <cell r="KV454">
            <v>0</v>
          </cell>
          <cell r="KY454">
            <v>0</v>
          </cell>
          <cell r="LB454">
            <v>0</v>
          </cell>
          <cell r="LE454">
            <v>0</v>
          </cell>
          <cell r="LH454">
            <v>0</v>
          </cell>
          <cell r="LK454">
            <v>0</v>
          </cell>
          <cell r="LN454">
            <v>45964</v>
          </cell>
          <cell r="LO454">
            <v>45972</v>
          </cell>
          <cell r="LP454" t="str">
            <v>COMPLETADO</v>
          </cell>
        </row>
        <row r="455">
          <cell r="A455" t="str">
            <v>2096-A</v>
          </cell>
          <cell r="B455" t="str">
            <v>RUBEN</v>
          </cell>
          <cell r="C455" t="str">
            <v>BARRACAS GRANDE</v>
          </cell>
          <cell r="D455" t="str">
            <v>MARROQUINERIA GRANDE</v>
          </cell>
          <cell r="E455">
            <v>10</v>
          </cell>
          <cell r="F455">
            <v>10</v>
          </cell>
          <cell r="G455">
            <v>10</v>
          </cell>
          <cell r="H455">
            <v>45960.512187499997</v>
          </cell>
          <cell r="I455" t="str">
            <v>CARTERA MANA</v>
          </cell>
          <cell r="J455">
            <v>45964</v>
          </cell>
          <cell r="K455">
            <v>45961</v>
          </cell>
          <cell r="L455">
            <v>45964</v>
          </cell>
          <cell r="M455">
            <v>55</v>
          </cell>
          <cell r="N455" t="str">
            <v>M192</v>
          </cell>
          <cell r="O455" t="str">
            <v>AV0300460101</v>
          </cell>
          <cell r="P455">
            <v>1</v>
          </cell>
          <cell r="Q455" t="str">
            <v>CUE0000124</v>
          </cell>
          <cell r="R455">
            <v>1</v>
          </cell>
          <cell r="S455" t="str">
            <v>AV170129018</v>
          </cell>
          <cell r="T455">
            <v>0</v>
          </cell>
          <cell r="AS455" t="str">
            <v>TRABAJO MANUAL ARTESANAL TRENZADO</v>
          </cell>
          <cell r="AT455" t="str">
            <v>FLECOS EN EL MISMO MATERIAL</v>
          </cell>
          <cell r="KD455">
            <v>10</v>
          </cell>
          <cell r="KE455">
            <v>10</v>
          </cell>
          <cell r="KF455">
            <v>10</v>
          </cell>
          <cell r="KG455">
            <v>0</v>
          </cell>
          <cell r="KJ455">
            <v>0</v>
          </cell>
          <cell r="KM455">
            <v>0</v>
          </cell>
          <cell r="KP455">
            <v>0</v>
          </cell>
          <cell r="KS455">
            <v>0</v>
          </cell>
          <cell r="KV455">
            <v>0</v>
          </cell>
          <cell r="KY455">
            <v>0</v>
          </cell>
          <cell r="LB455">
            <v>0</v>
          </cell>
          <cell r="LE455">
            <v>0</v>
          </cell>
          <cell r="LH455">
            <v>0</v>
          </cell>
          <cell r="LK455">
            <v>0</v>
          </cell>
          <cell r="LN455">
            <v>45964</v>
          </cell>
          <cell r="LO455">
            <v>45966</v>
          </cell>
          <cell r="LP455" t="str">
            <v>COMPLETADO</v>
          </cell>
        </row>
        <row r="456">
          <cell r="A456" t="str">
            <v>2097-A</v>
          </cell>
          <cell r="B456" t="str">
            <v>RUBEN</v>
          </cell>
          <cell r="C456" t="str">
            <v>BARRACAS GRANDE</v>
          </cell>
          <cell r="D456" t="str">
            <v>MARROQUINERIA GRANDE</v>
          </cell>
          <cell r="E456">
            <v>8</v>
          </cell>
          <cell r="F456">
            <v>8</v>
          </cell>
          <cell r="G456">
            <v>8</v>
          </cell>
          <cell r="H456">
            <v>45960.514074074075</v>
          </cell>
          <cell r="I456" t="str">
            <v>CARTERA KALI</v>
          </cell>
          <cell r="J456">
            <v>45964</v>
          </cell>
          <cell r="K456">
            <v>45961</v>
          </cell>
          <cell r="L456">
            <v>45964</v>
          </cell>
          <cell r="M456">
            <v>45</v>
          </cell>
          <cell r="N456" t="str">
            <v>M185</v>
          </cell>
          <cell r="O456" t="str">
            <v>AV0101030201</v>
          </cell>
          <cell r="P456">
            <v>1</v>
          </cell>
          <cell r="Q456" t="str">
            <v>AV0300460101</v>
          </cell>
          <cell r="R456">
            <v>1</v>
          </cell>
          <cell r="S456" t="str">
            <v>AV0300390101</v>
          </cell>
          <cell r="T456">
            <v>1</v>
          </cell>
          <cell r="U456" t="str">
            <v>VAR0000045</v>
          </cell>
          <cell r="V456">
            <v>1</v>
          </cell>
          <cell r="W456" t="str">
            <v>AV170129018</v>
          </cell>
          <cell r="X456">
            <v>0</v>
          </cell>
          <cell r="AS456" t="str">
            <v>TIRACIERRE 1</v>
          </cell>
          <cell r="AT456" t="str">
            <v xml:space="preserve"> ARGOLLITA + TIRA CON REMACHE + GRABADO ESTRELLA</v>
          </cell>
          <cell r="AU456" t="str">
            <v xml:space="preserve"> LA HEBILLA VA FORRADA EN GAMUZA</v>
          </cell>
          <cell r="AW456" t="str">
            <v>GRABADO "EL LUCERO " GRANDE - EN ZOCALO DE BOLSILLO INTERNO, CENTRADO ABAJO</v>
          </cell>
          <cell r="AX456" t="str">
            <v>GrisMedio</v>
          </cell>
          <cell r="AY456" t="str">
            <v>NAPOLITANA-CUERO GAMUZA</v>
          </cell>
          <cell r="AZ456" t="str">
            <v>CUE0000041</v>
          </cell>
          <cell r="BA456">
            <v>0.71</v>
          </cell>
          <cell r="BB456" t="str">
            <v>AV0100010209</v>
          </cell>
          <cell r="BC456">
            <v>0.2</v>
          </cell>
          <cell r="BR456" t="str">
            <v>TABACO</v>
          </cell>
          <cell r="BS456" t="str">
            <v>NAPOLITANA-CUERO GAMUZA</v>
          </cell>
          <cell r="BT456" t="str">
            <v>CUE0000050</v>
          </cell>
          <cell r="BU456">
            <v>0.71</v>
          </cell>
          <cell r="BV456" t="str">
            <v>AV0100010214</v>
          </cell>
          <cell r="BW456">
            <v>0.2</v>
          </cell>
          <cell r="KD456">
            <v>6</v>
          </cell>
          <cell r="KE456">
            <v>6</v>
          </cell>
          <cell r="KF456">
            <v>6</v>
          </cell>
          <cell r="KG456">
            <v>2</v>
          </cell>
          <cell r="KH456">
            <v>2</v>
          </cell>
          <cell r="KI456">
            <v>2</v>
          </cell>
          <cell r="KJ456">
            <v>0</v>
          </cell>
          <cell r="KK456">
            <v>0</v>
          </cell>
          <cell r="KM456">
            <v>0</v>
          </cell>
          <cell r="KP456">
            <v>0</v>
          </cell>
          <cell r="KS456">
            <v>0</v>
          </cell>
          <cell r="KV456">
            <v>0</v>
          </cell>
          <cell r="KY456">
            <v>0</v>
          </cell>
          <cell r="LB456">
            <v>0</v>
          </cell>
          <cell r="LE456">
            <v>0</v>
          </cell>
          <cell r="LH456">
            <v>0</v>
          </cell>
          <cell r="LK456">
            <v>0</v>
          </cell>
          <cell r="LN456">
            <v>45964</v>
          </cell>
          <cell r="LO456">
            <v>45979</v>
          </cell>
          <cell r="LP456" t="str">
            <v>COMPLETADO</v>
          </cell>
          <cell r="LQ456" t="str">
            <v>SI NO HAY METAL ALUMINIO</v>
          </cell>
        </row>
        <row r="457">
          <cell r="A457" t="str">
            <v>2098-A</v>
          </cell>
          <cell r="B457" t="str">
            <v>RUBEN</v>
          </cell>
          <cell r="C457" t="str">
            <v>BARRACAS GRANDE</v>
          </cell>
          <cell r="D457" t="str">
            <v>MARROQUINERIA GRANDE</v>
          </cell>
          <cell r="E457">
            <v>22</v>
          </cell>
          <cell r="F457">
            <v>22</v>
          </cell>
          <cell r="G457">
            <v>22</v>
          </cell>
          <cell r="H457">
            <v>45960.539189814815</v>
          </cell>
          <cell r="I457" t="str">
            <v>CARTERA LEANDRA</v>
          </cell>
          <cell r="J457">
            <v>45965</v>
          </cell>
          <cell r="K457">
            <v>45961</v>
          </cell>
          <cell r="L457">
            <v>45965</v>
          </cell>
          <cell r="M457">
            <v>40</v>
          </cell>
          <cell r="N457" t="str">
            <v>M042</v>
          </cell>
          <cell r="O457" t="str">
            <v>AV0101030201</v>
          </cell>
          <cell r="P457">
            <v>1</v>
          </cell>
          <cell r="Q457" t="str">
            <v>AV1000380101</v>
          </cell>
          <cell r="R457">
            <v>1</v>
          </cell>
          <cell r="S457" t="str">
            <v>AV0300390101</v>
          </cell>
          <cell r="T457">
            <v>1</v>
          </cell>
          <cell r="U457" t="str">
            <v>AV0300400101</v>
          </cell>
          <cell r="V457">
            <v>2</v>
          </cell>
          <cell r="W457" t="str">
            <v>BAC1300020827</v>
          </cell>
          <cell r="X457">
            <v>0.01</v>
          </cell>
          <cell r="Y457" t="str">
            <v>AV1000780101</v>
          </cell>
          <cell r="Z457">
            <v>2</v>
          </cell>
          <cell r="AA457" t="str">
            <v>AV0400980101</v>
          </cell>
          <cell r="AB457">
            <v>1</v>
          </cell>
          <cell r="AC457" t="str">
            <v>AV170129018</v>
          </cell>
          <cell r="AD457">
            <v>0</v>
          </cell>
          <cell r="AS457" t="str">
            <v>TIRACIERRE 1 CON ARGOLLITA: TIRA DE CUERO + REMACHE + GRABADO ESTRELLA</v>
          </cell>
          <cell r="AW457" t="str">
            <v xml:space="preserve">GRABADO EL LUCERO GRANDE ATRAS ABAJO    </v>
          </cell>
          <cell r="AX457" t="str">
            <v>CARAMELO</v>
          </cell>
          <cell r="AY457" t="str">
            <v>ARENA-CUERO NAPADO</v>
          </cell>
          <cell r="AZ457" t="str">
            <v>CUE0000022</v>
          </cell>
          <cell r="BA457">
            <v>0.22</v>
          </cell>
          <cell r="BB457" t="str">
            <v>AV1401240545</v>
          </cell>
          <cell r="BC457">
            <v>0</v>
          </cell>
          <cell r="BD457" t="str">
            <v>FOR0000021</v>
          </cell>
          <cell r="BE457">
            <v>0.11</v>
          </cell>
          <cell r="BF457" t="str">
            <v>AV0100010105</v>
          </cell>
          <cell r="BG457">
            <v>0.25</v>
          </cell>
          <cell r="BR457" t="str">
            <v>ROJO</v>
          </cell>
          <cell r="BS457" t="str">
            <v>ARENA-CUERO NAPADO</v>
          </cell>
          <cell r="BT457" t="str">
            <v>CUE0000027</v>
          </cell>
          <cell r="BU457">
            <v>0.22</v>
          </cell>
          <cell r="BV457" t="str">
            <v>AV1401244440</v>
          </cell>
          <cell r="BW457">
            <v>0</v>
          </cell>
          <cell r="BX457" t="str">
            <v>FOR0000020</v>
          </cell>
          <cell r="BY457">
            <v>0.11</v>
          </cell>
          <cell r="BZ457" t="str">
            <v>AV0100010113</v>
          </cell>
          <cell r="CA457">
            <v>0.25</v>
          </cell>
          <cell r="CL457" t="str">
            <v>NEGRO</v>
          </cell>
          <cell r="CM457" t="str">
            <v>ARENA-CUERO NAPADO</v>
          </cell>
          <cell r="CN457" t="str">
            <v>CUE0000026</v>
          </cell>
          <cell r="CO457">
            <v>0.22</v>
          </cell>
          <cell r="CP457" t="str">
            <v>AV1401244040</v>
          </cell>
          <cell r="CQ457">
            <v>0</v>
          </cell>
          <cell r="CR457" t="str">
            <v>FOR0000020</v>
          </cell>
          <cell r="CS457">
            <v>0.11</v>
          </cell>
          <cell r="CT457" t="str">
            <v>AV0100010103</v>
          </cell>
          <cell r="CU457">
            <v>0.25</v>
          </cell>
          <cell r="KD457">
            <v>6</v>
          </cell>
          <cell r="KE457">
            <v>6</v>
          </cell>
          <cell r="KF457">
            <v>6</v>
          </cell>
          <cell r="KG457">
            <v>12</v>
          </cell>
          <cell r="KH457">
            <v>12</v>
          </cell>
          <cell r="KI457">
            <v>12</v>
          </cell>
          <cell r="KJ457">
            <v>4</v>
          </cell>
          <cell r="KK457">
            <v>4</v>
          </cell>
          <cell r="KL457">
            <v>4</v>
          </cell>
          <cell r="KM457">
            <v>0</v>
          </cell>
          <cell r="KN457">
            <v>0</v>
          </cell>
          <cell r="KP457">
            <v>0</v>
          </cell>
          <cell r="KQ457">
            <v>0</v>
          </cell>
          <cell r="KS457">
            <v>0</v>
          </cell>
          <cell r="KV457">
            <v>0</v>
          </cell>
          <cell r="KY457">
            <v>0</v>
          </cell>
          <cell r="LB457">
            <v>0</v>
          </cell>
          <cell r="LE457">
            <v>0</v>
          </cell>
          <cell r="LH457">
            <v>0</v>
          </cell>
          <cell r="LK457">
            <v>0</v>
          </cell>
          <cell r="LN457">
            <v>45965</v>
          </cell>
          <cell r="LO457">
            <v>45972</v>
          </cell>
          <cell r="LP457" t="str">
            <v>COMPLETADO</v>
          </cell>
        </row>
        <row r="458">
          <cell r="A458">
            <v>17172</v>
          </cell>
          <cell r="B458" t="str">
            <v>LUCIANO</v>
          </cell>
          <cell r="C458" t="str">
            <v>EXT GABRIEL</v>
          </cell>
          <cell r="D458" t="str">
            <v>MARROQUINERIA CHICA</v>
          </cell>
          <cell r="E458">
            <v>20</v>
          </cell>
          <cell r="F458">
            <v>20</v>
          </cell>
          <cell r="G458">
            <v>20</v>
          </cell>
          <cell r="H458">
            <v>45962.868009259262</v>
          </cell>
          <cell r="I458" t="str">
            <v>TARJETERO ARIES</v>
          </cell>
          <cell r="J458">
            <v>45953</v>
          </cell>
          <cell r="K458">
            <v>45953</v>
          </cell>
          <cell r="L458">
            <v>45953</v>
          </cell>
          <cell r="M458">
            <v>10</v>
          </cell>
          <cell r="N458" t="str">
            <v>M123</v>
          </cell>
          <cell r="O458" t="str">
            <v>AV170134014</v>
          </cell>
          <cell r="P458">
            <v>0</v>
          </cell>
          <cell r="AW458" t="str">
            <v xml:space="preserve">GRABADO " EL LUCERO ARGENTINA" CHICO EN TIRA DEL FRENTE, CENTRADO   </v>
          </cell>
          <cell r="AX458" t="str">
            <v>VERDE</v>
          </cell>
          <cell r="AY458" t="str">
            <v>ARENA-CUERO NAPADO</v>
          </cell>
          <cell r="AZ458" t="str">
            <v>CUE0000030R</v>
          </cell>
          <cell r="BA458">
            <v>0.02</v>
          </cell>
          <cell r="BB458" t="str">
            <v>AV1401254260</v>
          </cell>
          <cell r="BC458">
            <v>0</v>
          </cell>
          <cell r="BD458" t="str">
            <v>AV1601300957</v>
          </cell>
          <cell r="BE458">
            <v>0</v>
          </cell>
          <cell r="KD458">
            <v>20</v>
          </cell>
          <cell r="KE458">
            <v>20</v>
          </cell>
          <cell r="KF458">
            <v>20</v>
          </cell>
          <cell r="KG458">
            <v>0</v>
          </cell>
          <cell r="KJ458">
            <v>0</v>
          </cell>
          <cell r="KM458">
            <v>0</v>
          </cell>
          <cell r="KP458">
            <v>0</v>
          </cell>
          <cell r="KS458">
            <v>0</v>
          </cell>
          <cell r="KV458">
            <v>0</v>
          </cell>
          <cell r="KY458">
            <v>0</v>
          </cell>
          <cell r="LB458">
            <v>0</v>
          </cell>
          <cell r="LE458">
            <v>0</v>
          </cell>
          <cell r="LH458">
            <v>0</v>
          </cell>
          <cell r="LK458">
            <v>0</v>
          </cell>
          <cell r="LN458">
            <v>45953</v>
          </cell>
          <cell r="LO458">
            <v>45958</v>
          </cell>
          <cell r="LP458" t="str">
            <v>COMPLETADO</v>
          </cell>
        </row>
        <row r="459">
          <cell r="A459" t="str">
            <v>2099-A</v>
          </cell>
          <cell r="B459" t="str">
            <v>RUBEN</v>
          </cell>
          <cell r="C459" t="str">
            <v>EXT GABRIEL</v>
          </cell>
          <cell r="D459" t="str">
            <v>MARROQUINERIA CHICA</v>
          </cell>
          <cell r="E459">
            <v>104</v>
          </cell>
          <cell r="F459">
            <v>44</v>
          </cell>
          <cell r="G459">
            <v>44</v>
          </cell>
          <cell r="H459">
            <v>45963.343900462962</v>
          </cell>
          <cell r="I459" t="str">
            <v>PORTAPASAPORTE CHESTER</v>
          </cell>
          <cell r="J459">
            <v>45967</v>
          </cell>
          <cell r="K459">
            <v>45967</v>
          </cell>
          <cell r="L459">
            <v>45968</v>
          </cell>
          <cell r="M459">
            <v>10</v>
          </cell>
          <cell r="N459" t="str">
            <v>M104</v>
          </cell>
          <cell r="O459" t="str">
            <v>AV170134014</v>
          </cell>
          <cell r="P459">
            <v>0</v>
          </cell>
          <cell r="AW459" t="str">
            <v xml:space="preserve">GRABADO LUCERO ARGENTINA CHICO,CENTRADO EN ESPALDA A 1.5CM DEL BORDE INFERIOR  </v>
          </cell>
          <cell r="AX459" t="str">
            <v>ROJO</v>
          </cell>
          <cell r="AY459" t="str">
            <v>ARENA-CUERO BRIDGE</v>
          </cell>
          <cell r="AZ459" t="str">
            <v>CUE0000010R</v>
          </cell>
          <cell r="BA459">
            <v>0.05</v>
          </cell>
          <cell r="BB459" t="str">
            <v>AV1401254460</v>
          </cell>
          <cell r="BC459">
            <v>0</v>
          </cell>
          <cell r="BR459" t="str">
            <v>AZUL_REVES_AZUL</v>
          </cell>
          <cell r="BS459" t="str">
            <v>BIANCO-CUERO MODENA ESPESOR 1,4</v>
          </cell>
          <cell r="BT459" t="str">
            <v>CUE0000119R</v>
          </cell>
          <cell r="BU459">
            <v>0.05</v>
          </cell>
          <cell r="BV459" t="str">
            <v>AV1401254360</v>
          </cell>
          <cell r="BW459">
            <v>0</v>
          </cell>
          <cell r="CL459" t="str">
            <v>VERDE_REVES_VERDE</v>
          </cell>
          <cell r="CM459" t="str">
            <v>BIANCO-CUERO MODENA ESPESOR 1,4</v>
          </cell>
          <cell r="CN459" t="str">
            <v>CUE0000118R</v>
          </cell>
          <cell r="CO459">
            <v>0.05</v>
          </cell>
          <cell r="CP459" t="str">
            <v>AV1401254260</v>
          </cell>
          <cell r="CQ459">
            <v>0</v>
          </cell>
          <cell r="DF459" t="str">
            <v>NEGRO</v>
          </cell>
          <cell r="DG459" t="str">
            <v>ARENA-CUERO BRIDGE</v>
          </cell>
          <cell r="DH459" t="str">
            <v>CUE0000009R</v>
          </cell>
          <cell r="DI459">
            <v>0.05</v>
          </cell>
          <cell r="DJ459" t="str">
            <v>AV1401254060</v>
          </cell>
          <cell r="DK459">
            <v>0</v>
          </cell>
          <cell r="KD459">
            <v>24</v>
          </cell>
          <cell r="KE459">
            <v>24</v>
          </cell>
          <cell r="KF459">
            <v>24</v>
          </cell>
          <cell r="KG459">
            <v>30</v>
          </cell>
          <cell r="KH459">
            <v>0</v>
          </cell>
          <cell r="KI459">
            <v>0</v>
          </cell>
          <cell r="KJ459">
            <v>30</v>
          </cell>
          <cell r="KK459">
            <v>0</v>
          </cell>
          <cell r="KL459">
            <v>0</v>
          </cell>
          <cell r="KM459">
            <v>20</v>
          </cell>
          <cell r="KN459">
            <v>20</v>
          </cell>
          <cell r="KO459">
            <v>20</v>
          </cell>
          <cell r="KP459">
            <v>0</v>
          </cell>
          <cell r="KQ459">
            <v>0</v>
          </cell>
          <cell r="KS459">
            <v>0</v>
          </cell>
          <cell r="KV459">
            <v>0</v>
          </cell>
          <cell r="KY459">
            <v>0</v>
          </cell>
          <cell r="LB459">
            <v>0</v>
          </cell>
          <cell r="LE459">
            <v>0</v>
          </cell>
          <cell r="LH459">
            <v>0</v>
          </cell>
          <cell r="LK459">
            <v>0</v>
          </cell>
          <cell r="LN459">
            <v>45967</v>
          </cell>
          <cell r="LO459">
            <v>45972</v>
          </cell>
          <cell r="LP459" t="str">
            <v>COMPLETADO</v>
          </cell>
        </row>
        <row r="460">
          <cell r="A460" t="str">
            <v>2101-A</v>
          </cell>
          <cell r="B460" t="str">
            <v>LUCIANO</v>
          </cell>
          <cell r="C460" t="str">
            <v>EXT GABRIEL</v>
          </cell>
          <cell r="D460" t="str">
            <v>MARROQUINERIA CHICA</v>
          </cell>
          <cell r="E460">
            <v>40</v>
          </cell>
          <cell r="F460">
            <v>40</v>
          </cell>
          <cell r="G460">
            <v>40</v>
          </cell>
          <cell r="H460">
            <v>45963.378703703704</v>
          </cell>
          <cell r="I460" t="str">
            <v>TARJETERO HARRY</v>
          </cell>
          <cell r="J460">
            <v>45978</v>
          </cell>
          <cell r="K460">
            <v>45961</v>
          </cell>
          <cell r="L460">
            <v>45981</v>
          </cell>
          <cell r="M460">
            <v>20</v>
          </cell>
          <cell r="N460" t="str">
            <v>M125</v>
          </cell>
          <cell r="O460" t="str">
            <v>AV170134014</v>
          </cell>
          <cell r="P460">
            <v>0</v>
          </cell>
          <cell r="AW460" t="str">
            <v xml:space="preserve">GRABADO " EL LUCERO ARGENTINA" CHICO ENINTERIOR CENTRADO SOBRE LA DERECHA (VER MUESTRA)   </v>
          </cell>
          <cell r="AX460" t="str">
            <v>MALBEC</v>
          </cell>
          <cell r="AY460" t="str">
            <v>ARENA-CUERO BRIDGE</v>
          </cell>
          <cell r="AZ460" t="str">
            <v>CUE0000008R</v>
          </cell>
          <cell r="BA460">
            <v>0.05</v>
          </cell>
          <cell r="BB460">
            <v>0</v>
          </cell>
          <cell r="BC460">
            <v>0.02</v>
          </cell>
          <cell r="BD460" t="str">
            <v>FOR0000019</v>
          </cell>
          <cell r="BE460">
            <v>0.05</v>
          </cell>
          <cell r="BF460" t="str">
            <v>AV1401250545</v>
          </cell>
          <cell r="BG460">
            <v>0</v>
          </cell>
          <cell r="BR460" t="str">
            <v>NEGRO</v>
          </cell>
          <cell r="BS460" t="str">
            <v>ARENA-CUERO BRIDGE</v>
          </cell>
          <cell r="BT460" t="str">
            <v>CUE0000009R</v>
          </cell>
          <cell r="BU460">
            <v>0.05</v>
          </cell>
          <cell r="BV460">
            <v>0</v>
          </cell>
          <cell r="BW460">
            <v>0.02</v>
          </cell>
          <cell r="BX460" t="str">
            <v>FOR0000019</v>
          </cell>
          <cell r="BY460">
            <v>0.05</v>
          </cell>
          <cell r="BZ460" t="str">
            <v>AV1401254060</v>
          </cell>
          <cell r="CA460">
            <v>0</v>
          </cell>
          <cell r="CL460" t="str">
            <v>ROJO</v>
          </cell>
          <cell r="CM460" t="str">
            <v>ARENA-CUERO BRIDGE</v>
          </cell>
          <cell r="CN460" t="str">
            <v>CUE0000010R</v>
          </cell>
          <cell r="CO460">
            <v>0.05</v>
          </cell>
          <cell r="CP460">
            <v>0</v>
          </cell>
          <cell r="CQ460">
            <v>0.02</v>
          </cell>
          <cell r="CR460" t="str">
            <v>FOR0000019</v>
          </cell>
          <cell r="CS460">
            <v>0.05</v>
          </cell>
          <cell r="CT460" t="str">
            <v>AV1401254460</v>
          </cell>
          <cell r="CU460">
            <v>0</v>
          </cell>
          <cell r="KD460">
            <v>12</v>
          </cell>
          <cell r="KE460">
            <v>12</v>
          </cell>
          <cell r="KF460">
            <v>12</v>
          </cell>
          <cell r="KG460">
            <v>14</v>
          </cell>
          <cell r="KH460">
            <v>14</v>
          </cell>
          <cell r="KI460">
            <v>14</v>
          </cell>
          <cell r="KJ460">
            <v>14</v>
          </cell>
          <cell r="KK460">
            <v>14</v>
          </cell>
          <cell r="KL460">
            <v>14</v>
          </cell>
          <cell r="KM460">
            <v>0</v>
          </cell>
          <cell r="KP460">
            <v>0</v>
          </cell>
          <cell r="KS460">
            <v>0</v>
          </cell>
          <cell r="KV460">
            <v>0</v>
          </cell>
          <cell r="KY460">
            <v>0</v>
          </cell>
          <cell r="LB460">
            <v>0</v>
          </cell>
          <cell r="LE460">
            <v>0</v>
          </cell>
          <cell r="LH460">
            <v>0</v>
          </cell>
          <cell r="LK460">
            <v>0</v>
          </cell>
          <cell r="LN460">
            <v>45978</v>
          </cell>
          <cell r="LO460">
            <v>45987</v>
          </cell>
          <cell r="LP460" t="str">
            <v>COMPLETADO</v>
          </cell>
        </row>
        <row r="461">
          <cell r="A461" t="str">
            <v>2102-A</v>
          </cell>
          <cell r="B461" t="str">
            <v>LUCIANO</v>
          </cell>
          <cell r="C461" t="str">
            <v>PERDRIEL</v>
          </cell>
          <cell r="D461" t="str">
            <v>MARROQUINERIA CHICA</v>
          </cell>
          <cell r="E461">
            <v>50</v>
          </cell>
          <cell r="F461">
            <v>50</v>
          </cell>
          <cell r="G461">
            <v>50</v>
          </cell>
          <cell r="H461">
            <v>45963.395312499997</v>
          </cell>
          <cell r="I461" t="str">
            <v>TARJETERO JUAN</v>
          </cell>
          <cell r="J461">
            <v>45972</v>
          </cell>
          <cell r="K461">
            <v>45971</v>
          </cell>
          <cell r="L461">
            <v>45972</v>
          </cell>
          <cell r="M461">
            <v>22</v>
          </cell>
          <cell r="N461" t="str">
            <v>M126</v>
          </cell>
          <cell r="O461" t="str">
            <v>AV170134014</v>
          </cell>
          <cell r="P461">
            <v>0</v>
          </cell>
          <cell r="AW461" t="str">
            <v xml:space="preserve">GRABADO "EL LUCERO ARG." EN FRENTE CENTRADO   </v>
          </cell>
          <cell r="AX461" t="str">
            <v>MALBEC</v>
          </cell>
          <cell r="AY461" t="str">
            <v>ARENA-CUERO BRIDGE</v>
          </cell>
          <cell r="AZ461" t="str">
            <v>CUE0000008R</v>
          </cell>
          <cell r="BA461">
            <v>0.06</v>
          </cell>
          <cell r="BB461" t="str">
            <v>AV1401250545</v>
          </cell>
          <cell r="BC461">
            <v>0</v>
          </cell>
          <cell r="BR461" t="str">
            <v>NEGRO</v>
          </cell>
          <cell r="BS461" t="str">
            <v>ARENA-CUERO BRIDGE</v>
          </cell>
          <cell r="BT461" t="str">
            <v>CUE0000009R</v>
          </cell>
          <cell r="BU461">
            <v>0.06</v>
          </cell>
          <cell r="BV461" t="str">
            <v>AV1401254060</v>
          </cell>
          <cell r="BW461">
            <v>0</v>
          </cell>
          <cell r="CL461" t="str">
            <v>ROJO</v>
          </cell>
          <cell r="CM461" t="str">
            <v>ARENA-CUERO BRIDGE</v>
          </cell>
          <cell r="CN461" t="str">
            <v>CUE0000010R</v>
          </cell>
          <cell r="CO461">
            <v>0.06</v>
          </cell>
          <cell r="CP461" t="str">
            <v>AV1401250545</v>
          </cell>
          <cell r="CQ461">
            <v>0</v>
          </cell>
          <cell r="DF461" t="str">
            <v>TABACO</v>
          </cell>
          <cell r="DG461" t="str">
            <v>ARENA-CUERO BRIDGE</v>
          </cell>
          <cell r="DH461" t="str">
            <v>CUE0000012R</v>
          </cell>
          <cell r="DI461">
            <v>0.06</v>
          </cell>
          <cell r="DJ461" t="str">
            <v>AV1401250545</v>
          </cell>
          <cell r="DK461">
            <v>0</v>
          </cell>
          <cell r="KD461">
            <v>6</v>
          </cell>
          <cell r="KE461">
            <v>6</v>
          </cell>
          <cell r="KF461">
            <v>6</v>
          </cell>
          <cell r="KG461">
            <v>14</v>
          </cell>
          <cell r="KH461">
            <v>14</v>
          </cell>
          <cell r="KI461">
            <v>14</v>
          </cell>
          <cell r="KJ461">
            <v>20</v>
          </cell>
          <cell r="KK461">
            <v>20</v>
          </cell>
          <cell r="KL461">
            <v>20</v>
          </cell>
          <cell r="KM461">
            <v>10</v>
          </cell>
          <cell r="KN461">
            <v>10</v>
          </cell>
          <cell r="KO461">
            <v>10</v>
          </cell>
          <cell r="KP461">
            <v>0</v>
          </cell>
          <cell r="KS461">
            <v>0</v>
          </cell>
          <cell r="KV461">
            <v>0</v>
          </cell>
          <cell r="KY461">
            <v>0</v>
          </cell>
          <cell r="LB461">
            <v>0</v>
          </cell>
          <cell r="LE461">
            <v>0</v>
          </cell>
          <cell r="LH461">
            <v>0</v>
          </cell>
          <cell r="LK461">
            <v>0</v>
          </cell>
          <cell r="LN461">
            <v>45971</v>
          </cell>
          <cell r="LO461">
            <v>45980</v>
          </cell>
          <cell r="LP461" t="str">
            <v>COMPLETADO</v>
          </cell>
        </row>
        <row r="462">
          <cell r="A462" t="str">
            <v>2103-A</v>
          </cell>
          <cell r="B462" t="str">
            <v>LUCIANO</v>
          </cell>
          <cell r="C462" t="str">
            <v>BARRACAS CHICA</v>
          </cell>
          <cell r="D462" t="str">
            <v>MARROQUINERIA CHICA</v>
          </cell>
          <cell r="E462">
            <v>18</v>
          </cell>
          <cell r="F462">
            <v>18</v>
          </cell>
          <cell r="G462">
            <v>18</v>
          </cell>
          <cell r="H462">
            <v>45963.398715277777</v>
          </cell>
          <cell r="I462" t="str">
            <v>KENNY NUEVA</v>
          </cell>
          <cell r="J462">
            <v>45964</v>
          </cell>
          <cell r="K462">
            <v>45964</v>
          </cell>
          <cell r="L462">
            <v>45979</v>
          </cell>
          <cell r="M462">
            <v>40</v>
          </cell>
          <cell r="N462" t="str">
            <v>M141</v>
          </cell>
          <cell r="O462" t="str">
            <v>AV170134014</v>
          </cell>
          <cell r="P462">
            <v>0</v>
          </cell>
          <cell r="Q462" t="str">
            <v>AV0101030201</v>
          </cell>
          <cell r="R462">
            <v>1</v>
          </cell>
          <cell r="S462" t="str">
            <v>AV0600540101</v>
          </cell>
          <cell r="T462">
            <v>1</v>
          </cell>
          <cell r="AS462" t="str">
            <v>TIRACIERRE LUCERO GRANDE</v>
          </cell>
          <cell r="AW462" t="str">
            <v xml:space="preserve">GRABADO "EL LUCERO"MEDIANO EN EL FRENTE CENTRADO  </v>
          </cell>
          <cell r="AX462" t="str">
            <v>MALBEC</v>
          </cell>
          <cell r="AY462" t="str">
            <v>ARENA-CUERO BRIDGE</v>
          </cell>
          <cell r="AZ462" t="str">
            <v>CUE0000008R</v>
          </cell>
          <cell r="BA462">
            <v>0.1</v>
          </cell>
          <cell r="BB462" t="str">
            <v>AV0100010161</v>
          </cell>
          <cell r="BC462">
            <v>0.4</v>
          </cell>
          <cell r="BD462" t="str">
            <v>FOR0000016</v>
          </cell>
          <cell r="BE462">
            <v>0.1</v>
          </cell>
          <cell r="BR462" t="str">
            <v>ROJO</v>
          </cell>
          <cell r="BS462" t="str">
            <v>ARENA-CUERO BRIDGE</v>
          </cell>
          <cell r="BT462" t="str">
            <v>CUE0000010R</v>
          </cell>
          <cell r="BU462">
            <v>0.1</v>
          </cell>
          <cell r="BV462" t="str">
            <v>AV0100010113</v>
          </cell>
          <cell r="BW462">
            <v>0.4</v>
          </cell>
          <cell r="BX462" t="str">
            <v>FOR0000016</v>
          </cell>
          <cell r="BY462">
            <v>0.1</v>
          </cell>
          <cell r="KD462">
            <v>6</v>
          </cell>
          <cell r="KE462">
            <v>6</v>
          </cell>
          <cell r="KF462">
            <v>6</v>
          </cell>
          <cell r="KG462">
            <v>12</v>
          </cell>
          <cell r="KH462">
            <v>12</v>
          </cell>
          <cell r="KI462">
            <v>12</v>
          </cell>
          <cell r="KJ462">
            <v>0</v>
          </cell>
          <cell r="KM462">
            <v>0</v>
          </cell>
          <cell r="KP462">
            <v>0</v>
          </cell>
          <cell r="KS462">
            <v>0</v>
          </cell>
          <cell r="KV462">
            <v>0</v>
          </cell>
          <cell r="KY462">
            <v>0</v>
          </cell>
          <cell r="LB462">
            <v>0</v>
          </cell>
          <cell r="LE462">
            <v>0</v>
          </cell>
          <cell r="LH462">
            <v>0</v>
          </cell>
          <cell r="LK462">
            <v>0</v>
          </cell>
          <cell r="LN462">
            <v>45978</v>
          </cell>
          <cell r="LO462">
            <v>45987</v>
          </cell>
          <cell r="LP462" t="str">
            <v>COMPLETADO</v>
          </cell>
        </row>
        <row r="463">
          <cell r="A463" t="str">
            <v>2104-A</v>
          </cell>
          <cell r="B463" t="str">
            <v>LUCIANO</v>
          </cell>
          <cell r="C463" t="str">
            <v>EXT GABRIEL</v>
          </cell>
          <cell r="D463" t="str">
            <v>MARROQUINERIA CHICA</v>
          </cell>
          <cell r="E463">
            <v>36</v>
          </cell>
          <cell r="F463">
            <v>14</v>
          </cell>
          <cell r="G463">
            <v>14</v>
          </cell>
          <cell r="H463">
            <v>45963.413472222222</v>
          </cell>
          <cell r="I463" t="str">
            <v>TARJETERO RUBI</v>
          </cell>
          <cell r="J463">
            <v>45967</v>
          </cell>
          <cell r="K463">
            <v>45964</v>
          </cell>
          <cell r="L463">
            <v>45981</v>
          </cell>
          <cell r="M463">
            <v>10</v>
          </cell>
          <cell r="N463" t="str">
            <v>M129</v>
          </cell>
          <cell r="O463" t="str">
            <v>VAR0000052</v>
          </cell>
          <cell r="P463">
            <v>1</v>
          </cell>
          <cell r="Q463" t="str">
            <v>AV170134014</v>
          </cell>
          <cell r="R463">
            <v>0</v>
          </cell>
          <cell r="AW463" t="str">
            <v xml:space="preserve">GRABADO "EL LUCERO ARGENTINA " EN ESPALDA CENTRADO, BORDE INFERIOR </v>
          </cell>
          <cell r="AX463" t="str">
            <v>AZUL_REVES_AZUL</v>
          </cell>
          <cell r="AY463" t="str">
            <v>BIANCO-CUERO MODENA ESPESOR 1,4</v>
          </cell>
          <cell r="AZ463" t="str">
            <v>CUE0000119R</v>
          </cell>
          <cell r="BA463">
            <v>0.03</v>
          </cell>
          <cell r="BB463" t="str">
            <v>AV1401254360</v>
          </cell>
          <cell r="BC463">
            <v>0</v>
          </cell>
          <cell r="BR463" t="str">
            <v>VERDE_REVES_VERDE</v>
          </cell>
          <cell r="BS463" t="str">
            <v>BIANCO-CUERO MODENA ESPESOR 1,4</v>
          </cell>
          <cell r="BT463" t="str">
            <v>CUE0000118R</v>
          </cell>
          <cell r="BU463">
            <v>0.03</v>
          </cell>
          <cell r="BV463" t="str">
            <v>AV1401254260</v>
          </cell>
          <cell r="BW463">
            <v>0</v>
          </cell>
          <cell r="CL463" t="str">
            <v>ROJO</v>
          </cell>
          <cell r="CM463" t="str">
            <v>ARENA-CUERO BRIDGE</v>
          </cell>
          <cell r="CN463" t="str">
            <v>CUE0000010R</v>
          </cell>
          <cell r="CO463">
            <v>0.03</v>
          </cell>
          <cell r="CP463" t="str">
            <v>AV1401254460</v>
          </cell>
          <cell r="CQ463">
            <v>0</v>
          </cell>
          <cell r="KD463">
            <v>12</v>
          </cell>
          <cell r="KE463">
            <v>0</v>
          </cell>
          <cell r="KF463">
            <v>0</v>
          </cell>
          <cell r="KG463">
            <v>10</v>
          </cell>
          <cell r="KH463">
            <v>0</v>
          </cell>
          <cell r="KI463">
            <v>0</v>
          </cell>
          <cell r="KJ463">
            <v>14</v>
          </cell>
          <cell r="KK463">
            <v>14</v>
          </cell>
          <cell r="KL463">
            <v>14</v>
          </cell>
          <cell r="KP463">
            <v>0</v>
          </cell>
          <cell r="KS463">
            <v>0</v>
          </cell>
          <cell r="KV463">
            <v>0</v>
          </cell>
          <cell r="KY463">
            <v>0</v>
          </cell>
          <cell r="LB463">
            <v>0</v>
          </cell>
          <cell r="LE463">
            <v>0</v>
          </cell>
          <cell r="LH463">
            <v>0</v>
          </cell>
          <cell r="LK463">
            <v>0</v>
          </cell>
          <cell r="LN463">
            <v>45978</v>
          </cell>
          <cell r="LO463">
            <v>45987</v>
          </cell>
          <cell r="LP463" t="str">
            <v>COMPLETADO</v>
          </cell>
        </row>
        <row r="464">
          <cell r="A464" t="str">
            <v>2109-A</v>
          </cell>
          <cell r="B464" t="str">
            <v>LUCIANO</v>
          </cell>
          <cell r="C464" t="str">
            <v>BARRACAS CHICA</v>
          </cell>
          <cell r="D464" t="str">
            <v>MARROQUINERIA CHICA</v>
          </cell>
          <cell r="E464">
            <v>10</v>
          </cell>
          <cell r="F464">
            <v>10</v>
          </cell>
          <cell r="G464">
            <v>10</v>
          </cell>
          <cell r="H464">
            <v>45963.524502314816</v>
          </cell>
          <cell r="I464" t="str">
            <v>NECESSAIRE TOM</v>
          </cell>
          <cell r="J464">
            <v>45964</v>
          </cell>
          <cell r="K464">
            <v>45964</v>
          </cell>
          <cell r="L464">
            <v>45972</v>
          </cell>
          <cell r="M464">
            <v>26</v>
          </cell>
          <cell r="N464" t="str">
            <v>M138</v>
          </cell>
          <cell r="O464" t="str">
            <v>AV170134014</v>
          </cell>
          <cell r="P464">
            <v>0</v>
          </cell>
          <cell r="Q464" t="str">
            <v>AV0101040201</v>
          </cell>
          <cell r="R464">
            <v>1</v>
          </cell>
          <cell r="S464" t="str">
            <v>AV0300400101</v>
          </cell>
          <cell r="T464">
            <v>1</v>
          </cell>
          <cell r="AS464" t="str">
            <v>TIRACIERRE N 2 - VUELTA DE TIRA DE CUERO CON REMACHE + GRABADO "L"</v>
          </cell>
          <cell r="AW464" t="str">
            <v xml:space="preserve">GRABADO EL LUCERO ARGENTINA GRANDE: EN LATERAL DERECHO, CENTRADO IDEM MUESTRA  </v>
          </cell>
          <cell r="AX464" t="str">
            <v>CARAMELO</v>
          </cell>
          <cell r="AY464" t="str">
            <v>ARENA-CUERO BRIDGE</v>
          </cell>
          <cell r="AZ464" t="str">
            <v>CUE0000004R</v>
          </cell>
          <cell r="BA464">
            <v>0.1</v>
          </cell>
          <cell r="BB464" t="str">
            <v>FOR0000021</v>
          </cell>
          <cell r="BC464">
            <v>7.0000000000000007E-2</v>
          </cell>
          <cell r="BD464" t="str">
            <v>AV0100010105</v>
          </cell>
          <cell r="BE464">
            <v>0.32</v>
          </cell>
          <cell r="BR464" t="str">
            <v>CHOCOLATE</v>
          </cell>
          <cell r="BS464" t="str">
            <v>ARENA-CUERO BRIDGE</v>
          </cell>
          <cell r="BT464" t="str">
            <v>CUE0000005R</v>
          </cell>
          <cell r="BU464">
            <v>0.1</v>
          </cell>
          <cell r="BV464" t="str">
            <v>FOR0000021</v>
          </cell>
          <cell r="BW464">
            <v>7.0000000000000007E-2</v>
          </cell>
          <cell r="BX464" t="str">
            <v>AV0100010111</v>
          </cell>
          <cell r="BY464">
            <v>0.32</v>
          </cell>
          <cell r="KD464">
            <v>4</v>
          </cell>
          <cell r="KE464">
            <v>4</v>
          </cell>
          <cell r="KF464">
            <v>4</v>
          </cell>
          <cell r="KG464">
            <v>6</v>
          </cell>
          <cell r="KH464">
            <v>6</v>
          </cell>
          <cell r="KI464">
            <v>6</v>
          </cell>
          <cell r="KJ464">
            <v>0</v>
          </cell>
          <cell r="KM464">
            <v>0</v>
          </cell>
          <cell r="KP464">
            <v>0</v>
          </cell>
          <cell r="KS464">
            <v>0</v>
          </cell>
          <cell r="KV464">
            <v>0</v>
          </cell>
          <cell r="KY464">
            <v>0</v>
          </cell>
          <cell r="LB464">
            <v>0</v>
          </cell>
          <cell r="LE464">
            <v>0</v>
          </cell>
          <cell r="LH464">
            <v>0</v>
          </cell>
          <cell r="LK464">
            <v>0</v>
          </cell>
          <cell r="LN464">
            <v>45971</v>
          </cell>
          <cell r="LO464">
            <v>45980</v>
          </cell>
          <cell r="LP464" t="str">
            <v>COMPLETADO</v>
          </cell>
        </row>
        <row r="465">
          <cell r="A465" t="str">
            <v>2110-A</v>
          </cell>
          <cell r="B465" t="str">
            <v>LUCIANO</v>
          </cell>
          <cell r="C465" t="str">
            <v>PERDRIEL</v>
          </cell>
          <cell r="D465" t="str">
            <v>MARROQUINERIA CHICA</v>
          </cell>
          <cell r="E465">
            <v>3</v>
          </cell>
          <cell r="F465">
            <v>3</v>
          </cell>
          <cell r="H465">
            <v>45963.52753472222</v>
          </cell>
          <cell r="I465" t="str">
            <v>PILUSO HILDA PELO</v>
          </cell>
          <cell r="M465">
            <v>22</v>
          </cell>
          <cell r="N465" t="str">
            <v>M191</v>
          </cell>
          <cell r="O465" t="str">
            <v>VAR0000032</v>
          </cell>
          <cell r="P465">
            <v>1</v>
          </cell>
          <cell r="Q465" t="str">
            <v>AV170134014</v>
          </cell>
          <cell r="R465">
            <v>0</v>
          </cell>
          <cell r="AS465" t="str">
            <v>SIN PINTUTURA</v>
          </cell>
          <cell r="AX465" t="str">
            <v>PELO_HEREFORD</v>
          </cell>
          <cell r="AY465" t="str">
            <v>LEDER-PELO</v>
          </cell>
          <cell r="AZ465" t="str">
            <v>CUE0000117R</v>
          </cell>
          <cell r="BA465">
            <v>0.22</v>
          </cell>
          <cell r="KD465">
            <v>3</v>
          </cell>
          <cell r="KE465">
            <v>3</v>
          </cell>
          <cell r="KG465">
            <v>0</v>
          </cell>
          <cell r="KJ465">
            <v>0</v>
          </cell>
          <cell r="KM465">
            <v>0</v>
          </cell>
          <cell r="KP465">
            <v>0</v>
          </cell>
          <cell r="KS465">
            <v>0</v>
          </cell>
          <cell r="KV465">
            <v>0</v>
          </cell>
          <cell r="KY465">
            <v>0</v>
          </cell>
          <cell r="LB465">
            <v>0</v>
          </cell>
          <cell r="LE465">
            <v>0</v>
          </cell>
          <cell r="LH465">
            <v>0</v>
          </cell>
          <cell r="LK465">
            <v>0</v>
          </cell>
          <cell r="LP465" t="str">
            <v>NO COMENZADO</v>
          </cell>
        </row>
        <row r="466">
          <cell r="A466" t="str">
            <v>2100-A</v>
          </cell>
          <cell r="B466" t="str">
            <v>LUCIANO</v>
          </cell>
          <cell r="C466" t="str">
            <v>EXT GABRIEL</v>
          </cell>
          <cell r="D466" t="str">
            <v>MARROQUINERIA CHICA</v>
          </cell>
          <cell r="E466">
            <v>42</v>
          </cell>
          <cell r="F466">
            <v>42</v>
          </cell>
          <cell r="G466">
            <v>28</v>
          </cell>
          <cell r="H466">
            <v>45964.50445601852</v>
          </cell>
          <cell r="I466" t="str">
            <v>PORTAPASAPORTE CHESTER BI FAZ</v>
          </cell>
          <cell r="J466">
            <v>45967</v>
          </cell>
          <cell r="K466">
            <v>45967</v>
          </cell>
          <cell r="L466">
            <v>45968</v>
          </cell>
          <cell r="M466">
            <v>10</v>
          </cell>
          <cell r="N466" t="str">
            <v>M179</v>
          </cell>
          <cell r="O466" t="str">
            <v>AV170134014</v>
          </cell>
          <cell r="P466">
            <v>0</v>
          </cell>
          <cell r="AW466" t="str">
            <v>GRABADO LUCERO ARGENTINA CHICO, CENTRADO EN ESPALDA A 1.5CM DEL BORDE INFERIOR</v>
          </cell>
          <cell r="AX466" t="str">
            <v>VERDE_REVES_SUELA</v>
          </cell>
          <cell r="AY466" t="str">
            <v>BIANCO-CUERO MODENA ESPESOR 1,4</v>
          </cell>
          <cell r="AZ466" t="str">
            <v>CUE0000148R</v>
          </cell>
          <cell r="BA466">
            <v>0.05</v>
          </cell>
          <cell r="BR466" t="str">
            <v>AZUL_REVES_SUELA</v>
          </cell>
          <cell r="BS466" t="str">
            <v>BIANCO-CUERO MODENA ESPESOR 1,4</v>
          </cell>
          <cell r="BT466" t="str">
            <v>CUE0000140R</v>
          </cell>
          <cell r="BU466">
            <v>0.05</v>
          </cell>
          <cell r="CL466" t="str">
            <v>NEGRO_REVES_SUELA</v>
          </cell>
          <cell r="CM466" t="str">
            <v>BIANCO-CUERO MODENA ESPESOR 1,4</v>
          </cell>
          <cell r="CN466" t="str">
            <v>CUE0000138R</v>
          </cell>
          <cell r="CO466">
            <v>0.05</v>
          </cell>
          <cell r="KD466">
            <v>14</v>
          </cell>
          <cell r="KE466">
            <v>14</v>
          </cell>
          <cell r="KF466">
            <v>14</v>
          </cell>
          <cell r="KG466">
            <v>14</v>
          </cell>
          <cell r="KH466">
            <v>14</v>
          </cell>
          <cell r="KI466">
            <v>14</v>
          </cell>
          <cell r="KJ466">
            <v>14</v>
          </cell>
          <cell r="KK466">
            <v>14</v>
          </cell>
          <cell r="KM466">
            <v>0</v>
          </cell>
          <cell r="KP466">
            <v>0</v>
          </cell>
          <cell r="KS466">
            <v>0</v>
          </cell>
          <cell r="KV466">
            <v>0</v>
          </cell>
          <cell r="KY466">
            <v>0</v>
          </cell>
          <cell r="LB466">
            <v>0</v>
          </cell>
          <cell r="LE466">
            <v>0</v>
          </cell>
          <cell r="LH466">
            <v>0</v>
          </cell>
          <cell r="LK466">
            <v>0</v>
          </cell>
          <cell r="LN466">
            <v>45967</v>
          </cell>
          <cell r="LO466">
            <v>45972</v>
          </cell>
          <cell r="LP466" t="str">
            <v>COMPLETADO</v>
          </cell>
        </row>
        <row r="467">
          <cell r="A467" t="str">
            <v>2105-A</v>
          </cell>
          <cell r="B467" t="str">
            <v>LUCIANO</v>
          </cell>
          <cell r="C467" t="str">
            <v>PERDRIEL</v>
          </cell>
          <cell r="D467" t="str">
            <v>MARROQUINERIA CHICA</v>
          </cell>
          <cell r="E467">
            <v>18</v>
          </cell>
          <cell r="F467">
            <v>18</v>
          </cell>
          <cell r="H467">
            <v>45964.577673611115</v>
          </cell>
          <cell r="I467" t="str">
            <v>BILLETERA MILO SIMPLE</v>
          </cell>
          <cell r="M467">
            <v>40</v>
          </cell>
          <cell r="N467" t="str">
            <v>M023</v>
          </cell>
          <cell r="O467" t="str">
            <v>BAC0900100161</v>
          </cell>
          <cell r="P467">
            <v>0.01</v>
          </cell>
          <cell r="Q467" t="str">
            <v>AV170134014</v>
          </cell>
          <cell r="R467">
            <v>0</v>
          </cell>
          <cell r="AS467" t="str">
            <v>SIN ELASTICO</v>
          </cell>
          <cell r="AW467" t="str">
            <v xml:space="preserve">GRABADO "LUCERO ARGENTINA" CHICO A 1 CMDEL BORDE INFERIOR, EN SOLAPA INTERNA   </v>
          </cell>
          <cell r="AX467" t="str">
            <v>AZUL_REVES_AZUL</v>
          </cell>
          <cell r="AY467" t="str">
            <v>BIANCO-CUERO MODENA ESPESOR 1,4</v>
          </cell>
          <cell r="AZ467" t="str">
            <v>CUE0000119R</v>
          </cell>
          <cell r="BA467">
            <v>0.09</v>
          </cell>
          <cell r="BB467" t="str">
            <v>FOR0000014</v>
          </cell>
          <cell r="BC467">
            <v>0.11</v>
          </cell>
          <cell r="BD467" t="str">
            <v>AV1401254360</v>
          </cell>
          <cell r="BE467">
            <v>0</v>
          </cell>
          <cell r="BF467" t="str">
            <v>AV1601300956</v>
          </cell>
          <cell r="BG467">
            <v>0</v>
          </cell>
          <cell r="BR467" t="str">
            <v>VERDE_REVES_VERDE</v>
          </cell>
          <cell r="BS467" t="str">
            <v>BIANCO-CUERO MODENA ESPESOR 1,4</v>
          </cell>
          <cell r="BT467" t="str">
            <v>CUE0000118R</v>
          </cell>
          <cell r="BU467">
            <v>0.09</v>
          </cell>
          <cell r="BV467" t="str">
            <v>FOR0000013</v>
          </cell>
          <cell r="BW467">
            <v>0.11</v>
          </cell>
          <cell r="BX467" t="str">
            <v>AV1401254260</v>
          </cell>
          <cell r="BY467">
            <v>0</v>
          </cell>
          <cell r="BZ467" t="str">
            <v>AV1601300957</v>
          </cell>
          <cell r="CA467">
            <v>0</v>
          </cell>
          <cell r="KD467">
            <v>6</v>
          </cell>
          <cell r="KE467">
            <v>6</v>
          </cell>
          <cell r="KG467">
            <v>12</v>
          </cell>
          <cell r="KH467">
            <v>12</v>
          </cell>
          <cell r="KJ467">
            <v>0</v>
          </cell>
          <cell r="KK467">
            <v>0</v>
          </cell>
          <cell r="KM467">
            <v>0</v>
          </cell>
          <cell r="KP467">
            <v>0</v>
          </cell>
          <cell r="KS467">
            <v>0</v>
          </cell>
          <cell r="KV467">
            <v>0</v>
          </cell>
          <cell r="KY467">
            <v>0</v>
          </cell>
          <cell r="LB467">
            <v>0</v>
          </cell>
          <cell r="LE467">
            <v>0</v>
          </cell>
          <cell r="LH467">
            <v>0</v>
          </cell>
          <cell r="LK467">
            <v>0</v>
          </cell>
          <cell r="LP467" t="str">
            <v>NO COMENZADO</v>
          </cell>
          <cell r="LQ467" t="str">
            <v>OJO REVISAR QUE EL COLOR NO SE LEVANTE</v>
          </cell>
        </row>
        <row r="468">
          <cell r="A468" t="str">
            <v>2106-A</v>
          </cell>
          <cell r="B468" t="str">
            <v>LUCIANO</v>
          </cell>
          <cell r="C468" t="str">
            <v>BARRACAS CHICA</v>
          </cell>
          <cell r="D468" t="str">
            <v>MARROQUINERIA CHICA</v>
          </cell>
          <cell r="E468">
            <v>10</v>
          </cell>
          <cell r="F468">
            <v>10</v>
          </cell>
          <cell r="G468">
            <v>10</v>
          </cell>
          <cell r="H468">
            <v>45964.582592592589</v>
          </cell>
          <cell r="I468" t="str">
            <v>LLAVERO INICIALES</v>
          </cell>
          <cell r="J468">
            <v>45964</v>
          </cell>
          <cell r="K468">
            <v>45964</v>
          </cell>
          <cell r="L468">
            <v>45972</v>
          </cell>
          <cell r="M468">
            <v>8</v>
          </cell>
          <cell r="N468" t="str">
            <v>M050</v>
          </cell>
          <cell r="O468" t="str">
            <v>BAC0200081126</v>
          </cell>
          <cell r="P468">
            <v>0.01</v>
          </cell>
          <cell r="Q468" t="str">
            <v>BAC1300020827</v>
          </cell>
          <cell r="R468">
            <v>0.01</v>
          </cell>
          <cell r="S468" t="str">
            <v>ALE06</v>
          </cell>
          <cell r="T468">
            <v>1</v>
          </cell>
          <cell r="U468" t="str">
            <v>AV170134014</v>
          </cell>
          <cell r="V468">
            <v>0</v>
          </cell>
          <cell r="AX468" t="str">
            <v>NEGRO</v>
          </cell>
          <cell r="AY468" t="str">
            <v>ARENA-CUERO NAPADO</v>
          </cell>
          <cell r="AZ468" t="str">
            <v>CUE0000026R</v>
          </cell>
          <cell r="BA468">
            <v>0.01</v>
          </cell>
          <cell r="BB468" t="str">
            <v>AV1401254060</v>
          </cell>
          <cell r="BC468">
            <v>0</v>
          </cell>
          <cell r="BR468" t="str">
            <v>ROJO</v>
          </cell>
          <cell r="BS468" t="str">
            <v>ARENA-CUERO NAPADO</v>
          </cell>
          <cell r="BT468" t="str">
            <v>CUE0000027R</v>
          </cell>
          <cell r="BU468">
            <v>0.01</v>
          </cell>
          <cell r="BV468" t="str">
            <v>AV1401254460</v>
          </cell>
          <cell r="BW468">
            <v>0</v>
          </cell>
          <cell r="KD468">
            <v>6</v>
          </cell>
          <cell r="KE468">
            <v>6</v>
          </cell>
          <cell r="KF468">
            <v>6</v>
          </cell>
          <cell r="KG468">
            <v>4</v>
          </cell>
          <cell r="KH468">
            <v>4</v>
          </cell>
          <cell r="KI468">
            <v>4</v>
          </cell>
          <cell r="KJ468">
            <v>0</v>
          </cell>
          <cell r="KK468">
            <v>0</v>
          </cell>
          <cell r="KM468">
            <v>0</v>
          </cell>
          <cell r="KN468">
            <v>0</v>
          </cell>
          <cell r="KP468">
            <v>0</v>
          </cell>
          <cell r="KS468">
            <v>0</v>
          </cell>
          <cell r="KV468">
            <v>0</v>
          </cell>
          <cell r="KY468">
            <v>0</v>
          </cell>
          <cell r="LB468">
            <v>0</v>
          </cell>
          <cell r="LE468">
            <v>0</v>
          </cell>
          <cell r="LH468">
            <v>0</v>
          </cell>
          <cell r="LK468">
            <v>0</v>
          </cell>
          <cell r="LN468">
            <v>45971</v>
          </cell>
          <cell r="LO468">
            <v>45980</v>
          </cell>
          <cell r="LP468" t="str">
            <v>COMPLETADO</v>
          </cell>
        </row>
        <row r="469">
          <cell r="A469" t="str">
            <v>2115-A</v>
          </cell>
          <cell r="B469" t="str">
            <v>RUBEN</v>
          </cell>
          <cell r="C469" t="str">
            <v>BARRACAS GRANDE</v>
          </cell>
          <cell r="D469" t="str">
            <v>MARROQUINERIA GRANDE</v>
          </cell>
          <cell r="E469">
            <v>20</v>
          </cell>
          <cell r="F469">
            <v>10</v>
          </cell>
          <cell r="G469">
            <v>10</v>
          </cell>
          <cell r="H469">
            <v>45965.422372685185</v>
          </cell>
          <cell r="I469" t="str">
            <v>CARTERA VERA</v>
          </cell>
          <cell r="J469">
            <v>45978</v>
          </cell>
          <cell r="K469">
            <v>45967</v>
          </cell>
          <cell r="L469">
            <v>45978</v>
          </cell>
          <cell r="M469">
            <v>40</v>
          </cell>
          <cell r="N469" t="str">
            <v>M184</v>
          </cell>
          <cell r="O469" t="str">
            <v>BAC1300020827</v>
          </cell>
          <cell r="P469">
            <v>0.06</v>
          </cell>
          <cell r="Q469" t="str">
            <v>AV0101040201</v>
          </cell>
          <cell r="R469">
            <v>1</v>
          </cell>
          <cell r="S469" t="str">
            <v>AV0600540101</v>
          </cell>
          <cell r="T469">
            <v>1</v>
          </cell>
          <cell r="U469" t="str">
            <v>AV1000920101</v>
          </cell>
          <cell r="V469">
            <v>1</v>
          </cell>
          <cell r="W469" t="str">
            <v>AV0101030201</v>
          </cell>
          <cell r="X469">
            <v>1</v>
          </cell>
          <cell r="Y469" t="str">
            <v>AV1000380101</v>
          </cell>
          <cell r="Z469">
            <v>1</v>
          </cell>
          <cell r="AA469" t="str">
            <v>AV0300390101</v>
          </cell>
          <cell r="AB469">
            <v>1</v>
          </cell>
          <cell r="AC469" t="str">
            <v>AV170129018</v>
          </cell>
          <cell r="AD469">
            <v>0</v>
          </cell>
          <cell r="AS469" t="str">
            <v>TIRACIERRE N1 - TIRA DE CUERO CON REMACHE Y GRABADO ESTRELLITA</v>
          </cell>
          <cell r="AT469" t="str">
            <v>TOTAL 12 ORIFICIOS</v>
          </cell>
          <cell r="AW469" t="str">
            <v>GRABADO "EL LUCERO" GRANDE EN ZOCALO BOLSILLO INTERNO CENTRADO ABAJO</v>
          </cell>
          <cell r="AX469" t="str">
            <v>CAOBA</v>
          </cell>
          <cell r="AY469" t="str">
            <v>ANAN-CUERO NAPOLE</v>
          </cell>
          <cell r="AZ469" t="str">
            <v>CUE0000179</v>
          </cell>
          <cell r="BA469">
            <v>0.61</v>
          </cell>
          <cell r="BB469" t="str">
            <v>FOR0000021</v>
          </cell>
          <cell r="BC469">
            <v>0.4</v>
          </cell>
          <cell r="BD469" t="str">
            <v>AV0100010111</v>
          </cell>
          <cell r="BE469">
            <v>0.78</v>
          </cell>
          <cell r="KD469">
            <v>10</v>
          </cell>
          <cell r="KE469">
            <v>0</v>
          </cell>
          <cell r="KF469">
            <v>0</v>
          </cell>
          <cell r="KG469">
            <v>10</v>
          </cell>
          <cell r="KH469">
            <v>10</v>
          </cell>
          <cell r="KI469">
            <v>10</v>
          </cell>
          <cell r="KJ469">
            <v>0</v>
          </cell>
          <cell r="KM469">
            <v>0</v>
          </cell>
          <cell r="KP469">
            <v>0</v>
          </cell>
          <cell r="KS469">
            <v>0</v>
          </cell>
          <cell r="KV469">
            <v>0</v>
          </cell>
          <cell r="KY469">
            <v>0</v>
          </cell>
          <cell r="LB469">
            <v>0</v>
          </cell>
          <cell r="LE469">
            <v>0</v>
          </cell>
          <cell r="LH469">
            <v>0</v>
          </cell>
          <cell r="LK469">
            <v>0</v>
          </cell>
          <cell r="LN469">
            <v>45975</v>
          </cell>
          <cell r="LO469">
            <v>45987</v>
          </cell>
          <cell r="LP469" t="str">
            <v>COMPLETADO</v>
          </cell>
        </row>
        <row r="470">
          <cell r="A470" t="str">
            <v>2116-A</v>
          </cell>
          <cell r="B470" t="str">
            <v>RUBEN</v>
          </cell>
          <cell r="C470" t="str">
            <v>BARRACAS GRANDE</v>
          </cell>
          <cell r="D470" t="str">
            <v>MARROQUINERIA CHICA</v>
          </cell>
          <cell r="E470">
            <v>8</v>
          </cell>
          <cell r="F470">
            <v>8</v>
          </cell>
          <cell r="G470">
            <v>8</v>
          </cell>
          <cell r="H470">
            <v>45965.452106481483</v>
          </cell>
          <cell r="I470" t="str">
            <v>PORTAVINO RIOJA</v>
          </cell>
          <cell r="J470">
            <v>45968</v>
          </cell>
          <cell r="K470">
            <v>45966</v>
          </cell>
          <cell r="L470">
            <v>45971</v>
          </cell>
          <cell r="M470">
            <v>15</v>
          </cell>
          <cell r="N470" t="str">
            <v>M155</v>
          </cell>
          <cell r="O470" t="str">
            <v>AV170134014</v>
          </cell>
          <cell r="P470">
            <v>0</v>
          </cell>
          <cell r="AW470" t="str">
            <v>GRABADO "EL LUCERO ARGENTINA " EN LA PARTE DE ATRAS A 2 CM DE LA COSTURA DE LA MANIJA</v>
          </cell>
          <cell r="AX470" t="str">
            <v>NEGRO</v>
          </cell>
          <cell r="AY470" t="str">
            <v>BIANCO-CUERO FIORENTINO</v>
          </cell>
          <cell r="AZ470" t="str">
            <v>CUE0000056R</v>
          </cell>
          <cell r="BA470">
            <v>0.14000000000000001</v>
          </cell>
          <cell r="KD470">
            <v>8</v>
          </cell>
          <cell r="KE470">
            <v>8</v>
          </cell>
          <cell r="KF470">
            <v>8</v>
          </cell>
          <cell r="KG470">
            <v>0</v>
          </cell>
          <cell r="KJ470">
            <v>0</v>
          </cell>
          <cell r="KM470">
            <v>0</v>
          </cell>
          <cell r="KP470">
            <v>0</v>
          </cell>
          <cell r="KS470">
            <v>0</v>
          </cell>
          <cell r="KV470">
            <v>0</v>
          </cell>
          <cell r="KY470">
            <v>0</v>
          </cell>
          <cell r="LB470">
            <v>0</v>
          </cell>
          <cell r="LE470">
            <v>0</v>
          </cell>
          <cell r="LH470">
            <v>0</v>
          </cell>
          <cell r="LK470">
            <v>0</v>
          </cell>
          <cell r="LN470">
            <v>45968</v>
          </cell>
          <cell r="LO470">
            <v>45979</v>
          </cell>
          <cell r="LP470" t="str">
            <v>COMPLETADO</v>
          </cell>
        </row>
        <row r="471">
          <cell r="A471" t="str">
            <v>2118-A</v>
          </cell>
          <cell r="B471" t="str">
            <v>LUCIANO</v>
          </cell>
          <cell r="C471" t="str">
            <v>PERDRIEL</v>
          </cell>
          <cell r="D471" t="str">
            <v>MARROQUINERIA CHICA</v>
          </cell>
          <cell r="E471">
            <v>4</v>
          </cell>
          <cell r="F471">
            <v>4</v>
          </cell>
          <cell r="G471">
            <v>4</v>
          </cell>
          <cell r="H471">
            <v>45965.463946759257</v>
          </cell>
          <cell r="I471" t="str">
            <v>SET PORTAVASOS CIRCULAR (X 4)</v>
          </cell>
          <cell r="J471">
            <v>45978</v>
          </cell>
          <cell r="K471">
            <v>45966</v>
          </cell>
          <cell r="L471">
            <v>45979</v>
          </cell>
          <cell r="M471">
            <v>8</v>
          </cell>
          <cell r="N471" t="str">
            <v>M161</v>
          </cell>
          <cell r="O471" t="str">
            <v>AV170134014</v>
          </cell>
          <cell r="P471">
            <v>0</v>
          </cell>
          <cell r="AS471" t="str">
            <v xml:space="preserve">SE ENTREGARAN A VENTAS EN SET X4   </v>
          </cell>
          <cell r="AT471" t="str">
            <v>PORTA TIRA DE CUERO CON GEMELO</v>
          </cell>
          <cell r="AU471" t="str">
            <v>POSAVASO SIN PINTURA</v>
          </cell>
          <cell r="AV471" t="str">
            <v>TIRA CON PINTURA</v>
          </cell>
          <cell r="AW471" t="str">
            <v>GRABADO "EL LUCERO CHICO" ESQUINA INFERIOR DERECHA</v>
          </cell>
          <cell r="AX471" t="str">
            <v>TABACO</v>
          </cell>
          <cell r="AY471" t="str">
            <v>ARENA-CUERO BRIDGE</v>
          </cell>
          <cell r="AZ471" t="str">
            <v>CUE0000012R</v>
          </cell>
          <cell r="BA471">
            <v>0.02</v>
          </cell>
          <cell r="BB471">
            <v>0</v>
          </cell>
          <cell r="BC471">
            <v>0.02</v>
          </cell>
          <cell r="KD471">
            <v>4</v>
          </cell>
          <cell r="KE471">
            <v>4</v>
          </cell>
          <cell r="KF471">
            <v>4</v>
          </cell>
          <cell r="KG471">
            <v>0</v>
          </cell>
          <cell r="KJ471">
            <v>0</v>
          </cell>
          <cell r="KM471">
            <v>0</v>
          </cell>
          <cell r="KP471">
            <v>0</v>
          </cell>
          <cell r="KS471">
            <v>0</v>
          </cell>
          <cell r="KV471">
            <v>0</v>
          </cell>
          <cell r="KY471">
            <v>0</v>
          </cell>
          <cell r="LB471">
            <v>0</v>
          </cell>
          <cell r="LE471">
            <v>0</v>
          </cell>
          <cell r="LH471">
            <v>0</v>
          </cell>
          <cell r="LK471">
            <v>0</v>
          </cell>
          <cell r="LN471">
            <v>45978</v>
          </cell>
          <cell r="LO471">
            <v>45987</v>
          </cell>
          <cell r="LP471" t="str">
            <v>COMPLETADO</v>
          </cell>
        </row>
        <row r="472">
          <cell r="A472" t="str">
            <v>2119-A</v>
          </cell>
          <cell r="B472" t="str">
            <v>LUCIANO</v>
          </cell>
          <cell r="C472" t="str">
            <v>PERDRIEL</v>
          </cell>
          <cell r="D472" t="str">
            <v>MARROQUINERIA CHICA</v>
          </cell>
          <cell r="E472">
            <v>5</v>
          </cell>
          <cell r="F472">
            <v>5</v>
          </cell>
          <cell r="G472">
            <v>5</v>
          </cell>
          <cell r="H472">
            <v>45965.464999999997</v>
          </cell>
          <cell r="I472" t="str">
            <v>INDIVIDUAL CURVO</v>
          </cell>
          <cell r="J472">
            <v>45975</v>
          </cell>
          <cell r="K472">
            <v>45966</v>
          </cell>
          <cell r="L472">
            <v>45978</v>
          </cell>
          <cell r="M472">
            <v>10</v>
          </cell>
          <cell r="N472" t="str">
            <v>M133</v>
          </cell>
          <cell r="O472" t="str">
            <v>AV170134014</v>
          </cell>
          <cell r="P472">
            <v>0</v>
          </cell>
          <cell r="AW472" t="str">
            <v xml:space="preserve">GRABADO "EL LUCERO CHICO" ESQUINA INFERIOR DERECHA    </v>
          </cell>
          <cell r="AX472" t="str">
            <v>NEGRO</v>
          </cell>
          <cell r="AY472" t="str">
            <v>ARENA-CUERO NAPADO</v>
          </cell>
          <cell r="AZ472" t="str">
            <v>CUE0000026R</v>
          </cell>
          <cell r="BA472">
            <v>0.13</v>
          </cell>
          <cell r="BB472">
            <v>0</v>
          </cell>
          <cell r="BC472">
            <v>0.13</v>
          </cell>
          <cell r="BR472" t="str">
            <v>SUELA</v>
          </cell>
          <cell r="BS472" t="str">
            <v>ARENA-CUERO NAPADO</v>
          </cell>
          <cell r="BT472" t="str">
            <v>CUE0000028R</v>
          </cell>
          <cell r="BU472">
            <v>0.13</v>
          </cell>
          <cell r="BV472">
            <v>0</v>
          </cell>
          <cell r="BW472">
            <v>0.13</v>
          </cell>
          <cell r="KD472">
            <v>2</v>
          </cell>
          <cell r="KE472">
            <v>2</v>
          </cell>
          <cell r="KF472">
            <v>2</v>
          </cell>
          <cell r="KG472">
            <v>3</v>
          </cell>
          <cell r="KH472">
            <v>3</v>
          </cell>
          <cell r="KI472">
            <v>3</v>
          </cell>
          <cell r="KJ472">
            <v>0</v>
          </cell>
          <cell r="KM472">
            <v>0</v>
          </cell>
          <cell r="KP472">
            <v>0</v>
          </cell>
          <cell r="KS472">
            <v>0</v>
          </cell>
          <cell r="KV472">
            <v>0</v>
          </cell>
          <cell r="KY472">
            <v>0</v>
          </cell>
          <cell r="LB472">
            <v>0</v>
          </cell>
          <cell r="LE472">
            <v>0</v>
          </cell>
          <cell r="LH472">
            <v>0</v>
          </cell>
          <cell r="LK472">
            <v>0</v>
          </cell>
          <cell r="LN472">
            <v>45975</v>
          </cell>
          <cell r="LO472">
            <v>45980</v>
          </cell>
          <cell r="LP472" t="str">
            <v>COMPLETADO</v>
          </cell>
        </row>
        <row r="473">
          <cell r="A473" t="str">
            <v>2120-A</v>
          </cell>
          <cell r="B473" t="str">
            <v>LUCIANO</v>
          </cell>
          <cell r="C473" t="str">
            <v>PERDRIEL</v>
          </cell>
          <cell r="D473" t="str">
            <v>MARROQUINERIA CHICA</v>
          </cell>
          <cell r="E473">
            <v>21</v>
          </cell>
          <cell r="F473">
            <v>21</v>
          </cell>
          <cell r="G473">
            <v>21</v>
          </cell>
          <cell r="H473">
            <v>45965.468043981484</v>
          </cell>
          <cell r="I473" t="str">
            <v>INDIVIDUAL RECTO</v>
          </cell>
          <cell r="J473">
            <v>45975</v>
          </cell>
          <cell r="K473">
            <v>45966</v>
          </cell>
          <cell r="L473">
            <v>45978</v>
          </cell>
          <cell r="M473">
            <v>10</v>
          </cell>
          <cell r="N473" t="str">
            <v>M132</v>
          </cell>
          <cell r="O473" t="str">
            <v>AV170134014</v>
          </cell>
          <cell r="P473">
            <v>0</v>
          </cell>
          <cell r="AW473" t="str">
            <v xml:space="preserve">GRABADO "EL LUCERO CHICO" ESQUINA INFERIOR DERECHA    </v>
          </cell>
          <cell r="AX473" t="str">
            <v>CARAMELO</v>
          </cell>
          <cell r="AY473" t="str">
            <v>ARENA-CUERO BRIDGE</v>
          </cell>
          <cell r="AZ473" t="str">
            <v>CUE0000004R</v>
          </cell>
          <cell r="BA473">
            <v>0.13</v>
          </cell>
          <cell r="BB473">
            <v>0</v>
          </cell>
          <cell r="BC473">
            <v>0.13</v>
          </cell>
          <cell r="BR473" t="str">
            <v>ROJO</v>
          </cell>
          <cell r="BS473" t="str">
            <v>ARENA-CUERO BRIDGE</v>
          </cell>
          <cell r="BT473" t="str">
            <v>CUE0000010R</v>
          </cell>
          <cell r="BU473">
            <v>0.13</v>
          </cell>
          <cell r="BV473">
            <v>0</v>
          </cell>
          <cell r="BW473">
            <v>0.13</v>
          </cell>
          <cell r="CL473" t="str">
            <v>TABACO</v>
          </cell>
          <cell r="CM473" t="str">
            <v>ARENA-CUERO BRIDGE</v>
          </cell>
          <cell r="CN473" t="str">
            <v>CUE0000012R</v>
          </cell>
          <cell r="CO473">
            <v>0.13</v>
          </cell>
          <cell r="CP473">
            <v>0</v>
          </cell>
          <cell r="CQ473">
            <v>0.13</v>
          </cell>
          <cell r="DF473" t="str">
            <v>CARAMELO</v>
          </cell>
          <cell r="DG473" t="str">
            <v>ARENA-CUERO NAPADO</v>
          </cell>
          <cell r="DH473" t="str">
            <v>CUE0000022R</v>
          </cell>
          <cell r="DI473">
            <v>0.13</v>
          </cell>
          <cell r="DJ473">
            <v>0</v>
          </cell>
          <cell r="DK473">
            <v>0.13</v>
          </cell>
          <cell r="DZ473" t="str">
            <v>NEGRO</v>
          </cell>
          <cell r="EA473" t="str">
            <v>ARENA-CUERO NAPADO</v>
          </cell>
          <cell r="EB473" t="str">
            <v>CUE0000026R</v>
          </cell>
          <cell r="EC473">
            <v>0.13</v>
          </cell>
          <cell r="ED473">
            <v>0</v>
          </cell>
          <cell r="EE473">
            <v>0.13</v>
          </cell>
          <cell r="ET473" t="str">
            <v>SUELA</v>
          </cell>
          <cell r="EU473" t="str">
            <v>ARENA-CUERO NAPADO</v>
          </cell>
          <cell r="EV473" t="str">
            <v>CUE0000028R</v>
          </cell>
          <cell r="EW473">
            <v>0.13</v>
          </cell>
          <cell r="EX473">
            <v>0</v>
          </cell>
          <cell r="EY473">
            <v>0.13</v>
          </cell>
          <cell r="KD473">
            <v>2</v>
          </cell>
          <cell r="KE473">
            <v>2</v>
          </cell>
          <cell r="KF473">
            <v>2</v>
          </cell>
          <cell r="KG473">
            <v>6</v>
          </cell>
          <cell r="KH473">
            <v>6</v>
          </cell>
          <cell r="KI473">
            <v>6</v>
          </cell>
          <cell r="KJ473">
            <v>4</v>
          </cell>
          <cell r="KK473">
            <v>4</v>
          </cell>
          <cell r="KL473">
            <v>4</v>
          </cell>
          <cell r="KM473">
            <v>3</v>
          </cell>
          <cell r="KN473">
            <v>3</v>
          </cell>
          <cell r="KO473">
            <v>3</v>
          </cell>
          <cell r="KP473">
            <v>2</v>
          </cell>
          <cell r="KQ473">
            <v>2</v>
          </cell>
          <cell r="KR473">
            <v>2</v>
          </cell>
          <cell r="KS473">
            <v>4</v>
          </cell>
          <cell r="KT473">
            <v>4</v>
          </cell>
          <cell r="KU473">
            <v>4</v>
          </cell>
          <cell r="KV473">
            <v>0</v>
          </cell>
          <cell r="KY473">
            <v>0</v>
          </cell>
          <cell r="LB473">
            <v>0</v>
          </cell>
          <cell r="LE473">
            <v>0</v>
          </cell>
          <cell r="LH473">
            <v>0</v>
          </cell>
          <cell r="LK473">
            <v>0</v>
          </cell>
          <cell r="LN473">
            <v>45975</v>
          </cell>
          <cell r="LO473">
            <v>45980</v>
          </cell>
          <cell r="LP473" t="str">
            <v>COMPLETADO</v>
          </cell>
        </row>
        <row r="474">
          <cell r="A474" t="str">
            <v>2114-A</v>
          </cell>
          <cell r="B474" t="str">
            <v>RUBEN</v>
          </cell>
          <cell r="C474" t="str">
            <v>INTERNO JAVIER</v>
          </cell>
          <cell r="D474" t="str">
            <v>MARROQUINERIA CHICA</v>
          </cell>
          <cell r="E474">
            <v>18</v>
          </cell>
          <cell r="F474">
            <v>18</v>
          </cell>
          <cell r="G474">
            <v>18</v>
          </cell>
          <cell r="H474">
            <v>45965.443032407406</v>
          </cell>
          <cell r="I474" t="str">
            <v>PORTAVINO CAFAYATE</v>
          </cell>
          <cell r="J474">
            <v>45967</v>
          </cell>
          <cell r="K474">
            <v>45966</v>
          </cell>
          <cell r="L474">
            <v>45972</v>
          </cell>
          <cell r="M474">
            <v>15</v>
          </cell>
          <cell r="N474" t="str">
            <v>M156</v>
          </cell>
          <cell r="O474" t="str">
            <v>AV0700420101</v>
          </cell>
          <cell r="P474">
            <v>1</v>
          </cell>
          <cell r="Q474" t="str">
            <v>AV170134014</v>
          </cell>
          <cell r="R474">
            <v>0</v>
          </cell>
          <cell r="AH474">
            <v>0</v>
          </cell>
          <cell r="AW474" t="str">
            <v>GRABADO "EL LUCERO ARGENTINA " EN LA PARTE DE ATRAS A 2 CM DESDE BASE CENTRADO</v>
          </cell>
          <cell r="AX474" t="str">
            <v>NATURAL</v>
          </cell>
          <cell r="AY474" t="str">
            <v>LA HERMIDA-CUERO VACHETTA LADO NATURAL</v>
          </cell>
          <cell r="AZ474" t="str">
            <v>CUE0000066R</v>
          </cell>
          <cell r="BA474">
            <v>0.14000000000000001</v>
          </cell>
          <cell r="BO474">
            <v>0</v>
          </cell>
          <cell r="BQ474">
            <v>0</v>
          </cell>
          <cell r="BR474" t="str">
            <v>SUELA</v>
          </cell>
          <cell r="BS474" t="str">
            <v>LA HERMIDA-CUERO VACHETTA LADO COLOR</v>
          </cell>
          <cell r="BT474" t="str">
            <v>CUE0000065R</v>
          </cell>
          <cell r="BU474">
            <v>0.14000000000000001</v>
          </cell>
          <cell r="CL474" t="str">
            <v>NEGRO</v>
          </cell>
          <cell r="CM474" t="str">
            <v>BIANCO-CUERO FIORENTINO</v>
          </cell>
          <cell r="CN474" t="str">
            <v>CUE0000056R</v>
          </cell>
          <cell r="CO474">
            <v>0.14000000000000001</v>
          </cell>
          <cell r="KD474">
            <v>4</v>
          </cell>
          <cell r="KE474">
            <v>4</v>
          </cell>
          <cell r="KF474">
            <v>4</v>
          </cell>
          <cell r="KG474">
            <v>10</v>
          </cell>
          <cell r="KH474">
            <v>10</v>
          </cell>
          <cell r="KI474">
            <v>10</v>
          </cell>
          <cell r="KJ474">
            <v>4</v>
          </cell>
          <cell r="KK474">
            <v>4</v>
          </cell>
          <cell r="KL474">
            <v>4</v>
          </cell>
          <cell r="KM474">
            <v>0</v>
          </cell>
          <cell r="KP474">
            <v>0</v>
          </cell>
          <cell r="KS474">
            <v>0</v>
          </cell>
          <cell r="KV474">
            <v>0</v>
          </cell>
          <cell r="KY474">
            <v>0</v>
          </cell>
          <cell r="LB474">
            <v>0</v>
          </cell>
          <cell r="LE474">
            <v>0</v>
          </cell>
          <cell r="LH474">
            <v>0</v>
          </cell>
          <cell r="LK474">
            <v>0</v>
          </cell>
          <cell r="LN474">
            <v>45971</v>
          </cell>
          <cell r="LO474">
            <v>45979</v>
          </cell>
          <cell r="LP474" t="str">
            <v>COMPLETADO</v>
          </cell>
        </row>
        <row r="475">
          <cell r="A475" t="str">
            <v>2121-A</v>
          </cell>
          <cell r="B475" t="str">
            <v>LUCIANO</v>
          </cell>
          <cell r="C475" t="str">
            <v>PERDRIEL</v>
          </cell>
          <cell r="D475" t="str">
            <v>MARROQUINERIA CHICA</v>
          </cell>
          <cell r="E475">
            <v>42</v>
          </cell>
          <cell r="F475">
            <v>42</v>
          </cell>
          <cell r="H475">
            <v>45965.539664351854</v>
          </cell>
          <cell r="I475" t="str">
            <v>MOUSEPAD</v>
          </cell>
          <cell r="M475">
            <v>9</v>
          </cell>
          <cell r="N475" t="str">
            <v>M136</v>
          </cell>
          <cell r="O475" t="str">
            <v>AV170134014</v>
          </cell>
          <cell r="P475">
            <v>0</v>
          </cell>
          <cell r="AH475">
            <v>0</v>
          </cell>
          <cell r="AW475" t="str">
            <v xml:space="preserve">GRABADO "EL LUCERO CHICO" ESQUINA INFERIOR DERECHA    </v>
          </cell>
          <cell r="AX475" t="str">
            <v>NEGRO</v>
          </cell>
          <cell r="AY475" t="str">
            <v>ARENA-CUERO BRIDGE</v>
          </cell>
          <cell r="AZ475" t="str">
            <v>CUE0000009R</v>
          </cell>
          <cell r="BA475">
            <v>0.04</v>
          </cell>
          <cell r="BB475" t="str">
            <v>FOR0000027</v>
          </cell>
          <cell r="BC475">
            <v>0.04</v>
          </cell>
          <cell r="BR475" t="str">
            <v>ROJO</v>
          </cell>
          <cell r="BS475" t="str">
            <v>ARENA-CUERO BRIDGE</v>
          </cell>
          <cell r="BT475" t="str">
            <v>CUE0000010R</v>
          </cell>
          <cell r="BU475">
            <v>0.04</v>
          </cell>
          <cell r="BV475" t="str">
            <v>FOR0000027</v>
          </cell>
          <cell r="BW475">
            <v>0.04</v>
          </cell>
          <cell r="CL475" t="str">
            <v>TABACO</v>
          </cell>
          <cell r="CM475" t="str">
            <v>ARENA-CUERO BRIDGE</v>
          </cell>
          <cell r="CN475" t="str">
            <v>CUE0000012R</v>
          </cell>
          <cell r="CO475">
            <v>0.04</v>
          </cell>
          <cell r="CP475" t="str">
            <v>FOR0000027</v>
          </cell>
          <cell r="CQ475">
            <v>0.04</v>
          </cell>
          <cell r="DF475" t="str">
            <v>CARAMELO</v>
          </cell>
          <cell r="DG475" t="str">
            <v>ARENA-CUERO BRIDGE</v>
          </cell>
          <cell r="DH475" t="str">
            <v>CUE0000004R</v>
          </cell>
          <cell r="DI475">
            <v>0.04</v>
          </cell>
          <cell r="DJ475" t="str">
            <v>FOR0000027</v>
          </cell>
          <cell r="DK475">
            <v>0.04</v>
          </cell>
          <cell r="DZ475" t="str">
            <v>CARAMELO</v>
          </cell>
          <cell r="EA475" t="str">
            <v>ARENA-CUERO NAPADO</v>
          </cell>
          <cell r="EB475" t="str">
            <v>CUE0000022R</v>
          </cell>
          <cell r="EC475">
            <v>0.04</v>
          </cell>
          <cell r="ED475" t="str">
            <v>FOR0000027</v>
          </cell>
          <cell r="EE475">
            <v>0.04</v>
          </cell>
          <cell r="ET475" t="str">
            <v>NEGRO</v>
          </cell>
          <cell r="EU475" t="str">
            <v>ARENA-CUERO NAPADO</v>
          </cell>
          <cell r="EV475" t="str">
            <v>CUE0000026R</v>
          </cell>
          <cell r="EW475">
            <v>0.04</v>
          </cell>
          <cell r="EX475" t="str">
            <v>FOR0000027</v>
          </cell>
          <cell r="EY475">
            <v>0.04</v>
          </cell>
          <cell r="FN475" t="str">
            <v>ROJO</v>
          </cell>
          <cell r="FO475" t="str">
            <v>ARENA-CUERO NAPADO</v>
          </cell>
          <cell r="FP475" t="str">
            <v>CUE0000027R</v>
          </cell>
          <cell r="FQ475">
            <v>0.04</v>
          </cell>
          <cell r="FR475" t="str">
            <v>FOR0000027</v>
          </cell>
          <cell r="FS475">
            <v>0.04</v>
          </cell>
          <cell r="KD475">
            <v>6</v>
          </cell>
          <cell r="KE475">
            <v>6</v>
          </cell>
          <cell r="KG475">
            <v>4</v>
          </cell>
          <cell r="KH475">
            <v>4</v>
          </cell>
          <cell r="KJ475">
            <v>10</v>
          </cell>
          <cell r="KK475">
            <v>10</v>
          </cell>
          <cell r="KM475">
            <v>4</v>
          </cell>
          <cell r="KN475">
            <v>4</v>
          </cell>
          <cell r="KP475">
            <v>4</v>
          </cell>
          <cell r="KQ475">
            <v>4</v>
          </cell>
          <cell r="KS475">
            <v>4</v>
          </cell>
          <cell r="KT475">
            <v>4</v>
          </cell>
          <cell r="KV475">
            <v>10</v>
          </cell>
          <cell r="KW475">
            <v>10</v>
          </cell>
          <cell r="KY475">
            <v>0</v>
          </cell>
          <cell r="LB475">
            <v>0</v>
          </cell>
          <cell r="LE475">
            <v>0</v>
          </cell>
          <cell r="LH475">
            <v>0</v>
          </cell>
          <cell r="LK475">
            <v>0</v>
          </cell>
          <cell r="LP475" t="str">
            <v>NO COMENZADO</v>
          </cell>
        </row>
        <row r="476">
          <cell r="A476" t="str">
            <v>2107-A</v>
          </cell>
          <cell r="B476" t="str">
            <v>LUCIANO</v>
          </cell>
          <cell r="C476" t="str">
            <v>PERDRIEL</v>
          </cell>
          <cell r="D476" t="str">
            <v>MARROQUINERIA CHICA</v>
          </cell>
          <cell r="E476">
            <v>36</v>
          </cell>
          <cell r="F476">
            <v>32</v>
          </cell>
          <cell r="G476">
            <v>32</v>
          </cell>
          <cell r="H476">
            <v>45965.591481481482</v>
          </cell>
          <cell r="I476" t="str">
            <v>MONEDERO GRACE</v>
          </cell>
          <cell r="J476">
            <v>45967</v>
          </cell>
          <cell r="K476">
            <v>45966</v>
          </cell>
          <cell r="L476">
            <v>45979</v>
          </cell>
          <cell r="M476">
            <v>15</v>
          </cell>
          <cell r="N476" t="str">
            <v>M143</v>
          </cell>
          <cell r="O476" t="str">
            <v>AV0101070301</v>
          </cell>
          <cell r="P476">
            <v>1</v>
          </cell>
          <cell r="Q476" t="str">
            <v>AV0600560101</v>
          </cell>
          <cell r="R476">
            <v>1</v>
          </cell>
          <cell r="AS476" t="str">
            <v>TIRACIERRE LUCERO CHICO</v>
          </cell>
          <cell r="AW476" t="str">
            <v>GRABADO "EL LUCERO ARGENTINA" CHICO" EN EL FRENTE, CENTRADO, A 3,5 CM DE LA UNION DE LA BASE</v>
          </cell>
          <cell r="AX476" t="str">
            <v>CARAMELO</v>
          </cell>
          <cell r="AY476" t="str">
            <v>ARENA-CUERO BRIDGE</v>
          </cell>
          <cell r="AZ476" t="str">
            <v>CUE0000004R</v>
          </cell>
          <cell r="BA476">
            <v>0.04</v>
          </cell>
          <cell r="BB476" t="str">
            <v>AV0100020305</v>
          </cell>
          <cell r="BC476">
            <v>0.2</v>
          </cell>
          <cell r="BR476" t="str">
            <v>MALBEC</v>
          </cell>
          <cell r="BS476" t="str">
            <v>ARENA-CUERO BRIDGE</v>
          </cell>
          <cell r="BT476" t="str">
            <v>CUE0000008R</v>
          </cell>
          <cell r="BU476">
            <v>0.04</v>
          </cell>
          <cell r="BV476" t="str">
            <v>CIE0000003</v>
          </cell>
          <cell r="BW476">
            <v>0.2</v>
          </cell>
          <cell r="CL476" t="str">
            <v>ROJO</v>
          </cell>
          <cell r="CM476" t="str">
            <v>ARENA-CUERO BRIDGE</v>
          </cell>
          <cell r="CN476" t="str">
            <v>CUE0000010R</v>
          </cell>
          <cell r="CO476">
            <v>0.04</v>
          </cell>
          <cell r="CP476" t="str">
            <v>AV0100020313</v>
          </cell>
          <cell r="CQ476">
            <v>0.2</v>
          </cell>
          <cell r="DF476" t="str">
            <v>AZUL_REVES_AZUL</v>
          </cell>
          <cell r="DG476" t="str">
            <v>BIANCO-CUERO MODENA ESPESOR 1,4</v>
          </cell>
          <cell r="DH476" t="str">
            <v>CUE0000119R</v>
          </cell>
          <cell r="DI476">
            <v>0.04</v>
          </cell>
          <cell r="DJ476" t="str">
            <v>AV0100020336</v>
          </cell>
          <cell r="DK476">
            <v>0.2</v>
          </cell>
          <cell r="DZ476" t="str">
            <v>VERDE_REVES_VERDE</v>
          </cell>
          <cell r="EA476" t="str">
            <v>BIANCO-CUERO MODENA ESPESOR 1,4</v>
          </cell>
          <cell r="EB476" t="str">
            <v>CUE0000118R</v>
          </cell>
          <cell r="EC476">
            <v>0.04</v>
          </cell>
          <cell r="ED476" t="str">
            <v>AV0100020317</v>
          </cell>
          <cell r="EE476">
            <v>0.2</v>
          </cell>
          <cell r="KD476">
            <v>10</v>
          </cell>
          <cell r="KE476">
            <v>10</v>
          </cell>
          <cell r="KF476">
            <v>10</v>
          </cell>
          <cell r="KG476">
            <v>4</v>
          </cell>
          <cell r="KH476">
            <v>4</v>
          </cell>
          <cell r="KI476">
            <v>4</v>
          </cell>
          <cell r="KJ476">
            <v>12</v>
          </cell>
          <cell r="KK476">
            <v>12</v>
          </cell>
          <cell r="KL476">
            <v>12</v>
          </cell>
          <cell r="KM476">
            <v>4</v>
          </cell>
          <cell r="KN476">
            <v>0</v>
          </cell>
          <cell r="KO476">
            <v>0</v>
          </cell>
          <cell r="KP476">
            <v>6</v>
          </cell>
          <cell r="KQ476">
            <v>6</v>
          </cell>
          <cell r="KR476">
            <v>6</v>
          </cell>
          <cell r="KS476">
            <v>0</v>
          </cell>
          <cell r="KV476">
            <v>0</v>
          </cell>
          <cell r="KY476">
            <v>0</v>
          </cell>
          <cell r="LB476">
            <v>0</v>
          </cell>
          <cell r="LE476">
            <v>0</v>
          </cell>
          <cell r="LH476">
            <v>0</v>
          </cell>
          <cell r="LK476">
            <v>0</v>
          </cell>
          <cell r="LN476">
            <v>45978</v>
          </cell>
          <cell r="LO476">
            <v>45987</v>
          </cell>
          <cell r="LP476" t="str">
            <v>COMPLETADO</v>
          </cell>
        </row>
        <row r="477">
          <cell r="A477" t="str">
            <v>2108-A</v>
          </cell>
          <cell r="B477" t="str">
            <v>LUCIANO</v>
          </cell>
          <cell r="C477" t="str">
            <v>PERDRIEL</v>
          </cell>
          <cell r="D477" t="str">
            <v>MARROQUINERIA CHICA</v>
          </cell>
          <cell r="E477">
            <v>12</v>
          </cell>
          <cell r="F477">
            <v>12</v>
          </cell>
          <cell r="G477">
            <v>12</v>
          </cell>
          <cell r="H477">
            <v>45965.593645833331</v>
          </cell>
          <cell r="I477" t="str">
            <v>NECESSAIRE FELI</v>
          </cell>
          <cell r="J477">
            <v>45967</v>
          </cell>
          <cell r="K477">
            <v>45966</v>
          </cell>
          <cell r="L477">
            <v>45979</v>
          </cell>
          <cell r="M477">
            <v>55</v>
          </cell>
          <cell r="N477" t="str">
            <v>M069</v>
          </cell>
          <cell r="O477" t="str">
            <v>AV0101040201</v>
          </cell>
          <cell r="P477">
            <v>1</v>
          </cell>
          <cell r="Q477" t="str">
            <v>BAC1300030827</v>
          </cell>
          <cell r="R477">
            <v>0.03</v>
          </cell>
          <cell r="S477" t="str">
            <v>BAC1300050727</v>
          </cell>
          <cell r="T477">
            <v>0.02</v>
          </cell>
          <cell r="U477" t="str">
            <v>BAC0200081126</v>
          </cell>
          <cell r="V477">
            <v>0.03</v>
          </cell>
          <cell r="W477" t="str">
            <v>AV0300390101</v>
          </cell>
          <cell r="X477">
            <v>1</v>
          </cell>
          <cell r="Y477" t="str">
            <v>AV1802220526</v>
          </cell>
          <cell r="Z477">
            <v>0.13</v>
          </cell>
          <cell r="AA477" t="str">
            <v>CIN0000002</v>
          </cell>
          <cell r="AB477">
            <v>1.05</v>
          </cell>
          <cell r="AC477" t="str">
            <v>AV170134014</v>
          </cell>
          <cell r="AD477">
            <v>0</v>
          </cell>
          <cell r="AS477" t="str">
            <v>TIRACIERRE N° 1 , CON TIRA GRABADA CON ESTRELLA Y REMACHE</v>
          </cell>
          <cell r="AW477" t="str">
            <v xml:space="preserve">TROQUEL EN INTERIOR "ELLUCERO ARGENTINA" IDEM MUESTRA  </v>
          </cell>
          <cell r="AX477" t="str">
            <v>ROJO</v>
          </cell>
          <cell r="AY477" t="str">
            <v>ARENA-CUERO BRIDGE</v>
          </cell>
          <cell r="AZ477" t="str">
            <v>CUE0000010R</v>
          </cell>
          <cell r="BA477">
            <v>0.23</v>
          </cell>
          <cell r="BB477" t="str">
            <v>AV1401254460</v>
          </cell>
          <cell r="BC477">
            <v>0</v>
          </cell>
          <cell r="BD477" t="str">
            <v>AV0100010213</v>
          </cell>
          <cell r="BE477">
            <v>0.32</v>
          </cell>
          <cell r="BF477" t="str">
            <v>FOR0000005</v>
          </cell>
          <cell r="BG477">
            <v>0.08</v>
          </cell>
          <cell r="BR477" t="str">
            <v>MALBEC</v>
          </cell>
          <cell r="BS477" t="str">
            <v>ARENA-CUERO BRIDGE</v>
          </cell>
          <cell r="BT477" t="str">
            <v>CUE0000008R</v>
          </cell>
          <cell r="BU477">
            <v>0.23</v>
          </cell>
          <cell r="BV477" t="str">
            <v>AV1401250545</v>
          </cell>
          <cell r="BW477">
            <v>0</v>
          </cell>
          <cell r="BX477" t="str">
            <v>AV0100010261</v>
          </cell>
          <cell r="BY477">
            <v>0.32</v>
          </cell>
          <cell r="BZ477" t="str">
            <v>FOR0000005</v>
          </cell>
          <cell r="CA477">
            <v>0.08</v>
          </cell>
          <cell r="CL477" t="str">
            <v>CARAMELO</v>
          </cell>
          <cell r="CM477" t="str">
            <v>ARENA-CUERO BRIDGE</v>
          </cell>
          <cell r="CN477" t="str">
            <v>CUE0000004R</v>
          </cell>
          <cell r="CO477">
            <v>0.23</v>
          </cell>
          <cell r="CP477" t="str">
            <v>AV1401250545</v>
          </cell>
          <cell r="CQ477">
            <v>0</v>
          </cell>
          <cell r="CR477" t="str">
            <v>AV0100010205</v>
          </cell>
          <cell r="CS477">
            <v>0.32</v>
          </cell>
          <cell r="CT477" t="str">
            <v>FOR0000005</v>
          </cell>
          <cell r="CU477">
            <v>0.08</v>
          </cell>
          <cell r="KD477">
            <v>4</v>
          </cell>
          <cell r="KE477">
            <v>4</v>
          </cell>
          <cell r="KF477">
            <v>4</v>
          </cell>
          <cell r="KG477">
            <v>6</v>
          </cell>
          <cell r="KH477">
            <v>6</v>
          </cell>
          <cell r="KI477">
            <v>6</v>
          </cell>
          <cell r="KJ477">
            <v>2</v>
          </cell>
          <cell r="KK477">
            <v>2</v>
          </cell>
          <cell r="KL477">
            <v>2</v>
          </cell>
          <cell r="KM477">
            <v>0</v>
          </cell>
          <cell r="KP477">
            <v>0</v>
          </cell>
          <cell r="KS477">
            <v>0</v>
          </cell>
          <cell r="KV477">
            <v>0</v>
          </cell>
          <cell r="KY477">
            <v>0</v>
          </cell>
          <cell r="LB477">
            <v>0</v>
          </cell>
          <cell r="LE477">
            <v>0</v>
          </cell>
          <cell r="LH477">
            <v>0</v>
          </cell>
          <cell r="LK477">
            <v>0</v>
          </cell>
          <cell r="LN477">
            <v>45978</v>
          </cell>
          <cell r="LO477">
            <v>45987</v>
          </cell>
          <cell r="LP477" t="str">
            <v>COMPLETADO</v>
          </cell>
        </row>
        <row r="478">
          <cell r="A478" t="str">
            <v>2112-A</v>
          </cell>
          <cell r="B478" t="str">
            <v>LUCIANO</v>
          </cell>
          <cell r="C478" t="str">
            <v>PERDRIEL</v>
          </cell>
          <cell r="D478" t="str">
            <v>MARROQUINERIA CHICA</v>
          </cell>
          <cell r="E478">
            <v>54</v>
          </cell>
          <cell r="F478">
            <v>54</v>
          </cell>
          <cell r="H478">
            <v>45965.595972222225</v>
          </cell>
          <cell r="I478" t="str">
            <v>PORTALENTES LUZ</v>
          </cell>
          <cell r="M478">
            <v>10</v>
          </cell>
          <cell r="N478" t="str">
            <v>M098</v>
          </cell>
          <cell r="O478" t="str">
            <v>AV170134014</v>
          </cell>
          <cell r="P478">
            <v>0</v>
          </cell>
          <cell r="AW478" t="str">
            <v xml:space="preserve">GRABADO EL LUCERO ARGENTINA CHICO, EN ELFRENTE, A 1.5CM DEL BORDE INFERIOR Y A 1.5 CM DEL BORDE DERECHO. </v>
          </cell>
          <cell r="AX478" t="str">
            <v>ROJO</v>
          </cell>
          <cell r="AY478" t="str">
            <v>ARENA-CUERO NAPADO</v>
          </cell>
          <cell r="AZ478" t="str">
            <v>CUE0000027R</v>
          </cell>
          <cell r="BA478">
            <v>0.03</v>
          </cell>
          <cell r="BB478" t="str">
            <v>FOR0000027</v>
          </cell>
          <cell r="BC478">
            <v>0.03</v>
          </cell>
          <cell r="BD478" t="str">
            <v>AV1401254460</v>
          </cell>
          <cell r="BE478">
            <v>0</v>
          </cell>
          <cell r="BF478" t="str">
            <v>AV1601300929</v>
          </cell>
          <cell r="BG478">
            <v>0</v>
          </cell>
          <cell r="BR478" t="str">
            <v>VERDE_REVES_VERDE</v>
          </cell>
          <cell r="BS478" t="str">
            <v>BIANCO-CUERO MODENA ESPESOR 1,4</v>
          </cell>
          <cell r="BT478" t="str">
            <v>CUE0000118R</v>
          </cell>
          <cell r="BU478">
            <v>0.03</v>
          </cell>
          <cell r="BV478" t="str">
            <v>FOR0000027</v>
          </cell>
          <cell r="BW478">
            <v>0.03</v>
          </cell>
          <cell r="BX478" t="str">
            <v>AV1401254260</v>
          </cell>
          <cell r="BY478">
            <v>0</v>
          </cell>
          <cell r="BZ478" t="str">
            <v>AV1601300957</v>
          </cell>
          <cell r="CA478">
            <v>0</v>
          </cell>
          <cell r="CL478" t="str">
            <v>AZUL_REVES_AZUL</v>
          </cell>
          <cell r="CM478" t="str">
            <v>BIANCO-CUERO MODENA ESPESOR 1,4</v>
          </cell>
          <cell r="CN478" t="str">
            <v>CUE0000119R</v>
          </cell>
          <cell r="CO478">
            <v>0.03</v>
          </cell>
          <cell r="CP478" t="str">
            <v>FOR0000027</v>
          </cell>
          <cell r="CQ478">
            <v>0.03</v>
          </cell>
          <cell r="CR478" t="str">
            <v>AV1401254360</v>
          </cell>
          <cell r="CS478">
            <v>0</v>
          </cell>
          <cell r="CT478" t="str">
            <v>AV1601300956</v>
          </cell>
          <cell r="CU478">
            <v>0</v>
          </cell>
          <cell r="KD478">
            <v>14</v>
          </cell>
          <cell r="KE478">
            <v>14</v>
          </cell>
          <cell r="KG478">
            <v>20</v>
          </cell>
          <cell r="KH478">
            <v>20</v>
          </cell>
          <cell r="KJ478">
            <v>20</v>
          </cell>
          <cell r="KK478">
            <v>20</v>
          </cell>
          <cell r="KM478">
            <v>0</v>
          </cell>
          <cell r="KP478">
            <v>0</v>
          </cell>
          <cell r="KS478">
            <v>0</v>
          </cell>
          <cell r="KV478">
            <v>0</v>
          </cell>
          <cell r="KY478">
            <v>0</v>
          </cell>
          <cell r="LB478">
            <v>0</v>
          </cell>
          <cell r="LE478">
            <v>0</v>
          </cell>
          <cell r="LH478">
            <v>0</v>
          </cell>
          <cell r="LK478">
            <v>0</v>
          </cell>
          <cell r="LP478" t="str">
            <v>NO COMENZADO</v>
          </cell>
        </row>
        <row r="479">
          <cell r="A479" t="str">
            <v>2113-A</v>
          </cell>
          <cell r="B479" t="str">
            <v>LUCIANO</v>
          </cell>
          <cell r="C479" t="str">
            <v>PERDRIEL</v>
          </cell>
          <cell r="D479" t="str">
            <v>MARROQUINERIA CHICA</v>
          </cell>
          <cell r="E479">
            <v>92</v>
          </cell>
          <cell r="F479">
            <v>72</v>
          </cell>
          <cell r="G479">
            <v>72</v>
          </cell>
          <cell r="H479">
            <v>45965.598136574074</v>
          </cell>
          <cell r="I479" t="str">
            <v>PORTALENTES ORION</v>
          </cell>
          <cell r="J479">
            <v>45967</v>
          </cell>
          <cell r="K479">
            <v>45966</v>
          </cell>
          <cell r="L479">
            <v>45979</v>
          </cell>
          <cell r="M479">
            <v>11</v>
          </cell>
          <cell r="N479" t="str">
            <v>M100</v>
          </cell>
          <cell r="O479" t="str">
            <v>AV0101070301</v>
          </cell>
          <cell r="P479">
            <v>1</v>
          </cell>
          <cell r="Q479" t="str">
            <v>VAR0000055</v>
          </cell>
          <cell r="R479">
            <v>1</v>
          </cell>
          <cell r="S479" t="str">
            <v>AV1300130101</v>
          </cell>
          <cell r="T479">
            <v>1</v>
          </cell>
          <cell r="U479" t="str">
            <v>AV170134014</v>
          </cell>
          <cell r="V479">
            <v>0</v>
          </cell>
          <cell r="AS479" t="str">
            <v>TIRACIERRE N 12 - TIRA FINITA CON REMACHE</v>
          </cell>
          <cell r="AW479" t="str">
            <v xml:space="preserve">GRABADO " EL LUCERO ARG." CHICO EN EL FRENTE CENTRADO, A 1,5 CM DEL BORDE INFERIOR </v>
          </cell>
          <cell r="AX479" t="str">
            <v>CARAMELO</v>
          </cell>
          <cell r="AY479" t="str">
            <v>ARENA-CUERO BRIDGE</v>
          </cell>
          <cell r="AZ479" t="str">
            <v>CUE0000004R</v>
          </cell>
          <cell r="BA479">
            <v>0.02</v>
          </cell>
          <cell r="BB479" t="str">
            <v>AV0100020305</v>
          </cell>
          <cell r="BC479">
            <v>0.2</v>
          </cell>
          <cell r="BD479" t="str">
            <v>AV1401250545</v>
          </cell>
          <cell r="BE479">
            <v>0</v>
          </cell>
          <cell r="BF479" t="str">
            <v>AV1601300955</v>
          </cell>
          <cell r="BG479">
            <v>0</v>
          </cell>
          <cell r="BR479" t="str">
            <v>MALBEC</v>
          </cell>
          <cell r="BS479" t="str">
            <v>ARENA-CUERO BRIDGE</v>
          </cell>
          <cell r="BT479" t="str">
            <v>CUE0000008R</v>
          </cell>
          <cell r="BU479">
            <v>0.02</v>
          </cell>
          <cell r="BV479" t="str">
            <v>CIE0000003</v>
          </cell>
          <cell r="BW479">
            <v>0.2</v>
          </cell>
          <cell r="BX479" t="str">
            <v>AV1401250545</v>
          </cell>
          <cell r="BY479">
            <v>0</v>
          </cell>
          <cell r="BZ479" t="str">
            <v>PIN00000001</v>
          </cell>
          <cell r="CA479">
            <v>0</v>
          </cell>
          <cell r="CL479" t="str">
            <v>ROJO</v>
          </cell>
          <cell r="CM479" t="str">
            <v>ARENA-CUERO BRIDGE</v>
          </cell>
          <cell r="CN479" t="str">
            <v>CUE0000010R</v>
          </cell>
          <cell r="CO479">
            <v>0.02</v>
          </cell>
          <cell r="CP479" t="str">
            <v>AV0100020313</v>
          </cell>
          <cell r="CQ479">
            <v>0.2</v>
          </cell>
          <cell r="CR479" t="str">
            <v>AV1401254460</v>
          </cell>
          <cell r="CS479">
            <v>0</v>
          </cell>
          <cell r="CT479" t="str">
            <v>AV1601300929</v>
          </cell>
          <cell r="CU479">
            <v>0</v>
          </cell>
          <cell r="DF479" t="str">
            <v>TABACO</v>
          </cell>
          <cell r="DG479" t="str">
            <v>ARENA-CUERO BRIDGE</v>
          </cell>
          <cell r="DH479" t="str">
            <v>CUE0000012R</v>
          </cell>
          <cell r="DI479">
            <v>0.02</v>
          </cell>
          <cell r="DJ479" t="str">
            <v>AV0100020305</v>
          </cell>
          <cell r="DK479">
            <v>0.2</v>
          </cell>
          <cell r="DL479" t="str">
            <v>AV1401264540</v>
          </cell>
          <cell r="DM479">
            <v>0</v>
          </cell>
          <cell r="DN479" t="str">
            <v>AV1601300954</v>
          </cell>
          <cell r="DO479">
            <v>0</v>
          </cell>
          <cell r="DZ479" t="str">
            <v>ROJO</v>
          </cell>
          <cell r="EA479" t="str">
            <v>ARENA-CUERO NAPADO</v>
          </cell>
          <cell r="EB479" t="str">
            <v>CUE0000027R</v>
          </cell>
          <cell r="EC479">
            <v>0.02</v>
          </cell>
          <cell r="ED479" t="str">
            <v>AV0100020313</v>
          </cell>
          <cell r="EE479">
            <v>0.2</v>
          </cell>
          <cell r="EF479" t="str">
            <v>AV1401254460</v>
          </cell>
          <cell r="EG479">
            <v>0</v>
          </cell>
          <cell r="EH479" t="str">
            <v>AV1601300929</v>
          </cell>
          <cell r="EI479">
            <v>0</v>
          </cell>
          <cell r="ET479" t="str">
            <v>SUELA</v>
          </cell>
          <cell r="EU479" t="str">
            <v>ARENA-CUERO NAPADO</v>
          </cell>
          <cell r="EV479" t="str">
            <v>CUE0000028R</v>
          </cell>
          <cell r="EW479">
            <v>0.02</v>
          </cell>
          <cell r="EX479" t="str">
            <v>AV0100020337</v>
          </cell>
          <cell r="EY479">
            <v>0.2</v>
          </cell>
          <cell r="EZ479" t="str">
            <v>AV1401250545</v>
          </cell>
          <cell r="FA479">
            <v>0</v>
          </cell>
          <cell r="FB479" t="str">
            <v>AV1601300955</v>
          </cell>
          <cell r="FC479">
            <v>0</v>
          </cell>
          <cell r="KD479">
            <v>14</v>
          </cell>
          <cell r="KE479">
            <v>14</v>
          </cell>
          <cell r="KF479">
            <v>14</v>
          </cell>
          <cell r="KG479">
            <v>12</v>
          </cell>
          <cell r="KH479">
            <v>12</v>
          </cell>
          <cell r="KI479">
            <v>12</v>
          </cell>
          <cell r="KJ479">
            <v>12</v>
          </cell>
          <cell r="KK479">
            <v>12</v>
          </cell>
          <cell r="KL479">
            <v>12</v>
          </cell>
          <cell r="KM479">
            <v>20</v>
          </cell>
          <cell r="KN479">
            <v>20</v>
          </cell>
          <cell r="KO479">
            <v>20</v>
          </cell>
          <cell r="KP479">
            <v>20</v>
          </cell>
          <cell r="KQ479">
            <v>0</v>
          </cell>
          <cell r="KR479">
            <v>0</v>
          </cell>
          <cell r="KS479">
            <v>14</v>
          </cell>
          <cell r="KT479">
            <v>14</v>
          </cell>
          <cell r="KU479">
            <v>14</v>
          </cell>
          <cell r="KV479">
            <v>0</v>
          </cell>
          <cell r="KY479">
            <v>0</v>
          </cell>
          <cell r="LB479">
            <v>0</v>
          </cell>
          <cell r="LE479">
            <v>0</v>
          </cell>
          <cell r="LH479">
            <v>0</v>
          </cell>
          <cell r="LK479">
            <v>0</v>
          </cell>
          <cell r="LN479">
            <v>45978</v>
          </cell>
          <cell r="LO479">
            <v>45987</v>
          </cell>
          <cell r="LP479" t="str">
            <v>COMPLETADO</v>
          </cell>
        </row>
        <row r="480">
          <cell r="A480" t="str">
            <v>2071-B</v>
          </cell>
          <cell r="B480" t="str">
            <v>LUCIANO</v>
          </cell>
          <cell r="C480" t="str">
            <v>PERDRIEL</v>
          </cell>
          <cell r="D480" t="str">
            <v>MARROQUINERIA CHICA</v>
          </cell>
          <cell r="E480">
            <v>2</v>
          </cell>
          <cell r="F480">
            <v>2</v>
          </cell>
          <cell r="H480">
            <v>45967.610983796294</v>
          </cell>
          <cell r="I480" t="str">
            <v>BILLETERA LIAM</v>
          </cell>
          <cell r="J480">
            <v>45971</v>
          </cell>
          <cell r="M480">
            <v>65</v>
          </cell>
          <cell r="N480" t="str">
            <v>M020</v>
          </cell>
          <cell r="O480" t="str">
            <v>BAC1300050727</v>
          </cell>
          <cell r="P480">
            <v>0.02</v>
          </cell>
          <cell r="Q480" t="str">
            <v>VAR0000002</v>
          </cell>
          <cell r="R480">
            <v>0.01</v>
          </cell>
          <cell r="S480" t="str">
            <v>AV0401380101</v>
          </cell>
          <cell r="T480">
            <v>1</v>
          </cell>
          <cell r="U480" t="str">
            <v>AV170134014</v>
          </cell>
          <cell r="V480">
            <v>0</v>
          </cell>
          <cell r="AW480" t="str">
            <v xml:space="preserve">GRABADO "EL LUCERO ARGENTINA" CHICO -CENTRADO A 1 CM DESDE EL BORDE INFERIOR  </v>
          </cell>
          <cell r="AX480" t="str">
            <v>SUELA</v>
          </cell>
          <cell r="AY480" t="str">
            <v>ARENA-CUERO NAPADO</v>
          </cell>
          <cell r="AZ480" t="str">
            <v>CUE0000028R</v>
          </cell>
          <cell r="BA480">
            <v>0.16</v>
          </cell>
          <cell r="BB480" t="str">
            <v>FOR0000015</v>
          </cell>
          <cell r="BC480">
            <v>0.24</v>
          </cell>
          <cell r="BD480" t="str">
            <v>AV1401250545</v>
          </cell>
          <cell r="BE480">
            <v>0</v>
          </cell>
          <cell r="KD480">
            <v>2</v>
          </cell>
          <cell r="KE480">
            <v>2</v>
          </cell>
          <cell r="KF480">
            <v>0</v>
          </cell>
          <cell r="KG480">
            <v>0</v>
          </cell>
          <cell r="KI480">
            <v>0</v>
          </cell>
          <cell r="KJ480">
            <v>0</v>
          </cell>
          <cell r="KL480">
            <v>0</v>
          </cell>
          <cell r="KM480">
            <v>0</v>
          </cell>
          <cell r="KO480">
            <v>0</v>
          </cell>
          <cell r="KP480">
            <v>0</v>
          </cell>
          <cell r="KR480">
            <v>0</v>
          </cell>
          <cell r="KS480">
            <v>0</v>
          </cell>
          <cell r="KU480">
            <v>0</v>
          </cell>
          <cell r="KV480">
            <v>0</v>
          </cell>
          <cell r="KX480">
            <v>0</v>
          </cell>
          <cell r="KY480">
            <v>0</v>
          </cell>
          <cell r="LA480">
            <v>0</v>
          </cell>
          <cell r="LB480">
            <v>0</v>
          </cell>
          <cell r="LD480">
            <v>0</v>
          </cell>
          <cell r="LE480">
            <v>0</v>
          </cell>
          <cell r="LG480">
            <v>0</v>
          </cell>
          <cell r="LH480">
            <v>0</v>
          </cell>
          <cell r="LJ480">
            <v>0</v>
          </cell>
          <cell r="LK480">
            <v>0</v>
          </cell>
          <cell r="LM480">
            <v>0</v>
          </cell>
          <cell r="LP480" t="str">
            <v>EN PRODUCCION</v>
          </cell>
        </row>
        <row r="481">
          <cell r="A481" t="str">
            <v>2092-B</v>
          </cell>
          <cell r="B481" t="str">
            <v>RUBEN</v>
          </cell>
          <cell r="C481" t="str">
            <v>INTERNO JAVIER</v>
          </cell>
          <cell r="D481" t="str">
            <v>MARROQUINERIA GRANDE</v>
          </cell>
          <cell r="E481">
            <v>8</v>
          </cell>
          <cell r="F481">
            <v>8</v>
          </cell>
          <cell r="G481">
            <v>8</v>
          </cell>
          <cell r="H481">
            <v>45967.776030092595</v>
          </cell>
          <cell r="I481" t="str">
            <v>BANDOLERA JADE</v>
          </cell>
          <cell r="J481">
            <v>45971</v>
          </cell>
          <cell r="K481">
            <v>45968</v>
          </cell>
          <cell r="L481">
            <v>45972</v>
          </cell>
          <cell r="M481">
            <v>35</v>
          </cell>
          <cell r="N481" t="str">
            <v>M199</v>
          </cell>
          <cell r="O481" t="str">
            <v>CUE0000124</v>
          </cell>
          <cell r="P481">
            <v>1</v>
          </cell>
          <cell r="Q481" t="str">
            <v>AV170129018</v>
          </cell>
          <cell r="R481">
            <v>0</v>
          </cell>
          <cell r="BB481">
            <v>0</v>
          </cell>
          <cell r="BC481">
            <v>0.09</v>
          </cell>
          <cell r="BR481" t="str">
            <v>SUELA</v>
          </cell>
          <cell r="BS481" t="str">
            <v>ARENA-CUERO NAPADO</v>
          </cell>
          <cell r="BT481" t="str">
            <v>CUE0000028</v>
          </cell>
          <cell r="BU481">
            <v>0.35000000000000003</v>
          </cell>
          <cell r="BV481" t="str">
            <v>FOR0000021</v>
          </cell>
          <cell r="BW481">
            <v>7.0000000000000007E-2</v>
          </cell>
          <cell r="CP481">
            <v>0</v>
          </cell>
          <cell r="CQ481">
            <v>0.09</v>
          </cell>
          <cell r="KD481">
            <v>0</v>
          </cell>
          <cell r="KF481">
            <v>0</v>
          </cell>
          <cell r="KG481">
            <v>8</v>
          </cell>
          <cell r="KH481">
            <v>8</v>
          </cell>
          <cell r="KI481">
            <v>8</v>
          </cell>
          <cell r="KJ481">
            <v>0</v>
          </cell>
          <cell r="KK481">
            <v>0</v>
          </cell>
          <cell r="KL481">
            <v>0</v>
          </cell>
          <cell r="KM481">
            <v>0</v>
          </cell>
          <cell r="KO481">
            <v>0</v>
          </cell>
          <cell r="KP481">
            <v>0</v>
          </cell>
          <cell r="KR481">
            <v>0</v>
          </cell>
          <cell r="KS481">
            <v>0</v>
          </cell>
          <cell r="KU481">
            <v>0</v>
          </cell>
          <cell r="KV481">
            <v>0</v>
          </cell>
          <cell r="KX481">
            <v>0</v>
          </cell>
          <cell r="KY481">
            <v>0</v>
          </cell>
          <cell r="LA481">
            <v>0</v>
          </cell>
          <cell r="LB481">
            <v>0</v>
          </cell>
          <cell r="LD481">
            <v>0</v>
          </cell>
          <cell r="LE481">
            <v>0</v>
          </cell>
          <cell r="LG481">
            <v>0</v>
          </cell>
          <cell r="LH481">
            <v>0</v>
          </cell>
          <cell r="LJ481">
            <v>0</v>
          </cell>
          <cell r="LK481">
            <v>0</v>
          </cell>
          <cell r="LM481">
            <v>0</v>
          </cell>
          <cell r="LN481">
            <v>45971</v>
          </cell>
          <cell r="LO481">
            <v>45979</v>
          </cell>
          <cell r="LP481" t="str">
            <v>COMPLETADO</v>
          </cell>
        </row>
        <row r="482">
          <cell r="A482" t="str">
            <v>2094-B</v>
          </cell>
          <cell r="B482" t="str">
            <v>RUBEN</v>
          </cell>
          <cell r="C482" t="str">
            <v>INTERNO JAVIER</v>
          </cell>
          <cell r="D482" t="str">
            <v>MARROQUINERIA GRANDE</v>
          </cell>
          <cell r="E482">
            <v>4</v>
          </cell>
          <cell r="F482">
            <v>4</v>
          </cell>
          <cell r="G482">
            <v>4</v>
          </cell>
          <cell r="H482">
            <v>45967.779953703706</v>
          </cell>
          <cell r="I482" t="str">
            <v>BANDOLERA CASIOPEA</v>
          </cell>
          <cell r="J482">
            <v>45971</v>
          </cell>
          <cell r="K482">
            <v>45968</v>
          </cell>
          <cell r="L482">
            <v>45972</v>
          </cell>
          <cell r="M482">
            <v>45</v>
          </cell>
          <cell r="N482" t="str">
            <v>M003</v>
          </cell>
          <cell r="O482" t="str">
            <v>AV0300400101</v>
          </cell>
          <cell r="P482">
            <v>3</v>
          </cell>
          <cell r="Q482" t="str">
            <v>AV0101030201</v>
          </cell>
          <cell r="R482">
            <v>1</v>
          </cell>
          <cell r="S482" t="str">
            <v>AV0400770101</v>
          </cell>
          <cell r="T482">
            <v>2</v>
          </cell>
          <cell r="U482" t="str">
            <v>AV1001210101</v>
          </cell>
          <cell r="V482">
            <v>1</v>
          </cell>
          <cell r="W482" t="str">
            <v>AV0300390101</v>
          </cell>
          <cell r="X482">
            <v>1</v>
          </cell>
          <cell r="Y482" t="str">
            <v>AV0700650101</v>
          </cell>
          <cell r="Z482">
            <v>1</v>
          </cell>
          <cell r="AA482" t="str">
            <v>AV0300440101</v>
          </cell>
          <cell r="AB482">
            <v>1</v>
          </cell>
          <cell r="AC482" t="str">
            <v>AV0101040201</v>
          </cell>
          <cell r="AD482">
            <v>1</v>
          </cell>
          <cell r="AE482" t="str">
            <v>AV0600540101</v>
          </cell>
          <cell r="AF482">
            <v>1</v>
          </cell>
          <cell r="AG482" t="str">
            <v>AV170129018</v>
          </cell>
          <cell r="AH482">
            <v>0</v>
          </cell>
          <cell r="AS482" t="str">
            <v>TIRACIERRE EXTERNO EL LUCERO / TIRACIERRE INTERNO N1: TIRA CON REMACHE</v>
          </cell>
          <cell r="AW482" t="str">
            <v xml:space="preserve">GRABADO "EL LUCERO GRANDE" EN EL FRENTE DE LA SOLAPA, CENTRADA A 2CM DEL CIERRE </v>
          </cell>
          <cell r="AX482" t="str">
            <v>SUELA</v>
          </cell>
          <cell r="AY482" t="str">
            <v>ARENA-CUERO NAPADO</v>
          </cell>
          <cell r="AZ482" t="str">
            <v>CUE0000028</v>
          </cell>
          <cell r="BA482">
            <v>0.22</v>
          </cell>
          <cell r="BB482" t="str">
            <v>FOR0000021</v>
          </cell>
          <cell r="BC482">
            <v>0.18</v>
          </cell>
          <cell r="BD482" t="str">
            <v>AV0100010207</v>
          </cell>
          <cell r="BE482">
            <v>0.38</v>
          </cell>
          <cell r="BF482" t="str">
            <v>AV1401240545</v>
          </cell>
          <cell r="BG482">
            <v>0</v>
          </cell>
          <cell r="BH482" t="str">
            <v>AV1601300955</v>
          </cell>
          <cell r="BI482">
            <v>0</v>
          </cell>
          <cell r="CP482">
            <v>0</v>
          </cell>
          <cell r="CQ482">
            <v>0.09</v>
          </cell>
          <cell r="KD482">
            <v>4</v>
          </cell>
          <cell r="KE482">
            <v>4</v>
          </cell>
          <cell r="KF482">
            <v>4</v>
          </cell>
          <cell r="KG482">
            <v>0</v>
          </cell>
          <cell r="KI482">
            <v>0</v>
          </cell>
          <cell r="KJ482">
            <v>0</v>
          </cell>
          <cell r="KL482">
            <v>0</v>
          </cell>
          <cell r="KM482">
            <v>0</v>
          </cell>
          <cell r="KO482">
            <v>0</v>
          </cell>
          <cell r="KP482">
            <v>0</v>
          </cell>
          <cell r="KR482">
            <v>0</v>
          </cell>
          <cell r="KS482">
            <v>0</v>
          </cell>
          <cell r="KU482">
            <v>0</v>
          </cell>
          <cell r="KV482">
            <v>0</v>
          </cell>
          <cell r="KX482">
            <v>0</v>
          </cell>
          <cell r="KY482">
            <v>0</v>
          </cell>
          <cell r="LA482">
            <v>0</v>
          </cell>
          <cell r="LB482">
            <v>0</v>
          </cell>
          <cell r="LD482">
            <v>0</v>
          </cell>
          <cell r="LE482">
            <v>0</v>
          </cell>
          <cell r="LG482">
            <v>0</v>
          </cell>
          <cell r="LH482">
            <v>0</v>
          </cell>
          <cell r="LJ482">
            <v>0</v>
          </cell>
          <cell r="LK482">
            <v>0</v>
          </cell>
          <cell r="LM482">
            <v>0</v>
          </cell>
          <cell r="LN482">
            <v>45971</v>
          </cell>
          <cell r="LO482">
            <v>45979</v>
          </cell>
          <cell r="LP482" t="str">
            <v>COMPLETADO</v>
          </cell>
        </row>
        <row r="483">
          <cell r="A483" t="str">
            <v>2095-B</v>
          </cell>
          <cell r="B483" t="str">
            <v>RUBEN</v>
          </cell>
          <cell r="C483" t="str">
            <v>INTERNO JAVIER</v>
          </cell>
          <cell r="D483" t="str">
            <v>MARROQUINERIA GRANDE</v>
          </cell>
          <cell r="E483">
            <v>6</v>
          </cell>
          <cell r="F483">
            <v>6</v>
          </cell>
          <cell r="G483">
            <v>6</v>
          </cell>
          <cell r="H483">
            <v>45967.781064814815</v>
          </cell>
          <cell r="I483" t="str">
            <v>TOTE IRUYA</v>
          </cell>
          <cell r="J483">
            <v>45971</v>
          </cell>
          <cell r="K483">
            <v>45968</v>
          </cell>
          <cell r="L483">
            <v>45972</v>
          </cell>
          <cell r="M483">
            <v>20</v>
          </cell>
          <cell r="N483" t="str">
            <v>M154</v>
          </cell>
          <cell r="O483" t="str">
            <v>AV170129018</v>
          </cell>
          <cell r="P483">
            <v>0</v>
          </cell>
          <cell r="AS483" t="str">
            <v>CORREA 2,5CM / SIN PINTURA</v>
          </cell>
          <cell r="AT483" t="str">
            <v>PEGAR ETIQUETA DE CUERO AL FRENTE HILO AL TONO CON HILO GRUESO N 20</v>
          </cell>
          <cell r="AW483" t="str">
            <v>GRABADO ETIQUETA EN NAPADO 7,5CM X 5,5 CM "EL LUCERO HIGH QUALITY GOODS</v>
          </cell>
          <cell r="AX483" t="str">
            <v>SUELA</v>
          </cell>
          <cell r="AY483" t="str">
            <v>ARENA-CUERO NAPADO</v>
          </cell>
          <cell r="AZ483" t="str">
            <v>CUE0000028</v>
          </cell>
          <cell r="BA483">
            <v>0.44999999999999996</v>
          </cell>
          <cell r="BU483">
            <v>0.44999999999999996</v>
          </cell>
          <cell r="CP483">
            <v>0</v>
          </cell>
          <cell r="CQ483">
            <v>0.09</v>
          </cell>
          <cell r="KD483">
            <v>6</v>
          </cell>
          <cell r="KE483">
            <v>6</v>
          </cell>
          <cell r="KF483">
            <v>6</v>
          </cell>
          <cell r="KG483">
            <v>0</v>
          </cell>
          <cell r="KI483">
            <v>0</v>
          </cell>
          <cell r="KJ483">
            <v>0</v>
          </cell>
          <cell r="KL483">
            <v>0</v>
          </cell>
          <cell r="KM483">
            <v>0</v>
          </cell>
          <cell r="KO483">
            <v>0</v>
          </cell>
          <cell r="KP483">
            <v>0</v>
          </cell>
          <cell r="KR483">
            <v>0</v>
          </cell>
          <cell r="KS483">
            <v>0</v>
          </cell>
          <cell r="KU483">
            <v>0</v>
          </cell>
          <cell r="KV483">
            <v>0</v>
          </cell>
          <cell r="KX483">
            <v>0</v>
          </cell>
          <cell r="KY483">
            <v>0</v>
          </cell>
          <cell r="LA483">
            <v>0</v>
          </cell>
          <cell r="LB483">
            <v>0</v>
          </cell>
          <cell r="LD483">
            <v>0</v>
          </cell>
          <cell r="LE483">
            <v>0</v>
          </cell>
          <cell r="LG483">
            <v>0</v>
          </cell>
          <cell r="LH483">
            <v>0</v>
          </cell>
          <cell r="LJ483">
            <v>0</v>
          </cell>
          <cell r="LK483">
            <v>0</v>
          </cell>
          <cell r="LM483">
            <v>0</v>
          </cell>
          <cell r="LN483">
            <v>45971</v>
          </cell>
          <cell r="LO483">
            <v>45979</v>
          </cell>
          <cell r="LP483" t="str">
            <v>COMPLETADO</v>
          </cell>
        </row>
        <row r="484">
          <cell r="A484" t="str">
            <v>2098-B</v>
          </cell>
          <cell r="B484" t="str">
            <v>RUBEN</v>
          </cell>
          <cell r="C484" t="str">
            <v>INTERNO JAVIER</v>
          </cell>
          <cell r="D484" t="str">
            <v>MARROQUINERIA GRANDE</v>
          </cell>
          <cell r="E484">
            <v>6</v>
          </cell>
          <cell r="F484">
            <v>6</v>
          </cell>
          <cell r="G484">
            <v>6</v>
          </cell>
          <cell r="H484">
            <v>45967.782743055555</v>
          </cell>
          <cell r="I484" t="str">
            <v>CARTERA LEANDRA</v>
          </cell>
          <cell r="J484">
            <v>45971</v>
          </cell>
          <cell r="K484">
            <v>45968</v>
          </cell>
          <cell r="L484">
            <v>45972</v>
          </cell>
          <cell r="M484">
            <v>40</v>
          </cell>
          <cell r="N484" t="str">
            <v>M042</v>
          </cell>
          <cell r="O484" t="str">
            <v>AV0101030201</v>
          </cell>
          <cell r="P484">
            <v>1</v>
          </cell>
          <cell r="Q484" t="str">
            <v>AV1000380101</v>
          </cell>
          <cell r="R484">
            <v>1</v>
          </cell>
          <cell r="S484" t="str">
            <v>AV0300390101</v>
          </cell>
          <cell r="T484">
            <v>1</v>
          </cell>
          <cell r="U484" t="str">
            <v>AV0300400101</v>
          </cell>
          <cell r="V484">
            <v>2</v>
          </cell>
          <cell r="W484" t="str">
            <v>BAC1300020827</v>
          </cell>
          <cell r="X484">
            <v>0.01</v>
          </cell>
          <cell r="Y484" t="str">
            <v>AV1000780101</v>
          </cell>
          <cell r="Z484">
            <v>2</v>
          </cell>
          <cell r="AA484" t="str">
            <v>AV0400980101</v>
          </cell>
          <cell r="AB484">
            <v>1</v>
          </cell>
          <cell r="AC484" t="str">
            <v>AV170129018</v>
          </cell>
          <cell r="AD484">
            <v>0</v>
          </cell>
          <cell r="AS484" t="str">
            <v>TIRACIERRE 1 CON ARGOLLITA: TIRA DE CUERO + REMACHE + GRABADO ESTRELLA</v>
          </cell>
          <cell r="BR484" t="str">
            <v>SUELA</v>
          </cell>
          <cell r="BS484" t="str">
            <v>ARENA-CUERO NAPADO</v>
          </cell>
          <cell r="BT484" t="str">
            <v>CUE0000028</v>
          </cell>
          <cell r="BU484">
            <v>0.22</v>
          </cell>
          <cell r="BV484" t="str">
            <v>AV1401240545</v>
          </cell>
          <cell r="BW484">
            <v>0</v>
          </cell>
          <cell r="BX484" t="str">
            <v>FOR0000021</v>
          </cell>
          <cell r="BY484">
            <v>0.11</v>
          </cell>
          <cell r="BZ484" t="str">
            <v>AV0100010107</v>
          </cell>
          <cell r="CA484">
            <v>0.25</v>
          </cell>
          <cell r="CP484">
            <v>0</v>
          </cell>
          <cell r="CQ484">
            <v>0.09</v>
          </cell>
          <cell r="KD484">
            <v>0</v>
          </cell>
          <cell r="KF484">
            <v>0</v>
          </cell>
          <cell r="KG484">
            <v>6</v>
          </cell>
          <cell r="KH484">
            <v>6</v>
          </cell>
          <cell r="KI484">
            <v>6</v>
          </cell>
          <cell r="KJ484">
            <v>0</v>
          </cell>
          <cell r="KL484">
            <v>0</v>
          </cell>
          <cell r="KM484">
            <v>0</v>
          </cell>
          <cell r="KO484">
            <v>0</v>
          </cell>
          <cell r="KP484">
            <v>0</v>
          </cell>
          <cell r="KR484">
            <v>0</v>
          </cell>
          <cell r="KS484">
            <v>0</v>
          </cell>
          <cell r="KU484">
            <v>0</v>
          </cell>
          <cell r="KV484">
            <v>0</v>
          </cell>
          <cell r="KX484">
            <v>0</v>
          </cell>
          <cell r="KY484">
            <v>0</v>
          </cell>
          <cell r="LA484">
            <v>0</v>
          </cell>
          <cell r="LB484">
            <v>0</v>
          </cell>
          <cell r="LD484">
            <v>0</v>
          </cell>
          <cell r="LE484">
            <v>0</v>
          </cell>
          <cell r="LG484">
            <v>0</v>
          </cell>
          <cell r="LH484">
            <v>0</v>
          </cell>
          <cell r="LJ484">
            <v>0</v>
          </cell>
          <cell r="LK484">
            <v>0</v>
          </cell>
          <cell r="LM484">
            <v>0</v>
          </cell>
          <cell r="LN484">
            <v>45971</v>
          </cell>
          <cell r="LO484">
            <v>45979</v>
          </cell>
          <cell r="LP484" t="str">
            <v>COMPLETADO</v>
          </cell>
        </row>
        <row r="485">
          <cell r="A485" t="str">
            <v>1989-C</v>
          </cell>
          <cell r="B485" t="str">
            <v>LUCIANO</v>
          </cell>
          <cell r="C485" t="str">
            <v>BARRACAS CHICA</v>
          </cell>
          <cell r="D485" t="str">
            <v>MARROQUINERIA GRANDE</v>
          </cell>
          <cell r="E485">
            <v>12</v>
          </cell>
          <cell r="F485">
            <v>12</v>
          </cell>
          <cell r="G485">
            <v>12</v>
          </cell>
          <cell r="H485">
            <v>45967.78628472222</v>
          </cell>
          <cell r="I485" t="str">
            <v>CARTERA INES</v>
          </cell>
          <cell r="J485">
            <v>45971</v>
          </cell>
          <cell r="K485">
            <v>45968</v>
          </cell>
          <cell r="L485">
            <v>45972</v>
          </cell>
          <cell r="M485">
            <v>35</v>
          </cell>
          <cell r="N485" t="str">
            <v>M170</v>
          </cell>
          <cell r="O485" t="str">
            <v>AV0300460101</v>
          </cell>
          <cell r="P485">
            <v>1</v>
          </cell>
          <cell r="Q485" t="str">
            <v>AV170129018</v>
          </cell>
          <cell r="R485">
            <v>0</v>
          </cell>
          <cell r="AS485" t="str">
            <v>SIN FORRERIA</v>
          </cell>
          <cell r="AT485" t="str">
            <v>SIN PINTURA</v>
          </cell>
          <cell r="AW485" t="str">
            <v>GRABADO "EL LUCERO" CHICO CENTRADO EN PIEZA INTERNA PORTA IMAN TRASERA</v>
          </cell>
          <cell r="AX485" t="str">
            <v>TABACO</v>
          </cell>
          <cell r="AY485" t="str">
            <v>ARENA-CUERO BRIDGE</v>
          </cell>
          <cell r="AZ485" t="str">
            <v>CUE0000012</v>
          </cell>
          <cell r="BA485">
            <v>0.41000000000000003</v>
          </cell>
          <cell r="CP485">
            <v>0</v>
          </cell>
          <cell r="CQ485">
            <v>0.09</v>
          </cell>
          <cell r="KD485">
            <v>12</v>
          </cell>
          <cell r="KE485">
            <v>12</v>
          </cell>
          <cell r="KF485">
            <v>12</v>
          </cell>
          <cell r="KG485">
            <v>0</v>
          </cell>
          <cell r="KJ485">
            <v>0</v>
          </cell>
          <cell r="KM485">
            <v>0</v>
          </cell>
          <cell r="KP485">
            <v>0</v>
          </cell>
          <cell r="KS485">
            <v>0</v>
          </cell>
          <cell r="KV485">
            <v>0</v>
          </cell>
          <cell r="KY485">
            <v>0</v>
          </cell>
          <cell r="LB485">
            <v>0</v>
          </cell>
          <cell r="LE485">
            <v>0</v>
          </cell>
          <cell r="LH485">
            <v>0</v>
          </cell>
          <cell r="LK485">
            <v>0</v>
          </cell>
          <cell r="LN485">
            <v>45971</v>
          </cell>
          <cell r="LO485">
            <v>45979</v>
          </cell>
          <cell r="LP485" t="str">
            <v>COMPLETADO</v>
          </cell>
        </row>
        <row r="486">
          <cell r="A486" t="str">
            <v>2002-B</v>
          </cell>
          <cell r="B486" t="str">
            <v>LUCIANO</v>
          </cell>
          <cell r="C486" t="str">
            <v>BARRACAS CHICA</v>
          </cell>
          <cell r="D486" t="str">
            <v>MARROQUINERIA CHICA</v>
          </cell>
          <cell r="E486">
            <v>9</v>
          </cell>
          <cell r="F486">
            <v>9</v>
          </cell>
          <cell r="G486">
            <v>0</v>
          </cell>
          <cell r="H486">
            <v>45967.788865740738</v>
          </cell>
          <cell r="I486" t="str">
            <v>PORTABILLETES CORVUS</v>
          </cell>
          <cell r="J486">
            <v>45971</v>
          </cell>
          <cell r="M486">
            <v>23</v>
          </cell>
          <cell r="N486" t="str">
            <v>M079</v>
          </cell>
          <cell r="O486" t="str">
            <v>AV0400150124</v>
          </cell>
          <cell r="P486">
            <v>1</v>
          </cell>
          <cell r="Q486" t="str">
            <v>AV170134014</v>
          </cell>
          <cell r="R486">
            <v>0</v>
          </cell>
          <cell r="AW486" t="str">
            <v>GRABADO "EL LUCERO ARG" CHICO EN PARTE INTERIOR DERECHA, CENTRADO EN EL BORDE INFERIOR.</v>
          </cell>
          <cell r="AX486" t="str">
            <v>TABACO</v>
          </cell>
          <cell r="AY486" t="str">
            <v>ARENA-CUERO BRIDGE</v>
          </cell>
          <cell r="AZ486" t="str">
            <v>CUE0000012R</v>
          </cell>
          <cell r="BA486">
            <v>0.08</v>
          </cell>
          <cell r="BB486" t="str">
            <v>AV1401250545</v>
          </cell>
          <cell r="BC486">
            <v>0</v>
          </cell>
          <cell r="CP486">
            <v>0</v>
          </cell>
          <cell r="CQ486">
            <v>0.09</v>
          </cell>
          <cell r="KD486">
            <v>9</v>
          </cell>
          <cell r="KE486">
            <v>9</v>
          </cell>
          <cell r="KF486">
            <v>0</v>
          </cell>
          <cell r="KG486">
            <v>0</v>
          </cell>
          <cell r="KI486">
            <v>0</v>
          </cell>
          <cell r="KJ486">
            <v>0</v>
          </cell>
          <cell r="KL486">
            <v>0</v>
          </cell>
          <cell r="KM486">
            <v>0</v>
          </cell>
          <cell r="KO486">
            <v>0</v>
          </cell>
          <cell r="KP486">
            <v>0</v>
          </cell>
          <cell r="KR486">
            <v>0</v>
          </cell>
          <cell r="KS486">
            <v>0</v>
          </cell>
          <cell r="KU486">
            <v>0</v>
          </cell>
          <cell r="KV486">
            <v>0</v>
          </cell>
          <cell r="KX486">
            <v>0</v>
          </cell>
          <cell r="KY486">
            <v>0</v>
          </cell>
          <cell r="LA486">
            <v>0</v>
          </cell>
          <cell r="LB486">
            <v>0</v>
          </cell>
          <cell r="LD486">
            <v>0</v>
          </cell>
          <cell r="LE486">
            <v>0</v>
          </cell>
          <cell r="LG486">
            <v>0</v>
          </cell>
          <cell r="LH486">
            <v>0</v>
          </cell>
          <cell r="LJ486">
            <v>0</v>
          </cell>
          <cell r="LK486">
            <v>0</v>
          </cell>
          <cell r="LM486">
            <v>0</v>
          </cell>
          <cell r="LP486" t="str">
            <v>EN PRODUCCION</v>
          </cell>
        </row>
        <row r="487">
          <cell r="A487" t="str">
            <v>2004-B</v>
          </cell>
          <cell r="B487" t="str">
            <v>LUCIANO</v>
          </cell>
          <cell r="C487" t="str">
            <v>PERDRIEL</v>
          </cell>
          <cell r="D487" t="str">
            <v>MARROQUINERIA CHICA</v>
          </cell>
          <cell r="E487">
            <v>2</v>
          </cell>
          <cell r="F487">
            <v>2</v>
          </cell>
          <cell r="G487">
            <v>0</v>
          </cell>
          <cell r="H487">
            <v>45967.793692129628</v>
          </cell>
          <cell r="I487" t="str">
            <v>PORTAHIGIENE</v>
          </cell>
          <cell r="J487">
            <v>45971</v>
          </cell>
          <cell r="M487">
            <v>42</v>
          </cell>
          <cell r="N487" t="str">
            <v>M090</v>
          </cell>
          <cell r="O487" t="str">
            <v>AV0101040201</v>
          </cell>
          <cell r="P487">
            <v>1</v>
          </cell>
          <cell r="Q487" t="str">
            <v>BAC1300020827</v>
          </cell>
          <cell r="R487">
            <v>0.03</v>
          </cell>
          <cell r="S487" t="str">
            <v>AV0300390101</v>
          </cell>
          <cell r="T487">
            <v>1</v>
          </cell>
          <cell r="U487" t="str">
            <v>AV1000380101</v>
          </cell>
          <cell r="V487">
            <v>1</v>
          </cell>
          <cell r="W487" t="str">
            <v>BAC1300050727</v>
          </cell>
          <cell r="X487">
            <v>0.03</v>
          </cell>
          <cell r="Y487" t="str">
            <v>BAC0200081126</v>
          </cell>
          <cell r="Z487">
            <v>0.02</v>
          </cell>
          <cell r="AA487" t="str">
            <v>AV170134014</v>
          </cell>
          <cell r="AB487">
            <v>0</v>
          </cell>
          <cell r="AS487" t="str">
            <v>TIRACIERRE N° 1 , CON TIRA GRABADA CON ESTRELLA Y REMACHE</v>
          </cell>
          <cell r="AW487" t="str">
            <v>GRABADO "EL LUCERO GRANDE" EN PIEZA TRASERA CENTRADO A 2,5 CM DESDE ABAJO</v>
          </cell>
          <cell r="AX487" t="str">
            <v>TABACO</v>
          </cell>
          <cell r="AY487" t="str">
            <v>ARENA-CUERO BRIDGE</v>
          </cell>
          <cell r="AZ487" t="str">
            <v>CUE0000012R</v>
          </cell>
          <cell r="BA487">
            <v>7.0000000000000007E-2</v>
          </cell>
          <cell r="BB487" t="str">
            <v>AV1401250545</v>
          </cell>
          <cell r="BC487">
            <v>0</v>
          </cell>
          <cell r="BD487" t="str">
            <v>FOR0000021</v>
          </cell>
          <cell r="BE487">
            <v>0.06</v>
          </cell>
          <cell r="BF487" t="str">
            <v>AV0100010111</v>
          </cell>
          <cell r="BG487">
            <v>0.41</v>
          </cell>
          <cell r="CP487">
            <v>0</v>
          </cell>
          <cell r="CQ487">
            <v>0.09</v>
          </cell>
          <cell r="KD487">
            <v>2</v>
          </cell>
          <cell r="KE487">
            <v>2</v>
          </cell>
          <cell r="KG487">
            <v>0</v>
          </cell>
          <cell r="KJ487">
            <v>0</v>
          </cell>
          <cell r="KM487">
            <v>0</v>
          </cell>
          <cell r="KP487">
            <v>0</v>
          </cell>
          <cell r="KS487">
            <v>0</v>
          </cell>
          <cell r="KV487">
            <v>0</v>
          </cell>
          <cell r="KY487">
            <v>0</v>
          </cell>
          <cell r="LB487">
            <v>0</v>
          </cell>
          <cell r="LE487">
            <v>0</v>
          </cell>
          <cell r="LH487">
            <v>0</v>
          </cell>
          <cell r="LK487">
            <v>0</v>
          </cell>
          <cell r="LP487" t="str">
            <v>EN PRODUCCION</v>
          </cell>
        </row>
        <row r="488">
          <cell r="A488" t="str">
            <v>2117-A</v>
          </cell>
          <cell r="B488" t="str">
            <v>RUBEN</v>
          </cell>
          <cell r="C488" t="str">
            <v>BARRACAS GRANDE</v>
          </cell>
          <cell r="D488" t="str">
            <v>MARROQUINERIA CHICA</v>
          </cell>
          <cell r="E488">
            <v>6</v>
          </cell>
          <cell r="F488">
            <v>6</v>
          </cell>
          <cell r="H488">
            <v>45969.877986111111</v>
          </cell>
          <cell r="I488" t="str">
            <v>PORTAVINO TANDIL</v>
          </cell>
          <cell r="M488">
            <v>35</v>
          </cell>
          <cell r="N488" t="str">
            <v>M165</v>
          </cell>
          <cell r="O488" t="str">
            <v>AV170134014</v>
          </cell>
          <cell r="P488">
            <v>0</v>
          </cell>
          <cell r="AS488" t="str">
            <v>PEGAR ETIQUETA DE CUERO AL FRENTE HILO AL TONO CON HILO GRUESO N 20</v>
          </cell>
          <cell r="AW488" t="str">
            <v>GRABADO ETIQUETA EN VINTAGE MEDIO  7,5CM X 5,5 CM  "EL LUCERO HIGH QUALITY GOODS"</v>
          </cell>
          <cell r="AX488" t="str">
            <v>PELO_HEREFORD</v>
          </cell>
          <cell r="AY488" t="str">
            <v>LEDER-PELO</v>
          </cell>
          <cell r="AZ488" t="str">
            <v>CUE0000117R</v>
          </cell>
          <cell r="BA488">
            <v>0.12</v>
          </cell>
          <cell r="BB488" t="str">
            <v>CUE0000012</v>
          </cell>
          <cell r="BC488">
            <v>0.09</v>
          </cell>
          <cell r="KD488">
            <v>6</v>
          </cell>
          <cell r="KE488">
            <v>6</v>
          </cell>
          <cell r="KG488">
            <v>0</v>
          </cell>
          <cell r="KJ488">
            <v>0</v>
          </cell>
          <cell r="KM488">
            <v>0</v>
          </cell>
          <cell r="KP488">
            <v>0</v>
          </cell>
          <cell r="KS488">
            <v>0</v>
          </cell>
          <cell r="KV488">
            <v>0</v>
          </cell>
          <cell r="KY488">
            <v>0</v>
          </cell>
          <cell r="LB488">
            <v>0</v>
          </cell>
          <cell r="LE488">
            <v>0</v>
          </cell>
          <cell r="LH488">
            <v>0</v>
          </cell>
          <cell r="LK488">
            <v>0</v>
          </cell>
          <cell r="LP488" t="str">
            <v>NO COMENZADO</v>
          </cell>
        </row>
        <row r="489">
          <cell r="A489" t="str">
            <v>2014-A</v>
          </cell>
          <cell r="B489" t="str">
            <v>LUCIANO</v>
          </cell>
          <cell r="C489" t="str">
            <v>PERDRIEL</v>
          </cell>
          <cell r="D489" t="str">
            <v>MARROQUINERIA CHICA</v>
          </cell>
          <cell r="E489">
            <v>13</v>
          </cell>
          <cell r="F489">
            <v>13</v>
          </cell>
          <cell r="G489">
            <v>13</v>
          </cell>
          <cell r="H489">
            <v>45942.695011574076</v>
          </cell>
          <cell r="I489" t="str">
            <v>INDIVIDUAL RECTO</v>
          </cell>
          <cell r="J489">
            <v>45975</v>
          </cell>
          <cell r="K489">
            <v>45919</v>
          </cell>
          <cell r="L489">
            <v>45978</v>
          </cell>
          <cell r="M489">
            <v>10</v>
          </cell>
          <cell r="N489" t="str">
            <v>M132</v>
          </cell>
          <cell r="O489" t="str">
            <v>AV170134014</v>
          </cell>
          <cell r="P489">
            <v>0</v>
          </cell>
          <cell r="AH489">
            <v>0</v>
          </cell>
          <cell r="AW489" t="str">
            <v xml:space="preserve">GRABADO "EL LUCERO CHICO" ESQUINA INFERIOR DERECHA    </v>
          </cell>
          <cell r="AX489" t="str">
            <v>CARAMELO</v>
          </cell>
          <cell r="AY489" t="str">
            <v>ARENA-CUERO BRIDGE</v>
          </cell>
          <cell r="AZ489" t="str">
            <v>CUE0000004R</v>
          </cell>
          <cell r="BA489">
            <v>0.13</v>
          </cell>
          <cell r="BB489" t="str">
            <v>FOR0000027</v>
          </cell>
          <cell r="BC489">
            <v>0.13</v>
          </cell>
          <cell r="BR489" t="str">
            <v>CARAMELO</v>
          </cell>
          <cell r="BS489" t="str">
            <v>ARENA-CUERO NAPADO</v>
          </cell>
          <cell r="BT489" t="str">
            <v>CUE0000022R</v>
          </cell>
          <cell r="BU489">
            <v>0.13</v>
          </cell>
          <cell r="BV489" t="str">
            <v>FOR0000027</v>
          </cell>
          <cell r="BW489">
            <v>0.13</v>
          </cell>
          <cell r="KD489">
            <v>3</v>
          </cell>
          <cell r="KE489">
            <v>3</v>
          </cell>
          <cell r="KF489">
            <v>3</v>
          </cell>
          <cell r="KG489">
            <v>10</v>
          </cell>
          <cell r="KH489">
            <v>10</v>
          </cell>
          <cell r="KI489">
            <v>10</v>
          </cell>
          <cell r="KM489">
            <v>0</v>
          </cell>
          <cell r="KP489">
            <v>0</v>
          </cell>
          <cell r="KS489">
            <v>0</v>
          </cell>
          <cell r="KV489">
            <v>0</v>
          </cell>
          <cell r="KY489">
            <v>0</v>
          </cell>
          <cell r="LB489">
            <v>0</v>
          </cell>
          <cell r="LE489">
            <v>0</v>
          </cell>
          <cell r="LH489">
            <v>0</v>
          </cell>
          <cell r="LK489">
            <v>0</v>
          </cell>
          <cell r="LN489">
            <v>45975</v>
          </cell>
          <cell r="LO489">
            <v>45980</v>
          </cell>
          <cell r="LP489" t="str">
            <v>COMPLETADO</v>
          </cell>
        </row>
        <row r="490">
          <cell r="A490" t="str">
            <v>2014-B</v>
          </cell>
          <cell r="B490" t="str">
            <v>LUCIANO</v>
          </cell>
          <cell r="C490" t="str">
            <v>PERDRIEL</v>
          </cell>
          <cell r="D490" t="str">
            <v>MARROQUINERIA CHICA</v>
          </cell>
          <cell r="E490">
            <v>10</v>
          </cell>
          <cell r="F490">
            <v>10</v>
          </cell>
          <cell r="H490">
            <v>45969.927557870367</v>
          </cell>
          <cell r="I490" t="str">
            <v>INDIVIDUAL RECTO</v>
          </cell>
          <cell r="M490">
            <v>10</v>
          </cell>
          <cell r="N490" t="str">
            <v>M132</v>
          </cell>
          <cell r="O490" t="str">
            <v>AV170134014</v>
          </cell>
          <cell r="P490">
            <v>0</v>
          </cell>
          <cell r="AW490" t="str">
            <v xml:space="preserve">GRABADO "EL LUCERO CHICO" ESQUINA INFERIOR DERECHA    </v>
          </cell>
          <cell r="AX490" t="str">
            <v>TABACO</v>
          </cell>
          <cell r="AY490" t="str">
            <v>ARENA-CUERO BRIDGE</v>
          </cell>
          <cell r="AZ490" t="str">
            <v>CUE0000012R</v>
          </cell>
          <cell r="BA490">
            <v>0.13</v>
          </cell>
          <cell r="BB490" t="str">
            <v>FOR0000027</v>
          </cell>
          <cell r="BC490">
            <v>0.13</v>
          </cell>
          <cell r="KD490">
            <v>10</v>
          </cell>
          <cell r="KE490">
            <v>10</v>
          </cell>
          <cell r="KG490">
            <v>0</v>
          </cell>
          <cell r="KJ490">
            <v>0</v>
          </cell>
          <cell r="KM490">
            <v>0</v>
          </cell>
          <cell r="KP490">
            <v>0</v>
          </cell>
          <cell r="KS490">
            <v>0</v>
          </cell>
          <cell r="KV490">
            <v>0</v>
          </cell>
          <cell r="KY490">
            <v>0</v>
          </cell>
          <cell r="LB490">
            <v>0</v>
          </cell>
          <cell r="LE490">
            <v>0</v>
          </cell>
          <cell r="LH490">
            <v>0</v>
          </cell>
          <cell r="LK490">
            <v>0</v>
          </cell>
          <cell r="LP490" t="str">
            <v>NO COMENZADO</v>
          </cell>
        </row>
        <row r="491">
          <cell r="A491" t="str">
            <v>2072-B</v>
          </cell>
          <cell r="B491" t="str">
            <v>LUCIANO</v>
          </cell>
          <cell r="C491" t="str">
            <v>PERDRIEL</v>
          </cell>
          <cell r="D491" t="str">
            <v>MARROQUINERIA CHICA</v>
          </cell>
          <cell r="E491">
            <v>24</v>
          </cell>
          <cell r="F491">
            <v>24</v>
          </cell>
          <cell r="H491">
            <v>45971.548657407409</v>
          </cell>
          <cell r="I491" t="str">
            <v>BILLETERA LUCA</v>
          </cell>
          <cell r="M491">
            <v>40</v>
          </cell>
          <cell r="N491" t="str">
            <v>M021</v>
          </cell>
          <cell r="O491" t="str">
            <v>AV170134014</v>
          </cell>
          <cell r="P491">
            <v>0</v>
          </cell>
          <cell r="AS491" t="str">
            <v>VENTANA EN PVC NO EN RED</v>
          </cell>
          <cell r="AW491" t="str">
            <v xml:space="preserve">GRABADO "EL LUCERO ARGENTINA"CHICO EN INTERIOR ESQUINA INFERIOR DERECHO  </v>
          </cell>
          <cell r="AX491" t="str">
            <v>CHOCOLATE</v>
          </cell>
          <cell r="AY491" t="str">
            <v>ARENA-CUERO BRIDGE</v>
          </cell>
          <cell r="AZ491" t="str">
            <v>CUE0000005R</v>
          </cell>
          <cell r="BA491">
            <v>0.08</v>
          </cell>
          <cell r="BB491" t="str">
            <v>FOR0000015</v>
          </cell>
          <cell r="BC491">
            <v>0.06</v>
          </cell>
          <cell r="BD491" t="str">
            <v>AV1401250545</v>
          </cell>
          <cell r="BE491">
            <v>0</v>
          </cell>
          <cell r="BR491" t="str">
            <v>CEDRO</v>
          </cell>
          <cell r="BS491" t="str">
            <v>BIANCO-CUERO FIORENTINO</v>
          </cell>
          <cell r="BT491" t="str">
            <v>CUE0000055R</v>
          </cell>
          <cell r="BU491">
            <v>0.08</v>
          </cell>
          <cell r="BV491" t="str">
            <v>FOR0000015</v>
          </cell>
          <cell r="BW491">
            <v>0.06</v>
          </cell>
          <cell r="BX491" t="str">
            <v>AV1401250545</v>
          </cell>
          <cell r="BY491">
            <v>0</v>
          </cell>
          <cell r="KD491">
            <v>24</v>
          </cell>
          <cell r="KE491">
            <v>24</v>
          </cell>
          <cell r="KF491">
            <v>0</v>
          </cell>
          <cell r="KG491">
            <v>0</v>
          </cell>
          <cell r="KH491">
            <v>0</v>
          </cell>
          <cell r="KI491">
            <v>0</v>
          </cell>
          <cell r="KJ491">
            <v>0</v>
          </cell>
          <cell r="KL491">
            <v>0</v>
          </cell>
          <cell r="KM491">
            <v>0</v>
          </cell>
          <cell r="KO491">
            <v>0</v>
          </cell>
          <cell r="KP491">
            <v>0</v>
          </cell>
          <cell r="KR491">
            <v>0</v>
          </cell>
          <cell r="KS491">
            <v>0</v>
          </cell>
          <cell r="KU491">
            <v>0</v>
          </cell>
          <cell r="KV491">
            <v>0</v>
          </cell>
          <cell r="KX491">
            <v>0</v>
          </cell>
          <cell r="KY491">
            <v>0</v>
          </cell>
          <cell r="LA491">
            <v>0</v>
          </cell>
          <cell r="LB491">
            <v>0</v>
          </cell>
          <cell r="LD491">
            <v>0</v>
          </cell>
          <cell r="LE491">
            <v>0</v>
          </cell>
          <cell r="LG491">
            <v>0</v>
          </cell>
          <cell r="LH491">
            <v>0</v>
          </cell>
          <cell r="LJ491">
            <v>0</v>
          </cell>
          <cell r="LK491">
            <v>0</v>
          </cell>
          <cell r="LM491">
            <v>0</v>
          </cell>
          <cell r="LP491" t="str">
            <v>NO COMENZADO</v>
          </cell>
        </row>
        <row r="492">
          <cell r="A492" t="str">
            <v>2111-A</v>
          </cell>
          <cell r="B492" t="str">
            <v>LUCIANO</v>
          </cell>
          <cell r="C492" t="str">
            <v>PERDRIEL</v>
          </cell>
          <cell r="D492" t="str">
            <v>MARROQUINERIA CHICA</v>
          </cell>
          <cell r="E492">
            <v>12</v>
          </cell>
          <cell r="F492">
            <v>12</v>
          </cell>
          <cell r="G492">
            <v>12</v>
          </cell>
          <cell r="H492">
            <v>45973.43141203704</v>
          </cell>
          <cell r="I492" t="str">
            <v>PORTACABLES 3</v>
          </cell>
          <cell r="J492">
            <v>45978</v>
          </cell>
          <cell r="K492">
            <v>45975</v>
          </cell>
          <cell r="L492">
            <v>45979</v>
          </cell>
          <cell r="M492">
            <v>2</v>
          </cell>
          <cell r="N492" t="str">
            <v>M083</v>
          </cell>
          <cell r="O492" t="str">
            <v>AV0700420101</v>
          </cell>
          <cell r="P492">
            <v>1</v>
          </cell>
          <cell r="Q492" t="str">
            <v>AV170134014</v>
          </cell>
          <cell r="R492">
            <v>0</v>
          </cell>
          <cell r="AW492" t="str">
            <v xml:space="preserve">GRABADO "EL LUCERO ARGENTINA CHICO" EN ESPALDA, A 1,5 CM DEL BORDE INFERIOR, CENTRADO.  </v>
          </cell>
          <cell r="AX492" t="str">
            <v>CEDRO</v>
          </cell>
          <cell r="AY492" t="str">
            <v>BIANCO-CUERO FIORENTINO</v>
          </cell>
          <cell r="AZ492" t="str">
            <v>CUE0000055R</v>
          </cell>
          <cell r="BA492">
            <v>0.01</v>
          </cell>
          <cell r="BB492" t="str">
            <v>AV1401250545</v>
          </cell>
          <cell r="BC492">
            <v>0</v>
          </cell>
          <cell r="KD492">
            <v>12</v>
          </cell>
          <cell r="KE492">
            <v>12</v>
          </cell>
          <cell r="KF492">
            <v>12</v>
          </cell>
          <cell r="KG492">
            <v>0</v>
          </cell>
          <cell r="KJ492">
            <v>0</v>
          </cell>
          <cell r="KM492">
            <v>0</v>
          </cell>
          <cell r="KP492">
            <v>0</v>
          </cell>
          <cell r="KS492">
            <v>0</v>
          </cell>
          <cell r="KV492">
            <v>0</v>
          </cell>
          <cell r="KY492">
            <v>0</v>
          </cell>
          <cell r="LB492">
            <v>0</v>
          </cell>
          <cell r="LE492">
            <v>0</v>
          </cell>
          <cell r="LH492">
            <v>0</v>
          </cell>
          <cell r="LK492">
            <v>0</v>
          </cell>
          <cell r="LN492">
            <v>45978</v>
          </cell>
          <cell r="LO492">
            <v>45987</v>
          </cell>
          <cell r="LP492" t="str">
            <v>COMPLETADO</v>
          </cell>
        </row>
        <row r="493">
          <cell r="A493" t="str">
            <v>2066-C</v>
          </cell>
          <cell r="B493" t="str">
            <v>RUBEN</v>
          </cell>
          <cell r="C493" t="str">
            <v>BARRACAS GRANDE</v>
          </cell>
          <cell r="D493" t="str">
            <v>MARROQUINERIA GRANDE</v>
          </cell>
          <cell r="E493">
            <v>3</v>
          </cell>
          <cell r="F493">
            <v>3</v>
          </cell>
          <cell r="G493">
            <v>3</v>
          </cell>
          <cell r="H493">
            <v>45973.433321759258</v>
          </cell>
          <cell r="I493" t="str">
            <v>PORTALAPTOP MILTON</v>
          </cell>
          <cell r="J493">
            <v>45975</v>
          </cell>
          <cell r="K493">
            <v>45973</v>
          </cell>
          <cell r="L493">
            <v>45976</v>
          </cell>
          <cell r="M493">
            <v>18</v>
          </cell>
          <cell r="N493" t="str">
            <v>M095</v>
          </cell>
          <cell r="O493" t="str">
            <v>AV170129018</v>
          </cell>
          <cell r="P493">
            <v>0</v>
          </cell>
          <cell r="AS493" t="str">
            <v>MODIFICAR EL MOLDE VA PUNTA REDONDEADA</v>
          </cell>
          <cell r="AW493" t="str">
            <v xml:space="preserve">GRABADO "EL LUCERO ARGENTINA" GRANDE EN ESPALDA, CENTRADO A 1,5 CM DESDE EL BORDE INFERIOR </v>
          </cell>
          <cell r="AX493" t="str">
            <v>MALBEC</v>
          </cell>
          <cell r="AY493" t="str">
            <v>ARENA-CUERO BRIDGE</v>
          </cell>
          <cell r="AZ493" t="str">
            <v>CUE0000008</v>
          </cell>
          <cell r="BA493">
            <v>0.27</v>
          </cell>
          <cell r="BB493" t="str">
            <v>AV1401240545</v>
          </cell>
          <cell r="BC493">
            <v>0</v>
          </cell>
          <cell r="BR493" t="str">
            <v>CEDRO</v>
          </cell>
          <cell r="BS493" t="str">
            <v>BIANCO-CUERO FIORENTINO</v>
          </cell>
          <cell r="BT493" t="str">
            <v>CUE0000055</v>
          </cell>
          <cell r="BU493">
            <v>0.27</v>
          </cell>
          <cell r="BV493" t="str">
            <v>AV1401240545</v>
          </cell>
          <cell r="BW493">
            <v>0</v>
          </cell>
          <cell r="KD493">
            <v>0</v>
          </cell>
          <cell r="KE493">
            <v>0</v>
          </cell>
          <cell r="KF493">
            <v>0</v>
          </cell>
          <cell r="KG493">
            <v>3</v>
          </cell>
          <cell r="KH493">
            <v>3</v>
          </cell>
          <cell r="KI493">
            <v>3</v>
          </cell>
          <cell r="KJ493">
            <v>0</v>
          </cell>
          <cell r="KL493">
            <v>0</v>
          </cell>
          <cell r="KM493">
            <v>0</v>
          </cell>
          <cell r="KO493">
            <v>0</v>
          </cell>
          <cell r="KP493">
            <v>0</v>
          </cell>
          <cell r="KR493">
            <v>0</v>
          </cell>
          <cell r="KS493">
            <v>0</v>
          </cell>
          <cell r="KU493">
            <v>0</v>
          </cell>
          <cell r="KV493">
            <v>0</v>
          </cell>
          <cell r="KX493">
            <v>0</v>
          </cell>
          <cell r="KY493">
            <v>0</v>
          </cell>
          <cell r="LA493">
            <v>0</v>
          </cell>
          <cell r="LB493">
            <v>0</v>
          </cell>
          <cell r="LD493">
            <v>0</v>
          </cell>
          <cell r="LE493">
            <v>0</v>
          </cell>
          <cell r="LG493">
            <v>0</v>
          </cell>
          <cell r="LH493">
            <v>0</v>
          </cell>
          <cell r="LJ493">
            <v>0</v>
          </cell>
          <cell r="LK493">
            <v>0</v>
          </cell>
          <cell r="LM493">
            <v>0</v>
          </cell>
          <cell r="LN493">
            <v>45975</v>
          </cell>
          <cell r="LO493">
            <v>45979</v>
          </cell>
          <cell r="LP493" t="str">
            <v>COMPLETADO</v>
          </cell>
        </row>
        <row r="494">
          <cell r="A494" t="str">
            <v>2072-C</v>
          </cell>
          <cell r="B494" t="str">
            <v>LUCIANO</v>
          </cell>
          <cell r="C494" t="str">
            <v>PERDRIEL</v>
          </cell>
          <cell r="D494" t="str">
            <v>MARROQUINERIA CHICA</v>
          </cell>
          <cell r="E494">
            <v>12</v>
          </cell>
          <cell r="F494">
            <v>12</v>
          </cell>
          <cell r="G494">
            <v>0</v>
          </cell>
          <cell r="H494">
            <v>45978.477303240739</v>
          </cell>
          <cell r="I494" t="str">
            <v>BILLETERA LUCA</v>
          </cell>
          <cell r="M494">
            <v>40</v>
          </cell>
          <cell r="N494" t="str">
            <v>M021</v>
          </cell>
          <cell r="O494" t="str">
            <v>AV170134014</v>
          </cell>
          <cell r="P494">
            <v>0</v>
          </cell>
          <cell r="AS494" t="str">
            <v>VENTANA EN PVC NO EN RED</v>
          </cell>
          <cell r="AW494" t="str">
            <v xml:space="preserve">GRABADO "EL LUCERO ARGENTINA"CHICO EN INTERIOR ESQUINA INFERIOR DERECHO  </v>
          </cell>
          <cell r="AX494" t="str">
            <v>CEDRO</v>
          </cell>
          <cell r="AY494" t="str">
            <v>BIANCO-CUERO FIORENTINO</v>
          </cell>
          <cell r="AZ494" t="str">
            <v>CUE0000055R</v>
          </cell>
          <cell r="BA494">
            <v>0.08</v>
          </cell>
          <cell r="BB494" t="str">
            <v>FOR0000015</v>
          </cell>
          <cell r="BC494">
            <v>0.06</v>
          </cell>
          <cell r="BD494" t="str">
            <v>AV1401250545</v>
          </cell>
          <cell r="BE494">
            <v>0</v>
          </cell>
          <cell r="KD494">
            <v>12</v>
          </cell>
          <cell r="KE494">
            <v>12</v>
          </cell>
          <cell r="KF494">
            <v>0</v>
          </cell>
          <cell r="KG494">
            <v>0</v>
          </cell>
          <cell r="KI494">
            <v>0</v>
          </cell>
          <cell r="KJ494">
            <v>0</v>
          </cell>
          <cell r="KL494">
            <v>0</v>
          </cell>
          <cell r="KM494">
            <v>0</v>
          </cell>
          <cell r="KO494">
            <v>0</v>
          </cell>
          <cell r="KP494">
            <v>0</v>
          </cell>
          <cell r="KR494">
            <v>0</v>
          </cell>
          <cell r="KS494">
            <v>0</v>
          </cell>
          <cell r="KU494">
            <v>0</v>
          </cell>
          <cell r="KV494">
            <v>0</v>
          </cell>
          <cell r="KX494">
            <v>0</v>
          </cell>
          <cell r="KY494">
            <v>0</v>
          </cell>
          <cell r="LA494">
            <v>0</v>
          </cell>
          <cell r="LB494">
            <v>0</v>
          </cell>
          <cell r="LD494">
            <v>0</v>
          </cell>
          <cell r="LE494">
            <v>0</v>
          </cell>
          <cell r="LG494">
            <v>0</v>
          </cell>
          <cell r="LH494">
            <v>0</v>
          </cell>
          <cell r="LJ494">
            <v>0</v>
          </cell>
          <cell r="LK494">
            <v>0</v>
          </cell>
          <cell r="LM494">
            <v>0</v>
          </cell>
          <cell r="LP494" t="str">
            <v>NO COMENZADO</v>
          </cell>
        </row>
        <row r="495">
          <cell r="A495" t="str">
            <v>2122-A</v>
          </cell>
          <cell r="B495" t="str">
            <v>RUBEN</v>
          </cell>
          <cell r="C495" t="str">
            <v>INTERNO JAVIER</v>
          </cell>
          <cell r="D495" t="str">
            <v>MARROQUINERIA GRANDE</v>
          </cell>
          <cell r="E495">
            <v>9</v>
          </cell>
          <cell r="F495">
            <v>9</v>
          </cell>
          <cell r="H495">
            <v>45978.655439814815</v>
          </cell>
          <cell r="I495" t="str">
            <v>TOTE MALVA</v>
          </cell>
          <cell r="M495">
            <v>60</v>
          </cell>
          <cell r="N495" t="str">
            <v>M194</v>
          </cell>
          <cell r="O495" t="str">
            <v>CUE0000124</v>
          </cell>
          <cell r="P495">
            <v>1</v>
          </cell>
          <cell r="Q495" t="str">
            <v>AV170129018</v>
          </cell>
          <cell r="R495">
            <v>0</v>
          </cell>
          <cell r="AS495" t="str">
            <v xml:space="preserve"> TRABAJO MANUAL ARTESANAL PESPUNTE</v>
          </cell>
          <cell r="AW495" t="str">
            <v>NO SE GRABA</v>
          </cell>
          <cell r="AX495" t="str">
            <v>OXIDO_GAMUZA_TABACO</v>
          </cell>
          <cell r="AY495" t="str">
            <v>NAPOLITANA-CUERO GAMUZA</v>
          </cell>
          <cell r="AZ495" t="str">
            <v>CUE0000048</v>
          </cell>
          <cell r="BA495">
            <v>0.43</v>
          </cell>
          <cell r="BB495" t="str">
            <v>CUE0000012</v>
          </cell>
          <cell r="BC495">
            <v>0.11</v>
          </cell>
          <cell r="KD495">
            <v>9</v>
          </cell>
          <cell r="KE495">
            <v>9</v>
          </cell>
          <cell r="KG495">
            <v>0</v>
          </cell>
          <cell r="KJ495">
            <v>0</v>
          </cell>
          <cell r="KM495">
            <v>0</v>
          </cell>
          <cell r="KP495">
            <v>0</v>
          </cell>
          <cell r="KS495">
            <v>0</v>
          </cell>
          <cell r="KV495">
            <v>0</v>
          </cell>
          <cell r="KY495">
            <v>0</v>
          </cell>
          <cell r="LB495">
            <v>0</v>
          </cell>
          <cell r="LE495">
            <v>0</v>
          </cell>
          <cell r="LH495">
            <v>0</v>
          </cell>
          <cell r="LK495">
            <v>0</v>
          </cell>
          <cell r="LP495" t="str">
            <v>NO COMENZADO</v>
          </cell>
        </row>
        <row r="496">
          <cell r="A496" t="str">
            <v>2123-A</v>
          </cell>
          <cell r="B496" t="str">
            <v>RUBEN</v>
          </cell>
          <cell r="C496" t="str">
            <v>INTERNO JAVIER</v>
          </cell>
          <cell r="D496" t="str">
            <v>MARROQUINERIA GRANDE</v>
          </cell>
          <cell r="E496">
            <v>9</v>
          </cell>
          <cell r="F496">
            <v>9</v>
          </cell>
          <cell r="H496">
            <v>45978.658622685187</v>
          </cell>
          <cell r="I496" t="str">
            <v>MATERA RENATA</v>
          </cell>
          <cell r="M496">
            <v>70</v>
          </cell>
          <cell r="N496" t="str">
            <v>M195</v>
          </cell>
          <cell r="O496" t="str">
            <v>CUE0000124</v>
          </cell>
          <cell r="P496">
            <v>1</v>
          </cell>
          <cell r="Q496" t="str">
            <v>BAC1300050727</v>
          </cell>
          <cell r="R496">
            <v>0.03</v>
          </cell>
          <cell r="S496" t="str">
            <v>AV170129018</v>
          </cell>
          <cell r="T496">
            <v>0</v>
          </cell>
          <cell r="AS496" t="str">
            <v>TRABAJO MANUAL ARTESANAL PESPUNTE</v>
          </cell>
          <cell r="AW496" t="str">
            <v>NO SE GRABA</v>
          </cell>
          <cell r="AX496" t="str">
            <v>OXIDO_GAMUZA_TABACO</v>
          </cell>
          <cell r="AY496" t="str">
            <v>NAPOLITANA-CUERO GAMUZA</v>
          </cell>
          <cell r="AZ496" t="str">
            <v>CUE0000048</v>
          </cell>
          <cell r="BA496">
            <v>0.44</v>
          </cell>
          <cell r="BB496" t="str">
            <v>CUE0000012</v>
          </cell>
          <cell r="BC496">
            <v>0.14000000000000001</v>
          </cell>
          <cell r="BD496" t="str">
            <v>FOR0000021</v>
          </cell>
          <cell r="BE496">
            <v>0.04</v>
          </cell>
          <cell r="KD496">
            <v>9</v>
          </cell>
          <cell r="KE496">
            <v>9</v>
          </cell>
          <cell r="KG496">
            <v>0</v>
          </cell>
          <cell r="KJ496">
            <v>0</v>
          </cell>
          <cell r="KM496">
            <v>0</v>
          </cell>
          <cell r="KP496">
            <v>0</v>
          </cell>
          <cell r="KS496">
            <v>0</v>
          </cell>
          <cell r="KV496">
            <v>0</v>
          </cell>
          <cell r="KY496">
            <v>0</v>
          </cell>
          <cell r="LB496">
            <v>0</v>
          </cell>
          <cell r="LE496">
            <v>0</v>
          </cell>
          <cell r="LH496">
            <v>0</v>
          </cell>
          <cell r="LK496">
            <v>0</v>
          </cell>
          <cell r="LP496" t="str">
            <v>NO COMENZADO</v>
          </cell>
        </row>
        <row r="497">
          <cell r="A497" t="str">
            <v>2124-A</v>
          </cell>
          <cell r="B497" t="str">
            <v>RUBEN</v>
          </cell>
          <cell r="C497" t="str">
            <v>INTERNO JAVIER</v>
          </cell>
          <cell r="D497" t="str">
            <v>MARROQUINERIA GRANDE</v>
          </cell>
          <cell r="E497">
            <v>15</v>
          </cell>
          <cell r="F497">
            <v>9</v>
          </cell>
          <cell r="G497">
            <v>9</v>
          </cell>
          <cell r="H497">
            <v>45979.407708333332</v>
          </cell>
          <cell r="I497" t="str">
            <v>BOLSO TUBO GRANDE</v>
          </cell>
          <cell r="J497">
            <v>45982</v>
          </cell>
          <cell r="K497">
            <v>45979</v>
          </cell>
          <cell r="L497">
            <v>45982</v>
          </cell>
          <cell r="M497">
            <v>90</v>
          </cell>
          <cell r="N497" t="str">
            <v>M030</v>
          </cell>
          <cell r="O497" t="str">
            <v>BAC1300020827</v>
          </cell>
          <cell r="P497">
            <v>0.08</v>
          </cell>
          <cell r="Q497" t="str">
            <v>AV0101030201</v>
          </cell>
          <cell r="R497">
            <v>2</v>
          </cell>
          <cell r="S497" t="str">
            <v>AV0101040201</v>
          </cell>
          <cell r="T497">
            <v>1</v>
          </cell>
          <cell r="U497" t="str">
            <v>AV0300250101</v>
          </cell>
          <cell r="V497">
            <v>4</v>
          </cell>
          <cell r="W497" t="str">
            <v>AV0300410101</v>
          </cell>
          <cell r="X497">
            <v>9</v>
          </cell>
          <cell r="Y497" t="str">
            <v>AV1302250428</v>
          </cell>
          <cell r="Z497">
            <v>2</v>
          </cell>
          <cell r="AA497" t="str">
            <v>AV1302240428</v>
          </cell>
          <cell r="AB497">
            <v>0.8</v>
          </cell>
          <cell r="AC497" t="str">
            <v>AV1001450101</v>
          </cell>
          <cell r="AD497">
            <v>2</v>
          </cell>
          <cell r="AE497" t="str">
            <v>AV0700630101</v>
          </cell>
          <cell r="AF497">
            <v>2</v>
          </cell>
          <cell r="AG497" t="str">
            <v>AV0701130101</v>
          </cell>
          <cell r="AH497">
            <v>1</v>
          </cell>
          <cell r="AI497" t="str">
            <v>AV0600540101</v>
          </cell>
          <cell r="AJ497">
            <v>2</v>
          </cell>
          <cell r="AK497" t="str">
            <v>AV0300390101</v>
          </cell>
          <cell r="AL497">
            <v>1</v>
          </cell>
          <cell r="AM497" t="str">
            <v>AV170129018</v>
          </cell>
          <cell r="AN497">
            <v>0</v>
          </cell>
          <cell r="AO497" t="str">
            <v>VAR0000048</v>
          </cell>
          <cell r="AP497">
            <v>5</v>
          </cell>
          <cell r="AS497" t="str">
            <v>TIRACIERRE INTERNO: N1 TIRA CON REMACHE + GRABADO ESTRELLITA</v>
          </cell>
          <cell r="AT497" t="str">
            <v>TIRACIERRES EXTERNOS "EL LUCERO" GRANDE</v>
          </cell>
          <cell r="AU497" t="str">
            <v>GAMUZA: CON VISTA DE CUERO EN BOLSILLO FRENTE</v>
          </cell>
          <cell r="AV497" t="str">
            <v>SIN CLAVOS DE FONDO / SIN BOLSILLO AL FRENTE / CORREA PUNTA REDONDEADA</v>
          </cell>
          <cell r="AW497" t="str">
            <v xml:space="preserve">EL LUCERO ARGENTINA TAMAÑO GRANDE, EN TROQUEL COCIDO DEBAJO DE VISTA DE CIERRE INTERNO </v>
          </cell>
          <cell r="AX497" t="str">
            <v>AZUL_GAMUZA_CARAMELO</v>
          </cell>
          <cell r="AY497" t="str">
            <v>NAPOLITANA-CUERO GAMUZA</v>
          </cell>
          <cell r="AZ497" t="str">
            <v>CUE0000038</v>
          </cell>
          <cell r="BA497">
            <v>0.82</v>
          </cell>
          <cell r="BB497" t="str">
            <v>CUE0000004</v>
          </cell>
          <cell r="BC497">
            <v>0.43</v>
          </cell>
          <cell r="BD497" t="str">
            <v>FOR0000021</v>
          </cell>
          <cell r="BE497">
            <v>0.72</v>
          </cell>
          <cell r="BF497" t="str">
            <v>AV0100010105</v>
          </cell>
          <cell r="BG497">
            <v>1.02</v>
          </cell>
          <cell r="BH497" t="str">
            <v>AV1801370725</v>
          </cell>
          <cell r="BI497">
            <v>2</v>
          </cell>
          <cell r="BO497">
            <v>0</v>
          </cell>
          <cell r="BQ497">
            <v>0</v>
          </cell>
          <cell r="BR497" t="str">
            <v>CHOCOLATE_PELO_MARRON</v>
          </cell>
          <cell r="BS497" t="str">
            <v>ARENA-CUERO BRIDGE</v>
          </cell>
          <cell r="BT497" t="str">
            <v>CUE0000005</v>
          </cell>
          <cell r="BU497">
            <v>0.82</v>
          </cell>
          <cell r="BV497">
            <v>0</v>
          </cell>
          <cell r="BW497">
            <v>0.43</v>
          </cell>
          <cell r="BX497" t="str">
            <v>FOR0000021</v>
          </cell>
          <cell r="BY497">
            <v>0.72</v>
          </cell>
          <cell r="BZ497" t="str">
            <v>AV0100010114</v>
          </cell>
          <cell r="CA497">
            <v>1.02</v>
          </cell>
          <cell r="CB497" t="str">
            <v>AV1801370725</v>
          </cell>
          <cell r="CC497">
            <v>2</v>
          </cell>
          <cell r="CD497" t="str">
            <v>AV1401240545</v>
          </cell>
          <cell r="CE497">
            <v>0</v>
          </cell>
          <cell r="CL497" t="str">
            <v>NEGRO_PELO_HOLANDO</v>
          </cell>
          <cell r="CM497" t="str">
            <v>ARENA-CUERO BRIDGE</v>
          </cell>
          <cell r="CN497" t="str">
            <v>CUE0000009</v>
          </cell>
          <cell r="CO497">
            <v>0.82</v>
          </cell>
          <cell r="CP497">
            <v>0</v>
          </cell>
          <cell r="CQ497">
            <v>0.43</v>
          </cell>
          <cell r="CR497" t="str">
            <v>FOR0000021</v>
          </cell>
          <cell r="CS497">
            <v>0.72</v>
          </cell>
          <cell r="CT497" t="str">
            <v>AV0100010103</v>
          </cell>
          <cell r="CU497">
            <v>1.02</v>
          </cell>
          <cell r="CV497" t="str">
            <v>AV1801370726</v>
          </cell>
          <cell r="CW497">
            <v>2</v>
          </cell>
          <cell r="CX497" t="str">
            <v>AV1401244040</v>
          </cell>
          <cell r="CY497">
            <v>0</v>
          </cell>
          <cell r="DF497" t="str">
            <v>TABACO_PELO_HEREFORD</v>
          </cell>
          <cell r="DG497" t="str">
            <v>ARENA-CUERO BRIDGE</v>
          </cell>
          <cell r="DH497" t="str">
            <v>CUE0000012</v>
          </cell>
          <cell r="DI497">
            <v>0.82</v>
          </cell>
          <cell r="DJ497">
            <v>0</v>
          </cell>
          <cell r="DK497">
            <v>0.43</v>
          </cell>
          <cell r="DL497" t="str">
            <v>FOR0000020</v>
          </cell>
          <cell r="DM497">
            <v>0.72</v>
          </cell>
          <cell r="DN497" t="str">
            <v>AV0100010111</v>
          </cell>
          <cell r="DO497">
            <v>1.02</v>
          </cell>
          <cell r="DP497" t="str">
            <v>AV1801370725</v>
          </cell>
          <cell r="DQ497">
            <v>2</v>
          </cell>
          <cell r="DR497" t="str">
            <v>AV1401240545</v>
          </cell>
          <cell r="DS497">
            <v>0</v>
          </cell>
          <cell r="KD497">
            <v>2</v>
          </cell>
          <cell r="KE497">
            <v>2</v>
          </cell>
          <cell r="KF497">
            <v>2</v>
          </cell>
          <cell r="KG497">
            <v>3</v>
          </cell>
          <cell r="KH497">
            <v>3</v>
          </cell>
          <cell r="KI497">
            <v>3</v>
          </cell>
          <cell r="KJ497">
            <v>4</v>
          </cell>
          <cell r="KK497">
            <v>4</v>
          </cell>
          <cell r="KL497">
            <v>4</v>
          </cell>
          <cell r="KM497">
            <v>6</v>
          </cell>
          <cell r="KN497">
            <v>0</v>
          </cell>
          <cell r="KO497">
            <v>0</v>
          </cell>
          <cell r="KP497">
            <v>0</v>
          </cell>
          <cell r="KS497">
            <v>0</v>
          </cell>
          <cell r="KV497">
            <v>0</v>
          </cell>
          <cell r="KY497">
            <v>0</v>
          </cell>
          <cell r="LB497">
            <v>0</v>
          </cell>
          <cell r="LE497">
            <v>0</v>
          </cell>
          <cell r="LH497">
            <v>0</v>
          </cell>
          <cell r="LK497">
            <v>0</v>
          </cell>
          <cell r="LN497">
            <v>45982</v>
          </cell>
          <cell r="LO497">
            <v>45987</v>
          </cell>
          <cell r="LP497" t="str">
            <v>COMPLETADO</v>
          </cell>
        </row>
        <row r="498">
          <cell r="A498" t="str">
            <v>2095-C</v>
          </cell>
          <cell r="B498" t="str">
            <v>RUBEN</v>
          </cell>
          <cell r="C498" t="str">
            <v>INTERNO JAVIER</v>
          </cell>
          <cell r="D498" t="str">
            <v>MARROQUINERIA GRANDE</v>
          </cell>
          <cell r="E498">
            <v>14</v>
          </cell>
          <cell r="F498">
            <v>14</v>
          </cell>
          <cell r="G498">
            <v>14</v>
          </cell>
          <cell r="H498">
            <v>45979.541747685187</v>
          </cell>
          <cell r="I498" t="str">
            <v>TOTE IRUYA</v>
          </cell>
          <cell r="J498">
            <v>45982</v>
          </cell>
          <cell r="K498">
            <v>45979</v>
          </cell>
          <cell r="L498">
            <v>45982</v>
          </cell>
          <cell r="M498">
            <v>20</v>
          </cell>
          <cell r="N498" t="str">
            <v>M154</v>
          </cell>
          <cell r="O498" t="str">
            <v>AV170129018</v>
          </cell>
          <cell r="P498">
            <v>0</v>
          </cell>
          <cell r="AH498">
            <v>0</v>
          </cell>
          <cell r="AS498" t="str">
            <v>CORREA 2,5CM / SIN PINTURA</v>
          </cell>
          <cell r="AT498" t="str">
            <v>PEGAR ETIQUETA DE CUERO AL FRENTE HILO AL TONO CON HILO GRUESO N 20</v>
          </cell>
          <cell r="BC498">
            <v>0.1</v>
          </cell>
          <cell r="BO498">
            <v>0</v>
          </cell>
          <cell r="BQ498">
            <v>0</v>
          </cell>
          <cell r="BR498" t="str">
            <v>MALBEC</v>
          </cell>
          <cell r="BS498" t="str">
            <v>ARENA-CUERO NAPADO</v>
          </cell>
          <cell r="BT498" t="str">
            <v>CUE0000025</v>
          </cell>
          <cell r="BU498">
            <v>0.44999999999999996</v>
          </cell>
          <cell r="KD498">
            <v>0</v>
          </cell>
          <cell r="KF498">
            <v>0</v>
          </cell>
          <cell r="KG498">
            <v>14</v>
          </cell>
          <cell r="KH498">
            <v>14</v>
          </cell>
          <cell r="KI498">
            <v>14</v>
          </cell>
          <cell r="KJ498">
            <v>0</v>
          </cell>
          <cell r="KL498">
            <v>0</v>
          </cell>
          <cell r="KM498">
            <v>0</v>
          </cell>
          <cell r="KO498">
            <v>0</v>
          </cell>
          <cell r="KP498">
            <v>0</v>
          </cell>
          <cell r="KR498">
            <v>0</v>
          </cell>
          <cell r="KS498">
            <v>0</v>
          </cell>
          <cell r="KU498">
            <v>0</v>
          </cell>
          <cell r="KV498">
            <v>0</v>
          </cell>
          <cell r="KX498">
            <v>0</v>
          </cell>
          <cell r="KY498">
            <v>0</v>
          </cell>
          <cell r="LA498">
            <v>0</v>
          </cell>
          <cell r="LB498">
            <v>0</v>
          </cell>
          <cell r="LD498">
            <v>0</v>
          </cell>
          <cell r="LE498">
            <v>0</v>
          </cell>
          <cell r="LG498">
            <v>0</v>
          </cell>
          <cell r="LH498">
            <v>0</v>
          </cell>
          <cell r="LJ498">
            <v>0</v>
          </cell>
          <cell r="LK498">
            <v>0</v>
          </cell>
          <cell r="LM498">
            <v>0</v>
          </cell>
          <cell r="LN498">
            <v>45982</v>
          </cell>
          <cell r="LO498">
            <v>45987</v>
          </cell>
          <cell r="LP498" t="str">
            <v>COMPLETADO</v>
          </cell>
        </row>
        <row r="499">
          <cell r="A499" t="str">
            <v>2134-A</v>
          </cell>
          <cell r="B499" t="str">
            <v>ALEX</v>
          </cell>
          <cell r="C499" t="str">
            <v>PERDRIEL</v>
          </cell>
          <cell r="D499" t="str">
            <v>MARROQUINERIA GRANDE</v>
          </cell>
          <cell r="E499">
            <v>60</v>
          </cell>
          <cell r="F499">
            <v>60</v>
          </cell>
          <cell r="H499">
            <v>45981.505289351851</v>
          </cell>
          <cell r="I499" t="str">
            <v>BOLSA BOLSO TUBO</v>
          </cell>
          <cell r="M499">
            <v>4</v>
          </cell>
          <cell r="N499" t="str">
            <v>M026</v>
          </cell>
          <cell r="O499" t="str">
            <v>VAR0000008</v>
          </cell>
          <cell r="P499">
            <v>0.8</v>
          </cell>
          <cell r="Q499" t="str">
            <v>CIN0000003</v>
          </cell>
          <cell r="R499">
            <v>2.5</v>
          </cell>
          <cell r="AS499" t="str">
            <v>SEPARAR DELANTERO PARA ENVIAR A ESTAMPERIA</v>
          </cell>
          <cell r="KD499">
            <v>60</v>
          </cell>
          <cell r="KE499">
            <v>60</v>
          </cell>
          <cell r="KG499">
            <v>0</v>
          </cell>
          <cell r="KJ499">
            <v>0</v>
          </cell>
          <cell r="KM499">
            <v>0</v>
          </cell>
          <cell r="KP499">
            <v>0</v>
          </cell>
          <cell r="KS499">
            <v>0</v>
          </cell>
          <cell r="KV499">
            <v>0</v>
          </cell>
          <cell r="KY499">
            <v>0</v>
          </cell>
          <cell r="LB499">
            <v>0</v>
          </cell>
          <cell r="LE499">
            <v>0</v>
          </cell>
          <cell r="LH499">
            <v>0</v>
          </cell>
          <cell r="LK499">
            <v>0</v>
          </cell>
          <cell r="LP499" t="str">
            <v>NO COMENZADO</v>
          </cell>
        </row>
        <row r="500">
          <cell r="A500" t="str">
            <v>2135-A</v>
          </cell>
          <cell r="B500" t="str">
            <v>ALEX</v>
          </cell>
          <cell r="C500" t="str">
            <v>PERDRIEL</v>
          </cell>
          <cell r="D500" t="str">
            <v>MARROQUINERIA GRANDE</v>
          </cell>
          <cell r="E500">
            <v>20</v>
          </cell>
          <cell r="F500">
            <v>20</v>
          </cell>
          <cell r="H500">
            <v>45981.511724537035</v>
          </cell>
          <cell r="I500" t="str">
            <v>BOLSA CARTERA</v>
          </cell>
          <cell r="M500">
            <v>4</v>
          </cell>
          <cell r="N500" t="str">
            <v>M027</v>
          </cell>
          <cell r="O500" t="str">
            <v>VAR0000008</v>
          </cell>
          <cell r="P500">
            <v>0.47</v>
          </cell>
          <cell r="Q500" t="str">
            <v>CIN0000003</v>
          </cell>
          <cell r="R500">
            <v>2.5</v>
          </cell>
          <cell r="AS500" t="str">
            <v>SEPARAR DELANTERO PARA ENVIAR A ESTAMPERIA</v>
          </cell>
          <cell r="AT500" t="str">
            <v>MERCEDES RUMAS</v>
          </cell>
          <cell r="AU500" t="str">
            <v xml:space="preserve"> ESTAMPA A 1 COLOR UBICADA EN FRENTE CENTRADA</v>
          </cell>
          <cell r="KD500">
            <v>20</v>
          </cell>
          <cell r="KE500">
            <v>20</v>
          </cell>
          <cell r="KG500">
            <v>0</v>
          </cell>
          <cell r="KJ500">
            <v>0</v>
          </cell>
          <cell r="KM500">
            <v>0</v>
          </cell>
          <cell r="KP500">
            <v>0</v>
          </cell>
          <cell r="KS500">
            <v>0</v>
          </cell>
          <cell r="KV500">
            <v>0</v>
          </cell>
          <cell r="KY500">
            <v>0</v>
          </cell>
          <cell r="LB500">
            <v>0</v>
          </cell>
          <cell r="LE500">
            <v>0</v>
          </cell>
          <cell r="LH500">
            <v>0</v>
          </cell>
          <cell r="LK500">
            <v>0</v>
          </cell>
          <cell r="LP500" t="str">
            <v>NO COMENZADO</v>
          </cell>
        </row>
        <row r="501">
          <cell r="A501" t="str">
            <v>2098-C</v>
          </cell>
          <cell r="B501" t="str">
            <v>RUBEN</v>
          </cell>
          <cell r="C501" t="str">
            <v>INTERNO JAVIER</v>
          </cell>
          <cell r="D501" t="str">
            <v>MARROQUINERIA GRANDE</v>
          </cell>
          <cell r="E501">
            <v>14</v>
          </cell>
          <cell r="F501">
            <v>14</v>
          </cell>
          <cell r="H501">
            <v>45983.760185185187</v>
          </cell>
          <cell r="I501" t="str">
            <v>CARTERA LEANDRA</v>
          </cell>
          <cell r="M501">
            <v>40</v>
          </cell>
          <cell r="N501" t="str">
            <v>M042</v>
          </cell>
          <cell r="O501" t="str">
            <v>AV0101030201</v>
          </cell>
          <cell r="P501">
            <v>1</v>
          </cell>
          <cell r="Q501" t="str">
            <v>AV1000380101</v>
          </cell>
          <cell r="R501">
            <v>1</v>
          </cell>
          <cell r="S501" t="str">
            <v>AV0300390101</v>
          </cell>
          <cell r="T501">
            <v>1</v>
          </cell>
          <cell r="U501" t="str">
            <v>AV0300400101</v>
          </cell>
          <cell r="V501">
            <v>2</v>
          </cell>
          <cell r="W501" t="str">
            <v>BAC1300020827</v>
          </cell>
          <cell r="X501">
            <v>0.01</v>
          </cell>
          <cell r="Y501" t="str">
            <v>AV1000780101</v>
          </cell>
          <cell r="Z501">
            <v>2</v>
          </cell>
          <cell r="AA501" t="str">
            <v>AV0400980101</v>
          </cell>
          <cell r="AB501">
            <v>1</v>
          </cell>
          <cell r="AC501" t="str">
            <v>CUE0000124</v>
          </cell>
          <cell r="AD501">
            <v>1</v>
          </cell>
          <cell r="AE501" t="str">
            <v>AV170129018</v>
          </cell>
          <cell r="AF501">
            <v>0</v>
          </cell>
          <cell r="AS501" t="str">
            <v>TIRACIERRE 1 CON ARGOLLITA: TIRA DE CUERO + REMACHE + GRABADO ESTRELLA</v>
          </cell>
          <cell r="AW501" t="str">
            <v xml:space="preserve">GRABADO EL LUCERO GRANDE ATRAS ABAJO    </v>
          </cell>
          <cell r="AX501" t="str">
            <v>MALBEC</v>
          </cell>
          <cell r="AY501" t="str">
            <v>ARENA-CUERO NAPADO</v>
          </cell>
          <cell r="AZ501" t="str">
            <v>CUE0000025</v>
          </cell>
          <cell r="BA501">
            <v>0.22</v>
          </cell>
          <cell r="BB501" t="str">
            <v>AV1401240545</v>
          </cell>
          <cell r="BC501">
            <v>0</v>
          </cell>
          <cell r="BD501" t="str">
            <v>FOR0000020</v>
          </cell>
          <cell r="BE501">
            <v>0.11</v>
          </cell>
          <cell r="BF501" t="str">
            <v>AV0100010161</v>
          </cell>
          <cell r="BG501">
            <v>0.25</v>
          </cell>
          <cell r="KD501">
            <v>14</v>
          </cell>
          <cell r="KE501">
            <v>14</v>
          </cell>
          <cell r="KF501">
            <v>0</v>
          </cell>
          <cell r="KG501">
            <v>0</v>
          </cell>
          <cell r="KI501">
            <v>0</v>
          </cell>
          <cell r="KJ501">
            <v>0</v>
          </cell>
          <cell r="KL501">
            <v>0</v>
          </cell>
          <cell r="KM501">
            <v>0</v>
          </cell>
          <cell r="KO501">
            <v>0</v>
          </cell>
          <cell r="KP501">
            <v>0</v>
          </cell>
          <cell r="KR501">
            <v>0</v>
          </cell>
          <cell r="KS501">
            <v>0</v>
          </cell>
          <cell r="KU501">
            <v>0</v>
          </cell>
          <cell r="KV501">
            <v>0</v>
          </cell>
          <cell r="KX501">
            <v>0</v>
          </cell>
          <cell r="KY501">
            <v>0</v>
          </cell>
          <cell r="LA501">
            <v>0</v>
          </cell>
          <cell r="LB501">
            <v>0</v>
          </cell>
          <cell r="LD501">
            <v>0</v>
          </cell>
          <cell r="LE501">
            <v>0</v>
          </cell>
          <cell r="LG501">
            <v>0</v>
          </cell>
          <cell r="LH501">
            <v>0</v>
          </cell>
          <cell r="LJ501">
            <v>0</v>
          </cell>
          <cell r="LK501">
            <v>0</v>
          </cell>
          <cell r="LM501">
            <v>0</v>
          </cell>
          <cell r="LP501" t="str">
            <v>NO COMENZADO</v>
          </cell>
        </row>
        <row r="502">
          <cell r="A502" t="str">
            <v>2096-B</v>
          </cell>
          <cell r="B502" t="str">
            <v>RUBEN</v>
          </cell>
          <cell r="C502" t="str">
            <v>INTERNO JAVIER</v>
          </cell>
          <cell r="D502" t="str">
            <v>MARROQUINERIA GRANDE</v>
          </cell>
          <cell r="E502">
            <v>8</v>
          </cell>
          <cell r="F502">
            <v>8</v>
          </cell>
          <cell r="H502">
            <v>45983.767939814818</v>
          </cell>
          <cell r="I502" t="str">
            <v>CARTERA MANA</v>
          </cell>
          <cell r="M502">
            <v>55</v>
          </cell>
          <cell r="N502" t="str">
            <v>M192</v>
          </cell>
          <cell r="O502" t="str">
            <v>AV0300460101</v>
          </cell>
          <cell r="P502">
            <v>1</v>
          </cell>
          <cell r="Q502" t="str">
            <v>CUE0000124</v>
          </cell>
          <cell r="R502">
            <v>1</v>
          </cell>
          <cell r="S502" t="str">
            <v>AV170129018</v>
          </cell>
          <cell r="T502">
            <v>0</v>
          </cell>
          <cell r="AS502" t="str">
            <v>TRABAJO MANUAL ARTESANAL TRENZADO</v>
          </cell>
          <cell r="AT502" t="str">
            <v>FLECOS EN EL MISMO MATERIAL</v>
          </cell>
          <cell r="AW502" t="str">
            <v>GRABADO EL LUCERO GRANDE ATRAS ARRIBA</v>
          </cell>
          <cell r="AX502" t="str">
            <v>SUELA</v>
          </cell>
          <cell r="AY502" t="str">
            <v>LEDER-CUERO_CRASH</v>
          </cell>
          <cell r="AZ502" t="str">
            <v>CUE0000111</v>
          </cell>
          <cell r="BA502">
            <v>0.98</v>
          </cell>
          <cell r="KD502">
            <v>8</v>
          </cell>
          <cell r="KE502">
            <v>8</v>
          </cell>
          <cell r="KG502">
            <v>0</v>
          </cell>
          <cell r="KJ502">
            <v>0</v>
          </cell>
          <cell r="KM502">
            <v>0</v>
          </cell>
          <cell r="KP502">
            <v>0</v>
          </cell>
          <cell r="KS502">
            <v>0</v>
          </cell>
          <cell r="KV502">
            <v>0</v>
          </cell>
          <cell r="KY502">
            <v>0</v>
          </cell>
          <cell r="LB502">
            <v>0</v>
          </cell>
          <cell r="LE502">
            <v>0</v>
          </cell>
          <cell r="LH502">
            <v>0</v>
          </cell>
          <cell r="LK502">
            <v>0</v>
          </cell>
          <cell r="LP502" t="str">
            <v>NO COMENZADO</v>
          </cell>
        </row>
        <row r="503">
          <cell r="A503" t="str">
            <v>2125-A</v>
          </cell>
          <cell r="B503" t="str">
            <v>RUBEN</v>
          </cell>
          <cell r="C503" t="str">
            <v>INTERNO JAVIER</v>
          </cell>
          <cell r="D503" t="str">
            <v>MARROQUINERIA GRANDE</v>
          </cell>
          <cell r="E503">
            <v>36</v>
          </cell>
          <cell r="F503">
            <v>36</v>
          </cell>
          <cell r="H503">
            <v>45983.846238425926</v>
          </cell>
          <cell r="I503" t="str">
            <v>BANDOLERA CARLA</v>
          </cell>
          <cell r="M503">
            <v>35</v>
          </cell>
          <cell r="N503" t="str">
            <v>M002</v>
          </cell>
          <cell r="O503" t="str">
            <v>VAR0000057</v>
          </cell>
          <cell r="P503">
            <v>1</v>
          </cell>
          <cell r="Q503" t="str">
            <v>AV0401380101</v>
          </cell>
          <cell r="R503">
            <v>1</v>
          </cell>
          <cell r="S503" t="str">
            <v>AV0400400101</v>
          </cell>
          <cell r="T503">
            <v>1</v>
          </cell>
          <cell r="U503" t="str">
            <v>CUE0000124</v>
          </cell>
          <cell r="V503">
            <v>1</v>
          </cell>
          <cell r="W503" t="str">
            <v>AV170129018</v>
          </cell>
          <cell r="X503">
            <v>0</v>
          </cell>
          <cell r="AS503" t="str">
            <v>CORREA IDEM MUESTRA. EN EL LATERAL NO LLEVA REMACHES</v>
          </cell>
          <cell r="AT503" t="str">
            <v>LA CORREA DEBE SALIR DE ADENTRO DE LA VISTA INTERNA</v>
          </cell>
          <cell r="AU503" t="str">
            <v>CONSULTAR SI VA PINTADA O NO O</v>
          </cell>
          <cell r="AV503" t="str">
            <v>REVISAR TIEMPO</v>
          </cell>
          <cell r="AW503" t="str">
            <v>GRABADO "EL LUCERO" CHICO EN VISTA INTERNA CENTRADA</v>
          </cell>
          <cell r="AX503" t="str">
            <v>LONDON</v>
          </cell>
          <cell r="AY503" t="str">
            <v>ARENA-CUERO BRIDGE</v>
          </cell>
          <cell r="AZ503" t="str">
            <v>CUE0000007</v>
          </cell>
          <cell r="BA503">
            <v>0.21000000000000002</v>
          </cell>
          <cell r="BB503" t="str">
            <v>FOR0000021</v>
          </cell>
          <cell r="BC503">
            <v>0.04</v>
          </cell>
          <cell r="BD503" t="str">
            <v>AV1401244140</v>
          </cell>
          <cell r="BE503">
            <v>0</v>
          </cell>
          <cell r="BR503" t="str">
            <v>MALBEC</v>
          </cell>
          <cell r="BS503" t="str">
            <v>ARENA-CUERO BRIDGE</v>
          </cell>
          <cell r="BT503" t="str">
            <v>CUE0000008</v>
          </cell>
          <cell r="BU503">
            <v>0.17</v>
          </cell>
          <cell r="BV503" t="str">
            <v>FOR0000020</v>
          </cell>
          <cell r="BW503">
            <v>0.04</v>
          </cell>
          <cell r="BX503" t="str">
            <v>AV1401240545</v>
          </cell>
          <cell r="BY503">
            <v>0</v>
          </cell>
          <cell r="CL503" t="str">
            <v>NEGRO</v>
          </cell>
          <cell r="CM503" t="str">
            <v>ARENA-CUERO BRIDGE</v>
          </cell>
          <cell r="CN503" t="str">
            <v>CUE0000009</v>
          </cell>
          <cell r="CO503">
            <v>0.17</v>
          </cell>
          <cell r="CP503" t="str">
            <v>FOR0000020</v>
          </cell>
          <cell r="CQ503">
            <v>0.04</v>
          </cell>
          <cell r="CR503" t="str">
            <v>AV1401244040</v>
          </cell>
          <cell r="CS503">
            <v>0</v>
          </cell>
          <cell r="DF503" t="str">
            <v>CEDRO</v>
          </cell>
          <cell r="DG503" t="str">
            <v>BIANCO-CUERO FIORENTINO</v>
          </cell>
          <cell r="DH503" t="str">
            <v>CUE0000055</v>
          </cell>
          <cell r="DI503">
            <v>0.17</v>
          </cell>
          <cell r="DJ503" t="str">
            <v>FOR0000021</v>
          </cell>
          <cell r="DK503">
            <v>0.04</v>
          </cell>
          <cell r="DL503" t="str">
            <v>AV1401240545</v>
          </cell>
          <cell r="DM503">
            <v>0</v>
          </cell>
          <cell r="KD503">
            <v>10</v>
          </cell>
          <cell r="KE503">
            <v>10</v>
          </cell>
          <cell r="KG503">
            <v>10</v>
          </cell>
          <cell r="KH503">
            <v>10</v>
          </cell>
          <cell r="KJ503">
            <v>10</v>
          </cell>
          <cell r="KK503">
            <v>10</v>
          </cell>
          <cell r="KM503">
            <v>6</v>
          </cell>
          <cell r="KN503">
            <v>6</v>
          </cell>
          <cell r="KP503">
            <v>0</v>
          </cell>
          <cell r="KS503">
            <v>0</v>
          </cell>
          <cell r="KV503">
            <v>0</v>
          </cell>
          <cell r="KY503">
            <v>0</v>
          </cell>
          <cell r="LB503">
            <v>0</v>
          </cell>
          <cell r="LE503">
            <v>0</v>
          </cell>
          <cell r="LH503">
            <v>0</v>
          </cell>
          <cell r="LK503">
            <v>0</v>
          </cell>
          <cell r="LP503" t="str">
            <v>NO COMENZADO</v>
          </cell>
        </row>
        <row r="504">
          <cell r="A504" t="str">
            <v>2126-A</v>
          </cell>
          <cell r="B504" t="str">
            <v>RUBEN</v>
          </cell>
          <cell r="C504" t="str">
            <v>INTERNO JAVIER</v>
          </cell>
          <cell r="D504" t="str">
            <v>MARROQUINERIA GRANDE</v>
          </cell>
          <cell r="E504">
            <v>9</v>
          </cell>
          <cell r="F504">
            <v>9</v>
          </cell>
          <cell r="H504">
            <v>45983.851111111115</v>
          </cell>
          <cell r="I504" t="str">
            <v>BANDOLERA LENA</v>
          </cell>
          <cell r="M504">
            <v>50</v>
          </cell>
          <cell r="N504" t="str">
            <v>M004</v>
          </cell>
          <cell r="O504" t="str">
            <v>AV0101070301</v>
          </cell>
          <cell r="P504">
            <v>1</v>
          </cell>
          <cell r="Q504" t="str">
            <v>AV0600560101</v>
          </cell>
          <cell r="R504">
            <v>1</v>
          </cell>
          <cell r="S504" t="str">
            <v>AV1000880101</v>
          </cell>
          <cell r="T504">
            <v>1</v>
          </cell>
          <cell r="U504" t="str">
            <v>AV0300400101</v>
          </cell>
          <cell r="V504">
            <v>3</v>
          </cell>
          <cell r="W504" t="str">
            <v>AV0600570101</v>
          </cell>
          <cell r="X504">
            <v>2</v>
          </cell>
          <cell r="Y504" t="str">
            <v>AV1000780101</v>
          </cell>
          <cell r="Z504">
            <v>2</v>
          </cell>
          <cell r="AA504" t="str">
            <v>AV0300460101</v>
          </cell>
          <cell r="AB504">
            <v>2</v>
          </cell>
          <cell r="AC504" t="str">
            <v>BAC1300020827</v>
          </cell>
          <cell r="AD504">
            <v>0.05</v>
          </cell>
          <cell r="AE504" t="str">
            <v>AV0300390101</v>
          </cell>
          <cell r="AF504">
            <v>1</v>
          </cell>
          <cell r="AG504" t="str">
            <v>AV0101040201</v>
          </cell>
          <cell r="AH504">
            <v>1</v>
          </cell>
          <cell r="AI504" t="str">
            <v>CUE0000124</v>
          </cell>
          <cell r="AJ504">
            <v>1</v>
          </cell>
          <cell r="AK504" t="str">
            <v>AV170129018</v>
          </cell>
          <cell r="AL504">
            <v>0</v>
          </cell>
          <cell r="AS504" t="str">
            <v>TIRACIERRE CON TIRA DE CUERO Y GRABADO L* LUCERO</v>
          </cell>
          <cell r="AW504" t="str">
            <v xml:space="preserve">GRABADO "EL LUCERO" CHICO EN LA VISTA DEL CIERRE, EN EL FRENTE CENTRADO. </v>
          </cell>
          <cell r="AX504" t="str">
            <v>CARAMELO</v>
          </cell>
          <cell r="AY504" t="str">
            <v>ARENA-CUERO NAPADO</v>
          </cell>
          <cell r="AZ504" t="str">
            <v>CUE0000022</v>
          </cell>
          <cell r="BA504">
            <v>0.4</v>
          </cell>
          <cell r="BB504" t="str">
            <v>FOR0000021</v>
          </cell>
          <cell r="BC504">
            <v>0.45</v>
          </cell>
          <cell r="BD504" t="str">
            <v>AV0100010105</v>
          </cell>
          <cell r="BE504">
            <v>0.32</v>
          </cell>
          <cell r="BF504" t="str">
            <v>AV0100020305</v>
          </cell>
          <cell r="BG504">
            <v>0.16</v>
          </cell>
          <cell r="BH504" t="str">
            <v>AV1401240545</v>
          </cell>
          <cell r="BI504">
            <v>0</v>
          </cell>
          <cell r="BR504" t="str">
            <v>NEGRO</v>
          </cell>
          <cell r="BS504" t="str">
            <v>ARENA-CUERO NAPADO</v>
          </cell>
          <cell r="BT504" t="str">
            <v>CUE0000026</v>
          </cell>
          <cell r="BU504">
            <v>0.4</v>
          </cell>
          <cell r="BV504" t="str">
            <v>FOR0000020</v>
          </cell>
          <cell r="BW504">
            <v>0.45</v>
          </cell>
          <cell r="BX504" t="str">
            <v>AV0100010103</v>
          </cell>
          <cell r="BY504">
            <v>0.32</v>
          </cell>
          <cell r="BZ504" t="str">
            <v>AV0100020303</v>
          </cell>
          <cell r="CA504">
            <v>0.16</v>
          </cell>
          <cell r="CB504" t="str">
            <v>AV1401244040</v>
          </cell>
          <cell r="CC504">
            <v>0</v>
          </cell>
          <cell r="CL504" t="str">
            <v>VERDE_REVES_VERDE</v>
          </cell>
          <cell r="CM504" t="str">
            <v>BIANCO-CUERO MODENA ESPESOR 1,4</v>
          </cell>
          <cell r="CN504" t="str">
            <v>CUE0000118</v>
          </cell>
          <cell r="CO504">
            <v>0.4</v>
          </cell>
          <cell r="CP504" t="str">
            <v>FOR0000020</v>
          </cell>
          <cell r="CQ504">
            <v>0.45</v>
          </cell>
          <cell r="CR504" t="str">
            <v>AV0100010117</v>
          </cell>
          <cell r="CS504">
            <v>0.32</v>
          </cell>
          <cell r="CT504" t="str">
            <v>AV0100020317</v>
          </cell>
          <cell r="CU504">
            <v>0.16</v>
          </cell>
          <cell r="CV504" t="str">
            <v>AV1401244240</v>
          </cell>
          <cell r="CW504">
            <v>0</v>
          </cell>
          <cell r="KD504">
            <v>3</v>
          </cell>
          <cell r="KE504">
            <v>3</v>
          </cell>
          <cell r="KG504">
            <v>2</v>
          </cell>
          <cell r="KH504">
            <v>2</v>
          </cell>
          <cell r="KJ504">
            <v>4</v>
          </cell>
          <cell r="KK504">
            <v>4</v>
          </cell>
          <cell r="KM504">
            <v>0</v>
          </cell>
          <cell r="KP504">
            <v>0</v>
          </cell>
          <cell r="KS504">
            <v>0</v>
          </cell>
          <cell r="KV504">
            <v>0</v>
          </cell>
          <cell r="KY504">
            <v>0</v>
          </cell>
          <cell r="LB504">
            <v>0</v>
          </cell>
          <cell r="LE504">
            <v>0</v>
          </cell>
          <cell r="LH504">
            <v>0</v>
          </cell>
          <cell r="LK504">
            <v>0</v>
          </cell>
          <cell r="LP504" t="str">
            <v>NO COMENZADO</v>
          </cell>
        </row>
        <row r="505">
          <cell r="A505" t="str">
            <v>2127-A</v>
          </cell>
          <cell r="B505" t="str">
            <v>RUBEN</v>
          </cell>
          <cell r="C505" t="str">
            <v>INTERNO JAVIER</v>
          </cell>
          <cell r="D505" t="str">
            <v>MARROQUINERIA GRANDE</v>
          </cell>
          <cell r="E505">
            <v>8</v>
          </cell>
          <cell r="F505">
            <v>8</v>
          </cell>
          <cell r="H505">
            <v>45983.854571759257</v>
          </cell>
          <cell r="I505" t="str">
            <v>BANDOLERA NEW VICENTA</v>
          </cell>
          <cell r="M505">
            <v>25</v>
          </cell>
          <cell r="N505" t="str">
            <v>M144</v>
          </cell>
          <cell r="O505" t="str">
            <v>AV0101070301</v>
          </cell>
          <cell r="P505">
            <v>1</v>
          </cell>
          <cell r="Q505" t="str">
            <v>AV0600560101</v>
          </cell>
          <cell r="R505">
            <v>1</v>
          </cell>
          <cell r="S505" t="str">
            <v>AV0300390101</v>
          </cell>
          <cell r="T505">
            <v>1</v>
          </cell>
          <cell r="U505" t="str">
            <v>AV0400230101</v>
          </cell>
          <cell r="V505">
            <v>1</v>
          </cell>
          <cell r="W505" t="str">
            <v>AV170129018</v>
          </cell>
          <cell r="X505">
            <v>0</v>
          </cell>
          <cell r="AS505" t="str">
            <v xml:space="preserve"> LLEVA 3 TROQUELES DIFERENTES VER FICHA PRODUCTO</v>
          </cell>
          <cell r="AT505" t="str">
            <v>CORREA TODA EN CUERO</v>
          </cell>
          <cell r="AW505" t="str">
            <v>GRABADO "EL 
LUCERO" EN EL 
FRENTE CENTRADO 
(EN CUERPO DE LA 
CARTERA, DEBAJO DE 
LA SOLAPA)</v>
          </cell>
          <cell r="AX505" t="str">
            <v>CARAMELO</v>
          </cell>
          <cell r="AY505" t="str">
            <v>ARENA-CUERO NAPADO</v>
          </cell>
          <cell r="AZ505" t="str">
            <v>CUE0000022</v>
          </cell>
          <cell r="BA505">
            <v>0.22</v>
          </cell>
          <cell r="BB505" t="str">
            <v>AV0100020305</v>
          </cell>
          <cell r="BC505">
            <v>0.21</v>
          </cell>
          <cell r="BR505" t="str">
            <v>SUELA</v>
          </cell>
          <cell r="BS505" t="str">
            <v>ARENA-CUERO NAPADO</v>
          </cell>
          <cell r="BT505" t="str">
            <v>CUE0000028</v>
          </cell>
          <cell r="BU505">
            <v>0.22</v>
          </cell>
          <cell r="BV505" t="str">
            <v>AV0100020337</v>
          </cell>
          <cell r="BW505">
            <v>0.21</v>
          </cell>
          <cell r="KD505">
            <v>4</v>
          </cell>
          <cell r="KE505">
            <v>4</v>
          </cell>
          <cell r="KG505">
            <v>4</v>
          </cell>
          <cell r="KH505">
            <v>4</v>
          </cell>
          <cell r="KJ505">
            <v>0</v>
          </cell>
          <cell r="KM505">
            <v>0</v>
          </cell>
          <cell r="KP505">
            <v>0</v>
          </cell>
          <cell r="KS505">
            <v>0</v>
          </cell>
          <cell r="KV505">
            <v>0</v>
          </cell>
          <cell r="KY505">
            <v>0</v>
          </cell>
          <cell r="LB505">
            <v>0</v>
          </cell>
          <cell r="LE505">
            <v>0</v>
          </cell>
          <cell r="LH505">
            <v>0</v>
          </cell>
          <cell r="LK505">
            <v>0</v>
          </cell>
          <cell r="LP505" t="str">
            <v>NO COMENZADO</v>
          </cell>
        </row>
        <row r="506">
          <cell r="A506" t="str">
            <v>2128-A</v>
          </cell>
          <cell r="B506" t="str">
            <v>LUCIANO</v>
          </cell>
          <cell r="C506" t="str">
            <v>PERDRIEL</v>
          </cell>
          <cell r="D506" t="str">
            <v>MARROQUINERIA CHICA</v>
          </cell>
          <cell r="E506">
            <v>42</v>
          </cell>
          <cell r="F506">
            <v>42</v>
          </cell>
          <cell r="H506">
            <v>45986.441666666666</v>
          </cell>
          <cell r="I506" t="str">
            <v>BILLETERA LUCA</v>
          </cell>
          <cell r="K506">
            <v>45989</v>
          </cell>
          <cell r="M506">
            <v>40</v>
          </cell>
          <cell r="N506" t="str">
            <v>M021</v>
          </cell>
          <cell r="O506" t="str">
            <v>AV170134014</v>
          </cell>
          <cell r="P506">
            <v>0</v>
          </cell>
          <cell r="AS506" t="str">
            <v>VENTANA EN PVC NO EN RED</v>
          </cell>
          <cell r="AW506" t="str">
            <v xml:space="preserve">GRABADO "EL LUCERO ARGENTINA"CHICO EN INTERIOR ESQUINA INFERIOR DERECHO  </v>
          </cell>
          <cell r="AX506" t="str">
            <v>CHOCOLATE</v>
          </cell>
          <cell r="AY506" t="str">
            <v>ARENA-CUERO BRIDGE</v>
          </cell>
          <cell r="AZ506" t="str">
            <v>CUE0000005R</v>
          </cell>
          <cell r="BA506">
            <v>0.08</v>
          </cell>
          <cell r="BB506" t="str">
            <v>FOR0000015</v>
          </cell>
          <cell r="BC506">
            <v>0.06</v>
          </cell>
          <cell r="BD506" t="str">
            <v>AV1401250545</v>
          </cell>
          <cell r="BE506">
            <v>0</v>
          </cell>
          <cell r="BR506" t="str">
            <v>NEGRO</v>
          </cell>
          <cell r="BS506" t="str">
            <v>ARENA-CUERO BRIDGE</v>
          </cell>
          <cell r="BT506" t="str">
            <v>CUE0000009R</v>
          </cell>
          <cell r="BU506">
            <v>0.08</v>
          </cell>
          <cell r="BV506" t="str">
            <v>FOR0000018</v>
          </cell>
          <cell r="BW506">
            <v>0.06</v>
          </cell>
          <cell r="BX506" t="str">
            <v>AV1401254060</v>
          </cell>
          <cell r="BY506">
            <v>0</v>
          </cell>
          <cell r="KD506">
            <v>30</v>
          </cell>
          <cell r="KE506">
            <v>30</v>
          </cell>
          <cell r="KG506">
            <v>12</v>
          </cell>
          <cell r="KH506">
            <v>12</v>
          </cell>
          <cell r="KJ506">
            <v>0</v>
          </cell>
          <cell r="KM506">
            <v>0</v>
          </cell>
          <cell r="KP506">
            <v>0</v>
          </cell>
          <cell r="KS506">
            <v>0</v>
          </cell>
          <cell r="KV506">
            <v>0</v>
          </cell>
          <cell r="KY506">
            <v>0</v>
          </cell>
          <cell r="LB506">
            <v>0</v>
          </cell>
          <cell r="LE506">
            <v>0</v>
          </cell>
          <cell r="LH506">
            <v>0</v>
          </cell>
          <cell r="LK506">
            <v>0</v>
          </cell>
          <cell r="LP506" t="str">
            <v>NO COMENZADO</v>
          </cell>
        </row>
        <row r="507">
          <cell r="A507" t="str">
            <v>2129-A</v>
          </cell>
          <cell r="B507" t="str">
            <v>LUCIANO</v>
          </cell>
          <cell r="C507" t="str">
            <v>PERDRIEL</v>
          </cell>
          <cell r="D507" t="str">
            <v>MARROQUINERIA CHICA</v>
          </cell>
          <cell r="E507">
            <v>84</v>
          </cell>
          <cell r="F507">
            <v>84</v>
          </cell>
          <cell r="H507">
            <v>45986.445428240739</v>
          </cell>
          <cell r="I507" t="str">
            <v>BILLETERA MILO SIMPLE</v>
          </cell>
          <cell r="M507">
            <v>40</v>
          </cell>
          <cell r="N507" t="str">
            <v>M023</v>
          </cell>
          <cell r="O507" t="str">
            <v>BAC0900100161</v>
          </cell>
          <cell r="P507">
            <v>0.01</v>
          </cell>
          <cell r="Q507" t="str">
            <v>AV170134014</v>
          </cell>
          <cell r="R507">
            <v>0</v>
          </cell>
          <cell r="AS507" t="str">
            <v>SIN ELASTICO</v>
          </cell>
          <cell r="AW507" t="str">
            <v xml:space="preserve">GRABADO "LUCERO ARGENTINA" CHICO A 1 CMDEL BORDE INFERIOR, EN SOLAPA INTERNA   </v>
          </cell>
          <cell r="AX507" t="str">
            <v>NEGRO</v>
          </cell>
          <cell r="AY507" t="str">
            <v>VANESKA-CUERO NAPADO DUNA</v>
          </cell>
          <cell r="AZ507" t="str">
            <v>CUE0000059R</v>
          </cell>
          <cell r="BA507">
            <v>0.09</v>
          </cell>
          <cell r="BB507" t="str">
            <v>FOR0000018</v>
          </cell>
          <cell r="BC507">
            <v>0.11</v>
          </cell>
          <cell r="BD507" t="str">
            <v>AV1401254060</v>
          </cell>
          <cell r="BE507">
            <v>0</v>
          </cell>
          <cell r="BF507" t="str">
            <v>AV1601300926</v>
          </cell>
          <cell r="BG507">
            <v>0</v>
          </cell>
          <cell r="BR507" t="str">
            <v>CEDRO</v>
          </cell>
          <cell r="BS507" t="str">
            <v>BIANCO-CUERO FIORENTINO</v>
          </cell>
          <cell r="BT507" t="str">
            <v>CUE0000055R</v>
          </cell>
          <cell r="BU507">
            <v>0.09</v>
          </cell>
          <cell r="BV507" t="str">
            <v>FOR0000015</v>
          </cell>
          <cell r="BW507">
            <v>0.11</v>
          </cell>
          <cell r="BX507" t="str">
            <v>AV1401250545</v>
          </cell>
          <cell r="BY507">
            <v>0</v>
          </cell>
          <cell r="BZ507" t="str">
            <v>AV1601300955</v>
          </cell>
          <cell r="CA507">
            <v>0</v>
          </cell>
          <cell r="CL507" t="str">
            <v>SUELA</v>
          </cell>
          <cell r="CM507" t="str">
            <v>ARENA-CUERO NAPADO</v>
          </cell>
          <cell r="CN507" t="str">
            <v>CUE0000028R</v>
          </cell>
          <cell r="CO507">
            <v>0.09</v>
          </cell>
          <cell r="CP507" t="str">
            <v>FOR0000015</v>
          </cell>
          <cell r="CQ507">
            <v>0.11</v>
          </cell>
          <cell r="CR507" t="str">
            <v>AV1401250545</v>
          </cell>
          <cell r="CS507">
            <v>0</v>
          </cell>
          <cell r="CT507" t="str">
            <v>AV1601300955</v>
          </cell>
          <cell r="CU507">
            <v>0</v>
          </cell>
          <cell r="DF507" t="str">
            <v>VERDE_REVES_VERDE</v>
          </cell>
          <cell r="DG507" t="str">
            <v>BIANCO-CUERO MODENA ESPESOR 1,4</v>
          </cell>
          <cell r="DH507" t="str">
            <v>CUE0000118R</v>
          </cell>
          <cell r="DI507">
            <v>0.09</v>
          </cell>
          <cell r="DJ507" t="str">
            <v>FOR0000013</v>
          </cell>
          <cell r="DK507">
            <v>0.11</v>
          </cell>
          <cell r="DL507" t="str">
            <v>AV1401254260</v>
          </cell>
          <cell r="DM507">
            <v>0</v>
          </cell>
          <cell r="DN507" t="str">
            <v>AV1601300957</v>
          </cell>
          <cell r="DO507">
            <v>0</v>
          </cell>
          <cell r="DZ507" t="str">
            <v>AZUL_REVES_AZUL</v>
          </cell>
          <cell r="EA507" t="str">
            <v>BIANCO-CUERO MODENA ESPESOR 1,4</v>
          </cell>
          <cell r="EB507" t="str">
            <v>CUE0000119R</v>
          </cell>
          <cell r="EC507">
            <v>0.09</v>
          </cell>
          <cell r="ED507" t="str">
            <v>FOR0000014</v>
          </cell>
          <cell r="EE507">
            <v>0.11</v>
          </cell>
          <cell r="EF507" t="str">
            <v>AV1401254360</v>
          </cell>
          <cell r="EG507">
            <v>0</v>
          </cell>
          <cell r="EH507" t="str">
            <v>AV1601300956</v>
          </cell>
          <cell r="EI507">
            <v>0</v>
          </cell>
          <cell r="KD507">
            <v>20</v>
          </cell>
          <cell r="KE507">
            <v>20</v>
          </cell>
          <cell r="KG507">
            <v>12</v>
          </cell>
          <cell r="KH507">
            <v>12</v>
          </cell>
          <cell r="KJ507">
            <v>20</v>
          </cell>
          <cell r="KK507">
            <v>20</v>
          </cell>
          <cell r="KM507">
            <v>12</v>
          </cell>
          <cell r="KN507">
            <v>12</v>
          </cell>
          <cell r="KP507">
            <v>20</v>
          </cell>
          <cell r="KQ507">
            <v>20</v>
          </cell>
          <cell r="KS507">
            <v>0</v>
          </cell>
          <cell r="KV507">
            <v>0</v>
          </cell>
          <cell r="KY507">
            <v>0</v>
          </cell>
          <cell r="LB507">
            <v>0</v>
          </cell>
          <cell r="LE507">
            <v>0</v>
          </cell>
          <cell r="LH507">
            <v>0</v>
          </cell>
          <cell r="LK507">
            <v>0</v>
          </cell>
          <cell r="LP507" t="str">
            <v>NO COMENZADO</v>
          </cell>
        </row>
        <row r="508">
          <cell r="A508" t="str">
            <v>2130-A</v>
          </cell>
          <cell r="B508" t="str">
            <v>LUCIANO</v>
          </cell>
          <cell r="C508" t="str">
            <v>PERDRIEL</v>
          </cell>
          <cell r="D508" t="str">
            <v>MARROQUINERIA CHICA</v>
          </cell>
          <cell r="E508">
            <v>48</v>
          </cell>
          <cell r="F508">
            <v>48</v>
          </cell>
          <cell r="H508">
            <v>45986.447662037041</v>
          </cell>
          <cell r="I508" t="str">
            <v>BILLETERA ADAM</v>
          </cell>
          <cell r="M508">
            <v>50</v>
          </cell>
          <cell r="N508" t="str">
            <v>M012</v>
          </cell>
          <cell r="O508" t="str">
            <v>AV0700420101</v>
          </cell>
          <cell r="P508">
            <v>1</v>
          </cell>
          <cell r="Q508" t="str">
            <v>VAR0000002</v>
          </cell>
          <cell r="R508">
            <v>0.01</v>
          </cell>
          <cell r="S508" t="str">
            <v>AV170134014</v>
          </cell>
          <cell r="T508">
            <v>0</v>
          </cell>
          <cell r="AW508" t="str">
            <v xml:space="preserve">GRABADO "EL LUCERO ARGENTINA" CHICO - CENTRADO A 1 CM DESDE EL BORDE INFERIOR  </v>
          </cell>
          <cell r="AX508" t="str">
            <v>CARAMELO</v>
          </cell>
          <cell r="AY508" t="str">
            <v>ARENA-CUERO BRIDGE</v>
          </cell>
          <cell r="AZ508" t="str">
            <v>CUE0000004R</v>
          </cell>
          <cell r="BA508">
            <v>0.11</v>
          </cell>
          <cell r="BB508" t="str">
            <v>AV1401254160</v>
          </cell>
          <cell r="BC508">
            <v>0</v>
          </cell>
          <cell r="BD508" t="str">
            <v>FOR0000015</v>
          </cell>
          <cell r="BE508">
            <v>0.08</v>
          </cell>
          <cell r="BR508" t="str">
            <v>CHOCOLATE</v>
          </cell>
          <cell r="BS508" t="str">
            <v>ARENA-CUERO BRIDGE</v>
          </cell>
          <cell r="BT508" t="str">
            <v>CUE0000005R</v>
          </cell>
          <cell r="BU508">
            <v>0.11</v>
          </cell>
          <cell r="BV508" t="str">
            <v>AV1401250545</v>
          </cell>
          <cell r="BW508">
            <v>0</v>
          </cell>
          <cell r="BX508" t="str">
            <v>FOR0000015</v>
          </cell>
          <cell r="BY508">
            <v>0.08</v>
          </cell>
          <cell r="CL508" t="str">
            <v>NEGRO</v>
          </cell>
          <cell r="CM508" t="str">
            <v>ARENA-CUERO BRIDGE</v>
          </cell>
          <cell r="CN508" t="str">
            <v>CUE0000009R</v>
          </cell>
          <cell r="CO508">
            <v>0.11</v>
          </cell>
          <cell r="CP508" t="str">
            <v>AV1401254060</v>
          </cell>
          <cell r="CQ508">
            <v>0</v>
          </cell>
          <cell r="CR508" t="str">
            <v>FOR0000018</v>
          </cell>
          <cell r="CS508">
            <v>0.08</v>
          </cell>
          <cell r="DF508" t="str">
            <v>VERDE_REVES_VERDE</v>
          </cell>
          <cell r="DG508" t="str">
            <v>BIANCO-CUERO MODENA ESPESOR 1,4</v>
          </cell>
          <cell r="DH508" t="str">
            <v>CUE0000118R</v>
          </cell>
          <cell r="DI508">
            <v>0.11</v>
          </cell>
          <cell r="DJ508" t="str">
            <v>AV1401254260</v>
          </cell>
          <cell r="DK508">
            <v>0</v>
          </cell>
          <cell r="DL508" t="str">
            <v>FOR0000013</v>
          </cell>
          <cell r="DM508">
            <v>0.08</v>
          </cell>
          <cell r="KD508">
            <v>10</v>
          </cell>
          <cell r="KE508">
            <v>10</v>
          </cell>
          <cell r="KG508">
            <v>16</v>
          </cell>
          <cell r="KH508">
            <v>16</v>
          </cell>
          <cell r="KJ508">
            <v>12</v>
          </cell>
          <cell r="KK508">
            <v>12</v>
          </cell>
          <cell r="KM508">
            <v>10</v>
          </cell>
          <cell r="KN508">
            <v>10</v>
          </cell>
          <cell r="KP508">
            <v>0</v>
          </cell>
          <cell r="KS508">
            <v>0</v>
          </cell>
          <cell r="KV508">
            <v>0</v>
          </cell>
          <cell r="KY508">
            <v>0</v>
          </cell>
          <cell r="LB508">
            <v>0</v>
          </cell>
          <cell r="LE508">
            <v>0</v>
          </cell>
          <cell r="LH508">
            <v>0</v>
          </cell>
          <cell r="LK508">
            <v>0</v>
          </cell>
          <cell r="LP508" t="str">
            <v>NO COMENZADO</v>
          </cell>
        </row>
        <row r="509">
          <cell r="A509" t="str">
            <v>2131-A</v>
          </cell>
          <cell r="B509" t="str">
            <v>LUCIANO</v>
          </cell>
          <cell r="C509" t="str">
            <v>PERDRIEL</v>
          </cell>
          <cell r="D509" t="str">
            <v>MARROQUINERIA CHICA</v>
          </cell>
          <cell r="E509">
            <v>54</v>
          </cell>
          <cell r="F509">
            <v>54</v>
          </cell>
          <cell r="H509">
            <v>45986.45</v>
          </cell>
          <cell r="I509" t="str">
            <v>BILLETERA ARLO</v>
          </cell>
          <cell r="M509">
            <v>50</v>
          </cell>
          <cell r="N509" t="str">
            <v>M162</v>
          </cell>
          <cell r="O509" t="str">
            <v>BAC0900100161</v>
          </cell>
          <cell r="P509">
            <v>0.1</v>
          </cell>
          <cell r="Q509" t="str">
            <v>AV170134014</v>
          </cell>
          <cell r="R509">
            <v>0</v>
          </cell>
          <cell r="AS509" t="str">
            <v>GRABADO EN TARJETERO "EL LUCERO ARGENTINA" CHICO ATRAS CENTRADO A 1 CM DESDE EL BORDE INFERIOR</v>
          </cell>
          <cell r="AT509" t="str">
            <v>LLEVA 2 GRABADOS</v>
          </cell>
          <cell r="AW509" t="str">
            <v>GRABADO EN INTERIOR  "EL LUCERO ARGENTINA" CHICO - CENTRADO A 1 CM DESDE EL BORDE INFERIOR</v>
          </cell>
          <cell r="AX509" t="str">
            <v>CARAMELO</v>
          </cell>
          <cell r="AY509" t="str">
            <v>ARENA-CUERO BRIDGE</v>
          </cell>
          <cell r="AZ509" t="str">
            <v>CUE0000004R</v>
          </cell>
          <cell r="BA509">
            <v>0.11</v>
          </cell>
          <cell r="BB509" t="str">
            <v>FOR0000015</v>
          </cell>
          <cell r="BC509">
            <v>0.1</v>
          </cell>
          <cell r="BR509" t="str">
            <v>CHOCOLATE</v>
          </cell>
          <cell r="BS509" t="str">
            <v>ARENA-CUERO BRIDGE</v>
          </cell>
          <cell r="BT509" t="str">
            <v>CUE0000005R</v>
          </cell>
          <cell r="BU509">
            <v>0.11</v>
          </cell>
          <cell r="BV509" t="str">
            <v>FOR0000015</v>
          </cell>
          <cell r="BW509">
            <v>0.1</v>
          </cell>
          <cell r="CL509" t="str">
            <v>NEGRO</v>
          </cell>
          <cell r="CM509" t="str">
            <v>ARENA-CUERO BRIDGE</v>
          </cell>
          <cell r="CN509" t="str">
            <v>CUE0000009R</v>
          </cell>
          <cell r="CO509">
            <v>0.11</v>
          </cell>
          <cell r="CP509" t="str">
            <v>FOR0000018</v>
          </cell>
          <cell r="CQ509">
            <v>0.1</v>
          </cell>
          <cell r="DF509" t="str">
            <v>VERDE_REVES_VERDE</v>
          </cell>
          <cell r="DG509" t="str">
            <v>BIANCO-CUERO MODENA ESPESOR 1,4</v>
          </cell>
          <cell r="DH509" t="str">
            <v>CUE0000118R</v>
          </cell>
          <cell r="DI509">
            <v>0.11</v>
          </cell>
          <cell r="DJ509" t="str">
            <v>FOR0000013</v>
          </cell>
          <cell r="DK509">
            <v>0.1</v>
          </cell>
          <cell r="KD509">
            <v>12</v>
          </cell>
          <cell r="KE509">
            <v>12</v>
          </cell>
          <cell r="KG509">
            <v>20</v>
          </cell>
          <cell r="KH509">
            <v>20</v>
          </cell>
          <cell r="KJ509">
            <v>12</v>
          </cell>
          <cell r="KK509">
            <v>12</v>
          </cell>
          <cell r="KM509">
            <v>10</v>
          </cell>
          <cell r="KN509">
            <v>10</v>
          </cell>
          <cell r="KP509">
            <v>0</v>
          </cell>
          <cell r="KS509">
            <v>0</v>
          </cell>
          <cell r="KV509">
            <v>0</v>
          </cell>
          <cell r="KY509">
            <v>0</v>
          </cell>
          <cell r="LB509">
            <v>0</v>
          </cell>
          <cell r="LE509">
            <v>0</v>
          </cell>
          <cell r="LH509">
            <v>0</v>
          </cell>
          <cell r="LK509">
            <v>0</v>
          </cell>
          <cell r="LP509" t="str">
            <v>NO COMENZADO</v>
          </cell>
        </row>
        <row r="510">
          <cell r="A510" t="str">
            <v>2132-A</v>
          </cell>
          <cell r="B510" t="str">
            <v>LUCIANO</v>
          </cell>
          <cell r="C510" t="str">
            <v>PERDRIEL</v>
          </cell>
          <cell r="D510" t="str">
            <v>MARROQUINERIA CHICA</v>
          </cell>
          <cell r="E510">
            <v>14</v>
          </cell>
          <cell r="F510">
            <v>14</v>
          </cell>
          <cell r="H510">
            <v>45986.452916666669</v>
          </cell>
          <cell r="I510" t="str">
            <v>BILLETERA BEIJING</v>
          </cell>
          <cell r="M510">
            <v>55</v>
          </cell>
          <cell r="N510" t="str">
            <v>M013</v>
          </cell>
          <cell r="O510" t="str">
            <v>FOR0000032</v>
          </cell>
          <cell r="P510">
            <v>0.09</v>
          </cell>
          <cell r="Q510" t="str">
            <v>AV0600560101</v>
          </cell>
          <cell r="R510">
            <v>2</v>
          </cell>
          <cell r="S510" t="str">
            <v>AV0300390101</v>
          </cell>
          <cell r="T510">
            <v>1</v>
          </cell>
          <cell r="U510" t="str">
            <v>AV0101040201</v>
          </cell>
          <cell r="V510">
            <v>1</v>
          </cell>
          <cell r="W510" t="str">
            <v>AV0101070301</v>
          </cell>
          <cell r="X510">
            <v>2</v>
          </cell>
          <cell r="Y510" t="str">
            <v>AV0300400101</v>
          </cell>
          <cell r="Z510">
            <v>1</v>
          </cell>
          <cell r="AA510" t="str">
            <v>AV0700650101</v>
          </cell>
          <cell r="AB510">
            <v>1</v>
          </cell>
          <cell r="AC510" t="str">
            <v>AV1000380101</v>
          </cell>
          <cell r="AD510">
            <v>1</v>
          </cell>
          <cell r="AE510" t="str">
            <v>AV0600550101</v>
          </cell>
          <cell r="AF510">
            <v>1</v>
          </cell>
          <cell r="AG510" t="str">
            <v>AV170134014</v>
          </cell>
          <cell r="AH510">
            <v>0</v>
          </cell>
          <cell r="AS510" t="str">
            <v>TIRACIERRE N1 - TIRA DE CUERO + GRABADO ESTRELLA</v>
          </cell>
          <cell r="AW510" t="str">
            <v xml:space="preserve">GRABADO EL LUCERO"CENTRADO EN EL FRENTE A 2,5 CM DEL BORDE SUPERIOR </v>
          </cell>
          <cell r="AX510" t="str">
            <v>CARAMELO</v>
          </cell>
          <cell r="AY510" t="str">
            <v>ARENA-CUERO BRIDGE</v>
          </cell>
          <cell r="AZ510" t="str">
            <v>CUE0000004R</v>
          </cell>
          <cell r="BA510">
            <v>0.16</v>
          </cell>
          <cell r="BB510" t="str">
            <v>FOR0000021</v>
          </cell>
          <cell r="BC510">
            <v>0.16</v>
          </cell>
          <cell r="BD510" t="str">
            <v>AV0100010105</v>
          </cell>
          <cell r="BE510">
            <v>0.36</v>
          </cell>
          <cell r="BF510" t="str">
            <v>AV0100020305</v>
          </cell>
          <cell r="BG510">
            <v>0.36</v>
          </cell>
          <cell r="BH510" t="str">
            <v>AV1601300955</v>
          </cell>
          <cell r="BI510">
            <v>0</v>
          </cell>
          <cell r="BJ510" t="str">
            <v>AV1401254160</v>
          </cell>
          <cell r="BK510">
            <v>0</v>
          </cell>
          <cell r="BR510" t="str">
            <v>MALBEC</v>
          </cell>
          <cell r="BS510" t="str">
            <v>ARENA-CUERO BRIDGE</v>
          </cell>
          <cell r="BT510" t="str">
            <v>CUE0000008R</v>
          </cell>
          <cell r="BU510">
            <v>0.16</v>
          </cell>
          <cell r="BV510" t="str">
            <v>FOR0000020</v>
          </cell>
          <cell r="BW510">
            <v>0.16</v>
          </cell>
          <cell r="BX510" t="str">
            <v>AV0100010161</v>
          </cell>
          <cell r="BY510">
            <v>0.36</v>
          </cell>
          <cell r="BZ510" t="str">
            <v>CIE0000003</v>
          </cell>
          <cell r="CA510">
            <v>0.36</v>
          </cell>
          <cell r="CB510" t="str">
            <v>AV1601300929</v>
          </cell>
          <cell r="CC510">
            <v>0</v>
          </cell>
          <cell r="CD510" t="str">
            <v>AV1401250545</v>
          </cell>
          <cell r="CE510">
            <v>0</v>
          </cell>
          <cell r="CL510" t="str">
            <v>ROJO</v>
          </cell>
          <cell r="CM510" t="str">
            <v>ARENA-CUERO BRIDGE</v>
          </cell>
          <cell r="CN510" t="str">
            <v>CUE0000010R</v>
          </cell>
          <cell r="CO510">
            <v>0.16</v>
          </cell>
          <cell r="CP510" t="str">
            <v>FOR0000021</v>
          </cell>
          <cell r="CQ510">
            <v>0.16</v>
          </cell>
          <cell r="CR510" t="str">
            <v>AV0100010113</v>
          </cell>
          <cell r="CS510">
            <v>0.36</v>
          </cell>
          <cell r="CT510" t="str">
            <v>AV0100020313</v>
          </cell>
          <cell r="CU510">
            <v>0.36</v>
          </cell>
          <cell r="CV510" t="str">
            <v>AV1601300929</v>
          </cell>
          <cell r="CW510">
            <v>0</v>
          </cell>
          <cell r="CX510" t="str">
            <v>AV1401254460</v>
          </cell>
          <cell r="CY510">
            <v>0</v>
          </cell>
          <cell r="KD510">
            <v>4</v>
          </cell>
          <cell r="KE510">
            <v>4</v>
          </cell>
          <cell r="KG510">
            <v>6</v>
          </cell>
          <cell r="KH510">
            <v>6</v>
          </cell>
          <cell r="KJ510">
            <v>4</v>
          </cell>
          <cell r="KK510">
            <v>4</v>
          </cell>
          <cell r="KM510">
            <v>0</v>
          </cell>
          <cell r="KP510">
            <v>0</v>
          </cell>
          <cell r="KS510">
            <v>0</v>
          </cell>
          <cell r="KV510">
            <v>0</v>
          </cell>
          <cell r="KY510">
            <v>0</v>
          </cell>
          <cell r="LB510">
            <v>0</v>
          </cell>
          <cell r="LE510">
            <v>0</v>
          </cell>
          <cell r="LH510">
            <v>0</v>
          </cell>
          <cell r="LK510">
            <v>0</v>
          </cell>
          <cell r="LP510" t="str">
            <v>NO COMENZADO</v>
          </cell>
        </row>
        <row r="511">
          <cell r="A511" t="str">
            <v>2133-A</v>
          </cell>
          <cell r="B511" t="str">
            <v>LUCIANO</v>
          </cell>
          <cell r="C511" t="str">
            <v>PERDRIEL</v>
          </cell>
          <cell r="D511" t="str">
            <v>MARROQUINERIA CHICA</v>
          </cell>
          <cell r="E511">
            <v>26</v>
          </cell>
          <cell r="F511">
            <v>26</v>
          </cell>
          <cell r="H511">
            <v>45986.455208333333</v>
          </cell>
          <cell r="I511" t="str">
            <v>BILLETERA COPAHUE</v>
          </cell>
          <cell r="M511">
            <v>50</v>
          </cell>
          <cell r="N511" t="str">
            <v>M014</v>
          </cell>
          <cell r="O511" t="str">
            <v>VAR0000002</v>
          </cell>
          <cell r="P511">
            <v>0.01</v>
          </cell>
          <cell r="Q511" t="str">
            <v>BAC1300050727</v>
          </cell>
          <cell r="R511">
            <v>0.01</v>
          </cell>
          <cell r="S511" t="str">
            <v>AV0101070301</v>
          </cell>
          <cell r="T511">
            <v>1</v>
          </cell>
          <cell r="U511" t="str">
            <v>AV0600560101</v>
          </cell>
          <cell r="V511">
            <v>1</v>
          </cell>
          <cell r="W511" t="str">
            <v>AV0401380101</v>
          </cell>
          <cell r="X511">
            <v>1</v>
          </cell>
          <cell r="Y511" t="str">
            <v>AV170134014</v>
          </cell>
          <cell r="Z511">
            <v>0</v>
          </cell>
          <cell r="AA511" t="str">
            <v>BAC0200071027</v>
          </cell>
          <cell r="AB511">
            <v>0.01</v>
          </cell>
          <cell r="AW511" t="str">
            <v xml:space="preserve">GRABADO EL LUCERO EN SOLAPA FRONTAL CENTRADO A 1 CM DEL BORDE  </v>
          </cell>
          <cell r="AX511" t="str">
            <v>VERDE_REVES_VERDE</v>
          </cell>
          <cell r="AY511" t="str">
            <v>BIANCO-CUERO MODENA ESPESOR 1,4</v>
          </cell>
          <cell r="AZ511" t="str">
            <v>CUE0000118R</v>
          </cell>
          <cell r="BA511">
            <v>0.09</v>
          </cell>
          <cell r="BB511" t="str">
            <v>AV0100020317</v>
          </cell>
          <cell r="BC511">
            <v>0.12</v>
          </cell>
          <cell r="BD511" t="str">
            <v>FOR0000013</v>
          </cell>
          <cell r="BE511">
            <v>0.1</v>
          </cell>
          <cell r="BF511" t="str">
            <v>AV1401254260</v>
          </cell>
          <cell r="BG511">
            <v>0</v>
          </cell>
          <cell r="BR511" t="str">
            <v>CARAMELO</v>
          </cell>
          <cell r="BS511" t="str">
            <v>ARENA-CUERO NAPADO</v>
          </cell>
          <cell r="BT511" t="str">
            <v>CUE0000022R</v>
          </cell>
          <cell r="BU511">
            <v>0.09</v>
          </cell>
          <cell r="BV511" t="str">
            <v>AV0100020305</v>
          </cell>
          <cell r="BW511">
            <v>0.12</v>
          </cell>
          <cell r="BX511" t="str">
            <v>FOR0000015</v>
          </cell>
          <cell r="BY511">
            <v>0.1</v>
          </cell>
          <cell r="BZ511" t="str">
            <v>AV1401250545</v>
          </cell>
          <cell r="CA511">
            <v>0</v>
          </cell>
          <cell r="CL511" t="str">
            <v>ROJO</v>
          </cell>
          <cell r="CM511" t="str">
            <v>ARENA-CUERO NAPADO</v>
          </cell>
          <cell r="CN511" t="str">
            <v>CUE0000027R</v>
          </cell>
          <cell r="CO511">
            <v>0.09</v>
          </cell>
          <cell r="CP511" t="str">
            <v>AV0100020313</v>
          </cell>
          <cell r="CQ511">
            <v>0.12</v>
          </cell>
          <cell r="CR511" t="str">
            <v>FOR0000016</v>
          </cell>
          <cell r="CS511">
            <v>0.1</v>
          </cell>
          <cell r="CT511" t="str">
            <v>AV1401254460</v>
          </cell>
          <cell r="CU511">
            <v>0</v>
          </cell>
          <cell r="KD511">
            <v>10</v>
          </cell>
          <cell r="KE511">
            <v>10</v>
          </cell>
          <cell r="KG511">
            <v>10</v>
          </cell>
          <cell r="KH511">
            <v>10</v>
          </cell>
          <cell r="KJ511">
            <v>6</v>
          </cell>
          <cell r="KK511">
            <v>6</v>
          </cell>
          <cell r="KM511">
            <v>0</v>
          </cell>
          <cell r="KP511">
            <v>0</v>
          </cell>
          <cell r="KS511">
            <v>0</v>
          </cell>
          <cell r="KV511">
            <v>0</v>
          </cell>
          <cell r="KY511">
            <v>0</v>
          </cell>
          <cell r="LB511">
            <v>0</v>
          </cell>
          <cell r="LE511">
            <v>0</v>
          </cell>
          <cell r="LH511">
            <v>0</v>
          </cell>
          <cell r="LK511">
            <v>0</v>
          </cell>
          <cell r="LP511" t="str">
            <v>NO COMENZADO</v>
          </cell>
        </row>
        <row r="512">
          <cell r="A512" t="str">
            <v>2113-B</v>
          </cell>
          <cell r="B512" t="str">
            <v>LUCIANO</v>
          </cell>
          <cell r="C512" t="str">
            <v>PERDRIEL</v>
          </cell>
          <cell r="D512" t="str">
            <v>MARROQUINERIA CHICA</v>
          </cell>
          <cell r="E512">
            <v>14</v>
          </cell>
          <cell r="F512">
            <v>14</v>
          </cell>
          <cell r="H512">
            <v>45987.687303240738</v>
          </cell>
          <cell r="I512" t="str">
            <v>PORTALENTES ORION</v>
          </cell>
          <cell r="M512">
            <v>11</v>
          </cell>
          <cell r="N512" t="str">
            <v>M100</v>
          </cell>
          <cell r="O512" t="str">
            <v>AV0101070301</v>
          </cell>
          <cell r="P512">
            <v>1</v>
          </cell>
          <cell r="Q512" t="str">
            <v>VAR0000055</v>
          </cell>
          <cell r="R512">
            <v>1</v>
          </cell>
          <cell r="S512" t="str">
            <v>AV1300130101</v>
          </cell>
          <cell r="T512">
            <v>1</v>
          </cell>
          <cell r="U512" t="str">
            <v>AV170134014</v>
          </cell>
          <cell r="V512">
            <v>0</v>
          </cell>
          <cell r="AS512" t="str">
            <v>TIRACIERRE N 12 - TIRA FINITA CON REMACHE</v>
          </cell>
          <cell r="AW512" t="str">
            <v xml:space="preserve">GRABADO " EL LUCERO ARG." CHICO EN EL FRENTE CENTRADO, A 1,5 CM DEL BORDE INFERIOR </v>
          </cell>
          <cell r="AX512" t="str">
            <v>SUELA</v>
          </cell>
          <cell r="AY512" t="str">
            <v>ARENA-CUERO NAPADO</v>
          </cell>
          <cell r="AZ512" t="str">
            <v>CUE0000028R</v>
          </cell>
          <cell r="BA512">
            <v>0.02</v>
          </cell>
          <cell r="BB512" t="str">
            <v>AV0100020337</v>
          </cell>
          <cell r="BC512">
            <v>0.2</v>
          </cell>
          <cell r="BD512" t="str">
            <v>AV1401250545</v>
          </cell>
          <cell r="BE512">
            <v>0</v>
          </cell>
          <cell r="BF512" t="str">
            <v>AV1601300955</v>
          </cell>
          <cell r="BG512">
            <v>0</v>
          </cell>
          <cell r="KD512">
            <v>14</v>
          </cell>
          <cell r="KE512">
            <v>14</v>
          </cell>
          <cell r="KG512">
            <v>0</v>
          </cell>
          <cell r="KJ512">
            <v>0</v>
          </cell>
          <cell r="KM512">
            <v>0</v>
          </cell>
          <cell r="KP512">
            <v>0</v>
          </cell>
          <cell r="KS512">
            <v>0</v>
          </cell>
          <cell r="KV512">
            <v>0</v>
          </cell>
          <cell r="KY512">
            <v>0</v>
          </cell>
          <cell r="LB512">
            <v>0</v>
          </cell>
          <cell r="LE512">
            <v>0</v>
          </cell>
          <cell r="LH512">
            <v>0</v>
          </cell>
          <cell r="LK512">
            <v>0</v>
          </cell>
          <cell r="LP512" t="str">
            <v>NO COMENZADO</v>
          </cell>
        </row>
        <row r="513">
          <cell r="A513" t="str">
            <v>2145-A</v>
          </cell>
          <cell r="B513" t="str">
            <v>LUCIANO</v>
          </cell>
          <cell r="C513" t="str">
            <v>EXT GABRIEL</v>
          </cell>
          <cell r="D513" t="str">
            <v>MARROQUINERIA CHICA</v>
          </cell>
          <cell r="E513">
            <v>60</v>
          </cell>
          <cell r="F513">
            <v>60</v>
          </cell>
          <cell r="H513">
            <v>45988.40724537037</v>
          </cell>
          <cell r="I513" t="str">
            <v>PORTAPASAPORTE CHESTER</v>
          </cell>
          <cell r="M513">
            <v>10</v>
          </cell>
          <cell r="N513" t="str">
            <v>M104</v>
          </cell>
          <cell r="O513" t="str">
            <v>AV170134014</v>
          </cell>
          <cell r="P513">
            <v>0</v>
          </cell>
          <cell r="AW513" t="str">
            <v xml:space="preserve">GRABADO LUCERO ARGENTINA CHICO,CENTRADO EN ESPALDA A 1.5CM DEL BORDE INFERIOR  </v>
          </cell>
          <cell r="AX513" t="str">
            <v>CARAMELO</v>
          </cell>
          <cell r="AY513" t="str">
            <v>ARENA-CUERO BRIDGE</v>
          </cell>
          <cell r="AZ513" t="str">
            <v>CUE0000004R</v>
          </cell>
          <cell r="BA513">
            <v>0.05</v>
          </cell>
          <cell r="BB513" t="str">
            <v>AV1401250545</v>
          </cell>
          <cell r="BC513">
            <v>0</v>
          </cell>
          <cell r="BR513" t="str">
            <v>TABACO</v>
          </cell>
          <cell r="BS513" t="str">
            <v>ARENA-CUERO BRIDGE</v>
          </cell>
          <cell r="BT513" t="str">
            <v>CUE0000012R</v>
          </cell>
          <cell r="BU513">
            <v>0.05</v>
          </cell>
          <cell r="BV513" t="str">
            <v>AV1401250545</v>
          </cell>
          <cell r="BW513">
            <v>0</v>
          </cell>
          <cell r="CL513" t="str">
            <v>MALBEC</v>
          </cell>
          <cell r="CM513" t="str">
            <v>ARENA-CUERO BRIDGE</v>
          </cell>
          <cell r="CN513" t="str">
            <v>CUE0000008R</v>
          </cell>
          <cell r="CO513">
            <v>0.05</v>
          </cell>
          <cell r="CP513" t="str">
            <v>AV1401254460</v>
          </cell>
          <cell r="CQ513">
            <v>0</v>
          </cell>
          <cell r="KD513">
            <v>20</v>
          </cell>
          <cell r="KE513">
            <v>20</v>
          </cell>
          <cell r="KG513">
            <v>20</v>
          </cell>
          <cell r="KH513">
            <v>20</v>
          </cell>
          <cell r="KJ513">
            <v>20</v>
          </cell>
          <cell r="KK513">
            <v>20</v>
          </cell>
          <cell r="KM513">
            <v>0</v>
          </cell>
          <cell r="KP513">
            <v>0</v>
          </cell>
          <cell r="KS513">
            <v>0</v>
          </cell>
          <cell r="KV513">
            <v>0</v>
          </cell>
          <cell r="KY513">
            <v>0</v>
          </cell>
          <cell r="LB513">
            <v>0</v>
          </cell>
          <cell r="LE513">
            <v>0</v>
          </cell>
          <cell r="LH513">
            <v>0</v>
          </cell>
          <cell r="LK513">
            <v>0</v>
          </cell>
          <cell r="LP513" t="str">
            <v>NO COMENZADO</v>
          </cell>
        </row>
        <row r="514">
          <cell r="A514" t="str">
            <v>2140-A</v>
          </cell>
          <cell r="B514" t="str">
            <v>RUBEN</v>
          </cell>
          <cell r="C514" t="str">
            <v>INTERNO JAVIER</v>
          </cell>
          <cell r="D514" t="str">
            <v>MARROQUINERIA GRANDE</v>
          </cell>
          <cell r="E514">
            <v>100</v>
          </cell>
          <cell r="F514">
            <v>100</v>
          </cell>
          <cell r="H514">
            <v>45988.445972222224</v>
          </cell>
          <cell r="I514" t="str">
            <v>TOTE CACHI</v>
          </cell>
          <cell r="K514">
            <v>45988</v>
          </cell>
          <cell r="M514">
            <v>30</v>
          </cell>
          <cell r="N514" t="str">
            <v>M169</v>
          </cell>
          <cell r="O514" t="str">
            <v>CUE0000124</v>
          </cell>
          <cell r="P514">
            <v>1</v>
          </cell>
          <cell r="Q514" t="str">
            <v>AV170129018</v>
          </cell>
          <cell r="R514">
            <v>0</v>
          </cell>
          <cell r="AS514" t="str">
            <v>CORREA 2 CM / SIN PINTURA</v>
          </cell>
          <cell r="AT514" t="str">
            <v xml:space="preserve"> PEGAR ETIQUETA DE CUERO AL FRENTE</v>
          </cell>
          <cell r="AU514" t="str">
            <v>HILO AL TONO CON HILO GRUESO N 20</v>
          </cell>
          <cell r="AV514" t="str">
            <v>REVISAR MOLDERIA APROBADA</v>
          </cell>
          <cell r="AW514" t="str">
            <v>GRABADO ETIQUETA EN NAPADO 7,5CM X 5,5 CM  "EL LUCERO HIGH QUALITY GOODS"</v>
          </cell>
          <cell r="AX514" t="str">
            <v>CARAMELO</v>
          </cell>
          <cell r="AY514" t="str">
            <v>ARENA-CUERO NAPADO</v>
          </cell>
          <cell r="AZ514" t="str">
            <v>CUE0000022</v>
          </cell>
          <cell r="BA514">
            <v>0.46</v>
          </cell>
          <cell r="BR514" t="str">
            <v>SUELA</v>
          </cell>
          <cell r="BS514" t="str">
            <v>ARENA-CUERO NAPADO</v>
          </cell>
          <cell r="BT514" t="str">
            <v>CUE0000028</v>
          </cell>
          <cell r="BU514">
            <v>0.46</v>
          </cell>
          <cell r="CL514" t="str">
            <v>LONDON</v>
          </cell>
          <cell r="CM514" t="str">
            <v>ARENA-CUERO BRIDGE</v>
          </cell>
          <cell r="CN514" t="str">
            <v>CUE0000007</v>
          </cell>
          <cell r="CO514">
            <v>0.46</v>
          </cell>
          <cell r="DF514" t="str">
            <v>NEGRO</v>
          </cell>
          <cell r="DG514" t="str">
            <v>VANESKA-CUERO NAPADO DUNA</v>
          </cell>
          <cell r="DH514" t="str">
            <v>CUE0000059</v>
          </cell>
          <cell r="DI514">
            <v>0.46</v>
          </cell>
          <cell r="DZ514" t="str">
            <v>CAFE_GAMUZA_TABACO</v>
          </cell>
          <cell r="EA514" t="str">
            <v>NAPOLITANA-CUERO O MA GAMUZA</v>
          </cell>
          <cell r="EB514" t="e">
            <v>#N/A</v>
          </cell>
          <cell r="EC514" t="e">
            <v>#N/A</v>
          </cell>
          <cell r="ED514">
            <v>0</v>
          </cell>
          <cell r="EE514">
            <v>0.4</v>
          </cell>
          <cell r="KD514">
            <v>30</v>
          </cell>
          <cell r="KE514">
            <v>30</v>
          </cell>
          <cell r="KG514">
            <v>30</v>
          </cell>
          <cell r="KH514">
            <v>30</v>
          </cell>
          <cell r="KJ514">
            <v>30</v>
          </cell>
          <cell r="KK514">
            <v>30</v>
          </cell>
          <cell r="KM514">
            <v>10</v>
          </cell>
          <cell r="KN514">
            <v>10</v>
          </cell>
          <cell r="KP514">
            <v>0</v>
          </cell>
          <cell r="KQ514">
            <v>0</v>
          </cell>
          <cell r="KS514">
            <v>0</v>
          </cell>
          <cell r="KV514">
            <v>0</v>
          </cell>
          <cell r="KY514">
            <v>0</v>
          </cell>
          <cell r="LB514">
            <v>0</v>
          </cell>
          <cell r="LE514">
            <v>0</v>
          </cell>
          <cell r="LH514">
            <v>0</v>
          </cell>
          <cell r="LK514">
            <v>0</v>
          </cell>
          <cell r="LN514">
            <v>45989</v>
          </cell>
          <cell r="LP514" t="str">
            <v>NO COMENZADO</v>
          </cell>
        </row>
        <row r="515">
          <cell r="A515" t="str">
            <v>2137-A</v>
          </cell>
          <cell r="B515" t="str">
            <v>RUBEN</v>
          </cell>
          <cell r="C515" t="str">
            <v>INTERNO JAVIER</v>
          </cell>
          <cell r="D515" t="str">
            <v>MARROQUINERIA CHICA</v>
          </cell>
          <cell r="E515">
            <v>40</v>
          </cell>
          <cell r="F515">
            <v>40</v>
          </cell>
          <cell r="H515">
            <v>45988.471759259257</v>
          </cell>
          <cell r="I515" t="str">
            <v>PORTAVINO CAFAYATE</v>
          </cell>
          <cell r="M515">
            <v>15</v>
          </cell>
          <cell r="N515" t="str">
            <v>M156</v>
          </cell>
          <cell r="O515" t="str">
            <v>AV0700420101</v>
          </cell>
          <cell r="P515">
            <v>1</v>
          </cell>
          <cell r="Q515" t="str">
            <v>AV170134014</v>
          </cell>
          <cell r="R515">
            <v>0</v>
          </cell>
          <cell r="AW515" t="str">
            <v>GRABADO "EL LUCERO ARGENTINA " EN LA PARTE DE ATRAS A 2 CM DESDE BASE CENTRADO</v>
          </cell>
          <cell r="AX515" t="str">
            <v>SUELA</v>
          </cell>
          <cell r="AY515" t="str">
            <v>LA HERMIDA-CUERO VACHETTA LADO COLOR</v>
          </cell>
          <cell r="AZ515" t="str">
            <v>CUE0000065R</v>
          </cell>
          <cell r="BA515">
            <v>0.14000000000000001</v>
          </cell>
          <cell r="BR515" t="str">
            <v>NEGRO</v>
          </cell>
          <cell r="BS515" t="str">
            <v>BIANCO-CUERO FIORENTINO</v>
          </cell>
          <cell r="BT515" t="str">
            <v>CUE0000056R</v>
          </cell>
          <cell r="BU515">
            <v>0.14000000000000001</v>
          </cell>
          <cell r="CL515" t="str">
            <v>NATURAL</v>
          </cell>
          <cell r="CM515" t="str">
            <v>LA HERMIDA-CUERO VACHETTA LADO NATURAL</v>
          </cell>
          <cell r="CN515" t="str">
            <v>CUE0000066R</v>
          </cell>
          <cell r="CO515">
            <v>0.14000000000000001</v>
          </cell>
          <cell r="KD515">
            <v>20</v>
          </cell>
          <cell r="KE515">
            <v>20</v>
          </cell>
          <cell r="KG515">
            <v>10</v>
          </cell>
          <cell r="KH515">
            <v>10</v>
          </cell>
          <cell r="KJ515">
            <v>10</v>
          </cell>
          <cell r="KK515">
            <v>10</v>
          </cell>
          <cell r="KM515">
            <v>0</v>
          </cell>
          <cell r="KP515">
            <v>0</v>
          </cell>
          <cell r="KS515">
            <v>0</v>
          </cell>
          <cell r="KV515">
            <v>0</v>
          </cell>
          <cell r="KY515">
            <v>0</v>
          </cell>
          <cell r="LB515">
            <v>0</v>
          </cell>
          <cell r="LE515">
            <v>0</v>
          </cell>
          <cell r="LH515">
            <v>0</v>
          </cell>
          <cell r="LK515">
            <v>0</v>
          </cell>
          <cell r="LP515" t="str">
            <v>NO COMENZADO</v>
          </cell>
        </row>
        <row r="516">
          <cell r="A516" t="str">
            <v>2138-A</v>
          </cell>
          <cell r="B516" t="str">
            <v>RUBEN</v>
          </cell>
          <cell r="C516" t="str">
            <v>INTERNO JAVIER</v>
          </cell>
          <cell r="D516" t="str">
            <v>MARROQUINERIA CHICA</v>
          </cell>
          <cell r="E516">
            <v>8</v>
          </cell>
          <cell r="F516">
            <v>8</v>
          </cell>
          <cell r="H516">
            <v>45988.476840277777</v>
          </cell>
          <cell r="I516" t="str">
            <v>PORTAVINO TUNUYAN</v>
          </cell>
          <cell r="M516">
            <v>45</v>
          </cell>
          <cell r="N516" t="str">
            <v>M167</v>
          </cell>
          <cell r="O516" t="str">
            <v>VAR0000030</v>
          </cell>
          <cell r="P516">
            <v>0.03</v>
          </cell>
          <cell r="Q516" t="str">
            <v>AV170134014</v>
          </cell>
          <cell r="R516">
            <v>0</v>
          </cell>
          <cell r="AS516" t="str">
            <v xml:space="preserve">PEGAR ETIQUETA DE CUERO AL FRENTE   </v>
          </cell>
          <cell r="AT516" t="str">
            <v>HILO AL TONO CON HILO GRUESO N 20</v>
          </cell>
          <cell r="AW516" t="str">
            <v>GRABADO ETIQUETA 7,5CM X 5,5 CM  "EL LUCERO HIGH QUALITY GOODS"</v>
          </cell>
          <cell r="AX516" t="str">
            <v>AZUL_GAMUZA_TABACO</v>
          </cell>
          <cell r="AY516" t="str">
            <v>NAPOLITANA-CUERO GAMUZA</v>
          </cell>
          <cell r="AZ516" t="str">
            <v>CUE0000038R</v>
          </cell>
          <cell r="BA516">
            <v>0.5</v>
          </cell>
          <cell r="BB516" t="str">
            <v>CUE0000012</v>
          </cell>
          <cell r="BC516">
            <v>0.1</v>
          </cell>
          <cell r="BD516" t="str">
            <v>FOR0000021</v>
          </cell>
          <cell r="BE516">
            <v>0.03</v>
          </cell>
          <cell r="BF516" t="str">
            <v>AV1401254360</v>
          </cell>
          <cell r="BG516">
            <v>0</v>
          </cell>
          <cell r="BR516" t="str">
            <v>VESUBIO_GAMUZA_TABACO</v>
          </cell>
          <cell r="BS516" t="str">
            <v>NAPOLITANA-CUERO GAMUZA</v>
          </cell>
          <cell r="BT516" t="str">
            <v>CUE0000053R</v>
          </cell>
          <cell r="BU516">
            <v>0.5</v>
          </cell>
          <cell r="BV516" t="str">
            <v>CUE0000012</v>
          </cell>
          <cell r="BW516">
            <v>0.1</v>
          </cell>
          <cell r="BX516" t="str">
            <v>FOR0000021</v>
          </cell>
          <cell r="BY516">
            <v>0.03</v>
          </cell>
          <cell r="BZ516" t="str">
            <v>HIL0000002</v>
          </cell>
          <cell r="CA516">
            <v>0</v>
          </cell>
          <cell r="KD516">
            <v>4</v>
          </cell>
          <cell r="KE516">
            <v>4</v>
          </cell>
          <cell r="KG516">
            <v>4</v>
          </cell>
          <cell r="KH516">
            <v>4</v>
          </cell>
          <cell r="KJ516">
            <v>0</v>
          </cell>
          <cell r="KM516">
            <v>0</v>
          </cell>
          <cell r="KP516">
            <v>0</v>
          </cell>
          <cell r="KS516">
            <v>0</v>
          </cell>
          <cell r="KV516">
            <v>0</v>
          </cell>
          <cell r="KY516">
            <v>0</v>
          </cell>
          <cell r="LB516">
            <v>0</v>
          </cell>
          <cell r="LE516">
            <v>0</v>
          </cell>
          <cell r="LH516">
            <v>0</v>
          </cell>
          <cell r="LK516">
            <v>0</v>
          </cell>
          <cell r="LP516" t="str">
            <v>NO COMENZADO</v>
          </cell>
        </row>
        <row r="517">
          <cell r="A517" t="str">
            <v>2139-A</v>
          </cell>
          <cell r="B517" t="str">
            <v>RUBEN</v>
          </cell>
          <cell r="C517" t="str">
            <v>INTERNO JAVIER</v>
          </cell>
          <cell r="D517" t="str">
            <v>MARROQUINERIA CHICA</v>
          </cell>
          <cell r="E517">
            <v>30</v>
          </cell>
          <cell r="F517">
            <v>30</v>
          </cell>
          <cell r="H517">
            <v>45988.486875000002</v>
          </cell>
          <cell r="I517" t="str">
            <v>PORTAVINO UCO</v>
          </cell>
          <cell r="M517">
            <v>37</v>
          </cell>
          <cell r="N517" t="str">
            <v>M166</v>
          </cell>
          <cell r="O517" t="str">
            <v>AV170129018</v>
          </cell>
          <cell r="P517">
            <v>0</v>
          </cell>
          <cell r="AS517" t="str">
            <v>PEGAR ETIQUETA DE CUERO AL FRENTE HILO AL TONO CON HILO GRUESO N 20</v>
          </cell>
          <cell r="AW517" t="str">
            <v>GRABADO ETIQUETA EN VINTAGE MEDIO  7,5CM X 5,5 CM  "EL LUCERO HIGH QUALITY GOODS"</v>
          </cell>
          <cell r="AX517" t="str">
            <v>TABACO</v>
          </cell>
          <cell r="AY517" t="str">
            <v>ARENA-CUERO BRIDGE</v>
          </cell>
          <cell r="AZ517" t="str">
            <v>CUE0000012R</v>
          </cell>
          <cell r="BA517">
            <v>0.31</v>
          </cell>
          <cell r="BR517" t="str">
            <v>CARAMELO</v>
          </cell>
          <cell r="BS517" t="str">
            <v>ARENA-CUERO BRIDGE</v>
          </cell>
          <cell r="BT517" t="str">
            <v>CUE0000004R</v>
          </cell>
          <cell r="BU517">
            <v>0.31</v>
          </cell>
          <cell r="CL517" t="str">
            <v>NEGRO</v>
          </cell>
          <cell r="CM517" t="str">
            <v>ARENA-CUERO BRIDGE</v>
          </cell>
          <cell r="CN517" t="str">
            <v>CUE0000009R</v>
          </cell>
          <cell r="CO517">
            <v>0.31</v>
          </cell>
          <cell r="DF517" t="str">
            <v>MALBEC</v>
          </cell>
          <cell r="DG517" t="str">
            <v>ARENA-CUERO BRIDGE</v>
          </cell>
          <cell r="DH517" t="str">
            <v>CUE0000008R</v>
          </cell>
          <cell r="DI517">
            <v>0.31</v>
          </cell>
          <cell r="KD517">
            <v>10</v>
          </cell>
          <cell r="KE517">
            <v>10</v>
          </cell>
          <cell r="KG517">
            <v>4</v>
          </cell>
          <cell r="KH517">
            <v>4</v>
          </cell>
          <cell r="KJ517">
            <v>6</v>
          </cell>
          <cell r="KK517">
            <v>6</v>
          </cell>
          <cell r="KM517">
            <v>10</v>
          </cell>
          <cell r="KN517">
            <v>10</v>
          </cell>
          <cell r="KP517">
            <v>0</v>
          </cell>
          <cell r="KS517">
            <v>0</v>
          </cell>
          <cell r="KV517">
            <v>0</v>
          </cell>
          <cell r="KY517">
            <v>0</v>
          </cell>
          <cell r="LB517">
            <v>0</v>
          </cell>
          <cell r="LE517">
            <v>0</v>
          </cell>
          <cell r="LH517">
            <v>0</v>
          </cell>
          <cell r="LK517">
            <v>0</v>
          </cell>
          <cell r="LP517" t="str">
            <v>NO COMENZADO</v>
          </cell>
        </row>
        <row r="518">
          <cell r="A518" t="str">
            <v>2143-A</v>
          </cell>
          <cell r="B518" t="str">
            <v>RUBEN</v>
          </cell>
          <cell r="C518" t="str">
            <v>INTERNO JAVIER</v>
          </cell>
          <cell r="D518" t="str">
            <v>MARROQUINERIA GRANDE</v>
          </cell>
          <cell r="E518">
            <v>10</v>
          </cell>
          <cell r="F518">
            <v>10</v>
          </cell>
          <cell r="H518">
            <v>45988.521215277775</v>
          </cell>
          <cell r="I518" t="str">
            <v>MATERA AVA</v>
          </cell>
          <cell r="M518">
            <v>55</v>
          </cell>
          <cell r="N518" t="str">
            <v>M196</v>
          </cell>
          <cell r="O518" t="str">
            <v>CUE0000124</v>
          </cell>
          <cell r="P518">
            <v>1</v>
          </cell>
          <cell r="Q518" t="str">
            <v>BAC1300050727</v>
          </cell>
          <cell r="R518">
            <v>0.03</v>
          </cell>
          <cell r="S518" t="str">
            <v>AV170129018</v>
          </cell>
          <cell r="T518">
            <v>0</v>
          </cell>
          <cell r="AS518" t="str">
            <v>TRABAJO MANUAL ARTESANAL TRENZADO</v>
          </cell>
          <cell r="AW518" t="str">
            <v>NO SE GRABA</v>
          </cell>
          <cell r="AX518" t="str">
            <v>OXIDO_GAMUZA_TABACO</v>
          </cell>
          <cell r="AY518" t="str">
            <v>NAPOLITANA-CUERO GAMUZA</v>
          </cell>
          <cell r="AZ518" t="str">
            <v>CUE0000048</v>
          </cell>
          <cell r="BA518">
            <v>0.44</v>
          </cell>
          <cell r="BB518" t="str">
            <v>CUE0000012</v>
          </cell>
          <cell r="BC518">
            <v>0.1</v>
          </cell>
          <cell r="BD518" t="str">
            <v>FOR0000021</v>
          </cell>
          <cell r="BE518">
            <v>0.04</v>
          </cell>
          <cell r="KD518">
            <v>10</v>
          </cell>
          <cell r="KE518">
            <v>10</v>
          </cell>
          <cell r="KG518">
            <v>0</v>
          </cell>
          <cell r="KJ518">
            <v>0</v>
          </cell>
          <cell r="KM518">
            <v>0</v>
          </cell>
          <cell r="KP518">
            <v>0</v>
          </cell>
          <cell r="KS518">
            <v>0</v>
          </cell>
          <cell r="KV518">
            <v>0</v>
          </cell>
          <cell r="KY518">
            <v>0</v>
          </cell>
          <cell r="LB518">
            <v>0</v>
          </cell>
          <cell r="LE518">
            <v>0</v>
          </cell>
          <cell r="LH518">
            <v>0</v>
          </cell>
          <cell r="LK518">
            <v>0</v>
          </cell>
          <cell r="LP518" t="str">
            <v>NO COMENZADO</v>
          </cell>
        </row>
        <row r="519">
          <cell r="A519" t="str">
            <v>2141-A</v>
          </cell>
          <cell r="B519" t="str">
            <v>RUBEN</v>
          </cell>
          <cell r="C519" t="str">
            <v>INTERNO JAVIER</v>
          </cell>
          <cell r="D519" t="str">
            <v>MARROQUINERIA GRANDE</v>
          </cell>
          <cell r="E519">
            <v>36</v>
          </cell>
          <cell r="F519">
            <v>36</v>
          </cell>
          <cell r="H519">
            <v>45988.530046296299</v>
          </cell>
          <cell r="I519" t="str">
            <v>TOTE IRUYA</v>
          </cell>
          <cell r="M519">
            <v>20</v>
          </cell>
          <cell r="N519" t="str">
            <v>M154</v>
          </cell>
          <cell r="O519" t="str">
            <v>CUE0000124</v>
          </cell>
          <cell r="P519">
            <v>1</v>
          </cell>
          <cell r="Q519" t="str">
            <v>AV170129018</v>
          </cell>
          <cell r="R519">
            <v>0</v>
          </cell>
          <cell r="AS519" t="str">
            <v>CORREA 2,5CM / SIN PINTURA</v>
          </cell>
          <cell r="AT519" t="str">
            <v>PEGAR ETIQUETA DE CUERO AL FRENTE HILO AL TONO CON HILO GRUESO N 20</v>
          </cell>
          <cell r="AW519" t="str">
            <v>GRABADO ETIQUETA EN NAPADO 7,5CM X 5,5 CM "EL LUCERO HIGH QUALITY GOODS</v>
          </cell>
          <cell r="AX519" t="str">
            <v>SUELA</v>
          </cell>
          <cell r="AY519" t="str">
            <v>ARENA-CUERO NAPADO</v>
          </cell>
          <cell r="AZ519" t="str">
            <v>CUE0000028</v>
          </cell>
          <cell r="BA519">
            <v>0.44999999999999996</v>
          </cell>
          <cell r="BR519" t="str">
            <v>CARAMELO</v>
          </cell>
          <cell r="BS519" t="str">
            <v>ARENA-CUERO NAPADO</v>
          </cell>
          <cell r="BT519" t="str">
            <v>CUE0000022</v>
          </cell>
          <cell r="BU519">
            <v>0.44999999999999996</v>
          </cell>
          <cell r="CL519" t="str">
            <v>LONDON</v>
          </cell>
          <cell r="CM519" t="str">
            <v>ARENA-CUERO BRIDGE</v>
          </cell>
          <cell r="CN519" t="str">
            <v>CUE0000007</v>
          </cell>
          <cell r="CO519">
            <v>0.44999999999999996</v>
          </cell>
          <cell r="EE519">
            <v>0.4</v>
          </cell>
          <cell r="KD519">
            <v>18</v>
          </cell>
          <cell r="KE519">
            <v>18</v>
          </cell>
          <cell r="KG519">
            <v>4</v>
          </cell>
          <cell r="KH519">
            <v>4</v>
          </cell>
          <cell r="KJ519">
            <v>14</v>
          </cell>
          <cell r="KK519">
            <v>14</v>
          </cell>
          <cell r="KM519">
            <v>0</v>
          </cell>
          <cell r="KP519">
            <v>0</v>
          </cell>
          <cell r="KS519">
            <v>0</v>
          </cell>
          <cell r="KV519">
            <v>0</v>
          </cell>
          <cell r="KY519">
            <v>0</v>
          </cell>
          <cell r="LB519">
            <v>0</v>
          </cell>
          <cell r="LE519">
            <v>0</v>
          </cell>
          <cell r="LH519">
            <v>0</v>
          </cell>
          <cell r="LK519">
            <v>0</v>
          </cell>
          <cell r="LP519" t="str">
            <v>NO COMENZADO</v>
          </cell>
        </row>
        <row r="520">
          <cell r="A520" t="str">
            <v>2142-A</v>
          </cell>
          <cell r="B520" t="str">
            <v>RUBEN</v>
          </cell>
          <cell r="C520" t="str">
            <v>INTERNO JAVIER</v>
          </cell>
          <cell r="D520" t="str">
            <v>MARROQUINERIA GRANDE</v>
          </cell>
          <cell r="E520">
            <v>45</v>
          </cell>
          <cell r="F520">
            <v>45</v>
          </cell>
          <cell r="H520">
            <v>45988.533773148149</v>
          </cell>
          <cell r="I520" t="str">
            <v>TOTE TILCARA</v>
          </cell>
          <cell r="M520">
            <v>20</v>
          </cell>
          <cell r="N520" t="str">
            <v>M188</v>
          </cell>
          <cell r="O520" t="str">
            <v>CUE0000124</v>
          </cell>
          <cell r="P520">
            <v>1</v>
          </cell>
          <cell r="Q520" t="str">
            <v>AV170129018</v>
          </cell>
          <cell r="R520">
            <v>0</v>
          </cell>
          <cell r="AW520" t="str">
            <v xml:space="preserve">GRABADO EN ESPALDA "EL LUCERO GRANDE" CENTRADO ABAJO A 2 CM DESDE EL PESPUNTE </v>
          </cell>
          <cell r="AX520" t="str">
            <v>NEGRO</v>
          </cell>
          <cell r="AY520" t="str">
            <v>ARENA-CUERO NAPADO</v>
          </cell>
          <cell r="AZ520" t="str">
            <v>CUE0000026</v>
          </cell>
          <cell r="BA520">
            <v>0.47</v>
          </cell>
          <cell r="BR520" t="str">
            <v>LONDON</v>
          </cell>
          <cell r="BS520" t="str">
            <v>ARENA-CUERO NAPADO</v>
          </cell>
          <cell r="BT520" t="str">
            <v>CUE0000024</v>
          </cell>
          <cell r="BU520">
            <v>0.47</v>
          </cell>
          <cell r="KD520">
            <v>30</v>
          </cell>
          <cell r="KE520">
            <v>30</v>
          </cell>
          <cell r="KG520">
            <v>15</v>
          </cell>
          <cell r="KH520">
            <v>15</v>
          </cell>
          <cell r="KJ520">
            <v>0</v>
          </cell>
          <cell r="KM520">
            <v>0</v>
          </cell>
          <cell r="KP520">
            <v>0</v>
          </cell>
          <cell r="KS520">
            <v>0</v>
          </cell>
          <cell r="KV520">
            <v>0</v>
          </cell>
          <cell r="KY520">
            <v>0</v>
          </cell>
          <cell r="LB520">
            <v>0</v>
          </cell>
          <cell r="LE520">
            <v>0</v>
          </cell>
          <cell r="LH520">
            <v>0</v>
          </cell>
          <cell r="LK520">
            <v>0</v>
          </cell>
          <cell r="LP520" t="str">
            <v>NO COMENZADO</v>
          </cell>
        </row>
        <row r="521">
          <cell r="A521" t="str">
            <v>1569-B</v>
          </cell>
          <cell r="B521" t="str">
            <v>LUCIANO</v>
          </cell>
          <cell r="C521" t="str">
            <v>PERDRIEL</v>
          </cell>
          <cell r="D521" t="str">
            <v>MARROQUINERIA CHICA</v>
          </cell>
          <cell r="E521">
            <v>24</v>
          </cell>
          <cell r="F521">
            <v>24</v>
          </cell>
          <cell r="G521">
            <v>24</v>
          </cell>
          <cell r="H521">
            <v>45991.789525462962</v>
          </cell>
          <cell r="I521" t="str">
            <v>PORTAPASAPORTE CHESTER</v>
          </cell>
          <cell r="J521">
            <v>45961</v>
          </cell>
          <cell r="K521">
            <v>45961</v>
          </cell>
          <cell r="L521">
            <v>45961</v>
          </cell>
          <cell r="M521">
            <v>10</v>
          </cell>
          <cell r="N521" t="str">
            <v>M104</v>
          </cell>
          <cell r="O521" t="str">
            <v>AV170134014</v>
          </cell>
          <cell r="P521">
            <v>0</v>
          </cell>
          <cell r="AW521" t="str">
            <v xml:space="preserve">GRABADO LUCERO ARGENTINA CHICO,CENTRADO EN ESPALDA A 1.5CM DEL BORDE INFERIOR  </v>
          </cell>
          <cell r="AX521" t="str">
            <v>VERDE</v>
          </cell>
          <cell r="AY521" t="str">
            <v>ARENA-CUERO NAPADO</v>
          </cell>
          <cell r="AZ521" t="str">
            <v>CUE0000030R</v>
          </cell>
          <cell r="BA521">
            <v>0.05</v>
          </cell>
          <cell r="BB521" t="str">
            <v>AV1401254260</v>
          </cell>
          <cell r="BC521">
            <v>0</v>
          </cell>
          <cell r="KD521">
            <v>24</v>
          </cell>
          <cell r="KE521">
            <v>24</v>
          </cell>
          <cell r="KF521">
            <v>24</v>
          </cell>
          <cell r="KG521">
            <v>0</v>
          </cell>
          <cell r="KJ521">
            <v>0</v>
          </cell>
          <cell r="KM521">
            <v>0</v>
          </cell>
          <cell r="KP521">
            <v>0</v>
          </cell>
          <cell r="KS521">
            <v>0</v>
          </cell>
          <cell r="KV521">
            <v>0</v>
          </cell>
          <cell r="KY521">
            <v>0</v>
          </cell>
          <cell r="LB521">
            <v>0</v>
          </cell>
          <cell r="LE521">
            <v>0</v>
          </cell>
          <cell r="LH521">
            <v>0</v>
          </cell>
          <cell r="LK521">
            <v>0</v>
          </cell>
          <cell r="LN521">
            <v>45961</v>
          </cell>
          <cell r="LO521">
            <v>45965</v>
          </cell>
          <cell r="LP521" t="str">
            <v>COMPLETADO</v>
          </cell>
        </row>
        <row r="522">
          <cell r="A522" t="str">
            <v>1867-B</v>
          </cell>
          <cell r="B522" t="str">
            <v>LUCIANO</v>
          </cell>
          <cell r="C522" t="str">
            <v>PERDRIEL</v>
          </cell>
          <cell r="D522" t="str">
            <v>MARROQUINERIA CHICA</v>
          </cell>
          <cell r="E522">
            <v>12</v>
          </cell>
          <cell r="F522">
            <v>12</v>
          </cell>
          <cell r="G522">
            <v>0</v>
          </cell>
          <cell r="H522">
            <v>45991.800023148149</v>
          </cell>
          <cell r="I522" t="str">
            <v>TARJETERO RUBI</v>
          </cell>
          <cell r="M522">
            <v>10</v>
          </cell>
          <cell r="N522" t="str">
            <v>M129</v>
          </cell>
          <cell r="O522" t="str">
            <v>VAR0000052</v>
          </cell>
          <cell r="P522">
            <v>1</v>
          </cell>
          <cell r="Q522" t="str">
            <v>AV170134014</v>
          </cell>
          <cell r="R522">
            <v>0</v>
          </cell>
          <cell r="AW522" t="str">
            <v xml:space="preserve">GRABADO "EL LUCERO ARGENTINA " EN ESPALDA CENTRADO, BORDE INFERIOR </v>
          </cell>
          <cell r="AX522" t="str">
            <v>VERDE_REVES_VERDE</v>
          </cell>
          <cell r="AY522" t="str">
            <v>BIANCO-CUERO MODENA ESPESOR 1,4</v>
          </cell>
          <cell r="AZ522" t="str">
            <v>CUE0000118R</v>
          </cell>
          <cell r="BA522">
            <v>0.03</v>
          </cell>
          <cell r="BB522" t="str">
            <v>AV1401254260</v>
          </cell>
          <cell r="BC522">
            <v>0</v>
          </cell>
          <cell r="KD522">
            <v>12</v>
          </cell>
          <cell r="KE522">
            <v>12</v>
          </cell>
          <cell r="KG522">
            <v>0</v>
          </cell>
          <cell r="KJ522">
            <v>0</v>
          </cell>
          <cell r="KM522">
            <v>0</v>
          </cell>
          <cell r="KP522">
            <v>0</v>
          </cell>
          <cell r="KS522">
            <v>0</v>
          </cell>
          <cell r="KV522">
            <v>0</v>
          </cell>
          <cell r="KY522">
            <v>0</v>
          </cell>
          <cell r="LB522">
            <v>0</v>
          </cell>
          <cell r="LE522">
            <v>0</v>
          </cell>
          <cell r="LH522">
            <v>0</v>
          </cell>
          <cell r="LK522">
            <v>0</v>
          </cell>
          <cell r="LP522" t="str">
            <v>NO COMENZADO</v>
          </cell>
        </row>
        <row r="523">
          <cell r="A523" t="str">
            <v>1867-C</v>
          </cell>
          <cell r="B523" t="str">
            <v>LUCIANO</v>
          </cell>
          <cell r="C523" t="str">
            <v>PERDRIEL</v>
          </cell>
          <cell r="D523" t="str">
            <v>MARROQUINERIA CHICA</v>
          </cell>
          <cell r="E523">
            <v>6</v>
          </cell>
          <cell r="F523">
            <v>6</v>
          </cell>
          <cell r="G523">
            <v>6</v>
          </cell>
          <cell r="H523">
            <v>45991</v>
          </cell>
          <cell r="I523" t="str">
            <v>TARJETERO RUBI</v>
          </cell>
          <cell r="J523">
            <v>45894</v>
          </cell>
          <cell r="K523">
            <v>45894</v>
          </cell>
          <cell r="L523">
            <v>45896</v>
          </cell>
          <cell r="M523">
            <v>10</v>
          </cell>
          <cell r="N523" t="str">
            <v>M129</v>
          </cell>
          <cell r="O523" t="str">
            <v>VAR0000052</v>
          </cell>
          <cell r="P523">
            <v>1</v>
          </cell>
          <cell r="Q523" t="str">
            <v>AV170134014</v>
          </cell>
          <cell r="R523">
            <v>0</v>
          </cell>
          <cell r="AW523" t="str">
            <v xml:space="preserve">GRABADO "EL LUCERO ARGENTINA " EN ESPALDA CENTRADO, BORDE INFERIOR </v>
          </cell>
          <cell r="AX523" t="str">
            <v>CEDRO</v>
          </cell>
          <cell r="AY523" t="str">
            <v>BIANCO-CUERO FIORENTINO</v>
          </cell>
          <cell r="AZ523" t="str">
            <v>CUE0000055R</v>
          </cell>
          <cell r="BA523">
            <v>0.03</v>
          </cell>
          <cell r="BB523" t="str">
            <v>AV1401250545</v>
          </cell>
          <cell r="BC523">
            <v>0</v>
          </cell>
          <cell r="KD523">
            <v>6</v>
          </cell>
          <cell r="KE523">
            <v>6</v>
          </cell>
          <cell r="KF523">
            <v>6</v>
          </cell>
          <cell r="KG523">
            <v>0</v>
          </cell>
          <cell r="KJ523">
            <v>0</v>
          </cell>
          <cell r="KM523">
            <v>0</v>
          </cell>
          <cell r="KP523">
            <v>0</v>
          </cell>
          <cell r="KS523">
            <v>0</v>
          </cell>
          <cell r="KV523">
            <v>0</v>
          </cell>
          <cell r="KY523">
            <v>0</v>
          </cell>
          <cell r="LB523">
            <v>0</v>
          </cell>
          <cell r="LE523">
            <v>0</v>
          </cell>
          <cell r="LH523">
            <v>0</v>
          </cell>
          <cell r="LK523">
            <v>0</v>
          </cell>
          <cell r="LN523">
            <v>45894</v>
          </cell>
          <cell r="LO523">
            <v>45900</v>
          </cell>
          <cell r="LP523" t="str">
            <v>COMPLETADO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0" filterMode="1"/>
  <dimension ref="A1:K1699"/>
  <sheetViews>
    <sheetView tabSelected="1" topLeftCell="B1" workbookViewId="0">
      <pane ySplit="21" topLeftCell="A911" activePane="bottomLeft" state="frozen"/>
      <selection pane="bottomLeft" activeCell="E1131" sqref="E1131"/>
    </sheetView>
  </sheetViews>
  <sheetFormatPr baseColWidth="10" defaultColWidth="11" defaultRowHeight="15.6" x14ac:dyDescent="0.3"/>
  <cols>
    <col min="1" max="1" width="13.59765625" style="11" bestFit="1" customWidth="1"/>
    <col min="2" max="2" width="15" bestFit="1" customWidth="1"/>
    <col min="3" max="3" width="17" style="11" bestFit="1" customWidth="1"/>
    <col min="4" max="4" width="23" bestFit="1" customWidth="1"/>
    <col min="5" max="5" width="32.09765625" bestFit="1" customWidth="1"/>
    <col min="6" max="6" width="65.59765625" hidden="1" customWidth="1"/>
    <col min="7" max="7" width="11.59765625" hidden="1" customWidth="1"/>
    <col min="8" max="8" width="54.09765625" bestFit="1" customWidth="1"/>
    <col min="9" max="9" width="9.3984375" style="11" bestFit="1" customWidth="1"/>
    <col min="10" max="10" width="101.5" bestFit="1" customWidth="1"/>
    <col min="11" max="11" width="8.09765625" style="11" bestFit="1" customWidth="1"/>
  </cols>
  <sheetData>
    <row r="1" spans="1:11" s="6" customFormat="1" ht="46.8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4" t="s">
        <v>9</v>
      </c>
      <c r="K1" s="4" t="s">
        <v>10</v>
      </c>
    </row>
    <row r="2" spans="1:11" hidden="1" x14ac:dyDescent="0.3">
      <c r="A2" s="11">
        <v>1758</v>
      </c>
      <c r="B2" s="8" t="str">
        <f>VLOOKUP(A2,[1]ListadoFichasDeProduccion!$A$2:$LP$3000,328,FALSE)</f>
        <v>COMPLETADO</v>
      </c>
      <c r="C2" s="11">
        <v>12</v>
      </c>
      <c r="D2" t="s">
        <v>33</v>
      </c>
      <c r="E2" t="s">
        <v>164</v>
      </c>
      <c r="F2" t="s">
        <v>161</v>
      </c>
      <c r="G2" s="9">
        <v>45770</v>
      </c>
      <c r="H2" t="s">
        <v>123</v>
      </c>
      <c r="I2" s="11">
        <v>6</v>
      </c>
      <c r="J2" t="str">
        <f>IF(I2="","",IFERROR(IF(INDEX([1]ListadoFichasDeProduccion!LQ:MB,MATCH(A2,[1]ListadoFichasDeProduccion!A:A,0),K2)=0,"",INDEX([1]ListadoFichasDeProduccion!LQ:MB,MATCH(A2,[1]ListadoFichasDeProduccion!A:A,0),K2)),""))</f>
        <v/>
      </c>
      <c r="K2" s="11">
        <v>1</v>
      </c>
    </row>
    <row r="3" spans="1:11" hidden="1" x14ac:dyDescent="0.3">
      <c r="A3" s="11">
        <v>1758</v>
      </c>
      <c r="B3" s="8" t="str">
        <f>VLOOKUP(A3,[1]ListadoFichasDeProduccion!$A$2:$LP$3000,328,FALSE)</f>
        <v>COMPLETADO</v>
      </c>
      <c r="C3" s="11">
        <v>12</v>
      </c>
      <c r="D3" t="s">
        <v>33</v>
      </c>
      <c r="E3" t="s">
        <v>164</v>
      </c>
      <c r="F3" t="s">
        <v>161</v>
      </c>
      <c r="G3" s="9">
        <v>45770</v>
      </c>
      <c r="H3" t="s">
        <v>19</v>
      </c>
      <c r="I3" s="11">
        <v>6</v>
      </c>
      <c r="J3" t="str">
        <f>IF(I3="","",IFERROR(IF(INDEX([1]ListadoFichasDeProduccion!LQ:MB,MATCH(A3,[1]ListadoFichasDeProduccion!A:A,0),K3)=0,"",INDEX([1]ListadoFichasDeProduccion!LQ:MB,MATCH(A3,[1]ListadoFichasDeProduccion!A:A,0),K3)),""))</f>
        <v/>
      </c>
      <c r="K3" s="11">
        <v>2</v>
      </c>
    </row>
    <row r="4" spans="1:11" hidden="1" x14ac:dyDescent="0.3">
      <c r="A4" s="11">
        <v>1837</v>
      </c>
      <c r="B4" s="8" t="str">
        <f>VLOOKUP(A4,[1]ListadoFichasDeProduccion!$A$2:$LP$3000,328,FALSE)</f>
        <v>COMPLETADO</v>
      </c>
      <c r="C4" s="11">
        <v>8</v>
      </c>
      <c r="D4" t="s">
        <v>33</v>
      </c>
      <c r="E4" t="s">
        <v>164</v>
      </c>
      <c r="F4" t="s">
        <v>161</v>
      </c>
      <c r="G4" s="9">
        <v>45826</v>
      </c>
      <c r="H4" t="s">
        <v>123</v>
      </c>
      <c r="I4" s="11">
        <v>6</v>
      </c>
      <c r="J4" t="str">
        <f>IF(I4="","",IFERROR(IF(INDEX([1]ListadoFichasDeProduccion!LQ:MB,MATCH(A4,[1]ListadoFichasDeProduccion!A:A,0),K4)=0,"",INDEX([1]ListadoFichasDeProduccion!LQ:MB,MATCH(A4,[1]ListadoFichasDeProduccion!A:A,0),K4)),""))</f>
        <v xml:space="preserve"> QUE SE VEA LA MANCHA SI NO SALE DE RETAZOS, USAR PLACA!</v>
      </c>
      <c r="K4" s="11">
        <v>1</v>
      </c>
    </row>
    <row r="5" spans="1:11" hidden="1" x14ac:dyDescent="0.3">
      <c r="A5" s="11">
        <v>1837</v>
      </c>
      <c r="B5" s="8" t="str">
        <f>VLOOKUP(A5,[1]ListadoFichasDeProduccion!$A$2:$LP$3000,328,FALSE)</f>
        <v>COMPLETADO</v>
      </c>
      <c r="C5" s="11">
        <v>8</v>
      </c>
      <c r="D5" t="s">
        <v>33</v>
      </c>
      <c r="E5" t="s">
        <v>164</v>
      </c>
      <c r="F5" t="s">
        <v>161</v>
      </c>
      <c r="G5" s="9">
        <v>45826</v>
      </c>
      <c r="H5" t="s">
        <v>19</v>
      </c>
      <c r="I5" s="11">
        <v>2</v>
      </c>
      <c r="J5" t="str">
        <f>IF(I5="","",IFERROR(IF(INDEX([1]ListadoFichasDeProduccion!LQ:MB,MATCH(A5,[1]ListadoFichasDeProduccion!A:A,0),K5)=0,"",INDEX([1]ListadoFichasDeProduccion!LQ:MB,MATCH(A5,[1]ListadoFichasDeProduccion!A:A,0),K5)),""))</f>
        <v xml:space="preserve"> QUE SE VEA LA MANCHA SI NO SALE DE RETAZOS, USAR PLACA!</v>
      </c>
      <c r="K5" s="11">
        <v>2</v>
      </c>
    </row>
    <row r="6" spans="1:11" hidden="1" x14ac:dyDescent="0.3">
      <c r="A6" s="11" t="s">
        <v>404</v>
      </c>
      <c r="B6" t="str">
        <f>VLOOKUP(A6,[1]ListadoFichasDeProduccion!$A$2:$LP$3000,328,FALSE)</f>
        <v>COMPLETADO</v>
      </c>
      <c r="C6" s="11">
        <v>4</v>
      </c>
      <c r="D6" t="s">
        <v>33</v>
      </c>
      <c r="E6" t="s">
        <v>164</v>
      </c>
      <c r="F6" t="s">
        <v>161</v>
      </c>
      <c r="G6" s="9">
        <v>45919</v>
      </c>
      <c r="H6" t="s">
        <v>19</v>
      </c>
      <c r="I6" s="11">
        <v>4</v>
      </c>
      <c r="J6" t="str">
        <f>IF(I6="","",IFERROR(IF(INDEX([1]ListadoFichasDeProduccion!LQ:MB,MATCH(A6,[1]ListadoFichasDeProduccion!A:A,0),K6)=0,"",INDEX([1]ListadoFichasDeProduccion!LQ:MB,MATCH(A6,[1]ListadoFichasDeProduccion!A:A,0),K6)),""))</f>
        <v/>
      </c>
      <c r="K6" s="11">
        <v>2</v>
      </c>
    </row>
    <row r="7" spans="1:11" hidden="1" x14ac:dyDescent="0.3">
      <c r="A7" s="11" t="s">
        <v>409</v>
      </c>
      <c r="B7" t="str">
        <f>VLOOKUP(A7,[1]ListadoFichasDeProduccion!$A$2:$LP$3000,328,FALSE)</f>
        <v>COMPLETADO</v>
      </c>
      <c r="C7" s="11">
        <v>4</v>
      </c>
      <c r="D7" t="s">
        <v>33</v>
      </c>
      <c r="E7" t="s">
        <v>164</v>
      </c>
      <c r="F7" t="s">
        <v>161</v>
      </c>
      <c r="G7" s="9">
        <v>45951</v>
      </c>
      <c r="H7" t="s">
        <v>123</v>
      </c>
      <c r="I7" s="11">
        <v>4</v>
      </c>
      <c r="J7" t="str">
        <f>IF(I7="","",IFERROR(IF(INDEX([1]ListadoFichasDeProduccion!LQ:MB,MATCH(A7,[1]ListadoFichasDeProduccion!A:A,0),K7)=0,"",INDEX([1]ListadoFichasDeProduccion!LQ:MB,MATCH(A7,[1]ListadoFichasDeProduccion!A:A,0),K7)),""))</f>
        <v>QUE SE VEA LA MANCHA SI NO SALE DE RETAZOS USAR PLACA</v>
      </c>
      <c r="K7" s="11">
        <v>1</v>
      </c>
    </row>
    <row r="8" spans="1:11" hidden="1" x14ac:dyDescent="0.3">
      <c r="A8" s="11">
        <v>1648</v>
      </c>
      <c r="B8" s="8" t="str">
        <f>VLOOKUP(A8,[1]ListadoFichasDeProduccion!$A$2:$LP$3000,328,FALSE)</f>
        <v>COMPLETADO</v>
      </c>
      <c r="C8" s="11">
        <v>9</v>
      </c>
      <c r="D8" t="s">
        <v>11</v>
      </c>
      <c r="E8" t="s">
        <v>95</v>
      </c>
      <c r="F8" s="9"/>
      <c r="G8" s="9">
        <v>45715</v>
      </c>
      <c r="H8" t="s">
        <v>27</v>
      </c>
      <c r="I8" s="11">
        <v>4</v>
      </c>
      <c r="J8" t="str">
        <f>IF(I8="","",IFERROR(IF(INDEX([1]ListadoFichasDeProduccion!LQ:MB,MATCH(A8,[1]ListadoFichasDeProduccion!A:A,0),K8)=0,"",INDEX([1]ListadoFichasDeProduccion!LQ:MB,MATCH(A8,[1]ListadoFichasDeProduccion!A:A,0),K8)),""))</f>
        <v/>
      </c>
      <c r="K8" s="11">
        <v>1</v>
      </c>
    </row>
    <row r="9" spans="1:11" hidden="1" x14ac:dyDescent="0.3">
      <c r="A9" s="11">
        <v>1648</v>
      </c>
      <c r="B9" s="8" t="str">
        <f>VLOOKUP(A9,[1]ListadoFichasDeProduccion!$A$2:$LP$3000,328,FALSE)</f>
        <v>COMPLETADO</v>
      </c>
      <c r="C9" s="11">
        <v>9</v>
      </c>
      <c r="D9" t="s">
        <v>11</v>
      </c>
      <c r="E9" t="s">
        <v>95</v>
      </c>
      <c r="F9" s="9"/>
      <c r="G9" s="9">
        <v>45715</v>
      </c>
      <c r="H9" t="s">
        <v>31</v>
      </c>
      <c r="I9" s="11">
        <v>5</v>
      </c>
      <c r="J9" t="str">
        <f>IF(I9="","",IFERROR(IF(INDEX([1]ListadoFichasDeProduccion!LQ:MB,MATCH(A9,[1]ListadoFichasDeProduccion!A:A,0),K9)=0,"",INDEX([1]ListadoFichasDeProduccion!LQ:MB,MATCH(A9,[1]ListadoFichasDeProduccion!A:A,0),K9)),""))</f>
        <v/>
      </c>
      <c r="K9" s="11">
        <v>2</v>
      </c>
    </row>
    <row r="10" spans="1:11" hidden="1" x14ac:dyDescent="0.3">
      <c r="A10" s="11">
        <v>1649</v>
      </c>
      <c r="B10" s="8" t="str">
        <f>VLOOKUP(A10,[1]ListadoFichasDeProduccion!$A$2:$LP$3000,328,FALSE)</f>
        <v>COMPLETADO</v>
      </c>
      <c r="C10" s="11">
        <v>4</v>
      </c>
      <c r="D10" t="s">
        <v>11</v>
      </c>
      <c r="E10" t="s">
        <v>96</v>
      </c>
      <c r="F10" s="9" t="s">
        <v>97</v>
      </c>
      <c r="G10" s="9">
        <v>45705</v>
      </c>
      <c r="H10" t="s">
        <v>27</v>
      </c>
      <c r="I10" s="11">
        <v>4</v>
      </c>
      <c r="J10" t="str">
        <f>IF(I10="","",IFERROR(IF(INDEX([1]ListadoFichasDeProduccion!LQ:MB,MATCH(A10,[1]ListadoFichasDeProduccion!A:A,0),K10)=0,"",INDEX([1]ListadoFichasDeProduccion!LQ:MB,MATCH(A10,[1]ListadoFichasDeProduccion!A:A,0),K10)),""))</f>
        <v/>
      </c>
      <c r="K10" s="11">
        <v>1</v>
      </c>
    </row>
    <row r="11" spans="1:11" hidden="1" x14ac:dyDescent="0.3">
      <c r="A11" s="11">
        <v>1741</v>
      </c>
      <c r="B11" s="8" t="str">
        <f>VLOOKUP(A11,[1]ListadoFichasDeProduccion!$A$2:$LP$3000,328,FALSE)</f>
        <v>COMPLETADO</v>
      </c>
      <c r="C11" s="11">
        <v>12</v>
      </c>
      <c r="D11" t="s">
        <v>11</v>
      </c>
      <c r="E11" t="s">
        <v>96</v>
      </c>
      <c r="F11" t="s">
        <v>97</v>
      </c>
      <c r="G11" s="9">
        <v>45756</v>
      </c>
      <c r="H11" t="s">
        <v>19</v>
      </c>
      <c r="I11" s="11">
        <v>6</v>
      </c>
      <c r="J11" t="str">
        <f>IF(I11="","",IFERROR(IF(INDEX([1]ListadoFichasDeProduccion!LQ:MB,MATCH(A11,[1]ListadoFichasDeProduccion!A:A,0),K11)=0,"",INDEX([1]ListadoFichasDeProduccion!LQ:MB,MATCH(A11,[1]ListadoFichasDeProduccion!A:A,0),K11)),""))</f>
        <v/>
      </c>
      <c r="K11" s="11">
        <v>1</v>
      </c>
    </row>
    <row r="12" spans="1:11" hidden="1" x14ac:dyDescent="0.3">
      <c r="A12" s="11">
        <v>1741</v>
      </c>
      <c r="B12" s="8" t="str">
        <f>VLOOKUP(A12,[1]ListadoFichasDeProduccion!$A$2:$LP$3000,328,FALSE)</f>
        <v>COMPLETADO</v>
      </c>
      <c r="C12" s="11">
        <v>12</v>
      </c>
      <c r="D12" t="s">
        <v>11</v>
      </c>
      <c r="E12" t="s">
        <v>96</v>
      </c>
      <c r="F12" t="s">
        <v>97</v>
      </c>
      <c r="G12" s="9">
        <v>45756</v>
      </c>
      <c r="H12" t="s">
        <v>123</v>
      </c>
      <c r="I12" s="11">
        <v>6</v>
      </c>
      <c r="J12" t="str">
        <f>IF(I12="","",IFERROR(IF(INDEX([1]ListadoFichasDeProduccion!LQ:MB,MATCH(A12,[1]ListadoFichasDeProduccion!A:A,0),K12)=0,"",INDEX([1]ListadoFichasDeProduccion!LQ:MB,MATCH(A12,[1]ListadoFichasDeProduccion!A:A,0),K12)),""))</f>
        <v/>
      </c>
      <c r="K12" s="11">
        <v>2</v>
      </c>
    </row>
    <row r="13" spans="1:11" hidden="1" x14ac:dyDescent="0.3">
      <c r="A13" s="11">
        <v>1791</v>
      </c>
      <c r="B13" s="8" t="str">
        <f>VLOOKUP(A13,[1]ListadoFichasDeProduccion!$A$2:$LP$3000,328,FALSE)</f>
        <v>COMPLETADO</v>
      </c>
      <c r="C13" s="11">
        <v>31</v>
      </c>
      <c r="D13" t="s">
        <v>11</v>
      </c>
      <c r="E13" t="s">
        <v>96</v>
      </c>
      <c r="F13" t="s">
        <v>97</v>
      </c>
      <c r="G13" s="9">
        <v>45797</v>
      </c>
      <c r="H13" t="s">
        <v>27</v>
      </c>
      <c r="I13" s="11">
        <v>3</v>
      </c>
      <c r="J13" t="str">
        <f>IF(I13="","",IFERROR(IF(INDEX([1]ListadoFichasDeProduccion!LQ:MB,MATCH(A13,[1]ListadoFichasDeProduccion!A:A,0),K13)=0,"",INDEX([1]ListadoFichasDeProduccion!LQ:MB,MATCH(A13,[1]ListadoFichasDeProduccion!A:A,0),K13)),""))</f>
        <v/>
      </c>
      <c r="K13" s="11">
        <v>1</v>
      </c>
    </row>
    <row r="14" spans="1:11" hidden="1" x14ac:dyDescent="0.3">
      <c r="A14" s="11">
        <v>1791</v>
      </c>
      <c r="B14" s="8" t="str">
        <f>VLOOKUP(A14,[1]ListadoFichasDeProduccion!$A$2:$LP$3000,328,FALSE)</f>
        <v>COMPLETADO</v>
      </c>
      <c r="C14" s="11">
        <v>31</v>
      </c>
      <c r="D14" t="s">
        <v>11</v>
      </c>
      <c r="E14" t="s">
        <v>96</v>
      </c>
      <c r="F14" t="s">
        <v>97</v>
      </c>
      <c r="G14" s="9">
        <v>45797</v>
      </c>
      <c r="H14" t="s">
        <v>50</v>
      </c>
      <c r="I14" s="11">
        <v>6</v>
      </c>
      <c r="J14" t="str">
        <f>IF(I14="","",IFERROR(IF(INDEX([1]ListadoFichasDeProduccion!LQ:MB,MATCH(A14,[1]ListadoFichasDeProduccion!A:A,0),K14)=0,"",INDEX([1]ListadoFichasDeProduccion!LQ:MB,MATCH(A14,[1]ListadoFichasDeProduccion!A:A,0),K14)),""))</f>
        <v/>
      </c>
      <c r="K14" s="11">
        <v>2</v>
      </c>
    </row>
    <row r="15" spans="1:11" hidden="1" x14ac:dyDescent="0.3">
      <c r="A15" s="11">
        <v>1791</v>
      </c>
      <c r="B15" s="8" t="str">
        <f>VLOOKUP(A15,[1]ListadoFichasDeProduccion!$A$2:$LP$3000,328,FALSE)</f>
        <v>COMPLETADO</v>
      </c>
      <c r="C15" s="11">
        <v>31</v>
      </c>
      <c r="D15" t="s">
        <v>11</v>
      </c>
      <c r="E15" t="s">
        <v>96</v>
      </c>
      <c r="F15" t="s">
        <v>97</v>
      </c>
      <c r="G15" s="9">
        <v>45797</v>
      </c>
      <c r="H15" t="s">
        <v>135</v>
      </c>
      <c r="I15" s="11">
        <v>6</v>
      </c>
      <c r="J15" t="str">
        <f>IF(I15="","",IFERROR(IF(INDEX([1]ListadoFichasDeProduccion!LQ:MB,MATCH(A15,[1]ListadoFichasDeProduccion!A:A,0),K15)=0,"",INDEX([1]ListadoFichasDeProduccion!LQ:MB,MATCH(A15,[1]ListadoFichasDeProduccion!A:A,0),K15)),""))</f>
        <v/>
      </c>
      <c r="K15" s="11">
        <v>3</v>
      </c>
    </row>
    <row r="16" spans="1:11" hidden="1" x14ac:dyDescent="0.3">
      <c r="A16" s="11">
        <v>1791</v>
      </c>
      <c r="B16" s="8" t="str">
        <f>VLOOKUP(A16,[1]ListadoFichasDeProduccion!$A$2:$LP$3000,328,FALSE)</f>
        <v>COMPLETADO</v>
      </c>
      <c r="C16" s="11">
        <v>31</v>
      </c>
      <c r="D16" t="s">
        <v>11</v>
      </c>
      <c r="E16" t="s">
        <v>96</v>
      </c>
      <c r="F16" t="s">
        <v>97</v>
      </c>
      <c r="G16" s="9">
        <v>45797</v>
      </c>
      <c r="H16" t="s">
        <v>26</v>
      </c>
      <c r="I16" s="11">
        <v>6</v>
      </c>
      <c r="J16" t="str">
        <f>IF(I16="","",IFERROR(IF(INDEX([1]ListadoFichasDeProduccion!LQ:MB,MATCH(A16,[1]ListadoFichasDeProduccion!A:A,0),K16)=0,"",INDEX([1]ListadoFichasDeProduccion!LQ:MB,MATCH(A16,[1]ListadoFichasDeProduccion!A:A,0),K16)),""))</f>
        <v/>
      </c>
      <c r="K16" s="11">
        <v>4</v>
      </c>
    </row>
    <row r="17" spans="1:11" hidden="1" x14ac:dyDescent="0.3">
      <c r="A17" s="11">
        <v>1791</v>
      </c>
      <c r="B17" s="8" t="str">
        <f>VLOOKUP(A17,[1]ListadoFichasDeProduccion!$A$2:$LP$3000,328,FALSE)</f>
        <v>COMPLETADO</v>
      </c>
      <c r="C17" s="11">
        <v>31</v>
      </c>
      <c r="D17" t="s">
        <v>11</v>
      </c>
      <c r="E17" t="s">
        <v>96</v>
      </c>
      <c r="F17" t="s">
        <v>97</v>
      </c>
      <c r="G17" s="9">
        <v>45797</v>
      </c>
      <c r="H17" t="s">
        <v>19</v>
      </c>
      <c r="I17" s="11">
        <v>6</v>
      </c>
      <c r="J17" t="str">
        <f>IF(I17="","",IFERROR(IF(INDEX([1]ListadoFichasDeProduccion!LQ:MB,MATCH(A17,[1]ListadoFichasDeProduccion!A:A,0),K17)=0,"",INDEX([1]ListadoFichasDeProduccion!LQ:MB,MATCH(A17,[1]ListadoFichasDeProduccion!A:A,0),K17)),""))</f>
        <v/>
      </c>
      <c r="K17" s="11">
        <v>5</v>
      </c>
    </row>
    <row r="18" spans="1:11" hidden="1" x14ac:dyDescent="0.3">
      <c r="A18" s="11">
        <v>1791</v>
      </c>
      <c r="B18" s="8" t="str">
        <f>VLOOKUP(A18,[1]ListadoFichasDeProduccion!$A$2:$LP$3000,328,FALSE)</f>
        <v>COMPLETADO</v>
      </c>
      <c r="C18" s="11">
        <v>31</v>
      </c>
      <c r="D18" t="s">
        <v>11</v>
      </c>
      <c r="E18" t="s">
        <v>96</v>
      </c>
      <c r="F18" t="s">
        <v>97</v>
      </c>
      <c r="G18" s="9">
        <v>45797</v>
      </c>
      <c r="H18" t="s">
        <v>190</v>
      </c>
      <c r="I18" s="11">
        <v>4</v>
      </c>
      <c r="J18" t="str">
        <f>IF(I18="","",IFERROR(IF(INDEX([1]ListadoFichasDeProduccion!LQ:MB,MATCH(A18,[1]ListadoFichasDeProduccion!A:A,0),K18)=0,"",INDEX([1]ListadoFichasDeProduccion!LQ:MB,MATCH(A18,[1]ListadoFichasDeProduccion!A:A,0),K18)),""))</f>
        <v/>
      </c>
      <c r="K18" s="11">
        <v>6</v>
      </c>
    </row>
    <row r="19" spans="1:11" hidden="1" x14ac:dyDescent="0.3">
      <c r="A19" s="11">
        <v>18382</v>
      </c>
      <c r="B19" t="str">
        <f>VLOOKUP(A19,[1]ListadoFichasDeProduccion!$A$2:$LP$3000,328,FALSE)</f>
        <v>COMPLETADO</v>
      </c>
      <c r="C19" s="11">
        <v>6</v>
      </c>
      <c r="D19" t="s">
        <v>33</v>
      </c>
      <c r="E19" t="s">
        <v>96</v>
      </c>
      <c r="F19" t="s">
        <v>97</v>
      </c>
      <c r="G19" s="9">
        <v>45894</v>
      </c>
      <c r="H19" t="s">
        <v>26</v>
      </c>
      <c r="I19" s="11">
        <v>6</v>
      </c>
      <c r="J19" t="str">
        <f>IF(I19="","",IFERROR(IF(INDEX([1]ListadoFichasDeProduccion!LQ:MB,MATCH(A19,[1]ListadoFichasDeProduccion!A:A,0),K19)=0,"",INDEX([1]ListadoFichasDeProduccion!LQ:MB,MATCH(A19,[1]ListadoFichasDeProduccion!A:A,0),K19)),""))</f>
        <v/>
      </c>
      <c r="K19" s="11">
        <v>1</v>
      </c>
    </row>
    <row r="20" spans="1:11" hidden="1" x14ac:dyDescent="0.3">
      <c r="A20" s="11">
        <v>1838</v>
      </c>
      <c r="B20" t="str">
        <f>VLOOKUP(A20,[1]ListadoFichasDeProduccion!$A$2:$LP$3000,328,FALSE)</f>
        <v>COMPLETADO</v>
      </c>
      <c r="C20" s="11">
        <v>12</v>
      </c>
      <c r="D20" t="s">
        <v>33</v>
      </c>
      <c r="E20" t="s">
        <v>96</v>
      </c>
      <c r="F20" t="s">
        <v>97</v>
      </c>
      <c r="G20" s="9">
        <v>45898</v>
      </c>
      <c r="H20" t="s">
        <v>19</v>
      </c>
      <c r="I20" s="11">
        <v>4</v>
      </c>
      <c r="J20" t="str">
        <f>IF(I20="","",IFERROR(IF(INDEX([1]ListadoFichasDeProduccion!LQ:MB,MATCH(A20,[1]ListadoFichasDeProduccion!A:A,0),K20)=0,"",INDEX([1]ListadoFichasDeProduccion!LQ:MB,MATCH(A20,[1]ListadoFichasDeProduccion!A:A,0),K20)),""))</f>
        <v>QUE SE VEA LA MANCHA SI NO SALE DE RETAZOS USAR PLACA</v>
      </c>
      <c r="K20" s="11">
        <v>1</v>
      </c>
    </row>
    <row r="21" spans="1:11" hidden="1" x14ac:dyDescent="0.3">
      <c r="A21" s="11">
        <v>1838</v>
      </c>
      <c r="B21" t="str">
        <f>VLOOKUP(A21,[1]ListadoFichasDeProduccion!$A$2:$LP$3000,328,FALSE)</f>
        <v>COMPLETADO</v>
      </c>
      <c r="C21" s="11">
        <v>12</v>
      </c>
      <c r="D21" t="s">
        <v>33</v>
      </c>
      <c r="E21" t="s">
        <v>96</v>
      </c>
      <c r="F21" t="s">
        <v>97</v>
      </c>
      <c r="G21" s="9">
        <v>45898</v>
      </c>
      <c r="H21" t="s">
        <v>123</v>
      </c>
      <c r="I21" s="11">
        <v>8</v>
      </c>
      <c r="J21" t="str">
        <f>IF(I21="","",IFERROR(IF(INDEX([1]ListadoFichasDeProduccion!LQ:MB,MATCH(A21,[1]ListadoFichasDeProduccion!A:A,0),K21)=0,"",INDEX([1]ListadoFichasDeProduccion!LQ:MB,MATCH(A21,[1]ListadoFichasDeProduccion!A:A,0),K21)),""))</f>
        <v>QUE SE VEA LA MANCHA SI NO SALE DE RETAZOS USAR PLACA</v>
      </c>
      <c r="K21" s="11">
        <v>2</v>
      </c>
    </row>
    <row r="22" spans="1:11" x14ac:dyDescent="0.3">
      <c r="A22" s="11">
        <v>18383</v>
      </c>
      <c r="B22" t="str">
        <f>VLOOKUP(A22,[1]ListadoFichasDeProduccion!$A$2:$LP$3000,328,FALSE)</f>
        <v>NO COMENZADO</v>
      </c>
      <c r="C22" s="11">
        <v>12</v>
      </c>
      <c r="D22" t="s">
        <v>33</v>
      </c>
      <c r="E22" t="s">
        <v>96</v>
      </c>
      <c r="F22" t="s">
        <v>97</v>
      </c>
      <c r="H22" t="s">
        <v>19</v>
      </c>
      <c r="I22" s="11">
        <v>4</v>
      </c>
      <c r="J22" t="str">
        <f>IF(I22="","",IFERROR(IF(INDEX([1]ListadoFichasDeProduccion!LQ:MB,MATCH(A22,[1]ListadoFichasDeProduccion!A:A,0),K22)=0,"",INDEX([1]ListadoFichasDeProduccion!LQ:MB,MATCH(A22,[1]ListadoFichasDeProduccion!A:A,0),K22)),""))</f>
        <v>QUE SE VEA LA MANCHA SI NO SALE DE RETAZOS USAR PLACA</v>
      </c>
      <c r="K22" s="11">
        <v>1</v>
      </c>
    </row>
    <row r="23" spans="1:11" x14ac:dyDescent="0.3">
      <c r="A23" s="11">
        <v>18383</v>
      </c>
      <c r="B23" t="str">
        <f>VLOOKUP(A23,[1]ListadoFichasDeProduccion!$A$2:$LP$3000,328,FALSE)</f>
        <v>NO COMENZADO</v>
      </c>
      <c r="C23" s="11">
        <v>12</v>
      </c>
      <c r="D23" t="s">
        <v>33</v>
      </c>
      <c r="E23" t="s">
        <v>96</v>
      </c>
      <c r="F23" t="s">
        <v>97</v>
      </c>
      <c r="H23" t="s">
        <v>123</v>
      </c>
      <c r="I23" s="11">
        <v>8</v>
      </c>
      <c r="J23" t="str">
        <f>IF(I23="","",IFERROR(IF(INDEX([1]ListadoFichasDeProduccion!LQ:MB,MATCH(A23,[1]ListadoFichasDeProduccion!A:A,0),K23)=0,"",INDEX([1]ListadoFichasDeProduccion!LQ:MB,MATCH(A23,[1]ListadoFichasDeProduccion!A:A,0),K23)),""))</f>
        <v>QUE SE VEA LA MANCHA SI NO SALE DE RETAZOS USAR PLACA</v>
      </c>
      <c r="K23" s="11">
        <v>2</v>
      </c>
    </row>
    <row r="24" spans="1:11" hidden="1" x14ac:dyDescent="0.3">
      <c r="A24" s="11" t="s">
        <v>323</v>
      </c>
      <c r="B24" t="str">
        <f>VLOOKUP(A24,[1]ListadoFichasDeProduccion!$A$2:$LP$3000,328,FALSE)</f>
        <v>COMPLETADO</v>
      </c>
      <c r="C24" s="11">
        <v>13</v>
      </c>
      <c r="D24" t="s">
        <v>11</v>
      </c>
      <c r="E24" t="s">
        <v>96</v>
      </c>
      <c r="F24" t="s">
        <v>97</v>
      </c>
      <c r="G24" s="9">
        <v>45918</v>
      </c>
      <c r="H24" t="s">
        <v>135</v>
      </c>
      <c r="I24" s="11">
        <v>4</v>
      </c>
      <c r="J24" t="str">
        <f>IF(I24="","",IFERROR(IF(INDEX([1]ListadoFichasDeProduccion!LQ:MB,MATCH(A24,[1]ListadoFichasDeProduccion!A:A,0),K24)=0,"",INDEX([1]ListadoFichasDeProduccion!LQ:MB,MATCH(A24,[1]ListadoFichasDeProduccion!A:A,0),K24)),""))</f>
        <v/>
      </c>
      <c r="K24" s="11">
        <v>1</v>
      </c>
    </row>
    <row r="25" spans="1:11" hidden="1" x14ac:dyDescent="0.3">
      <c r="A25" s="11" t="s">
        <v>323</v>
      </c>
      <c r="B25" t="str">
        <f>VLOOKUP(A25,[1]ListadoFichasDeProduccion!$A$2:$LP$3000,328,FALSE)</f>
        <v>COMPLETADO</v>
      </c>
      <c r="C25" s="11">
        <v>13</v>
      </c>
      <c r="D25" t="s">
        <v>11</v>
      </c>
      <c r="E25" t="s">
        <v>96</v>
      </c>
      <c r="F25" t="s">
        <v>97</v>
      </c>
      <c r="G25" s="9">
        <v>45918</v>
      </c>
      <c r="H25" t="s">
        <v>50</v>
      </c>
      <c r="I25" s="11">
        <v>3</v>
      </c>
      <c r="J25" t="str">
        <f>IF(I25="","",IFERROR(IF(INDEX([1]ListadoFichasDeProduccion!LQ:MB,MATCH(A25,[1]ListadoFichasDeProduccion!A:A,0),K25)=0,"",INDEX([1]ListadoFichasDeProduccion!LQ:MB,MATCH(A25,[1]ListadoFichasDeProduccion!A:A,0),K25)),""))</f>
        <v/>
      </c>
      <c r="K25" s="11">
        <v>2</v>
      </c>
    </row>
    <row r="26" spans="1:11" hidden="1" x14ac:dyDescent="0.3">
      <c r="A26" s="11" t="s">
        <v>323</v>
      </c>
      <c r="B26" t="str">
        <f>VLOOKUP(A26,[1]ListadoFichasDeProduccion!$A$2:$LP$3000,328,FALSE)</f>
        <v>COMPLETADO</v>
      </c>
      <c r="C26" s="11">
        <v>13</v>
      </c>
      <c r="D26" t="s">
        <v>11</v>
      </c>
      <c r="E26" t="s">
        <v>96</v>
      </c>
      <c r="F26" t="s">
        <v>97</v>
      </c>
      <c r="G26" s="9">
        <v>45918</v>
      </c>
      <c r="H26" t="s">
        <v>19</v>
      </c>
      <c r="I26" s="11">
        <v>6</v>
      </c>
      <c r="J26" t="str">
        <f>IF(I26="","",IFERROR(IF(INDEX([1]ListadoFichasDeProduccion!LQ:MB,MATCH(A26,[1]ListadoFichasDeProduccion!A:A,0),K26)=0,"",INDEX([1]ListadoFichasDeProduccion!LQ:MB,MATCH(A26,[1]ListadoFichasDeProduccion!A:A,0),K26)),""))</f>
        <v>QUE SE VEA LA MANCHA SI NO SALE DE RETAZOS USAR PLACA</v>
      </c>
      <c r="K26" s="11">
        <v>3</v>
      </c>
    </row>
    <row r="27" spans="1:11" hidden="1" x14ac:dyDescent="0.3">
      <c r="A27" s="11" t="s">
        <v>407</v>
      </c>
      <c r="B27" t="str">
        <f>VLOOKUP(A27,[1]ListadoFichasDeProduccion!$A$2:$LP$3000,328,FALSE)</f>
        <v>COMPLETADO</v>
      </c>
      <c r="C27" s="11">
        <v>4</v>
      </c>
      <c r="D27" t="s">
        <v>11</v>
      </c>
      <c r="E27" t="s">
        <v>96</v>
      </c>
      <c r="F27" t="s">
        <v>97</v>
      </c>
      <c r="G27" s="9">
        <v>45953</v>
      </c>
      <c r="H27" t="s">
        <v>123</v>
      </c>
      <c r="I27" s="11">
        <v>4</v>
      </c>
      <c r="J27" t="str">
        <f>IF(I27="","",IFERROR(IF(INDEX([1]ListadoFichasDeProduccion!LQ:MB,MATCH(A27,[1]ListadoFichasDeProduccion!A:A,0),K27)=0,"",INDEX([1]ListadoFichasDeProduccion!LQ:MB,MATCH(A27,[1]ListadoFichasDeProduccion!A:A,0),K27)),""))</f>
        <v/>
      </c>
      <c r="K27" s="11">
        <v>1</v>
      </c>
    </row>
    <row r="28" spans="1:11" x14ac:dyDescent="0.3">
      <c r="A28" s="11" t="s">
        <v>496</v>
      </c>
      <c r="B28" t="str">
        <f>VLOOKUP(A28,[1]ListadoFichasDeProduccion!$A$2:$LP$3000,328,FALSE)</f>
        <v>NO COMENZADO</v>
      </c>
      <c r="C28" s="11">
        <v>36</v>
      </c>
      <c r="D28" t="s">
        <v>11</v>
      </c>
      <c r="E28" t="s">
        <v>96</v>
      </c>
      <c r="F28" t="s">
        <v>97</v>
      </c>
      <c r="H28" t="s">
        <v>305</v>
      </c>
      <c r="I28" s="11">
        <v>10</v>
      </c>
      <c r="J28" t="str">
        <f>IF(I28="","",IFERROR(IF(INDEX([1]ListadoFichasDeProduccion!LQ:MB,MATCH(A28,[1]ListadoFichasDeProduccion!A:A,0),K28)=0,"",INDEX([1]ListadoFichasDeProduccion!LQ:MB,MATCH(A28,[1]ListadoFichasDeProduccion!A:A,0),K28)),""))</f>
        <v/>
      </c>
      <c r="K28" s="11">
        <v>1</v>
      </c>
    </row>
    <row r="29" spans="1:11" x14ac:dyDescent="0.3">
      <c r="A29" s="11" t="s">
        <v>496</v>
      </c>
      <c r="B29" t="str">
        <f>VLOOKUP(A29,[1]ListadoFichasDeProduccion!$A$2:$LP$3000,328,FALSE)</f>
        <v>NO COMENZADO</v>
      </c>
      <c r="C29" s="11">
        <v>36</v>
      </c>
      <c r="D29" t="s">
        <v>11</v>
      </c>
      <c r="E29" t="s">
        <v>96</v>
      </c>
      <c r="F29" t="s">
        <v>97</v>
      </c>
      <c r="H29" t="s">
        <v>27</v>
      </c>
      <c r="I29" s="11">
        <v>10</v>
      </c>
      <c r="J29" t="str">
        <f>IF(I29="","",IFERROR(IF(INDEX([1]ListadoFichasDeProduccion!LQ:MB,MATCH(A29,[1]ListadoFichasDeProduccion!A:A,0),K29)=0,"",INDEX([1]ListadoFichasDeProduccion!LQ:MB,MATCH(A29,[1]ListadoFichasDeProduccion!A:A,0),K29)),""))</f>
        <v/>
      </c>
      <c r="K29" s="11">
        <v>2</v>
      </c>
    </row>
    <row r="30" spans="1:11" x14ac:dyDescent="0.3">
      <c r="A30" s="11" t="s">
        <v>496</v>
      </c>
      <c r="B30" t="str">
        <f>VLOOKUP(A30,[1]ListadoFichasDeProduccion!$A$2:$LP$3000,328,FALSE)</f>
        <v>NO COMENZADO</v>
      </c>
      <c r="C30" s="11">
        <v>36</v>
      </c>
      <c r="D30" t="s">
        <v>11</v>
      </c>
      <c r="E30" t="s">
        <v>96</v>
      </c>
      <c r="F30" t="s">
        <v>97</v>
      </c>
      <c r="H30" t="s">
        <v>51</v>
      </c>
      <c r="I30" s="11">
        <v>10</v>
      </c>
      <c r="J30" t="str">
        <f>IF(I30="","",IFERROR(IF(INDEX([1]ListadoFichasDeProduccion!LQ:MB,MATCH(A30,[1]ListadoFichasDeProduccion!A:A,0),K30)=0,"",INDEX([1]ListadoFichasDeProduccion!LQ:MB,MATCH(A30,[1]ListadoFichasDeProduccion!A:A,0),K30)),""))</f>
        <v/>
      </c>
      <c r="K30" s="11">
        <v>3</v>
      </c>
    </row>
    <row r="31" spans="1:11" x14ac:dyDescent="0.3">
      <c r="A31" s="11" t="s">
        <v>496</v>
      </c>
      <c r="B31" t="str">
        <f>VLOOKUP(A31,[1]ListadoFichasDeProduccion!$A$2:$LP$3000,328,FALSE)</f>
        <v>NO COMENZADO</v>
      </c>
      <c r="C31" s="11">
        <v>36</v>
      </c>
      <c r="D31" t="s">
        <v>11</v>
      </c>
      <c r="E31" t="s">
        <v>96</v>
      </c>
      <c r="F31" t="s">
        <v>97</v>
      </c>
      <c r="H31" t="s">
        <v>26</v>
      </c>
      <c r="I31" s="11">
        <v>6</v>
      </c>
      <c r="J31" t="str">
        <f>IF(I31="","",IFERROR(IF(INDEX([1]ListadoFichasDeProduccion!LQ:MB,MATCH(A31,[1]ListadoFichasDeProduccion!A:A,0),K31)=0,"",INDEX([1]ListadoFichasDeProduccion!LQ:MB,MATCH(A31,[1]ListadoFichasDeProduccion!A:A,0),K31)),""))</f>
        <v/>
      </c>
      <c r="K31" s="11">
        <v>4</v>
      </c>
    </row>
    <row r="32" spans="1:11" hidden="1" x14ac:dyDescent="0.3">
      <c r="A32" s="11">
        <v>1650</v>
      </c>
      <c r="B32" s="8" t="str">
        <f>VLOOKUP(A32,[1]ListadoFichasDeProduccion!$A$2:$LP$3000,328,FALSE)</f>
        <v>COMPLETADO</v>
      </c>
      <c r="C32" s="11">
        <v>7</v>
      </c>
      <c r="D32" t="s">
        <v>11</v>
      </c>
      <c r="E32" t="s">
        <v>98</v>
      </c>
      <c r="F32" s="9"/>
      <c r="G32" s="9">
        <v>45715</v>
      </c>
      <c r="H32" t="s">
        <v>36</v>
      </c>
      <c r="I32" s="11">
        <v>3</v>
      </c>
      <c r="J32" t="str">
        <f>IF(I32="","",IFERROR(IF(INDEX([1]ListadoFichasDeProduccion!LQ:MB,MATCH(A32,[1]ListadoFichasDeProduccion!A:A,0),K32)=0,"",INDEX([1]ListadoFichasDeProduccion!LQ:MB,MATCH(A32,[1]ListadoFichasDeProduccion!A:A,0),K32)),""))</f>
        <v/>
      </c>
      <c r="K32" s="11">
        <v>1</v>
      </c>
    </row>
    <row r="33" spans="1:11" hidden="1" x14ac:dyDescent="0.3">
      <c r="A33" s="11">
        <v>1650</v>
      </c>
      <c r="B33" s="8" t="str">
        <f>VLOOKUP(A33,[1]ListadoFichasDeProduccion!$A$2:$LP$3000,328,FALSE)</f>
        <v>COMPLETADO</v>
      </c>
      <c r="C33" s="11">
        <v>7</v>
      </c>
      <c r="D33" t="s">
        <v>11</v>
      </c>
      <c r="E33" t="s">
        <v>98</v>
      </c>
      <c r="F33" s="9"/>
      <c r="G33" s="9">
        <v>45715</v>
      </c>
      <c r="H33" t="s">
        <v>35</v>
      </c>
      <c r="I33" s="11">
        <v>2</v>
      </c>
      <c r="J33" t="str">
        <f>IF(I33="","",IFERROR(IF(INDEX([1]ListadoFichasDeProduccion!LQ:MB,MATCH(A33,[1]ListadoFichasDeProduccion!A:A,0),K33)=0,"",INDEX([1]ListadoFichasDeProduccion!LQ:MB,MATCH(A33,[1]ListadoFichasDeProduccion!A:A,0),K33)),""))</f>
        <v/>
      </c>
      <c r="K33" s="11">
        <v>2</v>
      </c>
    </row>
    <row r="34" spans="1:11" hidden="1" x14ac:dyDescent="0.3">
      <c r="A34" s="11">
        <v>1650</v>
      </c>
      <c r="B34" s="8" t="str">
        <f>VLOOKUP(A34,[1]ListadoFichasDeProduccion!$A$2:$LP$3000,328,FALSE)</f>
        <v>COMPLETADO</v>
      </c>
      <c r="C34" s="11">
        <v>7</v>
      </c>
      <c r="D34" t="s">
        <v>11</v>
      </c>
      <c r="E34" t="s">
        <v>98</v>
      </c>
      <c r="G34" s="9">
        <v>45715</v>
      </c>
      <c r="H34" t="s">
        <v>40</v>
      </c>
      <c r="I34" s="11">
        <v>2</v>
      </c>
      <c r="J34" t="str">
        <f>IF(I34="","",IFERROR(IF(INDEX([1]ListadoFichasDeProduccion!LQ:MB,MATCH(A34,[1]ListadoFichasDeProduccion!A:A,0),K34)=0,"",INDEX([1]ListadoFichasDeProduccion!LQ:MB,MATCH(A34,[1]ListadoFichasDeProduccion!A:A,0),K34)),""))</f>
        <v/>
      </c>
      <c r="K34" s="11">
        <v>3</v>
      </c>
    </row>
    <row r="35" spans="1:11" hidden="1" x14ac:dyDescent="0.3">
      <c r="A35" s="11" t="s">
        <v>445</v>
      </c>
      <c r="B35" t="str">
        <f>VLOOKUP(A35,[1]ListadoFichasDeProduccion!$A$2:$LP$3000,328,FALSE)</f>
        <v>COMPLETADO</v>
      </c>
      <c r="C35" s="11">
        <v>18</v>
      </c>
      <c r="D35" t="s">
        <v>11</v>
      </c>
      <c r="E35" t="s">
        <v>98</v>
      </c>
      <c r="G35" s="9">
        <v>45959</v>
      </c>
      <c r="H35" t="s">
        <v>40</v>
      </c>
      <c r="I35" s="11">
        <v>8</v>
      </c>
      <c r="J35" t="str">
        <f>IF(I35="","",IFERROR(IF(INDEX([1]ListadoFichasDeProduccion!LQ:MB,MATCH(A35,[1]ListadoFichasDeProduccion!A:A,0),K35)=0,"",INDEX([1]ListadoFichasDeProduccion!LQ:MB,MATCH(A35,[1]ListadoFichasDeProduccion!A:A,0),K35)),""))</f>
        <v/>
      </c>
      <c r="K35" s="11">
        <v>1</v>
      </c>
    </row>
    <row r="36" spans="1:11" hidden="1" x14ac:dyDescent="0.3">
      <c r="A36" s="11" t="s">
        <v>445</v>
      </c>
      <c r="B36" t="str">
        <f>VLOOKUP(A36,[1]ListadoFichasDeProduccion!$A$2:$LP$3000,328,FALSE)</f>
        <v>COMPLETADO</v>
      </c>
      <c r="C36" s="11">
        <v>18</v>
      </c>
      <c r="D36" t="s">
        <v>11</v>
      </c>
      <c r="E36" t="s">
        <v>98</v>
      </c>
      <c r="G36" s="9">
        <v>45959</v>
      </c>
      <c r="H36" t="s">
        <v>24</v>
      </c>
      <c r="I36" s="11">
        <v>10</v>
      </c>
      <c r="J36" t="str">
        <f>IF(I36="","",IFERROR(IF(INDEX([1]ListadoFichasDeProduccion!LQ:MB,MATCH(A36,[1]ListadoFichasDeProduccion!A:A,0),K36)=0,"",INDEX([1]ListadoFichasDeProduccion!LQ:MB,MATCH(A36,[1]ListadoFichasDeProduccion!A:A,0),K36)),""))</f>
        <v/>
      </c>
      <c r="K36" s="11">
        <v>2</v>
      </c>
    </row>
    <row r="37" spans="1:11" hidden="1" x14ac:dyDescent="0.3">
      <c r="A37" s="11" t="s">
        <v>473</v>
      </c>
      <c r="B37" t="str">
        <f>VLOOKUP(A37,[1]ListadoFichasDeProduccion!$A$2:$LP$3000,328,FALSE)</f>
        <v>COMPLETADO</v>
      </c>
      <c r="C37" s="11">
        <v>4</v>
      </c>
      <c r="D37" t="s">
        <v>11</v>
      </c>
      <c r="E37" t="s">
        <v>98</v>
      </c>
      <c r="G37" s="9">
        <v>45968</v>
      </c>
      <c r="H37" t="s">
        <v>35</v>
      </c>
      <c r="I37" s="11">
        <v>4</v>
      </c>
      <c r="J37" t="str">
        <f>IF(I37="","",IFERROR(IF(INDEX([1]ListadoFichasDeProduccion!LQ:MB,MATCH(A37,[1]ListadoFichasDeProduccion!A:A,0),K37)=0,"",INDEX([1]ListadoFichasDeProduccion!LQ:MB,MATCH(A37,[1]ListadoFichasDeProduccion!A:A,0),K37)),""))</f>
        <v/>
      </c>
      <c r="K37" s="11">
        <v>1</v>
      </c>
    </row>
    <row r="38" spans="1:11" hidden="1" x14ac:dyDescent="0.3">
      <c r="A38" s="11">
        <v>1907</v>
      </c>
      <c r="B38" s="8" t="str">
        <f>VLOOKUP(A38,[1]ListadoFichasDeProduccion!$A$2:$LP$3000,328,FALSE)</f>
        <v>COMPLETADO</v>
      </c>
      <c r="C38" s="11">
        <v>27</v>
      </c>
      <c r="D38" t="s">
        <v>11</v>
      </c>
      <c r="E38" t="s">
        <v>258</v>
      </c>
      <c r="G38" s="9">
        <v>45859</v>
      </c>
      <c r="H38" t="s">
        <v>24</v>
      </c>
      <c r="I38" s="11">
        <v>9</v>
      </c>
      <c r="J38" t="str">
        <f>IF(I38="","",IFERROR(IF(INDEX([1]ListadoFichasDeProduccion!LQ:MB,MATCH(A38,[1]ListadoFichasDeProduccion!A:A,0),K38)=0,"",INDEX([1]ListadoFichasDeProduccion!LQ:MB,MATCH(A38,[1]ListadoFichasDeProduccion!A:A,0),K38)),""))</f>
        <v/>
      </c>
      <c r="K38" s="11">
        <v>1</v>
      </c>
    </row>
    <row r="39" spans="1:11" hidden="1" x14ac:dyDescent="0.3">
      <c r="A39" s="11">
        <v>1907</v>
      </c>
      <c r="B39" s="8" t="str">
        <f>VLOOKUP(A39,[1]ListadoFichasDeProduccion!$A$2:$LP$3000,328,FALSE)</f>
        <v>COMPLETADO</v>
      </c>
      <c r="C39" s="11">
        <v>27</v>
      </c>
      <c r="D39" t="s">
        <v>11</v>
      </c>
      <c r="E39" t="s">
        <v>258</v>
      </c>
      <c r="G39" s="9">
        <v>45859</v>
      </c>
      <c r="H39" t="s">
        <v>22</v>
      </c>
      <c r="I39" s="11">
        <v>9</v>
      </c>
      <c r="J39" t="str">
        <f>IF(I39="","",IFERROR(IF(INDEX([1]ListadoFichasDeProduccion!LQ:MB,MATCH(A39,[1]ListadoFichasDeProduccion!A:A,0),K39)=0,"",INDEX([1]ListadoFichasDeProduccion!LQ:MB,MATCH(A39,[1]ListadoFichasDeProduccion!A:A,0),K39)),""))</f>
        <v/>
      </c>
      <c r="K39" s="11">
        <v>2</v>
      </c>
    </row>
    <row r="40" spans="1:11" hidden="1" x14ac:dyDescent="0.3">
      <c r="A40" s="11">
        <v>1907</v>
      </c>
      <c r="B40" s="8" t="str">
        <f>VLOOKUP(A40,[1]ListadoFichasDeProduccion!$A$2:$LP$3000,328,FALSE)</f>
        <v>COMPLETADO</v>
      </c>
      <c r="C40" s="11">
        <v>27</v>
      </c>
      <c r="D40" t="s">
        <v>11</v>
      </c>
      <c r="E40" t="s">
        <v>258</v>
      </c>
      <c r="G40" s="9">
        <v>45859</v>
      </c>
      <c r="H40" t="s">
        <v>35</v>
      </c>
      <c r="I40" s="11">
        <v>9</v>
      </c>
      <c r="J40" t="str">
        <f>IF(I40="","",IFERROR(IF(INDEX([1]ListadoFichasDeProduccion!LQ:MB,MATCH(A40,[1]ListadoFichasDeProduccion!A:A,0),K40)=0,"",INDEX([1]ListadoFichasDeProduccion!LQ:MB,MATCH(A40,[1]ListadoFichasDeProduccion!A:A,0),K40)),""))</f>
        <v/>
      </c>
      <c r="K40" s="11">
        <v>3</v>
      </c>
    </row>
    <row r="41" spans="1:11" hidden="1" x14ac:dyDescent="0.3">
      <c r="A41" s="11" t="s">
        <v>299</v>
      </c>
      <c r="B41" t="str">
        <f>VLOOKUP(A41,[1]ListadoFichasDeProduccion!$A$2:$LP$3000,328,FALSE)</f>
        <v>COMPLETADO</v>
      </c>
      <c r="C41" s="11">
        <v>22</v>
      </c>
      <c r="D41" t="s">
        <v>11</v>
      </c>
      <c r="E41" t="s">
        <v>258</v>
      </c>
      <c r="G41" s="9">
        <v>45908</v>
      </c>
      <c r="H41" t="s">
        <v>24</v>
      </c>
      <c r="I41" s="11">
        <v>4</v>
      </c>
      <c r="J41" t="str">
        <f>IF(I41="","",IFERROR(IF(INDEX([1]ListadoFichasDeProduccion!LQ:MB,MATCH(A41,[1]ListadoFichasDeProduccion!A:A,0),K41)=0,"",INDEX([1]ListadoFichasDeProduccion!LQ:MB,MATCH(A41,[1]ListadoFichasDeProduccion!A:A,0),K41)),""))</f>
        <v/>
      </c>
      <c r="K41" s="11">
        <v>1</v>
      </c>
    </row>
    <row r="42" spans="1:11" hidden="1" x14ac:dyDescent="0.3">
      <c r="A42" s="11" t="s">
        <v>299</v>
      </c>
      <c r="B42" t="str">
        <f>VLOOKUP(A42,[1]ListadoFichasDeProduccion!$A$2:$LP$3000,328,FALSE)</f>
        <v>COMPLETADO</v>
      </c>
      <c r="C42" s="11">
        <v>22</v>
      </c>
      <c r="D42" t="s">
        <v>11</v>
      </c>
      <c r="E42" t="s">
        <v>258</v>
      </c>
      <c r="G42" s="9">
        <v>45908</v>
      </c>
      <c r="H42" t="s">
        <v>22</v>
      </c>
      <c r="I42" s="11">
        <v>4</v>
      </c>
      <c r="J42" t="str">
        <f>IF(I42="","",IFERROR(IF(INDEX([1]ListadoFichasDeProduccion!LQ:MB,MATCH(A42,[1]ListadoFichasDeProduccion!A:A,0),K42)=0,"",INDEX([1]ListadoFichasDeProduccion!LQ:MB,MATCH(A42,[1]ListadoFichasDeProduccion!A:A,0),K42)),""))</f>
        <v/>
      </c>
      <c r="K42" s="11">
        <v>2</v>
      </c>
    </row>
    <row r="43" spans="1:11" hidden="1" x14ac:dyDescent="0.3">
      <c r="A43" s="11" t="s">
        <v>299</v>
      </c>
      <c r="B43" t="str">
        <f>VLOOKUP(A43,[1]ListadoFichasDeProduccion!$A$2:$LP$3000,328,FALSE)</f>
        <v>COMPLETADO</v>
      </c>
      <c r="C43" s="11">
        <v>22</v>
      </c>
      <c r="D43" t="s">
        <v>11</v>
      </c>
      <c r="E43" t="s">
        <v>258</v>
      </c>
      <c r="G43" s="9">
        <v>45908</v>
      </c>
      <c r="H43" t="s">
        <v>35</v>
      </c>
      <c r="I43" s="11">
        <v>2</v>
      </c>
      <c r="J43" t="str">
        <f>IF(I43="","",IFERROR(IF(INDEX([1]ListadoFichasDeProduccion!LQ:MB,MATCH(A43,[1]ListadoFichasDeProduccion!A:A,0),K43)=0,"",INDEX([1]ListadoFichasDeProduccion!LQ:MB,MATCH(A43,[1]ListadoFichasDeProduccion!A:A,0),K43)),""))</f>
        <v/>
      </c>
      <c r="K43" s="11">
        <v>3</v>
      </c>
    </row>
    <row r="44" spans="1:11" hidden="1" x14ac:dyDescent="0.3">
      <c r="A44" s="11" t="s">
        <v>299</v>
      </c>
      <c r="B44" t="str">
        <f>VLOOKUP(A44,[1]ListadoFichasDeProduccion!$A$2:$LP$3000,328,FALSE)</f>
        <v>COMPLETADO</v>
      </c>
      <c r="C44" s="11">
        <v>22</v>
      </c>
      <c r="D44" t="s">
        <v>11</v>
      </c>
      <c r="E44" t="s">
        <v>258</v>
      </c>
      <c r="G44" s="9">
        <v>45908</v>
      </c>
      <c r="H44" t="s">
        <v>300</v>
      </c>
      <c r="I44" s="11">
        <v>6</v>
      </c>
      <c r="J44" t="str">
        <f>IF(I44="","",IFERROR(IF(INDEX([1]ListadoFichasDeProduccion!LQ:MB,MATCH(A44,[1]ListadoFichasDeProduccion!A:A,0),K44)=0,"",INDEX([1]ListadoFichasDeProduccion!LQ:MB,MATCH(A44,[1]ListadoFichasDeProduccion!A:A,0),K44)),""))</f>
        <v/>
      </c>
      <c r="K44" s="11">
        <v>4</v>
      </c>
    </row>
    <row r="45" spans="1:11" hidden="1" x14ac:dyDescent="0.3">
      <c r="A45" s="11" t="s">
        <v>299</v>
      </c>
      <c r="B45" t="str">
        <f>VLOOKUP(A45,[1]ListadoFichasDeProduccion!$A$2:$LP$3000,328,FALSE)</f>
        <v>COMPLETADO</v>
      </c>
      <c r="C45" s="11">
        <v>22</v>
      </c>
      <c r="D45" t="s">
        <v>11</v>
      </c>
      <c r="E45" t="s">
        <v>258</v>
      </c>
      <c r="G45" s="9">
        <v>45908</v>
      </c>
      <c r="H45" t="s">
        <v>301</v>
      </c>
      <c r="I45" s="11">
        <v>6</v>
      </c>
      <c r="J45" t="str">
        <f>IF(I45="","",IFERROR(IF(INDEX([1]ListadoFichasDeProduccion!LQ:MB,MATCH(A45,[1]ListadoFichasDeProduccion!A:A,0),K45)=0,"",INDEX([1]ListadoFichasDeProduccion!LQ:MB,MATCH(A45,[1]ListadoFichasDeProduccion!A:A,0),K45)),""))</f>
        <v/>
      </c>
      <c r="K45" s="11">
        <v>5</v>
      </c>
    </row>
    <row r="46" spans="1:11" hidden="1" x14ac:dyDescent="0.3">
      <c r="A46" s="11" t="s">
        <v>308</v>
      </c>
      <c r="B46" t="str">
        <f>VLOOKUP(A46,[1]ListadoFichasDeProduccion!$A$2:$LP$3000,328,FALSE)</f>
        <v>COMPLETADO</v>
      </c>
      <c r="C46" s="11">
        <v>6</v>
      </c>
      <c r="D46" t="s">
        <v>11</v>
      </c>
      <c r="E46" t="s">
        <v>258</v>
      </c>
      <c r="G46" s="9">
        <v>45912</v>
      </c>
      <c r="H46" t="s">
        <v>305</v>
      </c>
      <c r="I46" s="11">
        <v>6</v>
      </c>
      <c r="J46" t="str">
        <f>IF(I46="","",IFERROR(IF(INDEX([1]ListadoFichasDeProduccion!LQ:MB,MATCH(A46,[1]ListadoFichasDeProduccion!A:A,0),K46)=0,"",INDEX([1]ListadoFichasDeProduccion!LQ:MB,MATCH(A46,[1]ListadoFichasDeProduccion!A:A,0),K46)),""))</f>
        <v/>
      </c>
      <c r="K46" s="11">
        <v>1</v>
      </c>
    </row>
    <row r="47" spans="1:11" hidden="1" x14ac:dyDescent="0.3">
      <c r="A47" s="11" t="s">
        <v>443</v>
      </c>
      <c r="B47" t="str">
        <f>VLOOKUP(A47,[1]ListadoFichasDeProduccion!$A$2:$LP$3000,328,FALSE)</f>
        <v>COMPLETADO</v>
      </c>
      <c r="C47" s="11">
        <v>30</v>
      </c>
      <c r="D47" t="s">
        <v>11</v>
      </c>
      <c r="E47" t="s">
        <v>258</v>
      </c>
      <c r="G47" s="9">
        <v>45959</v>
      </c>
      <c r="H47" t="s">
        <v>24</v>
      </c>
      <c r="I47" s="11">
        <v>4</v>
      </c>
      <c r="J47" t="str">
        <f>IF(I47="","",IFERROR(IF(INDEX([1]ListadoFichasDeProduccion!LQ:MB,MATCH(A47,[1]ListadoFichasDeProduccion!A:A,0),K47)=0,"",INDEX([1]ListadoFichasDeProduccion!LQ:MB,MATCH(A47,[1]ListadoFichasDeProduccion!A:A,0),K47)),""))</f>
        <v/>
      </c>
      <c r="K47" s="11">
        <v>1</v>
      </c>
    </row>
    <row r="48" spans="1:11" hidden="1" x14ac:dyDescent="0.3">
      <c r="A48" s="11" t="s">
        <v>443</v>
      </c>
      <c r="B48" t="str">
        <f>VLOOKUP(A48,[1]ListadoFichasDeProduccion!$A$2:$LP$3000,328,FALSE)</f>
        <v>COMPLETADO</v>
      </c>
      <c r="C48" s="11">
        <v>30</v>
      </c>
      <c r="D48" t="s">
        <v>11</v>
      </c>
      <c r="E48" t="s">
        <v>258</v>
      </c>
      <c r="G48" s="9">
        <v>45959</v>
      </c>
      <c r="H48" t="s">
        <v>221</v>
      </c>
      <c r="I48" s="11">
        <v>14</v>
      </c>
      <c r="J48" t="str">
        <f>IF(I48="","",IFERROR(IF(INDEX([1]ListadoFichasDeProduccion!LQ:MB,MATCH(A48,[1]ListadoFichasDeProduccion!A:A,0),K48)=0,"",INDEX([1]ListadoFichasDeProduccion!LQ:MB,MATCH(A48,[1]ListadoFichasDeProduccion!A:A,0),K48)),""))</f>
        <v/>
      </c>
      <c r="K48" s="11">
        <v>2</v>
      </c>
    </row>
    <row r="49" spans="1:11" hidden="1" x14ac:dyDescent="0.3">
      <c r="A49" s="11" t="s">
        <v>443</v>
      </c>
      <c r="B49" t="str">
        <f>VLOOKUP(A49,[1]ListadoFichasDeProduccion!$A$2:$LP$3000,328,FALSE)</f>
        <v>COMPLETADO</v>
      </c>
      <c r="C49" s="11">
        <v>30</v>
      </c>
      <c r="D49" t="s">
        <v>11</v>
      </c>
      <c r="E49" t="s">
        <v>258</v>
      </c>
      <c r="G49" s="9">
        <v>45959</v>
      </c>
      <c r="H49" t="s">
        <v>300</v>
      </c>
      <c r="I49" s="11">
        <v>8</v>
      </c>
      <c r="J49" t="str">
        <f>IF(I49="","",IFERROR(IF(INDEX([1]ListadoFichasDeProduccion!LQ:MB,MATCH(A49,[1]ListadoFichasDeProduccion!A:A,0),K49)=0,"",INDEX([1]ListadoFichasDeProduccion!LQ:MB,MATCH(A49,[1]ListadoFichasDeProduccion!A:A,0),K49)),""))</f>
        <v/>
      </c>
      <c r="K49" s="11">
        <v>3</v>
      </c>
    </row>
    <row r="50" spans="1:11" hidden="1" x14ac:dyDescent="0.3">
      <c r="A50" s="11" t="s">
        <v>443</v>
      </c>
      <c r="B50" t="str">
        <f>VLOOKUP(A50,[1]ListadoFichasDeProduccion!$A$2:$LP$3000,328,FALSE)</f>
        <v>COMPLETADO</v>
      </c>
      <c r="C50" s="11">
        <v>30</v>
      </c>
      <c r="D50" t="s">
        <v>11</v>
      </c>
      <c r="E50" t="s">
        <v>258</v>
      </c>
      <c r="G50" s="9">
        <v>45959</v>
      </c>
      <c r="H50" t="s">
        <v>301</v>
      </c>
      <c r="I50" s="11">
        <v>4</v>
      </c>
      <c r="J50" t="str">
        <f>IF(I50="","",IFERROR(IF(INDEX([1]ListadoFichasDeProduccion!LQ:MB,MATCH(A50,[1]ListadoFichasDeProduccion!A:A,0),K50)=0,"",INDEX([1]ListadoFichasDeProduccion!LQ:MB,MATCH(A50,[1]ListadoFichasDeProduccion!A:A,0),K50)),""))</f>
        <v/>
      </c>
      <c r="K50" s="11">
        <v>4</v>
      </c>
    </row>
    <row r="51" spans="1:11" hidden="1" x14ac:dyDescent="0.3">
      <c r="A51" s="11" t="s">
        <v>472</v>
      </c>
      <c r="B51" t="str">
        <f>VLOOKUP(A51,[1]ListadoFichasDeProduccion!$A$2:$LP$3000,328,FALSE)</f>
        <v>COMPLETADO</v>
      </c>
      <c r="C51" s="11">
        <v>8</v>
      </c>
      <c r="D51" t="s">
        <v>11</v>
      </c>
      <c r="E51" t="s">
        <v>258</v>
      </c>
      <c r="G51" s="9">
        <v>45968</v>
      </c>
      <c r="H51" t="s">
        <v>35</v>
      </c>
      <c r="I51" s="11">
        <v>8</v>
      </c>
      <c r="J51" t="str">
        <f>IF(I51="","",IFERROR(IF(INDEX([1]ListadoFichasDeProduccion!LQ:MB,MATCH(A51,[1]ListadoFichasDeProduccion!A:A,0),K51)=0,"",INDEX([1]ListadoFichasDeProduccion!LQ:MB,MATCH(A51,[1]ListadoFichasDeProduccion!A:A,0),K51)),""))</f>
        <v/>
      </c>
      <c r="K51" s="11">
        <v>2</v>
      </c>
    </row>
    <row r="52" spans="1:11" hidden="1" x14ac:dyDescent="0.3">
      <c r="A52" s="11">
        <v>1651</v>
      </c>
      <c r="B52" s="8" t="str">
        <f>VLOOKUP(A52,[1]ListadoFichasDeProduccion!$A$2:$LP$3000,328,FALSE)</f>
        <v>COMPLETADO</v>
      </c>
      <c r="C52" s="11">
        <v>3</v>
      </c>
      <c r="D52" t="s">
        <v>11</v>
      </c>
      <c r="E52" t="s">
        <v>99</v>
      </c>
      <c r="G52" s="9">
        <v>45705</v>
      </c>
      <c r="H52" t="s">
        <v>39</v>
      </c>
      <c r="I52" s="11">
        <v>2</v>
      </c>
      <c r="J52" t="str">
        <f>IF(I52="","",IFERROR(IF(INDEX([1]ListadoFichasDeProduccion!LQ:MB,MATCH(A52,[1]ListadoFichasDeProduccion!A:A,0),K52)=0,"",INDEX([1]ListadoFichasDeProduccion!LQ:MB,MATCH(A52,[1]ListadoFichasDeProduccion!A:A,0),K52)),""))</f>
        <v/>
      </c>
      <c r="K52" s="11">
        <v>1</v>
      </c>
    </row>
    <row r="53" spans="1:11" hidden="1" x14ac:dyDescent="0.3">
      <c r="A53" s="11">
        <v>1651</v>
      </c>
      <c r="B53" s="8" t="str">
        <f>VLOOKUP(A53,[1]ListadoFichasDeProduccion!$A$2:$LP$3000,328,FALSE)</f>
        <v>COMPLETADO</v>
      </c>
      <c r="C53" s="11">
        <v>3</v>
      </c>
      <c r="D53" t="s">
        <v>11</v>
      </c>
      <c r="E53" t="s">
        <v>99</v>
      </c>
      <c r="G53" s="9">
        <v>45705</v>
      </c>
      <c r="H53" t="s">
        <v>22</v>
      </c>
      <c r="I53" s="11">
        <v>1</v>
      </c>
      <c r="J53" t="str">
        <f>IF(I53="","",IFERROR(IF(INDEX([1]ListadoFichasDeProduccion!LQ:MB,MATCH(A53,[1]ListadoFichasDeProduccion!A:A,0),K53)=0,"",INDEX([1]ListadoFichasDeProduccion!LQ:MB,MATCH(A53,[1]ListadoFichasDeProduccion!A:A,0),K53)),""))</f>
        <v/>
      </c>
      <c r="K53" s="11">
        <v>2</v>
      </c>
    </row>
    <row r="54" spans="1:11" hidden="1" x14ac:dyDescent="0.3">
      <c r="A54" s="11">
        <v>1749</v>
      </c>
      <c r="B54" s="8" t="str">
        <f>VLOOKUP(A54,[1]ListadoFichasDeProduccion!$A$2:$LP$3000,328,FALSE)</f>
        <v>COMPLETADO</v>
      </c>
      <c r="C54" s="11">
        <v>5</v>
      </c>
      <c r="D54" t="s">
        <v>11</v>
      </c>
      <c r="E54" t="s">
        <v>99</v>
      </c>
      <c r="G54" s="9">
        <v>45763</v>
      </c>
      <c r="H54" t="s">
        <v>39</v>
      </c>
      <c r="I54" s="11">
        <v>3</v>
      </c>
      <c r="J54" t="str">
        <f>IF(I54="","",IFERROR(IF(INDEX([1]ListadoFichasDeProduccion!LQ:MB,MATCH(A54,[1]ListadoFichasDeProduccion!A:A,0),K54)=0,"",INDEX([1]ListadoFichasDeProduccion!LQ:MB,MATCH(A54,[1]ListadoFichasDeProduccion!A:A,0),K54)),""))</f>
        <v/>
      </c>
      <c r="K54" s="11">
        <v>1</v>
      </c>
    </row>
    <row r="55" spans="1:11" hidden="1" x14ac:dyDescent="0.3">
      <c r="A55" s="11">
        <v>1749</v>
      </c>
      <c r="B55" s="8" t="str">
        <f>VLOOKUP(A55,[1]ListadoFichasDeProduccion!$A$2:$LP$3000,328,FALSE)</f>
        <v>COMPLETADO</v>
      </c>
      <c r="C55" s="11">
        <v>5</v>
      </c>
      <c r="D55" t="s">
        <v>11</v>
      </c>
      <c r="E55" t="s">
        <v>99</v>
      </c>
      <c r="G55" s="9">
        <v>45763</v>
      </c>
      <c r="H55" t="s">
        <v>22</v>
      </c>
      <c r="I55" s="11">
        <v>2</v>
      </c>
      <c r="J55" t="str">
        <f>IF(I55="","",IFERROR(IF(INDEX([1]ListadoFichasDeProduccion!LQ:MB,MATCH(A55,[1]ListadoFichasDeProduccion!A:A,0),K55)=0,"",INDEX([1]ListadoFichasDeProduccion!LQ:MB,MATCH(A55,[1]ListadoFichasDeProduccion!A:A,0),K55)),""))</f>
        <v/>
      </c>
      <c r="K55" s="11">
        <v>2</v>
      </c>
    </row>
    <row r="56" spans="1:11" hidden="1" x14ac:dyDescent="0.3">
      <c r="A56" s="11">
        <v>1792</v>
      </c>
      <c r="B56" s="8" t="str">
        <f>VLOOKUP(A56,[1]ListadoFichasDeProduccion!$A$2:$LP$3000,328,FALSE)</f>
        <v>COMPLETADO</v>
      </c>
      <c r="C56" s="11">
        <v>14</v>
      </c>
      <c r="D56" t="s">
        <v>11</v>
      </c>
      <c r="E56" t="s">
        <v>99</v>
      </c>
      <c r="G56" s="9">
        <v>45797</v>
      </c>
      <c r="H56" t="s">
        <v>39</v>
      </c>
      <c r="I56" s="11">
        <v>4</v>
      </c>
      <c r="J56" t="str">
        <f>IF(I56="","",IFERROR(IF(INDEX([1]ListadoFichasDeProduccion!LQ:MB,MATCH(A56,[1]ListadoFichasDeProduccion!A:A,0),K56)=0,"",INDEX([1]ListadoFichasDeProduccion!LQ:MB,MATCH(A56,[1]ListadoFichasDeProduccion!A:A,0),K56)),""))</f>
        <v/>
      </c>
      <c r="K56" s="11">
        <v>1</v>
      </c>
    </row>
    <row r="57" spans="1:11" hidden="1" x14ac:dyDescent="0.3">
      <c r="A57" s="11">
        <v>1792</v>
      </c>
      <c r="B57" s="8" t="str">
        <f>VLOOKUP(A57,[1]ListadoFichasDeProduccion!$A$2:$LP$3000,328,FALSE)</f>
        <v>COMPLETADO</v>
      </c>
      <c r="C57" s="11">
        <v>14</v>
      </c>
      <c r="D57" t="s">
        <v>11</v>
      </c>
      <c r="E57" t="s">
        <v>99</v>
      </c>
      <c r="G57" s="9">
        <v>45797</v>
      </c>
      <c r="H57" t="s">
        <v>22</v>
      </c>
      <c r="I57" s="11">
        <v>3</v>
      </c>
      <c r="J57" t="str">
        <f>IF(I57="","",IFERROR(IF(INDEX([1]ListadoFichasDeProduccion!LQ:MB,MATCH(A57,[1]ListadoFichasDeProduccion!A:A,0),K57)=0,"",INDEX([1]ListadoFichasDeProduccion!LQ:MB,MATCH(A57,[1]ListadoFichasDeProduccion!A:A,0),K57)),""))</f>
        <v/>
      </c>
      <c r="K57" s="11">
        <v>2</v>
      </c>
    </row>
    <row r="58" spans="1:11" hidden="1" x14ac:dyDescent="0.3">
      <c r="A58" s="11">
        <v>1792</v>
      </c>
      <c r="B58" s="8" t="str">
        <f>VLOOKUP(A58,[1]ListadoFichasDeProduccion!$A$2:$LP$3000,328,FALSE)</f>
        <v>COMPLETADO</v>
      </c>
      <c r="C58" s="11">
        <v>14</v>
      </c>
      <c r="D58" t="s">
        <v>11</v>
      </c>
      <c r="E58" t="s">
        <v>99</v>
      </c>
      <c r="G58" s="9">
        <v>45797</v>
      </c>
      <c r="H58" t="s">
        <v>35</v>
      </c>
      <c r="I58" s="11">
        <v>3</v>
      </c>
      <c r="J58" t="str">
        <f>IF(I58="","",IFERROR(IF(INDEX([1]ListadoFichasDeProduccion!LQ:MB,MATCH(A58,[1]ListadoFichasDeProduccion!A:A,0),K58)=0,"",INDEX([1]ListadoFichasDeProduccion!LQ:MB,MATCH(A58,[1]ListadoFichasDeProduccion!A:A,0),K58)),""))</f>
        <v/>
      </c>
      <c r="K58" s="11">
        <v>3</v>
      </c>
    </row>
    <row r="59" spans="1:11" hidden="1" x14ac:dyDescent="0.3">
      <c r="A59" s="11">
        <v>1792</v>
      </c>
      <c r="B59" s="8" t="str">
        <f>VLOOKUP(A59,[1]ListadoFichasDeProduccion!$A$2:$LP$3000,328,FALSE)</f>
        <v>COMPLETADO</v>
      </c>
      <c r="C59" s="11">
        <v>14</v>
      </c>
      <c r="D59" t="s">
        <v>11</v>
      </c>
      <c r="E59" t="s">
        <v>99</v>
      </c>
      <c r="G59" s="9">
        <v>45797</v>
      </c>
      <c r="H59" t="s">
        <v>138</v>
      </c>
      <c r="I59" s="11">
        <v>4</v>
      </c>
      <c r="J59" t="str">
        <f>IF(I59="","",IFERROR(IF(INDEX([1]ListadoFichasDeProduccion!LQ:MB,MATCH(A59,[1]ListadoFichasDeProduccion!A:A,0),K59)=0,"",INDEX([1]ListadoFichasDeProduccion!LQ:MB,MATCH(A59,[1]ListadoFichasDeProduccion!A:A,0),K59)),""))</f>
        <v/>
      </c>
      <c r="K59" s="11">
        <v>4</v>
      </c>
    </row>
    <row r="60" spans="1:11" hidden="1" x14ac:dyDescent="0.3">
      <c r="A60" s="11">
        <v>1886</v>
      </c>
      <c r="B60" s="8" t="str">
        <f>VLOOKUP(A60,[1]ListadoFichasDeProduccion!$A$2:$LP$3000,328,FALSE)</f>
        <v>COMPLETADO</v>
      </c>
      <c r="C60" s="11">
        <v>5</v>
      </c>
      <c r="D60" t="s">
        <v>11</v>
      </c>
      <c r="E60" t="s">
        <v>99</v>
      </c>
      <c r="G60" s="9">
        <v>45841</v>
      </c>
      <c r="H60" t="s">
        <v>35</v>
      </c>
      <c r="I60" s="11">
        <v>5</v>
      </c>
      <c r="J60" t="str">
        <f>IF(I60="","",IFERROR(IF(INDEX([1]ListadoFichasDeProduccion!LQ:MB,MATCH(A60,[1]ListadoFichasDeProduccion!A:A,0),K60)=0,"",INDEX([1]ListadoFichasDeProduccion!LQ:MB,MATCH(A60,[1]ListadoFichasDeProduccion!A:A,0),K60)),""))</f>
        <v/>
      </c>
      <c r="K60" s="11">
        <v>1</v>
      </c>
    </row>
    <row r="61" spans="1:11" hidden="1" x14ac:dyDescent="0.3">
      <c r="A61" s="11">
        <v>1938</v>
      </c>
      <c r="B61" t="str">
        <f>VLOOKUP(A61,[1]ListadoFichasDeProduccion!$A$2:$LP$3000,328,FALSE)</f>
        <v>COMPLETADO</v>
      </c>
      <c r="C61" s="11">
        <v>8</v>
      </c>
      <c r="D61" t="s">
        <v>11</v>
      </c>
      <c r="E61" t="s">
        <v>99</v>
      </c>
      <c r="G61" s="9">
        <v>45883</v>
      </c>
      <c r="H61" t="s">
        <v>39</v>
      </c>
      <c r="I61" s="11">
        <v>2</v>
      </c>
      <c r="J61" t="str">
        <f>IF(I61="","",IFERROR(IF(INDEX([1]ListadoFichasDeProduccion!LQ:MB,MATCH(A61,[1]ListadoFichasDeProduccion!A:A,0),K61)=0,"",INDEX([1]ListadoFichasDeProduccion!LQ:MB,MATCH(A61,[1]ListadoFichasDeProduccion!A:A,0),K61)),""))</f>
        <v/>
      </c>
      <c r="K61" s="11">
        <v>1</v>
      </c>
    </row>
    <row r="62" spans="1:11" hidden="1" x14ac:dyDescent="0.3">
      <c r="A62" s="11">
        <v>1938</v>
      </c>
      <c r="B62" t="str">
        <f>VLOOKUP(A62,[1]ListadoFichasDeProduccion!$A$2:$LP$3000,328,FALSE)</f>
        <v>COMPLETADO</v>
      </c>
      <c r="C62" s="11">
        <v>8</v>
      </c>
      <c r="D62" t="s">
        <v>11</v>
      </c>
      <c r="E62" t="s">
        <v>99</v>
      </c>
      <c r="G62" s="9">
        <v>45883</v>
      </c>
      <c r="H62" t="s">
        <v>22</v>
      </c>
      <c r="I62" s="11">
        <v>6</v>
      </c>
      <c r="J62" t="str">
        <f>IF(I62="","",IFERROR(IF(INDEX([1]ListadoFichasDeProduccion!LQ:MB,MATCH(A62,[1]ListadoFichasDeProduccion!A:A,0),K62)=0,"",INDEX([1]ListadoFichasDeProduccion!LQ:MB,MATCH(A62,[1]ListadoFichasDeProduccion!A:A,0),K62)),""))</f>
        <v/>
      </c>
      <c r="K62" s="11">
        <v>2</v>
      </c>
    </row>
    <row r="63" spans="1:11" hidden="1" x14ac:dyDescent="0.3">
      <c r="A63" s="11" t="s">
        <v>330</v>
      </c>
      <c r="B63" t="str">
        <f>VLOOKUP(A63,[1]ListadoFichasDeProduccion!$A$2:$LP$3000,328,FALSE)</f>
        <v>COMPLETADO</v>
      </c>
      <c r="C63" s="11">
        <v>6</v>
      </c>
      <c r="D63" t="s">
        <v>11</v>
      </c>
      <c r="E63" t="s">
        <v>99</v>
      </c>
      <c r="G63" s="9">
        <v>45918</v>
      </c>
      <c r="H63" t="s">
        <v>39</v>
      </c>
      <c r="I63" s="11">
        <v>6</v>
      </c>
      <c r="J63" t="str">
        <f>IF(I63="","",IFERROR(IF(INDEX([1]ListadoFichasDeProduccion!LQ:MB,MATCH(A63,[1]ListadoFichasDeProduccion!A:A,0),K63)=0,"",INDEX([1]ListadoFichasDeProduccion!LQ:MB,MATCH(A63,[1]ListadoFichasDeProduccion!A:A,0),K63)),""))</f>
        <v/>
      </c>
      <c r="K63" s="11">
        <v>1</v>
      </c>
    </row>
    <row r="64" spans="1:11" x14ac:dyDescent="0.3">
      <c r="A64" s="11" t="s">
        <v>497</v>
      </c>
      <c r="B64" t="str">
        <f>VLOOKUP(A64,[1]ListadoFichasDeProduccion!$A$2:$LP$3000,328,FALSE)</f>
        <v>NO COMENZADO</v>
      </c>
      <c r="C64" s="11">
        <v>9</v>
      </c>
      <c r="D64" t="s">
        <v>11</v>
      </c>
      <c r="E64" t="s">
        <v>99</v>
      </c>
      <c r="H64" t="s">
        <v>39</v>
      </c>
      <c r="I64" s="11">
        <v>3</v>
      </c>
      <c r="J64" t="str">
        <f>IF(I64="","",IFERROR(IF(INDEX([1]ListadoFichasDeProduccion!LQ:MB,MATCH(A64,[1]ListadoFichasDeProduccion!A:A,0),K64)=0,"",INDEX([1]ListadoFichasDeProduccion!LQ:MB,MATCH(A64,[1]ListadoFichasDeProduccion!A:A,0),K64)),""))</f>
        <v/>
      </c>
      <c r="K64" s="11">
        <v>1</v>
      </c>
    </row>
    <row r="65" spans="1:11" x14ac:dyDescent="0.3">
      <c r="A65" s="11" t="s">
        <v>497</v>
      </c>
      <c r="B65" t="str">
        <f>VLOOKUP(A65,[1]ListadoFichasDeProduccion!$A$2:$LP$3000,328,FALSE)</f>
        <v>NO COMENZADO</v>
      </c>
      <c r="C65" s="11">
        <v>9</v>
      </c>
      <c r="D65" t="s">
        <v>11</v>
      </c>
      <c r="E65" t="s">
        <v>99</v>
      </c>
      <c r="H65" t="s">
        <v>24</v>
      </c>
      <c r="I65" s="11">
        <v>2</v>
      </c>
      <c r="J65" t="str">
        <f>IF(I65="","",IFERROR(IF(INDEX([1]ListadoFichasDeProduccion!LQ:MB,MATCH(A65,[1]ListadoFichasDeProduccion!A:A,0),K65)=0,"",INDEX([1]ListadoFichasDeProduccion!LQ:MB,MATCH(A65,[1]ListadoFichasDeProduccion!A:A,0),K65)),""))</f>
        <v/>
      </c>
      <c r="K65" s="11">
        <v>2</v>
      </c>
    </row>
    <row r="66" spans="1:11" x14ac:dyDescent="0.3">
      <c r="A66" s="11" t="s">
        <v>497</v>
      </c>
      <c r="B66" t="str">
        <f>VLOOKUP(A66,[1]ListadoFichasDeProduccion!$A$2:$LP$3000,328,FALSE)</f>
        <v>NO COMENZADO</v>
      </c>
      <c r="C66" s="11">
        <v>9</v>
      </c>
      <c r="D66" t="s">
        <v>11</v>
      </c>
      <c r="E66" t="s">
        <v>99</v>
      </c>
      <c r="H66" t="s">
        <v>138</v>
      </c>
      <c r="I66" s="11">
        <v>4</v>
      </c>
      <c r="J66" t="str">
        <f>IF(I66="","",IFERROR(IF(INDEX([1]ListadoFichasDeProduccion!LQ:MB,MATCH(A66,[1]ListadoFichasDeProduccion!A:A,0),K66)=0,"",INDEX([1]ListadoFichasDeProduccion!LQ:MB,MATCH(A66,[1]ListadoFichasDeProduccion!A:A,0),K66)),""))</f>
        <v/>
      </c>
      <c r="K66" s="11">
        <v>3</v>
      </c>
    </row>
    <row r="67" spans="1:11" hidden="1" x14ac:dyDescent="0.3">
      <c r="A67" s="11">
        <v>1726</v>
      </c>
      <c r="B67" s="8" t="str">
        <f>VLOOKUP(A67,[1]ListadoFichasDeProduccion!$A$2:$LP$3000,328,FALSE)</f>
        <v>COMPLETADO</v>
      </c>
      <c r="C67" s="11">
        <v>24</v>
      </c>
      <c r="D67" t="s">
        <v>11</v>
      </c>
      <c r="E67" t="s">
        <v>147</v>
      </c>
      <c r="G67" s="9">
        <v>45761</v>
      </c>
      <c r="H67" t="s">
        <v>123</v>
      </c>
      <c r="I67" s="11">
        <v>12</v>
      </c>
      <c r="J67" t="str">
        <f>IF(I67="","",IFERROR(IF(INDEX([1]ListadoFichasDeProduccion!LQ:MB,MATCH(A67,[1]ListadoFichasDeProduccion!A:A,0),K67)=0,"",INDEX([1]ListadoFichasDeProduccion!LQ:MB,MATCH(A67,[1]ListadoFichasDeProduccion!A:A,0),K67)),""))</f>
        <v/>
      </c>
      <c r="K67" s="11">
        <v>1</v>
      </c>
    </row>
    <row r="68" spans="1:11" hidden="1" x14ac:dyDescent="0.3">
      <c r="A68" s="11">
        <v>1726</v>
      </c>
      <c r="B68" s="8" t="str">
        <f>VLOOKUP(A68,[1]ListadoFichasDeProduccion!$A$2:$LP$3000,328,FALSE)</f>
        <v>COMPLETADO</v>
      </c>
      <c r="C68" s="11">
        <v>24</v>
      </c>
      <c r="D68" t="s">
        <v>11</v>
      </c>
      <c r="E68" t="s">
        <v>147</v>
      </c>
      <c r="G68" s="9">
        <v>45761</v>
      </c>
      <c r="H68" t="s">
        <v>19</v>
      </c>
      <c r="I68" s="11">
        <v>12</v>
      </c>
      <c r="J68" t="str">
        <f>IF(I68="","",IFERROR(IF(INDEX([1]ListadoFichasDeProduccion!LQ:MB,MATCH(A68,[1]ListadoFichasDeProduccion!A:A,0),K68)=0,"",INDEX([1]ListadoFichasDeProduccion!LQ:MB,MATCH(A68,[1]ListadoFichasDeProduccion!A:A,0),K68)),""))</f>
        <v/>
      </c>
      <c r="K68" s="11">
        <v>2</v>
      </c>
    </row>
    <row r="69" spans="1:11" hidden="1" x14ac:dyDescent="0.3">
      <c r="A69" s="11">
        <v>1839</v>
      </c>
      <c r="B69" s="8" t="str">
        <f>VLOOKUP(A69,[1]ListadoFichasDeProduccion!$A$2:$LP$3000,328,FALSE)</f>
        <v>COMPLETADO</v>
      </c>
      <c r="C69" s="11">
        <v>10</v>
      </c>
      <c r="D69" t="s">
        <v>11</v>
      </c>
      <c r="E69" t="s">
        <v>147</v>
      </c>
      <c r="G69" s="9">
        <v>45832</v>
      </c>
      <c r="H69" t="s">
        <v>123</v>
      </c>
      <c r="I69" s="11">
        <v>6</v>
      </c>
      <c r="J69" t="str">
        <f>IF(I69="","",IFERROR(IF(INDEX([1]ListadoFichasDeProduccion!LQ:MB,MATCH(A69,[1]ListadoFichasDeProduccion!A:A,0),K69)=0,"",INDEX([1]ListadoFichasDeProduccion!LQ:MB,MATCH(A69,[1]ListadoFichasDeProduccion!A:A,0),K69)),""))</f>
        <v>QUE SE VEA LA MANCHA SI NO SALE DE RETAZOS USAR PLACA</v>
      </c>
      <c r="K69" s="11">
        <v>1</v>
      </c>
    </row>
    <row r="70" spans="1:11" hidden="1" x14ac:dyDescent="0.3">
      <c r="A70" s="11">
        <v>1839</v>
      </c>
      <c r="B70" s="8" t="str">
        <f>VLOOKUP(A70,[1]ListadoFichasDeProduccion!$A$2:$LP$3000,328,FALSE)</f>
        <v>COMPLETADO</v>
      </c>
      <c r="C70" s="11">
        <v>10</v>
      </c>
      <c r="D70" t="s">
        <v>11</v>
      </c>
      <c r="E70" t="s">
        <v>147</v>
      </c>
      <c r="G70" s="9">
        <v>45832</v>
      </c>
      <c r="H70" t="s">
        <v>19</v>
      </c>
      <c r="I70" s="11">
        <v>4</v>
      </c>
      <c r="J70" t="str">
        <f>IF(I70="","",IFERROR(IF(INDEX([1]ListadoFichasDeProduccion!LQ:MB,MATCH(A70,[1]ListadoFichasDeProduccion!A:A,0),K70)=0,"",INDEX([1]ListadoFichasDeProduccion!LQ:MB,MATCH(A70,[1]ListadoFichasDeProduccion!A:A,0),K70)),""))</f>
        <v>QUE SE VEA LA MANCHA SI NO SALE DE RETAZOS USAR PLACA</v>
      </c>
      <c r="K70" s="11">
        <v>2</v>
      </c>
    </row>
    <row r="71" spans="1:11" hidden="1" x14ac:dyDescent="0.3">
      <c r="A71" s="11">
        <v>1929</v>
      </c>
      <c r="B71" t="str">
        <f>VLOOKUP(A71,[1]ListadoFichasDeProduccion!$A$2:$LP$3000,328,FALSE)</f>
        <v>COMPLETADO</v>
      </c>
      <c r="C71" s="11">
        <v>14</v>
      </c>
      <c r="D71" t="s">
        <v>11</v>
      </c>
      <c r="E71" t="s">
        <v>147</v>
      </c>
      <c r="G71" s="9">
        <v>45877</v>
      </c>
      <c r="H71" t="s">
        <v>123</v>
      </c>
      <c r="I71" s="11">
        <v>8</v>
      </c>
      <c r="J71" t="str">
        <f>IF(I71="","",IFERROR(IF(INDEX([1]ListadoFichasDeProduccion!LQ:MB,MATCH(A71,[1]ListadoFichasDeProduccion!A:A,0),K71)=0,"",INDEX([1]ListadoFichasDeProduccion!LQ:MB,MATCH(A71,[1]ListadoFichasDeProduccion!A:A,0),K71)),""))</f>
        <v/>
      </c>
      <c r="K71" s="11">
        <v>1</v>
      </c>
    </row>
    <row r="72" spans="1:11" hidden="1" x14ac:dyDescent="0.3">
      <c r="A72" s="11">
        <v>1929</v>
      </c>
      <c r="B72" t="str">
        <f>VLOOKUP(A72,[1]ListadoFichasDeProduccion!$A$2:$LP$3000,328,FALSE)</f>
        <v>COMPLETADO</v>
      </c>
      <c r="C72" s="11">
        <v>14</v>
      </c>
      <c r="D72" t="s">
        <v>11</v>
      </c>
      <c r="E72" t="s">
        <v>147</v>
      </c>
      <c r="G72" s="9">
        <v>45877</v>
      </c>
      <c r="H72" t="s">
        <v>19</v>
      </c>
      <c r="I72" s="11">
        <v>6</v>
      </c>
      <c r="J72" t="str">
        <f>IF(I72="","",IFERROR(IF(INDEX([1]ListadoFichasDeProduccion!LQ:MB,MATCH(A72,[1]ListadoFichasDeProduccion!A:A,0),K72)=0,"",INDEX([1]ListadoFichasDeProduccion!LQ:MB,MATCH(A72,[1]ListadoFichasDeProduccion!A:A,0),K72)),""))</f>
        <v/>
      </c>
      <c r="K72" s="11">
        <v>2</v>
      </c>
    </row>
    <row r="73" spans="1:11" x14ac:dyDescent="0.3">
      <c r="A73" s="11">
        <v>19292</v>
      </c>
      <c r="B73" t="str">
        <f>VLOOKUP(A73,[1]ListadoFichasDeProduccion!$A$2:$LP$3000,328,FALSE)</f>
        <v>NO COMENZADO</v>
      </c>
      <c r="C73" s="11">
        <v>8</v>
      </c>
      <c r="D73" t="s">
        <v>11</v>
      </c>
      <c r="E73" t="s">
        <v>147</v>
      </c>
      <c r="H73" t="s">
        <v>123</v>
      </c>
      <c r="I73" s="11">
        <v>8</v>
      </c>
      <c r="J73" t="str">
        <f>IF(I73="","",IFERROR(IF(INDEX([1]ListadoFichasDeProduccion!LQ:MB,MATCH(A73,[1]ListadoFichasDeProduccion!A:A,0),K73)=0,"",INDEX([1]ListadoFichasDeProduccion!LQ:MB,MATCH(A73,[1]ListadoFichasDeProduccion!A:A,0),K73)),""))</f>
        <v/>
      </c>
      <c r="K73" s="11">
        <v>1</v>
      </c>
    </row>
    <row r="74" spans="1:11" x14ac:dyDescent="0.3">
      <c r="A74" s="11">
        <v>1939</v>
      </c>
      <c r="B74" t="str">
        <f>VLOOKUP(A74,[1]ListadoFichasDeProduccion!$A$2:$LP$3000,328,FALSE)</f>
        <v>NO COMENZADO</v>
      </c>
      <c r="C74" s="11">
        <v>6</v>
      </c>
      <c r="D74" t="s">
        <v>11</v>
      </c>
      <c r="E74" t="s">
        <v>147</v>
      </c>
      <c r="H74" t="s">
        <v>123</v>
      </c>
      <c r="I74" s="11">
        <v>6</v>
      </c>
      <c r="J74" t="str">
        <f>IF(I74="","",IFERROR(IF(INDEX([1]ListadoFichasDeProduccion!LQ:MB,MATCH(A74,[1]ListadoFichasDeProduccion!A:A,0),K74)=0,"",INDEX([1]ListadoFichasDeProduccion!LQ:MB,MATCH(A74,[1]ListadoFichasDeProduccion!A:A,0),K74)),""))</f>
        <v>QUE SE VEA LA MANCHA SI NO SALE DE RETAZOS USAR PLACA</v>
      </c>
      <c r="K74" s="11">
        <v>1</v>
      </c>
    </row>
    <row r="75" spans="1:11" hidden="1" x14ac:dyDescent="0.3">
      <c r="A75" s="11">
        <v>19392</v>
      </c>
      <c r="B75" t="str">
        <f>VLOOKUP(A75,[1]ListadoFichasDeProduccion!$A$2:$LP$3000,328,FALSE)</f>
        <v>COMPLETADO</v>
      </c>
      <c r="C75" s="11">
        <v>4</v>
      </c>
      <c r="D75" t="s">
        <v>11</v>
      </c>
      <c r="E75" t="s">
        <v>147</v>
      </c>
      <c r="G75" s="9">
        <v>45883</v>
      </c>
      <c r="H75" t="s">
        <v>19</v>
      </c>
      <c r="I75" s="11">
        <v>4</v>
      </c>
      <c r="J75" t="str">
        <f>IF(I75="","",IFERROR(IF(INDEX([1]ListadoFichasDeProduccion!LQ:MB,MATCH(A75,[1]ListadoFichasDeProduccion!A:A,0),K75)=0,"",INDEX([1]ListadoFichasDeProduccion!LQ:MB,MATCH(A75,[1]ListadoFichasDeProduccion!A:A,0),K75)),""))</f>
        <v/>
      </c>
      <c r="K75" s="11">
        <v>1</v>
      </c>
    </row>
    <row r="76" spans="1:11" hidden="1" x14ac:dyDescent="0.3">
      <c r="A76" s="11" t="s">
        <v>444</v>
      </c>
      <c r="B76" t="str">
        <f>VLOOKUP(A76,[1]ListadoFichasDeProduccion!$A$2:$LP$3000,328,FALSE)</f>
        <v>COMPLETADO</v>
      </c>
      <c r="C76" s="11">
        <v>18</v>
      </c>
      <c r="D76" t="s">
        <v>11</v>
      </c>
      <c r="E76" t="s">
        <v>147</v>
      </c>
      <c r="G76" s="9">
        <v>45959</v>
      </c>
      <c r="H76" t="s">
        <v>123</v>
      </c>
      <c r="I76" s="11">
        <v>12</v>
      </c>
      <c r="J76" t="str">
        <f>IF(I76="","",IFERROR(IF(INDEX([1]ListadoFichasDeProduccion!LQ:MB,MATCH(A76,[1]ListadoFichasDeProduccion!A:A,0),K76)=0,"",INDEX([1]ListadoFichasDeProduccion!LQ:MB,MATCH(A76,[1]ListadoFichasDeProduccion!A:A,0),K76)),""))</f>
        <v>QUE SE VEA LA MANCHA SI NO SALE DE RETAZOS USAR PLACA</v>
      </c>
      <c r="K76" s="11">
        <v>1</v>
      </c>
    </row>
    <row r="77" spans="1:11" hidden="1" x14ac:dyDescent="0.3">
      <c r="A77" s="11" t="s">
        <v>444</v>
      </c>
      <c r="B77" t="str">
        <f>VLOOKUP(A77,[1]ListadoFichasDeProduccion!$A$2:$LP$3000,328,FALSE)</f>
        <v>COMPLETADO</v>
      </c>
      <c r="C77" s="11">
        <v>18</v>
      </c>
      <c r="D77" t="s">
        <v>11</v>
      </c>
      <c r="E77" t="s">
        <v>147</v>
      </c>
      <c r="G77" s="9">
        <v>45959</v>
      </c>
      <c r="H77" t="s">
        <v>19</v>
      </c>
      <c r="I77" s="11">
        <v>6</v>
      </c>
      <c r="J77" t="str">
        <f>IF(I77="","",IFERROR(IF(INDEX([1]ListadoFichasDeProduccion!LQ:MB,MATCH(A77,[1]ListadoFichasDeProduccion!A:A,0),K77)=0,"",INDEX([1]ListadoFichasDeProduccion!LQ:MB,MATCH(A77,[1]ListadoFichasDeProduccion!A:A,0),K77)),""))</f>
        <v>QUE SE VEA LA MANCHA SI NO SALE DE RETAZOS USAR PLACA</v>
      </c>
      <c r="K77" s="11">
        <v>2</v>
      </c>
    </row>
    <row r="78" spans="1:11" hidden="1" x14ac:dyDescent="0.3">
      <c r="A78" s="11">
        <v>1652</v>
      </c>
      <c r="B78" s="8" t="str">
        <f>VLOOKUP(A78,[1]ListadoFichasDeProduccion!$A$2:$LP$3000,328,FALSE)</f>
        <v>COMPLETADO</v>
      </c>
      <c r="C78" s="11">
        <v>14</v>
      </c>
      <c r="D78" t="s">
        <v>11</v>
      </c>
      <c r="E78" t="s">
        <v>100</v>
      </c>
      <c r="F78" t="s">
        <v>101</v>
      </c>
      <c r="G78" s="9">
        <v>45706</v>
      </c>
      <c r="H78" t="s">
        <v>39</v>
      </c>
      <c r="I78" s="11">
        <v>2</v>
      </c>
      <c r="J78" t="str">
        <f>IF(I78="","",IFERROR(IF(INDEX([1]ListadoFichasDeProduccion!LQ:MB,MATCH(A78,[1]ListadoFichasDeProduccion!A:A,0),K78)=0,"",INDEX([1]ListadoFichasDeProduccion!LQ:MB,MATCH(A78,[1]ListadoFichasDeProduccion!A:A,0),K78)),""))</f>
        <v/>
      </c>
      <c r="K78" s="11">
        <v>1</v>
      </c>
    </row>
    <row r="79" spans="1:11" hidden="1" x14ac:dyDescent="0.3">
      <c r="A79" s="11">
        <v>1652</v>
      </c>
      <c r="B79" s="8" t="str">
        <f>VLOOKUP(A79,[1]ListadoFichasDeProduccion!$A$2:$LP$3000,328,FALSE)</f>
        <v>COMPLETADO</v>
      </c>
      <c r="C79" s="11">
        <v>14</v>
      </c>
      <c r="D79" t="s">
        <v>11</v>
      </c>
      <c r="E79" t="s">
        <v>100</v>
      </c>
      <c r="F79" t="s">
        <v>101</v>
      </c>
      <c r="G79" s="9">
        <v>45706</v>
      </c>
      <c r="H79" s="12" t="s">
        <v>40</v>
      </c>
      <c r="I79" s="11">
        <v>4</v>
      </c>
      <c r="J79" t="str">
        <f>IF(I79="","",IFERROR(IF(INDEX([1]ListadoFichasDeProduccion!LQ:MB,MATCH(A79,[1]ListadoFichasDeProduccion!A:A,0),K79)=0,"",INDEX([1]ListadoFichasDeProduccion!LQ:MB,MATCH(A79,[1]ListadoFichasDeProduccion!A:A,0),K79)),""))</f>
        <v/>
      </c>
      <c r="K79" s="11">
        <v>2</v>
      </c>
    </row>
    <row r="80" spans="1:11" hidden="1" x14ac:dyDescent="0.3">
      <c r="A80" s="11">
        <v>1652</v>
      </c>
      <c r="B80" s="8" t="str">
        <f>VLOOKUP(A80,[1]ListadoFichasDeProduccion!$A$2:$LP$3000,328,FALSE)</f>
        <v>COMPLETADO</v>
      </c>
      <c r="C80" s="11">
        <v>14</v>
      </c>
      <c r="D80" t="s">
        <v>11</v>
      </c>
      <c r="E80" t="s">
        <v>100</v>
      </c>
      <c r="F80" t="s">
        <v>101</v>
      </c>
      <c r="G80" s="9">
        <v>45706</v>
      </c>
      <c r="H80" t="s">
        <v>22</v>
      </c>
      <c r="I80" s="11">
        <v>6</v>
      </c>
      <c r="J80" t="str">
        <f>IF(I80="","",IFERROR(IF(INDEX([1]ListadoFichasDeProduccion!LQ:MB,MATCH(A80,[1]ListadoFichasDeProduccion!A:A,0),K80)=0,"",INDEX([1]ListadoFichasDeProduccion!LQ:MB,MATCH(A80,[1]ListadoFichasDeProduccion!A:A,0),K80)),""))</f>
        <v/>
      </c>
      <c r="K80" s="11">
        <v>3</v>
      </c>
    </row>
    <row r="81" spans="1:11" hidden="1" x14ac:dyDescent="0.3">
      <c r="A81" s="11">
        <v>1652</v>
      </c>
      <c r="B81" s="8" t="str">
        <f>VLOOKUP(A81,[1]ListadoFichasDeProduccion!$A$2:$LP$3000,328,FALSE)</f>
        <v>COMPLETADO</v>
      </c>
      <c r="C81" s="11">
        <v>14</v>
      </c>
      <c r="D81" t="s">
        <v>11</v>
      </c>
      <c r="E81" t="s">
        <v>100</v>
      </c>
      <c r="F81" t="s">
        <v>101</v>
      </c>
      <c r="G81" s="9">
        <v>45706</v>
      </c>
      <c r="H81" t="s">
        <v>35</v>
      </c>
      <c r="I81" s="11">
        <v>2</v>
      </c>
      <c r="J81" t="str">
        <f>IF(I81="","",IFERROR(IF(INDEX([1]ListadoFichasDeProduccion!LQ:MB,MATCH(A81,[1]ListadoFichasDeProduccion!A:A,0),K81)=0,"",INDEX([1]ListadoFichasDeProduccion!LQ:MB,MATCH(A81,[1]ListadoFichasDeProduccion!A:A,0),K81)),""))</f>
        <v/>
      </c>
      <c r="K81" s="11">
        <v>4</v>
      </c>
    </row>
    <row r="82" spans="1:11" x14ac:dyDescent="0.3">
      <c r="A82" s="11" t="s">
        <v>498</v>
      </c>
      <c r="B82" t="str">
        <f>VLOOKUP(A82,[1]ListadoFichasDeProduccion!$A$2:$LP$3000,328,FALSE)</f>
        <v>NO COMENZADO</v>
      </c>
      <c r="C82" s="11">
        <v>8</v>
      </c>
      <c r="D82" t="s">
        <v>11</v>
      </c>
      <c r="E82" t="s">
        <v>100</v>
      </c>
      <c r="F82" t="s">
        <v>101</v>
      </c>
      <c r="H82" t="s">
        <v>39</v>
      </c>
      <c r="I82" s="11">
        <v>4</v>
      </c>
      <c r="J82" t="str">
        <f>IF(I82="","",IFERROR(IF(INDEX([1]ListadoFichasDeProduccion!LQ:MB,MATCH(A82,[1]ListadoFichasDeProduccion!A:A,0),K82)=0,"",INDEX([1]ListadoFichasDeProduccion!LQ:MB,MATCH(A82,[1]ListadoFichasDeProduccion!A:A,0),K82)),""))</f>
        <v/>
      </c>
      <c r="K82" s="11">
        <v>1</v>
      </c>
    </row>
    <row r="83" spans="1:11" x14ac:dyDescent="0.3">
      <c r="A83" s="11" t="s">
        <v>498</v>
      </c>
      <c r="B83" t="str">
        <f>VLOOKUP(A83,[1]ListadoFichasDeProduccion!$A$2:$LP$3000,328,FALSE)</f>
        <v>NO COMENZADO</v>
      </c>
      <c r="C83" s="11">
        <v>8</v>
      </c>
      <c r="D83" t="s">
        <v>11</v>
      </c>
      <c r="E83" t="s">
        <v>100</v>
      </c>
      <c r="F83" t="s">
        <v>101</v>
      </c>
      <c r="H83" t="s">
        <v>35</v>
      </c>
      <c r="I83" s="11">
        <v>4</v>
      </c>
      <c r="J83" t="str">
        <f>IF(I83="","",IFERROR(IF(INDEX([1]ListadoFichasDeProduccion!LQ:MB,MATCH(A83,[1]ListadoFichasDeProduccion!A:A,0),K83)=0,"",INDEX([1]ListadoFichasDeProduccion!LQ:MB,MATCH(A83,[1]ListadoFichasDeProduccion!A:A,0),K83)),""))</f>
        <v/>
      </c>
      <c r="K83" s="11">
        <v>2</v>
      </c>
    </row>
    <row r="84" spans="1:11" hidden="1" x14ac:dyDescent="0.3">
      <c r="A84" s="11">
        <v>1653</v>
      </c>
      <c r="B84" s="8" t="str">
        <f>VLOOKUP(A84,[1]ListadoFichasDeProduccion!$A$2:$LP$3000,328,FALSE)</f>
        <v>COMPLETADO</v>
      </c>
      <c r="C84" s="11">
        <v>9</v>
      </c>
      <c r="D84" t="s">
        <v>11</v>
      </c>
      <c r="E84" t="s">
        <v>102</v>
      </c>
      <c r="G84" s="9">
        <v>45705</v>
      </c>
      <c r="H84" t="s">
        <v>32</v>
      </c>
      <c r="I84" s="11">
        <v>6</v>
      </c>
      <c r="J84" t="str">
        <f>IF(I84="","",IFERROR(IF(INDEX([1]ListadoFichasDeProduccion!LQ:MB,MATCH(A84,[1]ListadoFichasDeProduccion!A:A,0),K84)=0,"",INDEX([1]ListadoFichasDeProduccion!LQ:MB,MATCH(A84,[1]ListadoFichasDeProduccion!A:A,0),K84)),""))</f>
        <v/>
      </c>
      <c r="K84" s="11">
        <v>1</v>
      </c>
    </row>
    <row r="85" spans="1:11" hidden="1" x14ac:dyDescent="0.3">
      <c r="A85" s="11">
        <v>1653</v>
      </c>
      <c r="B85" s="8" t="str">
        <f>VLOOKUP(A85,[1]ListadoFichasDeProduccion!$A$2:$LP$3000,328,FALSE)</f>
        <v>COMPLETADO</v>
      </c>
      <c r="C85" s="11">
        <v>9</v>
      </c>
      <c r="D85" t="s">
        <v>11</v>
      </c>
      <c r="E85" t="s">
        <v>102</v>
      </c>
      <c r="G85" s="9">
        <v>45705</v>
      </c>
      <c r="H85" t="s">
        <v>39</v>
      </c>
      <c r="I85" s="11">
        <v>3</v>
      </c>
      <c r="J85" t="str">
        <f>IF(I85="","",IFERROR(IF(INDEX([1]ListadoFichasDeProduccion!LQ:MB,MATCH(A85,[1]ListadoFichasDeProduccion!A:A,0),K85)=0,"",INDEX([1]ListadoFichasDeProduccion!LQ:MB,MATCH(A85,[1]ListadoFichasDeProduccion!A:A,0),K85)),""))</f>
        <v/>
      </c>
      <c r="K85" s="11">
        <v>2</v>
      </c>
    </row>
    <row r="86" spans="1:11" hidden="1" x14ac:dyDescent="0.3">
      <c r="A86" s="11">
        <v>1589</v>
      </c>
      <c r="B86" s="8" t="str">
        <f>VLOOKUP(A86,[1]ListadoFichasDeProduccion!$A$2:$LP$3000,328,FALSE)</f>
        <v>COMPLETADO</v>
      </c>
      <c r="C86" s="11">
        <v>6</v>
      </c>
      <c r="D86" t="s">
        <v>11</v>
      </c>
      <c r="E86" t="s">
        <v>29</v>
      </c>
      <c r="F86" s="9" t="s">
        <v>30</v>
      </c>
      <c r="G86" s="9">
        <v>45679</v>
      </c>
      <c r="H86" t="s">
        <v>31</v>
      </c>
      <c r="I86" s="11">
        <v>4</v>
      </c>
      <c r="J86" t="str">
        <f>IF(I86="","",IFERROR(IF(INDEX([1]ListadoFichasDeProduccion!LQ:MB,MATCH(A86,[1]ListadoFichasDeProduccion!A:A,0),K86)=0,"",INDEX([1]ListadoFichasDeProduccion!LQ:MB,MATCH(A86,[1]ListadoFichasDeProduccion!A:A,0),K86)),""))</f>
        <v/>
      </c>
      <c r="K86" s="11">
        <v>1</v>
      </c>
    </row>
    <row r="87" spans="1:11" hidden="1" x14ac:dyDescent="0.3">
      <c r="A87" s="11">
        <v>1589</v>
      </c>
      <c r="B87" s="8" t="str">
        <f>VLOOKUP(A87,[1]ListadoFichasDeProduccion!$A$2:$LP$3000,328,FALSE)</f>
        <v>COMPLETADO</v>
      </c>
      <c r="C87" s="11">
        <v>6</v>
      </c>
      <c r="D87" t="s">
        <v>11</v>
      </c>
      <c r="E87" t="s">
        <v>29</v>
      </c>
      <c r="F87" s="9" t="s">
        <v>30</v>
      </c>
      <c r="G87" s="9">
        <v>45679</v>
      </c>
      <c r="H87" s="12" t="s">
        <v>32</v>
      </c>
      <c r="I87" s="11">
        <v>2</v>
      </c>
      <c r="J87" t="str">
        <f>IF(I87="","",IFERROR(IF(INDEX([1]ListadoFichasDeProduccion!LQ:MB,MATCH(A87,[1]ListadoFichasDeProduccion!A:A,0),K87)=0,"",INDEX([1]ListadoFichasDeProduccion!LQ:MB,MATCH(A87,[1]ListadoFichasDeProduccion!A:A,0),K87)),""))</f>
        <v/>
      </c>
      <c r="K87" s="11">
        <v>2</v>
      </c>
    </row>
    <row r="88" spans="1:11" hidden="1" x14ac:dyDescent="0.3">
      <c r="A88" s="11">
        <v>1835</v>
      </c>
      <c r="B88" s="8" t="str">
        <f>VLOOKUP(A88,[1]ListadoFichasDeProduccion!$A$2:$LP$3000,328,FALSE)</f>
        <v>COMPLETADO</v>
      </c>
      <c r="C88" s="11">
        <v>3</v>
      </c>
      <c r="D88" t="s">
        <v>11</v>
      </c>
      <c r="E88" t="s">
        <v>29</v>
      </c>
      <c r="F88" t="s">
        <v>30</v>
      </c>
      <c r="G88" s="9">
        <v>45819</v>
      </c>
      <c r="H88" t="s">
        <v>27</v>
      </c>
      <c r="I88" s="11">
        <v>3</v>
      </c>
      <c r="J88" t="str">
        <f>IF(I88="","",IFERROR(IF(INDEX([1]ListadoFichasDeProduccion!LQ:MB,MATCH(A88,[1]ListadoFichasDeProduccion!A:A,0),K88)=0,"",INDEX([1]ListadoFichasDeProduccion!LQ:MB,MATCH(A88,[1]ListadoFichasDeProduccion!A:A,0),K88)),""))</f>
        <v/>
      </c>
      <c r="K88" s="11">
        <v>1</v>
      </c>
    </row>
    <row r="89" spans="1:11" hidden="1" x14ac:dyDescent="0.3">
      <c r="A89" s="11">
        <v>1745</v>
      </c>
      <c r="B89" s="8" t="str">
        <f>VLOOKUP(A89,[1]ListadoFichasDeProduccion!$A$2:$LP$3000,328,FALSE)</f>
        <v>COMPLETADO</v>
      </c>
      <c r="C89" s="11">
        <v>16</v>
      </c>
      <c r="D89" t="s">
        <v>33</v>
      </c>
      <c r="E89" t="s">
        <v>156</v>
      </c>
      <c r="G89" s="9">
        <v>45762</v>
      </c>
      <c r="H89" t="s">
        <v>24</v>
      </c>
      <c r="I89" s="11">
        <v>12</v>
      </c>
      <c r="J89" t="str">
        <f>IF(I89="","",IFERROR(IF(INDEX([1]ListadoFichasDeProduccion!LQ:MB,MATCH(A89,[1]ListadoFichasDeProduccion!A:A,0),K89)=0,"",INDEX([1]ListadoFichasDeProduccion!LQ:MB,MATCH(A89,[1]ListadoFichasDeProduccion!A:A,0),K89)),""))</f>
        <v/>
      </c>
      <c r="K89" s="11">
        <v>1</v>
      </c>
    </row>
    <row r="90" spans="1:11" hidden="1" x14ac:dyDescent="0.3">
      <c r="A90" s="11">
        <v>1745</v>
      </c>
      <c r="B90" s="8" t="str">
        <f>VLOOKUP(A90,[1]ListadoFichasDeProduccion!$A$2:$LP$3000,328,FALSE)</f>
        <v>COMPLETADO</v>
      </c>
      <c r="C90" s="11">
        <v>16</v>
      </c>
      <c r="D90" t="s">
        <v>33</v>
      </c>
      <c r="E90" t="s">
        <v>156</v>
      </c>
      <c r="G90" s="9">
        <v>45762</v>
      </c>
      <c r="H90" t="s">
        <v>36</v>
      </c>
      <c r="I90" s="11">
        <v>4</v>
      </c>
      <c r="J90" t="str">
        <f>IF(I90="","",IFERROR(IF(INDEX([1]ListadoFichasDeProduccion!LQ:MB,MATCH(A90,[1]ListadoFichasDeProduccion!A:A,0),K90)=0,"",INDEX([1]ListadoFichasDeProduccion!LQ:MB,MATCH(A90,[1]ListadoFichasDeProduccion!A:A,0),K90)),""))</f>
        <v/>
      </c>
      <c r="K90" s="11">
        <v>2</v>
      </c>
    </row>
    <row r="91" spans="1:11" hidden="1" x14ac:dyDescent="0.3">
      <c r="A91" s="11">
        <v>1793</v>
      </c>
      <c r="B91" s="8" t="str">
        <f>VLOOKUP(A91,[1]ListadoFichasDeProduccion!$A$2:$LP$3000,328,FALSE)</f>
        <v>COMPLETADO</v>
      </c>
      <c r="C91" s="11">
        <v>19</v>
      </c>
      <c r="D91" t="s">
        <v>33</v>
      </c>
      <c r="E91" t="s">
        <v>156</v>
      </c>
      <c r="G91" s="9">
        <v>45797</v>
      </c>
      <c r="H91" t="s">
        <v>50</v>
      </c>
      <c r="I91" s="11">
        <v>3</v>
      </c>
      <c r="J91" t="str">
        <f>IF(I91="","",IFERROR(IF(INDEX([1]ListadoFichasDeProduccion!LQ:MB,MATCH(A91,[1]ListadoFichasDeProduccion!A:A,0),K91)=0,"",INDEX([1]ListadoFichasDeProduccion!LQ:MB,MATCH(A91,[1]ListadoFichasDeProduccion!A:A,0),K91)),""))</f>
        <v/>
      </c>
      <c r="K91" s="11">
        <v>1</v>
      </c>
    </row>
    <row r="92" spans="1:11" hidden="1" x14ac:dyDescent="0.3">
      <c r="A92" s="11">
        <v>1793</v>
      </c>
      <c r="B92" s="8" t="str">
        <f>VLOOKUP(A92,[1]ListadoFichasDeProduccion!$A$2:$LP$3000,328,FALSE)</f>
        <v>COMPLETADO</v>
      </c>
      <c r="C92" s="11">
        <v>19</v>
      </c>
      <c r="D92" t="s">
        <v>33</v>
      </c>
      <c r="E92" t="s">
        <v>156</v>
      </c>
      <c r="G92" s="9">
        <v>45797</v>
      </c>
      <c r="H92" t="s">
        <v>28</v>
      </c>
      <c r="I92" s="11">
        <v>10</v>
      </c>
      <c r="J92" t="str">
        <f>IF(I92="","",IFERROR(IF(INDEX([1]ListadoFichasDeProduccion!LQ:MB,MATCH(A92,[1]ListadoFichasDeProduccion!A:A,0),K92)=0,"",INDEX([1]ListadoFichasDeProduccion!LQ:MB,MATCH(A92,[1]ListadoFichasDeProduccion!A:A,0),K92)),""))</f>
        <v/>
      </c>
      <c r="K92" s="11">
        <v>2</v>
      </c>
    </row>
    <row r="93" spans="1:11" hidden="1" x14ac:dyDescent="0.3">
      <c r="A93" s="11">
        <v>1793</v>
      </c>
      <c r="B93" s="8" t="str">
        <f>VLOOKUP(A93,[1]ListadoFichasDeProduccion!$A$2:$LP$3000,328,FALSE)</f>
        <v>COMPLETADO</v>
      </c>
      <c r="C93" s="11">
        <v>19</v>
      </c>
      <c r="D93" t="s">
        <v>33</v>
      </c>
      <c r="E93" t="s">
        <v>156</v>
      </c>
      <c r="G93" s="9">
        <v>45797</v>
      </c>
      <c r="H93" t="s">
        <v>51</v>
      </c>
      <c r="I93" s="11">
        <v>3</v>
      </c>
      <c r="J93" t="str">
        <f>IF(I93="","",IFERROR(IF(INDEX([1]ListadoFichasDeProduccion!LQ:MB,MATCH(A93,[1]ListadoFichasDeProduccion!A:A,0),K93)=0,"",INDEX([1]ListadoFichasDeProduccion!LQ:MB,MATCH(A93,[1]ListadoFichasDeProduccion!A:A,0),K93)),""))</f>
        <v/>
      </c>
      <c r="K93" s="11">
        <v>3</v>
      </c>
    </row>
    <row r="94" spans="1:11" hidden="1" x14ac:dyDescent="0.3">
      <c r="A94" s="11">
        <v>1793</v>
      </c>
      <c r="B94" s="8" t="str">
        <f>VLOOKUP(A94,[1]ListadoFichasDeProduccion!$A$2:$LP$3000,328,FALSE)</f>
        <v>COMPLETADO</v>
      </c>
      <c r="C94" s="11">
        <v>19</v>
      </c>
      <c r="D94" t="s">
        <v>33</v>
      </c>
      <c r="E94" t="s">
        <v>156</v>
      </c>
      <c r="G94" s="9">
        <v>45797</v>
      </c>
      <c r="H94" t="s">
        <v>138</v>
      </c>
      <c r="I94" s="11">
        <v>3</v>
      </c>
      <c r="J94" t="str">
        <f>IF(I94="","",IFERROR(IF(INDEX([1]ListadoFichasDeProduccion!LQ:MB,MATCH(A94,[1]ListadoFichasDeProduccion!A:A,0),K94)=0,"",INDEX([1]ListadoFichasDeProduccion!LQ:MB,MATCH(A94,[1]ListadoFichasDeProduccion!A:A,0),K94)),""))</f>
        <v/>
      </c>
      <c r="K94" s="11">
        <v>4</v>
      </c>
    </row>
    <row r="95" spans="1:11" hidden="1" x14ac:dyDescent="0.3">
      <c r="A95" s="11">
        <v>17932</v>
      </c>
      <c r="B95" s="8" t="str">
        <f>VLOOKUP(A95,[1]ListadoFichasDeProduccion!$A$2:$LP$3000,328,FALSE)</f>
        <v>COMPLETADO</v>
      </c>
      <c r="C95" s="11">
        <v>10</v>
      </c>
      <c r="D95" t="s">
        <v>33</v>
      </c>
      <c r="E95" t="s">
        <v>156</v>
      </c>
      <c r="G95" s="9">
        <v>45813</v>
      </c>
      <c r="H95" t="s">
        <v>31</v>
      </c>
      <c r="I95" s="11">
        <v>10</v>
      </c>
      <c r="J95" t="str">
        <f>IF(I95="","",IFERROR(IF(INDEX([1]ListadoFichasDeProduccion!LQ:MB,MATCH(A95,[1]ListadoFichasDeProduccion!A:A,0),K95)=0,"",INDEX([1]ListadoFichasDeProduccion!LQ:MB,MATCH(A95,[1]ListadoFichasDeProduccion!A:A,0),K95)),""))</f>
        <v/>
      </c>
      <c r="K95" s="11">
        <v>1</v>
      </c>
    </row>
    <row r="96" spans="1:11" hidden="1" x14ac:dyDescent="0.3">
      <c r="A96" s="11">
        <v>1841</v>
      </c>
      <c r="B96" s="8" t="str">
        <f>VLOOKUP(A96,[1]ListadoFichasDeProduccion!$A$2:$LP$3000,328,FALSE)</f>
        <v>COMPLETADO</v>
      </c>
      <c r="C96" s="11">
        <v>14</v>
      </c>
      <c r="D96" t="s">
        <v>33</v>
      </c>
      <c r="E96" t="s">
        <v>156</v>
      </c>
      <c r="G96" s="9">
        <v>45826</v>
      </c>
      <c r="H96" t="s">
        <v>31</v>
      </c>
      <c r="I96" s="11">
        <v>6</v>
      </c>
      <c r="J96" t="str">
        <f>IF(I96="","",IFERROR(IF(INDEX([1]ListadoFichasDeProduccion!LQ:MB,MATCH(A96,[1]ListadoFichasDeProduccion!A:A,0),K96)=0,"",INDEX([1]ListadoFichasDeProduccion!LQ:MB,MATCH(A96,[1]ListadoFichasDeProduccion!A:A,0),K96)),""))</f>
        <v/>
      </c>
      <c r="K96" s="11">
        <v>1</v>
      </c>
    </row>
    <row r="97" spans="1:11" hidden="1" x14ac:dyDescent="0.3">
      <c r="A97" s="11">
        <v>1841</v>
      </c>
      <c r="B97" s="8" t="str">
        <f>VLOOKUP(A97,[1]ListadoFichasDeProduccion!$A$2:$LP$3000,328,FALSE)</f>
        <v>COMPLETADO</v>
      </c>
      <c r="C97" s="11">
        <v>14</v>
      </c>
      <c r="D97" t="s">
        <v>33</v>
      </c>
      <c r="E97" t="s">
        <v>156</v>
      </c>
      <c r="G97" s="9">
        <v>45826</v>
      </c>
      <c r="H97" t="s">
        <v>28</v>
      </c>
      <c r="I97" s="11">
        <v>8</v>
      </c>
      <c r="J97" t="str">
        <f>IF(I97="","",IFERROR(IF(INDEX([1]ListadoFichasDeProduccion!LQ:MB,MATCH(A97,[1]ListadoFichasDeProduccion!A:A,0),K97)=0,"",INDEX([1]ListadoFichasDeProduccion!LQ:MB,MATCH(A97,[1]ListadoFichasDeProduccion!A:A,0),K97)),""))</f>
        <v/>
      </c>
      <c r="K97" s="11">
        <v>2</v>
      </c>
    </row>
    <row r="98" spans="1:11" hidden="1" x14ac:dyDescent="0.3">
      <c r="A98" s="11" t="s">
        <v>286</v>
      </c>
      <c r="B98" t="str">
        <f>VLOOKUP(A98,[1]ListadoFichasDeProduccion!$A$2:$LP$3000,328,FALSE)</f>
        <v>COMPLETADO</v>
      </c>
      <c r="C98" s="11">
        <v>14</v>
      </c>
      <c r="D98" t="s">
        <v>33</v>
      </c>
      <c r="E98" t="s">
        <v>156</v>
      </c>
      <c r="G98" s="9">
        <v>45908</v>
      </c>
      <c r="H98" t="s">
        <v>50</v>
      </c>
      <c r="I98" s="11">
        <v>3</v>
      </c>
      <c r="J98" t="str">
        <f>IF(I98="","",IFERROR(IF(INDEX([1]ListadoFichasDeProduccion!LQ:MB,MATCH(A98,[1]ListadoFichasDeProduccion!A:A,0),K98)=0,"",INDEX([1]ListadoFichasDeProduccion!LQ:MB,MATCH(A98,[1]ListadoFichasDeProduccion!A:A,0),K98)),""))</f>
        <v/>
      </c>
      <c r="K98" s="11">
        <v>1</v>
      </c>
    </row>
    <row r="99" spans="1:11" hidden="1" x14ac:dyDescent="0.3">
      <c r="A99" s="11" t="s">
        <v>286</v>
      </c>
      <c r="B99" t="str">
        <f>VLOOKUP(A99,[1]ListadoFichasDeProduccion!$A$2:$LP$3000,328,FALSE)</f>
        <v>COMPLETADO</v>
      </c>
      <c r="C99" s="11">
        <v>14</v>
      </c>
      <c r="D99" t="s">
        <v>33</v>
      </c>
      <c r="E99" t="s">
        <v>156</v>
      </c>
      <c r="G99" s="9">
        <v>45908</v>
      </c>
      <c r="H99" t="s">
        <v>35</v>
      </c>
      <c r="I99" s="11">
        <v>6</v>
      </c>
      <c r="J99" t="str">
        <f>IF(I99="","",IFERROR(IF(INDEX([1]ListadoFichasDeProduccion!LQ:MB,MATCH(A99,[1]ListadoFichasDeProduccion!A:A,0),K99)=0,"",INDEX([1]ListadoFichasDeProduccion!LQ:MB,MATCH(A99,[1]ListadoFichasDeProduccion!A:A,0),K99)),""))</f>
        <v/>
      </c>
      <c r="K99" s="11">
        <v>2</v>
      </c>
    </row>
    <row r="100" spans="1:11" hidden="1" x14ac:dyDescent="0.3">
      <c r="A100" s="11" t="s">
        <v>286</v>
      </c>
      <c r="B100" t="str">
        <f>VLOOKUP(A100,[1]ListadoFichasDeProduccion!$A$2:$LP$3000,328,FALSE)</f>
        <v>COMPLETADO</v>
      </c>
      <c r="C100" s="11">
        <v>14</v>
      </c>
      <c r="D100" t="s">
        <v>33</v>
      </c>
      <c r="E100" t="s">
        <v>156</v>
      </c>
      <c r="G100" s="9">
        <v>45908</v>
      </c>
      <c r="H100" t="s">
        <v>138</v>
      </c>
      <c r="I100" s="11">
        <v>5</v>
      </c>
      <c r="J100" t="str">
        <f>IF(I100="","",IFERROR(IF(INDEX([1]ListadoFichasDeProduccion!LQ:MB,MATCH(A100,[1]ListadoFichasDeProduccion!A:A,0),K100)=0,"",INDEX([1]ListadoFichasDeProduccion!LQ:MB,MATCH(A100,[1]ListadoFichasDeProduccion!A:A,0),K100)),""))</f>
        <v/>
      </c>
      <c r="K100" s="11">
        <v>3</v>
      </c>
    </row>
    <row r="101" spans="1:11" x14ac:dyDescent="0.3">
      <c r="A101" s="11" t="s">
        <v>501</v>
      </c>
      <c r="B101" t="str">
        <f>VLOOKUP(A101,[1]ListadoFichasDeProduccion!$A$2:$LP$3000,328,FALSE)</f>
        <v>NO COMENZADO</v>
      </c>
      <c r="C101" s="11">
        <v>48</v>
      </c>
      <c r="D101" t="s">
        <v>33</v>
      </c>
      <c r="E101" t="s">
        <v>156</v>
      </c>
      <c r="H101" t="s">
        <v>50</v>
      </c>
      <c r="I101" s="11">
        <v>10</v>
      </c>
      <c r="J101" t="str">
        <f>IF(I101="","",IFERROR(IF(INDEX([1]ListadoFichasDeProduccion!LQ:MB,MATCH(A101,[1]ListadoFichasDeProduccion!A:A,0),K101)=0,"",INDEX([1]ListadoFichasDeProduccion!LQ:MB,MATCH(A101,[1]ListadoFichasDeProduccion!A:A,0),K101)),""))</f>
        <v/>
      </c>
      <c r="K101" s="11">
        <v>1</v>
      </c>
    </row>
    <row r="102" spans="1:11" x14ac:dyDescent="0.3">
      <c r="A102" s="11" t="s">
        <v>501</v>
      </c>
      <c r="B102" t="str">
        <f>VLOOKUP(A102,[1]ListadoFichasDeProduccion!$A$2:$LP$3000,328,FALSE)</f>
        <v>NO COMENZADO</v>
      </c>
      <c r="C102" s="11">
        <v>48</v>
      </c>
      <c r="D102" t="s">
        <v>33</v>
      </c>
      <c r="E102" t="s">
        <v>156</v>
      </c>
      <c r="H102" t="s">
        <v>28</v>
      </c>
      <c r="I102" s="11">
        <v>16</v>
      </c>
      <c r="J102" t="str">
        <f>IF(I102="","",IFERROR(IF(INDEX([1]ListadoFichasDeProduccion!LQ:MB,MATCH(A102,[1]ListadoFichasDeProduccion!A:A,0),K102)=0,"",INDEX([1]ListadoFichasDeProduccion!LQ:MB,MATCH(A102,[1]ListadoFichasDeProduccion!A:A,0),K102)),""))</f>
        <v/>
      </c>
      <c r="K102" s="11">
        <v>2</v>
      </c>
    </row>
    <row r="103" spans="1:11" x14ac:dyDescent="0.3">
      <c r="A103" s="11" t="s">
        <v>501</v>
      </c>
      <c r="B103" t="str">
        <f>VLOOKUP(A103,[1]ListadoFichasDeProduccion!$A$2:$LP$3000,328,FALSE)</f>
        <v>NO COMENZADO</v>
      </c>
      <c r="C103" s="11">
        <v>48</v>
      </c>
      <c r="D103" t="s">
        <v>33</v>
      </c>
      <c r="E103" t="s">
        <v>156</v>
      </c>
      <c r="H103" t="s">
        <v>51</v>
      </c>
      <c r="I103" s="11">
        <v>12</v>
      </c>
      <c r="J103" t="str">
        <f>IF(I103="","",IFERROR(IF(INDEX([1]ListadoFichasDeProduccion!LQ:MB,MATCH(A103,[1]ListadoFichasDeProduccion!A:A,0),K103)=0,"",INDEX([1]ListadoFichasDeProduccion!LQ:MB,MATCH(A103,[1]ListadoFichasDeProduccion!A:A,0),K103)),""))</f>
        <v/>
      </c>
      <c r="K103" s="11">
        <v>3</v>
      </c>
    </row>
    <row r="104" spans="1:11" x14ac:dyDescent="0.3">
      <c r="A104" s="11" t="s">
        <v>501</v>
      </c>
      <c r="B104" t="str">
        <f>VLOOKUP(A104,[1]ListadoFichasDeProduccion!$A$2:$LP$3000,328,FALSE)</f>
        <v>NO COMENZADO</v>
      </c>
      <c r="C104" s="11">
        <v>48</v>
      </c>
      <c r="D104" t="s">
        <v>33</v>
      </c>
      <c r="E104" t="s">
        <v>156</v>
      </c>
      <c r="H104" t="s">
        <v>138</v>
      </c>
      <c r="I104" s="11">
        <v>10</v>
      </c>
      <c r="J104" t="str">
        <f>IF(I104="","",IFERROR(IF(INDEX([1]ListadoFichasDeProduccion!LQ:MB,MATCH(A104,[1]ListadoFichasDeProduccion!A:A,0),K104)=0,"",INDEX([1]ListadoFichasDeProduccion!LQ:MB,MATCH(A104,[1]ListadoFichasDeProduccion!A:A,0),K104)),""))</f>
        <v/>
      </c>
      <c r="K104" s="11">
        <v>4</v>
      </c>
    </row>
    <row r="105" spans="1:11" hidden="1" x14ac:dyDescent="0.3">
      <c r="A105" s="11">
        <v>1621</v>
      </c>
      <c r="B105" s="8" t="str">
        <f>VLOOKUP(A105,[1]ListadoFichasDeProduccion!$A$2:$LP$3000,328,FALSE)</f>
        <v>COMPLETADO</v>
      </c>
      <c r="C105" s="11">
        <v>14</v>
      </c>
      <c r="D105" t="s">
        <v>33</v>
      </c>
      <c r="E105" t="s">
        <v>63</v>
      </c>
      <c r="F105" s="9"/>
      <c r="G105" s="9">
        <v>45695</v>
      </c>
      <c r="H105" t="s">
        <v>31</v>
      </c>
      <c r="I105" s="11">
        <v>2</v>
      </c>
      <c r="J105" t="str">
        <f>IF(I105="","",IFERROR(IF(INDEX([1]ListadoFichasDeProduccion!LQ:MB,MATCH(A105,[1]ListadoFichasDeProduccion!A:A,0),K105)=0,"",INDEX([1]ListadoFichasDeProduccion!LQ:MB,MATCH(A105,[1]ListadoFichasDeProduccion!A:A,0),K105)),""))</f>
        <v/>
      </c>
      <c r="K105" s="11">
        <v>1</v>
      </c>
    </row>
    <row r="106" spans="1:11" hidden="1" x14ac:dyDescent="0.3">
      <c r="A106" s="11">
        <v>1621</v>
      </c>
      <c r="B106" s="8" t="str">
        <f>VLOOKUP(A106,[1]ListadoFichasDeProduccion!$A$2:$LP$3000,328,FALSE)</f>
        <v>COMPLETADO</v>
      </c>
      <c r="C106" s="11">
        <v>14</v>
      </c>
      <c r="D106" t="s">
        <v>33</v>
      </c>
      <c r="E106" t="s">
        <v>63</v>
      </c>
      <c r="F106" s="9"/>
      <c r="G106" s="9">
        <v>45695</v>
      </c>
      <c r="H106" s="12" t="s">
        <v>50</v>
      </c>
      <c r="I106" s="11">
        <v>2</v>
      </c>
      <c r="J106" t="str">
        <f>IF(I106="","",IFERROR(IF(INDEX([1]ListadoFichasDeProduccion!LQ:MB,MATCH(A106,[1]ListadoFichasDeProduccion!A:A,0),K106)=0,"",INDEX([1]ListadoFichasDeProduccion!LQ:MB,MATCH(A106,[1]ListadoFichasDeProduccion!A:A,0),K106)),""))</f>
        <v/>
      </c>
      <c r="K106" s="11">
        <v>2</v>
      </c>
    </row>
    <row r="107" spans="1:11" hidden="1" x14ac:dyDescent="0.3">
      <c r="A107" s="11">
        <v>1621</v>
      </c>
      <c r="B107" s="8" t="str">
        <f>VLOOKUP(A107,[1]ListadoFichasDeProduccion!$A$2:$LP$3000,328,FALSE)</f>
        <v>COMPLETADO</v>
      </c>
      <c r="C107" s="11">
        <v>14</v>
      </c>
      <c r="D107" t="s">
        <v>33</v>
      </c>
      <c r="E107" t="s">
        <v>63</v>
      </c>
      <c r="F107" s="9"/>
      <c r="G107" s="9">
        <v>45695</v>
      </c>
      <c r="H107" t="s">
        <v>28</v>
      </c>
      <c r="I107" s="11">
        <v>10</v>
      </c>
      <c r="J107" t="str">
        <f>IF(I107="","",IFERROR(IF(INDEX([1]ListadoFichasDeProduccion!LQ:MB,MATCH(A107,[1]ListadoFichasDeProduccion!A:A,0),K107)=0,"",INDEX([1]ListadoFichasDeProduccion!LQ:MB,MATCH(A107,[1]ListadoFichasDeProduccion!A:A,0),K107)),""))</f>
        <v/>
      </c>
      <c r="K107" s="11">
        <v>3</v>
      </c>
    </row>
    <row r="108" spans="1:11" hidden="1" x14ac:dyDescent="0.3">
      <c r="A108" s="11">
        <v>1712</v>
      </c>
      <c r="B108" s="8" t="str">
        <f>VLOOKUP(A108,[1]ListadoFichasDeProduccion!$A$2:$LP$3000,328,FALSE)</f>
        <v>COMPLETADO</v>
      </c>
      <c r="C108" s="11">
        <v>22</v>
      </c>
      <c r="D108" t="s">
        <v>33</v>
      </c>
      <c r="E108" t="s">
        <v>63</v>
      </c>
      <c r="F108" t="s">
        <v>132</v>
      </c>
      <c r="G108" s="9">
        <v>45741</v>
      </c>
      <c r="H108" t="s">
        <v>31</v>
      </c>
      <c r="I108" s="11">
        <v>10</v>
      </c>
      <c r="J108" t="str">
        <f>IF(I108="","",IFERROR(IF(INDEX([1]ListadoFichasDeProduccion!LQ:MB,MATCH(A108,[1]ListadoFichasDeProduccion!A:A,0),K108)=0,"",INDEX([1]ListadoFichasDeProduccion!LQ:MB,MATCH(A108,[1]ListadoFichasDeProduccion!A:A,0),K108)),""))</f>
        <v/>
      </c>
      <c r="K108" s="11">
        <v>1</v>
      </c>
    </row>
    <row r="109" spans="1:11" hidden="1" x14ac:dyDescent="0.3">
      <c r="A109" s="11">
        <v>1712</v>
      </c>
      <c r="B109" s="8" t="str">
        <f>VLOOKUP(A109,[1]ListadoFichasDeProduccion!$A$2:$LP$3000,328,FALSE)</f>
        <v>COMPLETADO</v>
      </c>
      <c r="C109" s="11">
        <v>22</v>
      </c>
      <c r="D109" t="s">
        <v>33</v>
      </c>
      <c r="E109" t="s">
        <v>63</v>
      </c>
      <c r="F109" t="s">
        <v>132</v>
      </c>
      <c r="G109" s="9">
        <v>45741</v>
      </c>
      <c r="H109" t="s">
        <v>28</v>
      </c>
      <c r="I109" s="11">
        <v>12</v>
      </c>
      <c r="J109" t="str">
        <f>IF(I109="","",IFERROR(IF(INDEX([1]ListadoFichasDeProduccion!LQ:MB,MATCH(A109,[1]ListadoFichasDeProduccion!A:A,0),K109)=0,"",INDEX([1]ListadoFichasDeProduccion!LQ:MB,MATCH(A109,[1]ListadoFichasDeProduccion!A:A,0),K109)),""))</f>
        <v/>
      </c>
      <c r="K109" s="11">
        <v>2</v>
      </c>
    </row>
    <row r="110" spans="1:11" hidden="1" x14ac:dyDescent="0.3">
      <c r="A110" s="11">
        <v>1794</v>
      </c>
      <c r="B110" s="8" t="str">
        <f>VLOOKUP(A110,[1]ListadoFichasDeProduccion!$A$2:$LP$3000,328,FALSE)</f>
        <v>COMPLETADO</v>
      </c>
      <c r="C110" s="11">
        <v>24</v>
      </c>
      <c r="D110" t="s">
        <v>33</v>
      </c>
      <c r="E110" t="s">
        <v>63</v>
      </c>
      <c r="F110" t="s">
        <v>132</v>
      </c>
      <c r="G110" s="9">
        <v>45797</v>
      </c>
      <c r="H110" t="s">
        <v>51</v>
      </c>
      <c r="I110" s="11">
        <v>12</v>
      </c>
      <c r="J110" t="str">
        <f>IF(I110="","",IFERROR(IF(INDEX([1]ListadoFichasDeProduccion!LQ:MB,MATCH(A110,[1]ListadoFichasDeProduccion!A:A,0),K110)=0,"",INDEX([1]ListadoFichasDeProduccion!LQ:MB,MATCH(A110,[1]ListadoFichasDeProduccion!A:A,0),K110)),""))</f>
        <v/>
      </c>
      <c r="K110" s="11">
        <v>1</v>
      </c>
    </row>
    <row r="111" spans="1:11" hidden="1" x14ac:dyDescent="0.3">
      <c r="A111" s="11">
        <v>1794</v>
      </c>
      <c r="B111" s="8" t="str">
        <f>VLOOKUP(A111,[1]ListadoFichasDeProduccion!$A$2:$LP$3000,328,FALSE)</f>
        <v>COMPLETADO</v>
      </c>
      <c r="C111" s="11">
        <v>24</v>
      </c>
      <c r="D111" t="s">
        <v>33</v>
      </c>
      <c r="E111" t="s">
        <v>63</v>
      </c>
      <c r="F111" t="s">
        <v>132</v>
      </c>
      <c r="G111" s="9">
        <v>45797</v>
      </c>
      <c r="H111" t="s">
        <v>28</v>
      </c>
      <c r="I111" s="11">
        <v>12</v>
      </c>
      <c r="J111" t="str">
        <f>IF(I111="","",IFERROR(IF(INDEX([1]ListadoFichasDeProduccion!LQ:MB,MATCH(A111,[1]ListadoFichasDeProduccion!A:A,0),K111)=0,"",INDEX([1]ListadoFichasDeProduccion!LQ:MB,MATCH(A111,[1]ListadoFichasDeProduccion!A:A,0),K111)),""))</f>
        <v/>
      </c>
      <c r="K111" s="11">
        <v>2</v>
      </c>
    </row>
    <row r="112" spans="1:11" hidden="1" x14ac:dyDescent="0.3">
      <c r="A112" s="11">
        <v>17942</v>
      </c>
      <c r="B112" s="8" t="str">
        <f>VLOOKUP(A112,[1]ListadoFichasDeProduccion!$A$2:$LP$3000,328,FALSE)</f>
        <v>COMPLETADO</v>
      </c>
      <c r="C112" s="11">
        <v>5</v>
      </c>
      <c r="D112" t="s">
        <v>33</v>
      </c>
      <c r="E112" t="s">
        <v>63</v>
      </c>
      <c r="F112" t="s">
        <v>132</v>
      </c>
      <c r="G112" s="9">
        <v>45813</v>
      </c>
      <c r="H112" t="s">
        <v>31</v>
      </c>
      <c r="I112" s="11">
        <v>5</v>
      </c>
      <c r="J112" t="str">
        <f>IF(I112="","",IFERROR(IF(INDEX([1]ListadoFichasDeProduccion!LQ:MB,MATCH(A112,[1]ListadoFichasDeProduccion!A:A,0),K112)=0,"",INDEX([1]ListadoFichasDeProduccion!LQ:MB,MATCH(A112,[1]ListadoFichasDeProduccion!A:A,0),K112)),""))</f>
        <v/>
      </c>
      <c r="K112" s="11">
        <v>1</v>
      </c>
    </row>
    <row r="113" spans="1:11" hidden="1" x14ac:dyDescent="0.3">
      <c r="A113" s="11">
        <v>1842</v>
      </c>
      <c r="B113" s="8" t="str">
        <f>VLOOKUP(A113,[1]ListadoFichasDeProduccion!$A$2:$LP$3000,328,FALSE)</f>
        <v>COMPLETADO</v>
      </c>
      <c r="C113" s="11">
        <v>14</v>
      </c>
      <c r="D113" t="s">
        <v>33</v>
      </c>
      <c r="E113" t="s">
        <v>63</v>
      </c>
      <c r="F113" t="s">
        <v>132</v>
      </c>
      <c r="G113" s="9">
        <v>45826</v>
      </c>
      <c r="H113" t="s">
        <v>28</v>
      </c>
      <c r="I113" s="11">
        <v>6</v>
      </c>
      <c r="J113" t="str">
        <f>IF(I113="","",IFERROR(IF(INDEX([1]ListadoFichasDeProduccion!LQ:MB,MATCH(A113,[1]ListadoFichasDeProduccion!A:A,0),K113)=0,"",INDEX([1]ListadoFichasDeProduccion!LQ:MB,MATCH(A113,[1]ListadoFichasDeProduccion!A:A,0),K113)),""))</f>
        <v/>
      </c>
      <c r="K113" s="11">
        <v>1</v>
      </c>
    </row>
    <row r="114" spans="1:11" hidden="1" x14ac:dyDescent="0.3">
      <c r="A114" s="11">
        <v>1842</v>
      </c>
      <c r="B114" s="8" t="str">
        <f>VLOOKUP(A114,[1]ListadoFichasDeProduccion!$A$2:$LP$3000,328,FALSE)</f>
        <v>COMPLETADO</v>
      </c>
      <c r="C114" s="11">
        <v>14</v>
      </c>
      <c r="D114" t="s">
        <v>33</v>
      </c>
      <c r="E114" t="s">
        <v>63</v>
      </c>
      <c r="F114" t="s">
        <v>132</v>
      </c>
      <c r="G114" s="9">
        <v>45826</v>
      </c>
      <c r="H114" t="s">
        <v>51</v>
      </c>
      <c r="I114" s="11">
        <v>4</v>
      </c>
      <c r="J114" t="str">
        <f>IF(I114="","",IFERROR(IF(INDEX([1]ListadoFichasDeProduccion!LQ:MB,MATCH(A114,[1]ListadoFichasDeProduccion!A:A,0),K114)=0,"",INDEX([1]ListadoFichasDeProduccion!LQ:MB,MATCH(A114,[1]ListadoFichasDeProduccion!A:A,0),K114)),""))</f>
        <v/>
      </c>
      <c r="K114" s="11">
        <v>2</v>
      </c>
    </row>
    <row r="115" spans="1:11" hidden="1" x14ac:dyDescent="0.3">
      <c r="A115" s="11">
        <v>1842</v>
      </c>
      <c r="B115" s="8" t="str">
        <f>VLOOKUP(A115,[1]ListadoFichasDeProduccion!$A$2:$LP$3000,328,FALSE)</f>
        <v>COMPLETADO</v>
      </c>
      <c r="C115" s="11">
        <v>14</v>
      </c>
      <c r="D115" t="s">
        <v>33</v>
      </c>
      <c r="E115" t="s">
        <v>63</v>
      </c>
      <c r="F115" t="s">
        <v>132</v>
      </c>
      <c r="G115" s="9">
        <v>45826</v>
      </c>
      <c r="H115" t="s">
        <v>31</v>
      </c>
      <c r="I115" s="11">
        <v>4</v>
      </c>
      <c r="J115" t="str">
        <f>IF(I115="","",IFERROR(IF(INDEX([1]ListadoFichasDeProduccion!LQ:MB,MATCH(A115,[1]ListadoFichasDeProduccion!A:A,0),K115)=0,"",INDEX([1]ListadoFichasDeProduccion!LQ:MB,MATCH(A115,[1]ListadoFichasDeProduccion!A:A,0),K115)),""))</f>
        <v/>
      </c>
      <c r="K115" s="11">
        <v>3</v>
      </c>
    </row>
    <row r="116" spans="1:11" hidden="1" x14ac:dyDescent="0.3">
      <c r="A116" s="11" t="s">
        <v>287</v>
      </c>
      <c r="B116" t="str">
        <f>VLOOKUP(A116,[1]ListadoFichasDeProduccion!$A$2:$LP$3000,328,FALSE)</f>
        <v>COMPLETADO</v>
      </c>
      <c r="C116" s="11">
        <v>40</v>
      </c>
      <c r="D116" t="s">
        <v>33</v>
      </c>
      <c r="E116" t="s">
        <v>63</v>
      </c>
      <c r="F116" t="s">
        <v>132</v>
      </c>
      <c r="G116" s="9">
        <v>45909</v>
      </c>
      <c r="H116" t="s">
        <v>51</v>
      </c>
      <c r="I116" s="11">
        <v>12</v>
      </c>
      <c r="J116" t="str">
        <f>IF(I116="","",IFERROR(IF(INDEX([1]ListadoFichasDeProduccion!LQ:MB,MATCH(A116,[1]ListadoFichasDeProduccion!A:A,0),K116)=0,"",INDEX([1]ListadoFichasDeProduccion!LQ:MB,MATCH(A116,[1]ListadoFichasDeProduccion!A:A,0),K116)),""))</f>
        <v/>
      </c>
      <c r="K116" s="11">
        <v>1</v>
      </c>
    </row>
    <row r="117" spans="1:11" hidden="1" x14ac:dyDescent="0.3">
      <c r="A117" s="11" t="s">
        <v>287</v>
      </c>
      <c r="B117" t="str">
        <f>VLOOKUP(A117,[1]ListadoFichasDeProduccion!$A$2:$LP$3000,328,FALSE)</f>
        <v>COMPLETADO</v>
      </c>
      <c r="C117" s="11">
        <v>40</v>
      </c>
      <c r="D117" t="s">
        <v>33</v>
      </c>
      <c r="E117" t="s">
        <v>63</v>
      </c>
      <c r="F117" t="s">
        <v>132</v>
      </c>
      <c r="G117" s="9">
        <v>45909</v>
      </c>
      <c r="H117" t="s">
        <v>28</v>
      </c>
      <c r="I117" s="11">
        <v>14</v>
      </c>
      <c r="J117" t="str">
        <f>IF(I117="","",IFERROR(IF(INDEX([1]ListadoFichasDeProduccion!LQ:MB,MATCH(A117,[1]ListadoFichasDeProduccion!A:A,0),K117)=0,"",INDEX([1]ListadoFichasDeProduccion!LQ:MB,MATCH(A117,[1]ListadoFichasDeProduccion!A:A,0),K117)),""))</f>
        <v/>
      </c>
      <c r="K117" s="11">
        <v>2</v>
      </c>
    </row>
    <row r="118" spans="1:11" hidden="1" x14ac:dyDescent="0.3">
      <c r="A118" s="11" t="s">
        <v>287</v>
      </c>
      <c r="B118" t="str">
        <f>VLOOKUP(A118,[1]ListadoFichasDeProduccion!$A$2:$LP$3000,328,FALSE)</f>
        <v>COMPLETADO</v>
      </c>
      <c r="C118" s="11">
        <v>40</v>
      </c>
      <c r="D118" t="s">
        <v>33</v>
      </c>
      <c r="E118" t="s">
        <v>63</v>
      </c>
      <c r="F118" t="s">
        <v>132</v>
      </c>
      <c r="G118" s="9">
        <v>45909</v>
      </c>
      <c r="H118" t="s">
        <v>31</v>
      </c>
      <c r="I118" s="11">
        <v>9</v>
      </c>
      <c r="J118" t="str">
        <f>IF(I118="","",IFERROR(IF(INDEX([1]ListadoFichasDeProduccion!LQ:MB,MATCH(A118,[1]ListadoFichasDeProduccion!A:A,0),K118)=0,"",INDEX([1]ListadoFichasDeProduccion!LQ:MB,MATCH(A118,[1]ListadoFichasDeProduccion!A:A,0),K118)),""))</f>
        <v/>
      </c>
      <c r="K118" s="11">
        <v>3</v>
      </c>
    </row>
    <row r="119" spans="1:11" hidden="1" x14ac:dyDescent="0.3">
      <c r="A119" s="11" t="s">
        <v>287</v>
      </c>
      <c r="B119" t="str">
        <f>VLOOKUP(A119,[1]ListadoFichasDeProduccion!$A$2:$LP$3000,328,FALSE)</f>
        <v>COMPLETADO</v>
      </c>
      <c r="C119" s="11">
        <v>40</v>
      </c>
      <c r="D119" t="s">
        <v>33</v>
      </c>
      <c r="E119" t="s">
        <v>63</v>
      </c>
      <c r="F119" t="s">
        <v>132</v>
      </c>
      <c r="G119" s="9">
        <v>45909</v>
      </c>
      <c r="H119" t="s">
        <v>50</v>
      </c>
      <c r="I119" s="11">
        <v>5</v>
      </c>
      <c r="J119" t="str">
        <f>IF(I119="","",IFERROR(IF(INDEX([1]ListadoFichasDeProduccion!LQ:MB,MATCH(A119,[1]ListadoFichasDeProduccion!A:A,0),K119)=0,"",INDEX([1]ListadoFichasDeProduccion!LQ:MB,MATCH(A119,[1]ListadoFichasDeProduccion!A:A,0),K119)),""))</f>
        <v/>
      </c>
      <c r="K119" s="11">
        <v>4</v>
      </c>
    </row>
    <row r="120" spans="1:11" x14ac:dyDescent="0.3">
      <c r="A120" s="11" t="s">
        <v>502</v>
      </c>
      <c r="B120" t="str">
        <f>VLOOKUP(A120,[1]ListadoFichasDeProduccion!$A$2:$LP$3000,328,FALSE)</f>
        <v>NO COMENZADO</v>
      </c>
      <c r="C120" s="11">
        <v>54</v>
      </c>
      <c r="D120" t="s">
        <v>33</v>
      </c>
      <c r="E120" t="s">
        <v>63</v>
      </c>
      <c r="F120" t="s">
        <v>132</v>
      </c>
      <c r="H120" t="s">
        <v>50</v>
      </c>
      <c r="I120" s="11">
        <v>12</v>
      </c>
      <c r="J120" t="str">
        <f>IF(I120="","",IFERROR(IF(INDEX([1]ListadoFichasDeProduccion!LQ:MB,MATCH(A120,[1]ListadoFichasDeProduccion!A:A,0),K120)=0,"",INDEX([1]ListadoFichasDeProduccion!LQ:MB,MATCH(A120,[1]ListadoFichasDeProduccion!A:A,0),K120)),""))</f>
        <v/>
      </c>
      <c r="K120" s="11">
        <v>1</v>
      </c>
    </row>
    <row r="121" spans="1:11" x14ac:dyDescent="0.3">
      <c r="A121" s="11" t="s">
        <v>502</v>
      </c>
      <c r="B121" t="str">
        <f>VLOOKUP(A121,[1]ListadoFichasDeProduccion!$A$2:$LP$3000,328,FALSE)</f>
        <v>NO COMENZADO</v>
      </c>
      <c r="C121" s="11">
        <v>54</v>
      </c>
      <c r="D121" t="s">
        <v>33</v>
      </c>
      <c r="E121" t="s">
        <v>63</v>
      </c>
      <c r="F121" t="s">
        <v>132</v>
      </c>
      <c r="H121" t="s">
        <v>28</v>
      </c>
      <c r="I121" s="11">
        <v>20</v>
      </c>
      <c r="J121" t="str">
        <f>IF(I121="","",IFERROR(IF(INDEX([1]ListadoFichasDeProduccion!LQ:MB,MATCH(A121,[1]ListadoFichasDeProduccion!A:A,0),K121)=0,"",INDEX([1]ListadoFichasDeProduccion!LQ:MB,MATCH(A121,[1]ListadoFichasDeProduccion!A:A,0),K121)),""))</f>
        <v/>
      </c>
      <c r="K121" s="11">
        <v>2</v>
      </c>
    </row>
    <row r="122" spans="1:11" x14ac:dyDescent="0.3">
      <c r="A122" s="11" t="s">
        <v>502</v>
      </c>
      <c r="B122" t="str">
        <f>VLOOKUP(A122,[1]ListadoFichasDeProduccion!$A$2:$LP$3000,328,FALSE)</f>
        <v>NO COMENZADO</v>
      </c>
      <c r="C122" s="11">
        <v>54</v>
      </c>
      <c r="D122" t="s">
        <v>33</v>
      </c>
      <c r="E122" t="s">
        <v>63</v>
      </c>
      <c r="F122" t="s">
        <v>132</v>
      </c>
      <c r="H122" t="s">
        <v>51</v>
      </c>
      <c r="I122" s="11">
        <v>12</v>
      </c>
      <c r="J122" t="str">
        <f>IF(I122="","",IFERROR(IF(INDEX([1]ListadoFichasDeProduccion!LQ:MB,MATCH(A122,[1]ListadoFichasDeProduccion!A:A,0),K122)=0,"",INDEX([1]ListadoFichasDeProduccion!LQ:MB,MATCH(A122,[1]ListadoFichasDeProduccion!A:A,0),K122)),""))</f>
        <v/>
      </c>
      <c r="K122" s="11">
        <v>3</v>
      </c>
    </row>
    <row r="123" spans="1:11" x14ac:dyDescent="0.3">
      <c r="A123" s="11" t="s">
        <v>502</v>
      </c>
      <c r="B123" t="str">
        <f>VLOOKUP(A123,[1]ListadoFichasDeProduccion!$A$2:$LP$3000,328,FALSE)</f>
        <v>NO COMENZADO</v>
      </c>
      <c r="C123" s="11">
        <v>54</v>
      </c>
      <c r="D123" t="s">
        <v>33</v>
      </c>
      <c r="E123" t="s">
        <v>63</v>
      </c>
      <c r="F123" t="s">
        <v>132</v>
      </c>
      <c r="H123" t="s">
        <v>138</v>
      </c>
      <c r="I123" s="11">
        <v>10</v>
      </c>
      <c r="J123" t="str">
        <f>IF(I123="","",IFERROR(IF(INDEX([1]ListadoFichasDeProduccion!LQ:MB,MATCH(A123,[1]ListadoFichasDeProduccion!A:A,0),K123)=0,"",INDEX([1]ListadoFichasDeProduccion!LQ:MB,MATCH(A123,[1]ListadoFichasDeProduccion!A:A,0),K123)),""))</f>
        <v/>
      </c>
      <c r="K123" s="11">
        <v>4</v>
      </c>
    </row>
    <row r="124" spans="1:11" hidden="1" x14ac:dyDescent="0.3">
      <c r="A124" s="11">
        <v>1747</v>
      </c>
      <c r="B124" s="8" t="str">
        <f>VLOOKUP(A124,[1]ListadoFichasDeProduccion!$A$2:$LP$3000,328,FALSE)</f>
        <v>COMPLETADO</v>
      </c>
      <c r="C124" s="11">
        <v>15</v>
      </c>
      <c r="D124" t="s">
        <v>33</v>
      </c>
      <c r="E124" t="s">
        <v>157</v>
      </c>
      <c r="G124" s="9">
        <v>45770</v>
      </c>
      <c r="H124" t="s">
        <v>50</v>
      </c>
      <c r="I124" s="11">
        <v>2</v>
      </c>
      <c r="J124" t="str">
        <f>IF(I124="","",IFERROR(IF(INDEX([1]ListadoFichasDeProduccion!LQ:MB,MATCH(A124,[1]ListadoFichasDeProduccion!A:A,0),K124)=0,"",INDEX([1]ListadoFichasDeProduccion!LQ:MB,MATCH(A124,[1]ListadoFichasDeProduccion!A:A,0),K124)),""))</f>
        <v/>
      </c>
      <c r="K124" s="11">
        <v>1</v>
      </c>
    </row>
    <row r="125" spans="1:11" hidden="1" x14ac:dyDescent="0.3">
      <c r="A125" s="11">
        <v>1747</v>
      </c>
      <c r="B125" s="8" t="str">
        <f>VLOOKUP(A125,[1]ListadoFichasDeProduccion!$A$2:$LP$3000,328,FALSE)</f>
        <v>COMPLETADO</v>
      </c>
      <c r="C125" s="11">
        <v>15</v>
      </c>
      <c r="D125" t="s">
        <v>33</v>
      </c>
      <c r="E125" t="s">
        <v>157</v>
      </c>
      <c r="G125" s="9">
        <v>45770</v>
      </c>
      <c r="H125" t="s">
        <v>27</v>
      </c>
      <c r="I125" s="11">
        <v>3</v>
      </c>
      <c r="J125" t="str">
        <f>IF(I125="","",IFERROR(IF(INDEX([1]ListadoFichasDeProduccion!LQ:MB,MATCH(A125,[1]ListadoFichasDeProduccion!A:A,0),K125)=0,"",INDEX([1]ListadoFichasDeProduccion!LQ:MB,MATCH(A125,[1]ListadoFichasDeProduccion!A:A,0),K125)),""))</f>
        <v/>
      </c>
      <c r="K125" s="11">
        <v>2</v>
      </c>
    </row>
    <row r="126" spans="1:11" hidden="1" x14ac:dyDescent="0.3">
      <c r="A126" s="11">
        <v>1747</v>
      </c>
      <c r="B126" s="8" t="str">
        <f>VLOOKUP(A126,[1]ListadoFichasDeProduccion!$A$2:$LP$3000,328,FALSE)</f>
        <v>COMPLETADO</v>
      </c>
      <c r="C126" s="11">
        <v>15</v>
      </c>
      <c r="D126" t="s">
        <v>33</v>
      </c>
      <c r="E126" t="s">
        <v>157</v>
      </c>
      <c r="G126" s="9">
        <v>45770</v>
      </c>
      <c r="H126" t="s">
        <v>72</v>
      </c>
      <c r="I126" s="11">
        <v>2</v>
      </c>
      <c r="J126" t="str">
        <f>IF(I126="","",IFERROR(IF(INDEX([1]ListadoFichasDeProduccion!LQ:MB,MATCH(A126,[1]ListadoFichasDeProduccion!A:A,0),K126)=0,"",INDEX([1]ListadoFichasDeProduccion!LQ:MB,MATCH(A126,[1]ListadoFichasDeProduccion!A:A,0),K126)),""))</f>
        <v/>
      </c>
      <c r="K126" s="11">
        <v>3</v>
      </c>
    </row>
    <row r="127" spans="1:11" hidden="1" x14ac:dyDescent="0.3">
      <c r="A127" s="11">
        <v>1747</v>
      </c>
      <c r="B127" s="8" t="str">
        <f>VLOOKUP(A127,[1]ListadoFichasDeProduccion!$A$2:$LP$3000,328,FALSE)</f>
        <v>COMPLETADO</v>
      </c>
      <c r="C127" s="11">
        <v>15</v>
      </c>
      <c r="D127" t="s">
        <v>33</v>
      </c>
      <c r="E127" t="s">
        <v>157</v>
      </c>
      <c r="G127" s="9">
        <v>45770</v>
      </c>
      <c r="H127" t="s">
        <v>91</v>
      </c>
      <c r="I127" s="11">
        <v>2</v>
      </c>
      <c r="J127" t="str">
        <f>IF(I127="","",IFERROR(IF(INDEX([1]ListadoFichasDeProduccion!LQ:MB,MATCH(A127,[1]ListadoFichasDeProduccion!A:A,0),K127)=0,"",INDEX([1]ListadoFichasDeProduccion!LQ:MB,MATCH(A127,[1]ListadoFichasDeProduccion!A:A,0),K127)),""))</f>
        <v/>
      </c>
      <c r="K127" s="11">
        <v>4</v>
      </c>
    </row>
    <row r="128" spans="1:11" hidden="1" x14ac:dyDescent="0.3">
      <c r="A128" s="11">
        <v>1747</v>
      </c>
      <c r="B128" s="8" t="str">
        <f>VLOOKUP(A128,[1]ListadoFichasDeProduccion!$A$2:$LP$3000,328,FALSE)</f>
        <v>COMPLETADO</v>
      </c>
      <c r="C128" s="11">
        <v>15</v>
      </c>
      <c r="D128" t="s">
        <v>33</v>
      </c>
      <c r="E128" t="s">
        <v>157</v>
      </c>
      <c r="G128" s="9">
        <v>45770</v>
      </c>
      <c r="H128" t="s">
        <v>65</v>
      </c>
      <c r="I128" s="11">
        <v>2</v>
      </c>
      <c r="J128" t="str">
        <f>IF(I128="","",IFERROR(IF(INDEX([1]ListadoFichasDeProduccion!LQ:MB,MATCH(A128,[1]ListadoFichasDeProduccion!A:A,0),K128)=0,"",INDEX([1]ListadoFichasDeProduccion!LQ:MB,MATCH(A128,[1]ListadoFichasDeProduccion!A:A,0),K128)),""))</f>
        <v/>
      </c>
      <c r="K128" s="11">
        <v>5</v>
      </c>
    </row>
    <row r="129" spans="1:11" hidden="1" x14ac:dyDescent="0.3">
      <c r="A129" s="11">
        <v>1747</v>
      </c>
      <c r="B129" s="8" t="str">
        <f>VLOOKUP(A129,[1]ListadoFichasDeProduccion!$A$2:$LP$3000,328,FALSE)</f>
        <v>COMPLETADO</v>
      </c>
      <c r="C129" s="11">
        <v>15</v>
      </c>
      <c r="D129" t="s">
        <v>33</v>
      </c>
      <c r="E129" t="s">
        <v>157</v>
      </c>
      <c r="G129" s="9">
        <v>45770</v>
      </c>
      <c r="H129" t="s">
        <v>158</v>
      </c>
      <c r="I129" s="11">
        <v>4</v>
      </c>
      <c r="J129" t="str">
        <f>IF(I129="","",IFERROR(IF(INDEX([1]ListadoFichasDeProduccion!LQ:MB,MATCH(A129,[1]ListadoFichasDeProduccion!A:A,0),K129)=0,"",INDEX([1]ListadoFichasDeProduccion!LQ:MB,MATCH(A129,[1]ListadoFichasDeProduccion!A:A,0),K129)),""))</f>
        <v/>
      </c>
      <c r="K129" s="11">
        <v>6</v>
      </c>
    </row>
    <row r="130" spans="1:11" x14ac:dyDescent="0.3">
      <c r="A130" s="11" t="s">
        <v>503</v>
      </c>
      <c r="B130" t="str">
        <f>VLOOKUP(A130,[1]ListadoFichasDeProduccion!$A$2:$LP$3000,328,FALSE)</f>
        <v>NO COMENZADO</v>
      </c>
      <c r="C130" s="11">
        <v>14</v>
      </c>
      <c r="D130" t="s">
        <v>33</v>
      </c>
      <c r="E130" t="s">
        <v>157</v>
      </c>
      <c r="H130" t="s">
        <v>50</v>
      </c>
      <c r="I130" s="11">
        <v>4</v>
      </c>
      <c r="J130" t="str">
        <f>IF(I130="","",IFERROR(IF(INDEX([1]ListadoFichasDeProduccion!LQ:MB,MATCH(A130,[1]ListadoFichasDeProduccion!A:A,0),K130)=0,"",INDEX([1]ListadoFichasDeProduccion!LQ:MB,MATCH(A130,[1]ListadoFichasDeProduccion!A:A,0),K130)),""))</f>
        <v/>
      </c>
      <c r="K130" s="11">
        <v>1</v>
      </c>
    </row>
    <row r="131" spans="1:11" x14ac:dyDescent="0.3">
      <c r="A131" s="11" t="s">
        <v>503</v>
      </c>
      <c r="B131" t="str">
        <f>VLOOKUP(A131,[1]ListadoFichasDeProduccion!$A$2:$LP$3000,328,FALSE)</f>
        <v>NO COMENZADO</v>
      </c>
      <c r="C131" s="11">
        <v>14</v>
      </c>
      <c r="D131" t="s">
        <v>33</v>
      </c>
      <c r="E131" t="s">
        <v>157</v>
      </c>
      <c r="H131" t="s">
        <v>27</v>
      </c>
      <c r="I131" s="11">
        <v>6</v>
      </c>
      <c r="J131" t="str">
        <f>IF(I131="","",IFERROR(IF(INDEX([1]ListadoFichasDeProduccion!LQ:MB,MATCH(A131,[1]ListadoFichasDeProduccion!A:A,0),K131)=0,"",INDEX([1]ListadoFichasDeProduccion!LQ:MB,MATCH(A131,[1]ListadoFichasDeProduccion!A:A,0),K131)),""))</f>
        <v/>
      </c>
      <c r="K131" s="11">
        <v>2</v>
      </c>
    </row>
    <row r="132" spans="1:11" x14ac:dyDescent="0.3">
      <c r="A132" s="11" t="s">
        <v>503</v>
      </c>
      <c r="B132" t="str">
        <f>VLOOKUP(A132,[1]ListadoFichasDeProduccion!$A$2:$LP$3000,328,FALSE)</f>
        <v>NO COMENZADO</v>
      </c>
      <c r="C132" s="11">
        <v>14</v>
      </c>
      <c r="D132" t="s">
        <v>33</v>
      </c>
      <c r="E132" t="s">
        <v>157</v>
      </c>
      <c r="H132" t="s">
        <v>44</v>
      </c>
      <c r="I132" s="11">
        <v>4</v>
      </c>
      <c r="J132" t="str">
        <f>IF(I132="","",IFERROR(IF(INDEX([1]ListadoFichasDeProduccion!LQ:MB,MATCH(A132,[1]ListadoFichasDeProduccion!A:A,0),K132)=0,"",INDEX([1]ListadoFichasDeProduccion!LQ:MB,MATCH(A132,[1]ListadoFichasDeProduccion!A:A,0),K132)),""))</f>
        <v/>
      </c>
      <c r="K132" s="11">
        <v>3</v>
      </c>
    </row>
    <row r="133" spans="1:11" hidden="1" x14ac:dyDescent="0.3">
      <c r="A133" s="11">
        <v>1590</v>
      </c>
      <c r="B133" s="8" t="str">
        <f>VLOOKUP(A133,[1]ListadoFichasDeProduccion!$A$2:$LP$3000,328,FALSE)</f>
        <v>COMPLETADO</v>
      </c>
      <c r="C133" s="11">
        <v>13</v>
      </c>
      <c r="D133" t="s">
        <v>33</v>
      </c>
      <c r="E133" t="s">
        <v>34</v>
      </c>
      <c r="F133" s="9"/>
      <c r="G133" s="9">
        <v>45674</v>
      </c>
      <c r="H133" t="s">
        <v>24</v>
      </c>
      <c r="I133" s="11">
        <v>2</v>
      </c>
      <c r="J133" t="str">
        <f>IF(I133="","",IFERROR(IF(INDEX([1]ListadoFichasDeProduccion!LQ:MB,MATCH(A133,[1]ListadoFichasDeProduccion!A:A,0),K133)=0,"",INDEX([1]ListadoFichasDeProduccion!LQ:MB,MATCH(A133,[1]ListadoFichasDeProduccion!A:A,0),K133)),""))</f>
        <v/>
      </c>
      <c r="K133" s="11">
        <v>1</v>
      </c>
    </row>
    <row r="134" spans="1:11" hidden="1" x14ac:dyDescent="0.3">
      <c r="A134" s="11">
        <v>1590</v>
      </c>
      <c r="B134" s="8" t="str">
        <f>VLOOKUP(A134,[1]ListadoFichasDeProduccion!$A$2:$LP$3000,328,FALSE)</f>
        <v>COMPLETADO</v>
      </c>
      <c r="C134" s="11">
        <v>13</v>
      </c>
      <c r="D134" t="s">
        <v>33</v>
      </c>
      <c r="E134" t="s">
        <v>34</v>
      </c>
      <c r="F134" s="9"/>
      <c r="G134" s="9">
        <v>45674</v>
      </c>
      <c r="H134" t="s">
        <v>35</v>
      </c>
      <c r="I134" s="11">
        <v>3</v>
      </c>
      <c r="J134" t="str">
        <f>IF(I134="","",IFERROR(IF(INDEX([1]ListadoFichasDeProduccion!LQ:MB,MATCH(A134,[1]ListadoFichasDeProduccion!A:A,0),K134)=0,"",INDEX([1]ListadoFichasDeProduccion!LQ:MB,MATCH(A134,[1]ListadoFichasDeProduccion!A:A,0),K134)),""))</f>
        <v/>
      </c>
      <c r="K134" s="11">
        <v>2</v>
      </c>
    </row>
    <row r="135" spans="1:11" hidden="1" x14ac:dyDescent="0.3">
      <c r="A135" s="11">
        <v>1590</v>
      </c>
      <c r="B135" s="8" t="str">
        <f>VLOOKUP(A135,[1]ListadoFichasDeProduccion!$A$2:$LP$3000,328,FALSE)</f>
        <v>COMPLETADO</v>
      </c>
      <c r="C135" s="11">
        <v>13</v>
      </c>
      <c r="D135" t="s">
        <v>33</v>
      </c>
      <c r="E135" t="s">
        <v>34</v>
      </c>
      <c r="F135" s="9"/>
      <c r="G135" s="9">
        <v>45674</v>
      </c>
      <c r="H135" t="s">
        <v>32</v>
      </c>
      <c r="I135" s="11">
        <v>4</v>
      </c>
      <c r="J135" t="str">
        <f>IF(I135="","",IFERROR(IF(INDEX([1]ListadoFichasDeProduccion!LQ:MB,MATCH(A135,[1]ListadoFichasDeProduccion!A:A,0),K135)=0,"",INDEX([1]ListadoFichasDeProduccion!LQ:MB,MATCH(A135,[1]ListadoFichasDeProduccion!A:A,0),K135)),""))</f>
        <v/>
      </c>
      <c r="K135" s="11">
        <v>3</v>
      </c>
    </row>
    <row r="136" spans="1:11" hidden="1" x14ac:dyDescent="0.3">
      <c r="A136" s="11">
        <v>1590</v>
      </c>
      <c r="B136" s="8" t="str">
        <f>VLOOKUP(A136,[1]ListadoFichasDeProduccion!$A$2:$LP$3000,328,FALSE)</f>
        <v>COMPLETADO</v>
      </c>
      <c r="C136" s="11">
        <v>13</v>
      </c>
      <c r="D136" t="s">
        <v>33</v>
      </c>
      <c r="E136" t="s">
        <v>34</v>
      </c>
      <c r="F136" s="9"/>
      <c r="G136" s="9">
        <v>45674</v>
      </c>
      <c r="H136" t="s">
        <v>36</v>
      </c>
      <c r="I136" s="11">
        <v>4</v>
      </c>
      <c r="J136" t="str">
        <f>IF(I136="","",IFERROR(IF(INDEX([1]ListadoFichasDeProduccion!LQ:MB,MATCH(A136,[1]ListadoFichasDeProduccion!A:A,0),K136)=0,"",INDEX([1]ListadoFichasDeProduccion!LQ:MB,MATCH(A136,[1]ListadoFichasDeProduccion!A:A,0),K136)),""))</f>
        <v/>
      </c>
      <c r="K136" s="11">
        <v>4</v>
      </c>
    </row>
    <row r="137" spans="1:11" hidden="1" x14ac:dyDescent="0.3">
      <c r="A137" s="11">
        <v>1622</v>
      </c>
      <c r="B137" s="8" t="str">
        <f>VLOOKUP(A137,[1]ListadoFichasDeProduccion!$A$2:$LP$3000,328,FALSE)</f>
        <v>COMPLETADO</v>
      </c>
      <c r="C137" s="11">
        <v>24</v>
      </c>
      <c r="D137" t="s">
        <v>33</v>
      </c>
      <c r="E137" t="s">
        <v>34</v>
      </c>
      <c r="F137" s="9"/>
      <c r="G137" s="9">
        <v>45727</v>
      </c>
      <c r="H137" t="s">
        <v>24</v>
      </c>
      <c r="I137" s="11">
        <v>2</v>
      </c>
      <c r="J137" t="str">
        <f>IF(I137="","",IFERROR(IF(INDEX([1]ListadoFichasDeProduccion!LQ:MB,MATCH(A137,[1]ListadoFichasDeProduccion!A:A,0),K137)=0,"",INDEX([1]ListadoFichasDeProduccion!LQ:MB,MATCH(A137,[1]ListadoFichasDeProduccion!A:A,0),K137)),""))</f>
        <v/>
      </c>
      <c r="K137" s="11">
        <v>1</v>
      </c>
    </row>
    <row r="138" spans="1:11" hidden="1" x14ac:dyDescent="0.3">
      <c r="A138" s="11">
        <v>1622</v>
      </c>
      <c r="B138" s="8" t="str">
        <f>VLOOKUP(A138,[1]ListadoFichasDeProduccion!$A$2:$LP$3000,328,FALSE)</f>
        <v>COMPLETADO</v>
      </c>
      <c r="C138" s="11">
        <v>24</v>
      </c>
      <c r="D138" t="s">
        <v>33</v>
      </c>
      <c r="E138" t="s">
        <v>34</v>
      </c>
      <c r="F138" s="9"/>
      <c r="G138" s="9">
        <v>45727</v>
      </c>
      <c r="H138" t="s">
        <v>35</v>
      </c>
      <c r="I138" s="11">
        <v>4</v>
      </c>
      <c r="J138" t="str">
        <f>IF(I138="","",IFERROR(IF(INDEX([1]ListadoFichasDeProduccion!LQ:MB,MATCH(A138,[1]ListadoFichasDeProduccion!A:A,0),K138)=0,"",INDEX([1]ListadoFichasDeProduccion!LQ:MB,MATCH(A138,[1]ListadoFichasDeProduccion!A:A,0),K138)),""))</f>
        <v/>
      </c>
      <c r="K138" s="11">
        <v>2</v>
      </c>
    </row>
    <row r="139" spans="1:11" hidden="1" x14ac:dyDescent="0.3">
      <c r="A139" s="11">
        <v>1622</v>
      </c>
      <c r="B139" s="8" t="str">
        <f>VLOOKUP(A139,[1]ListadoFichasDeProduccion!$A$2:$LP$3000,328,FALSE)</f>
        <v>COMPLETADO</v>
      </c>
      <c r="C139" s="11">
        <v>24</v>
      </c>
      <c r="D139" t="s">
        <v>33</v>
      </c>
      <c r="E139" t="s">
        <v>34</v>
      </c>
      <c r="F139" s="9"/>
      <c r="G139" s="9">
        <v>45727</v>
      </c>
      <c r="H139" t="s">
        <v>64</v>
      </c>
      <c r="I139" s="11">
        <v>10</v>
      </c>
      <c r="J139" t="str">
        <f>IF(I139="","",IFERROR(IF(INDEX([1]ListadoFichasDeProduccion!LQ:MB,MATCH(A139,[1]ListadoFichasDeProduccion!A:A,0),K139)=0,"",INDEX([1]ListadoFichasDeProduccion!LQ:MB,MATCH(A139,[1]ListadoFichasDeProduccion!A:A,0),K139)),""))</f>
        <v/>
      </c>
      <c r="K139" s="11">
        <v>3</v>
      </c>
    </row>
    <row r="140" spans="1:11" hidden="1" x14ac:dyDescent="0.3">
      <c r="A140" s="11">
        <v>1622</v>
      </c>
      <c r="B140" s="8" t="str">
        <f>VLOOKUP(A140,[1]ListadoFichasDeProduccion!$A$2:$LP$3000,328,FALSE)</f>
        <v>COMPLETADO</v>
      </c>
      <c r="C140" s="11">
        <v>24</v>
      </c>
      <c r="D140" t="s">
        <v>33</v>
      </c>
      <c r="E140" t="s">
        <v>34</v>
      </c>
      <c r="F140" s="9"/>
      <c r="G140" s="9">
        <v>45727</v>
      </c>
      <c r="H140" t="s">
        <v>65</v>
      </c>
      <c r="I140" s="11">
        <v>6</v>
      </c>
      <c r="J140" t="str">
        <f>IF(I140="","",IFERROR(IF(INDEX([1]ListadoFichasDeProduccion!LQ:MB,MATCH(A140,[1]ListadoFichasDeProduccion!A:A,0),K140)=0,"",INDEX([1]ListadoFichasDeProduccion!LQ:MB,MATCH(A140,[1]ListadoFichasDeProduccion!A:A,0),K140)),""))</f>
        <v/>
      </c>
      <c r="K140" s="11">
        <v>4</v>
      </c>
    </row>
    <row r="141" spans="1:11" hidden="1" x14ac:dyDescent="0.3">
      <c r="A141" s="11">
        <v>1622</v>
      </c>
      <c r="B141" s="8" t="str">
        <f>VLOOKUP(A141,[1]ListadoFichasDeProduccion!$A$2:$LP$3000,328,FALSE)</f>
        <v>COMPLETADO</v>
      </c>
      <c r="C141" s="11">
        <v>24</v>
      </c>
      <c r="D141" t="s">
        <v>33</v>
      </c>
      <c r="E141" t="s">
        <v>34</v>
      </c>
      <c r="F141" s="9"/>
      <c r="G141" s="9">
        <v>45727</v>
      </c>
      <c r="H141" t="s">
        <v>40</v>
      </c>
      <c r="I141" s="11">
        <v>2</v>
      </c>
      <c r="J141" t="str">
        <f>IF(I141="","",IFERROR(IF(INDEX([1]ListadoFichasDeProduccion!LQ:MB,MATCH(A141,[1]ListadoFichasDeProduccion!A:A,0),K141)=0,"",INDEX([1]ListadoFichasDeProduccion!LQ:MB,MATCH(A141,[1]ListadoFichasDeProduccion!A:A,0),K141)),""))</f>
        <v/>
      </c>
      <c r="K141" s="11">
        <v>5</v>
      </c>
    </row>
    <row r="142" spans="1:11" hidden="1" x14ac:dyDescent="0.3">
      <c r="A142" s="11">
        <v>1783</v>
      </c>
      <c r="B142" s="8" t="str">
        <f>VLOOKUP(A142,[1]ListadoFichasDeProduccion!$A$2:$LP$3000,328,FALSE)</f>
        <v>COMPLETADO</v>
      </c>
      <c r="C142" s="11">
        <v>24</v>
      </c>
      <c r="D142" t="s">
        <v>33</v>
      </c>
      <c r="E142" t="s">
        <v>34</v>
      </c>
      <c r="G142" s="9">
        <v>45786</v>
      </c>
      <c r="H142" t="s">
        <v>40</v>
      </c>
      <c r="I142" s="11">
        <v>12</v>
      </c>
      <c r="J142" t="str">
        <f>IF(I142="","",IFERROR(IF(INDEX([1]ListadoFichasDeProduccion!LQ:MB,MATCH(A142,[1]ListadoFichasDeProduccion!A:A,0),K142)=0,"",INDEX([1]ListadoFichasDeProduccion!LQ:MB,MATCH(A142,[1]ListadoFichasDeProduccion!A:A,0),K142)),""))</f>
        <v/>
      </c>
      <c r="K142" s="11">
        <v>1</v>
      </c>
    </row>
    <row r="143" spans="1:11" hidden="1" x14ac:dyDescent="0.3">
      <c r="A143" s="11">
        <v>1783</v>
      </c>
      <c r="B143" s="8" t="str">
        <f>VLOOKUP(A143,[1]ListadoFichasDeProduccion!$A$2:$LP$3000,328,FALSE)</f>
        <v>COMPLETADO</v>
      </c>
      <c r="C143" s="11">
        <v>24</v>
      </c>
      <c r="D143" t="s">
        <v>33</v>
      </c>
      <c r="E143" t="s">
        <v>34</v>
      </c>
      <c r="G143" s="9">
        <v>45786</v>
      </c>
      <c r="H143" t="s">
        <v>138</v>
      </c>
      <c r="I143" s="11">
        <v>6</v>
      </c>
      <c r="J143" t="str">
        <f>IF(I143="","",IFERROR(IF(INDEX([1]ListadoFichasDeProduccion!LQ:MB,MATCH(A143,[1]ListadoFichasDeProduccion!A:A,0),K143)=0,"",INDEX([1]ListadoFichasDeProduccion!LQ:MB,MATCH(A143,[1]ListadoFichasDeProduccion!A:A,0),K143)),""))</f>
        <v/>
      </c>
      <c r="K143" s="11">
        <v>2</v>
      </c>
    </row>
    <row r="144" spans="1:11" hidden="1" x14ac:dyDescent="0.3">
      <c r="A144" s="11">
        <v>1783</v>
      </c>
      <c r="B144" s="8" t="str">
        <f>VLOOKUP(A144,[1]ListadoFichasDeProduccion!$A$2:$LP$3000,328,FALSE)</f>
        <v>COMPLETADO</v>
      </c>
      <c r="C144" s="11">
        <v>24</v>
      </c>
      <c r="D144" t="s">
        <v>33</v>
      </c>
      <c r="E144" t="s">
        <v>34</v>
      </c>
      <c r="G144" s="9">
        <v>45786</v>
      </c>
      <c r="H144" t="s">
        <v>137</v>
      </c>
      <c r="I144" s="11">
        <v>6</v>
      </c>
      <c r="J144" t="str">
        <f>IF(I144="","",IFERROR(IF(INDEX([1]ListadoFichasDeProduccion!LQ:MB,MATCH(A144,[1]ListadoFichasDeProduccion!A:A,0),K144)=0,"",INDEX([1]ListadoFichasDeProduccion!LQ:MB,MATCH(A144,[1]ListadoFichasDeProduccion!A:A,0),K144)),""))</f>
        <v/>
      </c>
      <c r="K144" s="11">
        <v>3</v>
      </c>
    </row>
    <row r="145" spans="1:11" hidden="1" x14ac:dyDescent="0.3">
      <c r="A145" s="11">
        <v>1821</v>
      </c>
      <c r="B145" s="8" t="str">
        <f>VLOOKUP(A145,[1]ListadoFichasDeProduccion!$A$2:$LP$3000,328,FALSE)</f>
        <v>COMPLETADO</v>
      </c>
      <c r="C145" s="11">
        <v>8</v>
      </c>
      <c r="D145" t="s">
        <v>33</v>
      </c>
      <c r="E145" t="s">
        <v>34</v>
      </c>
      <c r="G145" s="9">
        <v>45813</v>
      </c>
      <c r="H145" t="s">
        <v>40</v>
      </c>
      <c r="I145" s="11">
        <v>8</v>
      </c>
      <c r="J145" t="str">
        <f>IF(I145="","",IFERROR(IF(INDEX([1]ListadoFichasDeProduccion!LQ:MB,MATCH(A145,[1]ListadoFichasDeProduccion!A:A,0),K145)=0,"",INDEX([1]ListadoFichasDeProduccion!LQ:MB,MATCH(A145,[1]ListadoFichasDeProduccion!A:A,0),K145)),""))</f>
        <v/>
      </c>
      <c r="K145" s="11">
        <v>1</v>
      </c>
    </row>
    <row r="146" spans="1:11" hidden="1" x14ac:dyDescent="0.3">
      <c r="A146" s="11">
        <v>1890</v>
      </c>
      <c r="B146" s="8" t="str">
        <f>VLOOKUP(A146,[1]ListadoFichasDeProduccion!$A$2:$LP$3000,328,FALSE)</f>
        <v>COMPLETADO</v>
      </c>
      <c r="C146" s="11">
        <v>12</v>
      </c>
      <c r="D146" t="s">
        <v>33</v>
      </c>
      <c r="E146" t="s">
        <v>34</v>
      </c>
      <c r="G146" s="9">
        <v>45856</v>
      </c>
      <c r="H146" t="s">
        <v>40</v>
      </c>
      <c r="I146" s="11">
        <v>4</v>
      </c>
      <c r="J146" t="str">
        <f>IF(I146="","",IFERROR(IF(INDEX([1]ListadoFichasDeProduccion!LQ:MB,MATCH(A146,[1]ListadoFichasDeProduccion!A:A,0),K146)=0,"",INDEX([1]ListadoFichasDeProduccion!LQ:MB,MATCH(A146,[1]ListadoFichasDeProduccion!A:A,0),K146)),""))</f>
        <v/>
      </c>
      <c r="K146" s="11">
        <v>1</v>
      </c>
    </row>
    <row r="147" spans="1:11" hidden="1" x14ac:dyDescent="0.3">
      <c r="A147" s="11">
        <v>1890</v>
      </c>
      <c r="B147" s="8" t="str">
        <f>VLOOKUP(A147,[1]ListadoFichasDeProduccion!$A$2:$LP$3000,328,FALSE)</f>
        <v>COMPLETADO</v>
      </c>
      <c r="C147" s="11">
        <v>12</v>
      </c>
      <c r="D147" t="s">
        <v>33</v>
      </c>
      <c r="E147" t="s">
        <v>34</v>
      </c>
      <c r="G147" s="9">
        <v>45856</v>
      </c>
      <c r="H147" t="s">
        <v>138</v>
      </c>
      <c r="I147" s="11">
        <v>8</v>
      </c>
      <c r="J147" t="str">
        <f>IF(I147="","",IFERROR(IF(INDEX([1]ListadoFichasDeProduccion!LQ:MB,MATCH(A147,[1]ListadoFichasDeProduccion!A:A,0),K147)=0,"",INDEX([1]ListadoFichasDeProduccion!LQ:MB,MATCH(A147,[1]ListadoFichasDeProduccion!A:A,0),K147)),""))</f>
        <v/>
      </c>
      <c r="K147" s="11">
        <v>2</v>
      </c>
    </row>
    <row r="148" spans="1:11" hidden="1" x14ac:dyDescent="0.3">
      <c r="A148" s="11">
        <v>1944</v>
      </c>
      <c r="B148" t="str">
        <f>VLOOKUP(A148,[1]ListadoFichasDeProduccion!$A$2:$LP$3000,328,FALSE)</f>
        <v>COMPLETADO</v>
      </c>
      <c r="C148" s="11">
        <v>22</v>
      </c>
      <c r="D148" t="s">
        <v>33</v>
      </c>
      <c r="E148" t="s">
        <v>34</v>
      </c>
      <c r="G148" s="9">
        <v>45883</v>
      </c>
      <c r="H148" t="s">
        <v>24</v>
      </c>
      <c r="I148" s="11">
        <v>6</v>
      </c>
      <c r="J148" t="str">
        <f>IF(I148="","",IFERROR(IF(INDEX([1]ListadoFichasDeProduccion!LQ:MB,MATCH(A148,[1]ListadoFichasDeProduccion!A:A,0),K148)=0,"",INDEX([1]ListadoFichasDeProduccion!LQ:MB,MATCH(A148,[1]ListadoFichasDeProduccion!A:A,0),K148)),""))</f>
        <v/>
      </c>
      <c r="K148" s="11">
        <v>1</v>
      </c>
    </row>
    <row r="149" spans="1:11" hidden="1" x14ac:dyDescent="0.3">
      <c r="A149" s="11">
        <v>1944</v>
      </c>
      <c r="B149" t="str">
        <f>VLOOKUP(A149,[1]ListadoFichasDeProduccion!$A$2:$LP$3000,328,FALSE)</f>
        <v>COMPLETADO</v>
      </c>
      <c r="C149" s="11">
        <v>22</v>
      </c>
      <c r="D149" t="s">
        <v>33</v>
      </c>
      <c r="E149" t="s">
        <v>34</v>
      </c>
      <c r="G149" s="9">
        <v>45883</v>
      </c>
      <c r="H149" t="s">
        <v>138</v>
      </c>
      <c r="I149" s="11">
        <v>10</v>
      </c>
      <c r="J149" t="str">
        <f>IF(I149="","",IFERROR(IF(INDEX([1]ListadoFichasDeProduccion!LQ:MB,MATCH(A149,[1]ListadoFichasDeProduccion!A:A,0),K149)=0,"",INDEX([1]ListadoFichasDeProduccion!LQ:MB,MATCH(A149,[1]ListadoFichasDeProduccion!A:A,0),K149)),""))</f>
        <v/>
      </c>
      <c r="K149" s="11">
        <v>2</v>
      </c>
    </row>
    <row r="150" spans="1:11" hidden="1" x14ac:dyDescent="0.3">
      <c r="A150" s="11">
        <v>1944</v>
      </c>
      <c r="B150" t="str">
        <f>VLOOKUP(A150,[1]ListadoFichasDeProduccion!$A$2:$LP$3000,328,FALSE)</f>
        <v>COMPLETADO</v>
      </c>
      <c r="C150" s="11">
        <v>22</v>
      </c>
      <c r="D150" t="s">
        <v>33</v>
      </c>
      <c r="E150" t="s">
        <v>34</v>
      </c>
      <c r="G150" s="9">
        <v>45883</v>
      </c>
      <c r="H150" t="s">
        <v>137</v>
      </c>
      <c r="I150" s="11">
        <v>6</v>
      </c>
      <c r="J150" t="str">
        <f>IF(I150="","",IFERROR(IF(INDEX([1]ListadoFichasDeProduccion!LQ:MB,MATCH(A150,[1]ListadoFichasDeProduccion!A:A,0),K150)=0,"",INDEX([1]ListadoFichasDeProduccion!LQ:MB,MATCH(A150,[1]ListadoFichasDeProduccion!A:A,0),K150)),""))</f>
        <v/>
      </c>
      <c r="K150" s="11">
        <v>3</v>
      </c>
    </row>
    <row r="151" spans="1:11" hidden="1" x14ac:dyDescent="0.3">
      <c r="A151" s="11">
        <v>18212</v>
      </c>
      <c r="B151" t="str">
        <f>VLOOKUP(A151,[1]ListadoFichasDeProduccion!$A$2:$LP$3000,328,FALSE)</f>
        <v>COMPLETADO</v>
      </c>
      <c r="C151" s="11">
        <v>6</v>
      </c>
      <c r="D151" t="s">
        <v>33</v>
      </c>
      <c r="E151" t="s">
        <v>34</v>
      </c>
      <c r="G151" s="9">
        <v>45891</v>
      </c>
      <c r="H151" t="s">
        <v>138</v>
      </c>
      <c r="I151" s="11">
        <v>4</v>
      </c>
      <c r="J151" t="str">
        <f>IF(I151="","",IFERROR(IF(INDEX([1]ListadoFichasDeProduccion!LQ:MB,MATCH(A151,[1]ListadoFichasDeProduccion!A:A,0),K151)=0,"",INDEX([1]ListadoFichasDeProduccion!LQ:MB,MATCH(A151,[1]ListadoFichasDeProduccion!A:A,0),K151)),""))</f>
        <v/>
      </c>
      <c r="K151" s="11">
        <v>1</v>
      </c>
    </row>
    <row r="152" spans="1:11" hidden="1" x14ac:dyDescent="0.3">
      <c r="A152" s="11">
        <v>18212</v>
      </c>
      <c r="B152" t="str">
        <f>VLOOKUP(A152,[1]ListadoFichasDeProduccion!$A$2:$LP$3000,328,FALSE)</f>
        <v>COMPLETADO</v>
      </c>
      <c r="C152" s="11">
        <v>6</v>
      </c>
      <c r="D152" t="s">
        <v>33</v>
      </c>
      <c r="E152" t="s">
        <v>34</v>
      </c>
      <c r="G152" s="9">
        <v>45891</v>
      </c>
      <c r="H152" t="s">
        <v>35</v>
      </c>
      <c r="I152" s="11">
        <v>2</v>
      </c>
      <c r="J152" t="str">
        <f>IF(I152="","",IFERROR(IF(INDEX([1]ListadoFichasDeProduccion!LQ:MB,MATCH(A152,[1]ListadoFichasDeProduccion!A:A,0),K152)=0,"",INDEX([1]ListadoFichasDeProduccion!LQ:MB,MATCH(A152,[1]ListadoFichasDeProduccion!A:A,0),K152)),""))</f>
        <v/>
      </c>
      <c r="K152" s="11">
        <v>2</v>
      </c>
    </row>
    <row r="153" spans="1:11" x14ac:dyDescent="0.3">
      <c r="A153" s="11" t="s">
        <v>504</v>
      </c>
      <c r="B153" t="str">
        <f>VLOOKUP(A153,[1]ListadoFichasDeProduccion!$A$2:$LP$3000,328,FALSE)</f>
        <v>NO COMENZADO</v>
      </c>
      <c r="C153" s="11">
        <v>26</v>
      </c>
      <c r="D153" t="s">
        <v>33</v>
      </c>
      <c r="E153" t="s">
        <v>34</v>
      </c>
      <c r="H153" t="s">
        <v>138</v>
      </c>
      <c r="I153" s="11">
        <v>10</v>
      </c>
      <c r="J153" t="str">
        <f>IF(I153="","",IFERROR(IF(INDEX([1]ListadoFichasDeProduccion!LQ:MB,MATCH(A153,[1]ListadoFichasDeProduccion!A:A,0),K153)=0,"",INDEX([1]ListadoFichasDeProduccion!LQ:MB,MATCH(A153,[1]ListadoFichasDeProduccion!A:A,0),K153)),""))</f>
        <v/>
      </c>
      <c r="K153" s="11">
        <v>1</v>
      </c>
    </row>
    <row r="154" spans="1:11" x14ac:dyDescent="0.3">
      <c r="A154" s="11" t="s">
        <v>504</v>
      </c>
      <c r="B154" t="str">
        <f>VLOOKUP(A154,[1]ListadoFichasDeProduccion!$A$2:$LP$3000,328,FALSE)</f>
        <v>NO COMENZADO</v>
      </c>
      <c r="C154" s="11">
        <v>26</v>
      </c>
      <c r="D154" t="s">
        <v>33</v>
      </c>
      <c r="E154" t="s">
        <v>34</v>
      </c>
      <c r="H154" t="s">
        <v>39</v>
      </c>
      <c r="I154" s="11">
        <v>10</v>
      </c>
      <c r="J154" t="str">
        <f>IF(I154="","",IFERROR(IF(INDEX([1]ListadoFichasDeProduccion!LQ:MB,MATCH(A154,[1]ListadoFichasDeProduccion!A:A,0),K154)=0,"",INDEX([1]ListadoFichasDeProduccion!LQ:MB,MATCH(A154,[1]ListadoFichasDeProduccion!A:A,0),K154)),""))</f>
        <v/>
      </c>
      <c r="K154" s="11">
        <v>2</v>
      </c>
    </row>
    <row r="155" spans="1:11" x14ac:dyDescent="0.3">
      <c r="A155" s="11" t="s">
        <v>504</v>
      </c>
      <c r="B155" t="str">
        <f>VLOOKUP(A155,[1]ListadoFichasDeProduccion!$A$2:$LP$3000,328,FALSE)</f>
        <v>NO COMENZADO</v>
      </c>
      <c r="C155" s="11">
        <v>26</v>
      </c>
      <c r="D155" t="s">
        <v>33</v>
      </c>
      <c r="E155" t="s">
        <v>34</v>
      </c>
      <c r="H155" t="s">
        <v>40</v>
      </c>
      <c r="I155" s="11">
        <v>6</v>
      </c>
      <c r="J155" t="str">
        <f>IF(I155="","",IFERROR(IF(INDEX([1]ListadoFichasDeProduccion!LQ:MB,MATCH(A155,[1]ListadoFichasDeProduccion!A:A,0),K155)=0,"",INDEX([1]ListadoFichasDeProduccion!LQ:MB,MATCH(A155,[1]ListadoFichasDeProduccion!A:A,0),K155)),""))</f>
        <v/>
      </c>
      <c r="K155" s="11">
        <v>3</v>
      </c>
    </row>
    <row r="156" spans="1:11" hidden="1" x14ac:dyDescent="0.3">
      <c r="A156" s="11">
        <v>1591</v>
      </c>
      <c r="B156" s="8" t="str">
        <f>VLOOKUP(A156,[1]ListadoFichasDeProduccion!$A$2:$LP$3000,328,FALSE)</f>
        <v>COMPLETADO</v>
      </c>
      <c r="C156" s="11">
        <v>32</v>
      </c>
      <c r="D156" t="s">
        <v>33</v>
      </c>
      <c r="E156" t="s">
        <v>37</v>
      </c>
      <c r="F156" s="9" t="s">
        <v>38</v>
      </c>
      <c r="G156" s="9">
        <v>45685</v>
      </c>
      <c r="H156" t="s">
        <v>24</v>
      </c>
      <c r="I156" s="11">
        <v>2</v>
      </c>
      <c r="J156" t="str">
        <f>IF(I156="","",IFERROR(IF(INDEX([1]ListadoFichasDeProduccion!LQ:MB,MATCH(A156,[1]ListadoFichasDeProduccion!A:A,0),K156)=0,"",INDEX([1]ListadoFichasDeProduccion!LQ:MB,MATCH(A156,[1]ListadoFichasDeProduccion!A:A,0),K156)),""))</f>
        <v/>
      </c>
      <c r="K156" s="11">
        <v>1</v>
      </c>
    </row>
    <row r="157" spans="1:11" hidden="1" x14ac:dyDescent="0.3">
      <c r="A157" s="11">
        <v>1591</v>
      </c>
      <c r="B157" s="8" t="str">
        <f>VLOOKUP(A157,[1]ListadoFichasDeProduccion!$A$2:$LP$3000,328,FALSE)</f>
        <v>COMPLETADO</v>
      </c>
      <c r="C157" s="11">
        <v>32</v>
      </c>
      <c r="D157" t="s">
        <v>33</v>
      </c>
      <c r="E157" t="s">
        <v>37</v>
      </c>
      <c r="F157" s="9" t="s">
        <v>38</v>
      </c>
      <c r="G157" s="9">
        <v>45685</v>
      </c>
      <c r="H157" t="s">
        <v>36</v>
      </c>
      <c r="I157" s="11">
        <v>10</v>
      </c>
      <c r="J157" t="str">
        <f>IF(I157="","",IFERROR(IF(INDEX([1]ListadoFichasDeProduccion!LQ:MB,MATCH(A157,[1]ListadoFichasDeProduccion!A:A,0),K157)=0,"",INDEX([1]ListadoFichasDeProduccion!LQ:MB,MATCH(A157,[1]ListadoFichasDeProduccion!A:A,0),K157)),""))</f>
        <v/>
      </c>
      <c r="K157" s="11">
        <v>2</v>
      </c>
    </row>
    <row r="158" spans="1:11" hidden="1" x14ac:dyDescent="0.3">
      <c r="A158" s="11">
        <v>1591</v>
      </c>
      <c r="B158" s="8" t="str">
        <f>VLOOKUP(A158,[1]ListadoFichasDeProduccion!$A$2:$LP$3000,328,FALSE)</f>
        <v>COMPLETADO</v>
      </c>
      <c r="C158" s="11">
        <v>32</v>
      </c>
      <c r="D158" t="s">
        <v>33</v>
      </c>
      <c r="E158" t="s">
        <v>37</v>
      </c>
      <c r="F158" s="9" t="s">
        <v>38</v>
      </c>
      <c r="G158" s="9">
        <v>45685</v>
      </c>
      <c r="H158" t="s">
        <v>39</v>
      </c>
      <c r="I158" s="11">
        <v>10</v>
      </c>
      <c r="J158" t="str">
        <f>IF(I158="","",IFERROR(IF(INDEX([1]ListadoFichasDeProduccion!LQ:MB,MATCH(A158,[1]ListadoFichasDeProduccion!A:A,0),K158)=0,"",INDEX([1]ListadoFichasDeProduccion!LQ:MB,MATCH(A158,[1]ListadoFichasDeProduccion!A:A,0),K158)),""))</f>
        <v/>
      </c>
      <c r="K158" s="11">
        <v>3</v>
      </c>
    </row>
    <row r="159" spans="1:11" hidden="1" x14ac:dyDescent="0.3">
      <c r="A159" s="11">
        <v>1591</v>
      </c>
      <c r="B159" s="8" t="str">
        <f>VLOOKUP(A159,[1]ListadoFichasDeProduccion!$A$2:$LP$3000,328,FALSE)</f>
        <v>COMPLETADO</v>
      </c>
      <c r="C159" s="11">
        <v>32</v>
      </c>
      <c r="D159" t="s">
        <v>33</v>
      </c>
      <c r="E159" t="s">
        <v>37</v>
      </c>
      <c r="F159" s="9" t="s">
        <v>38</v>
      </c>
      <c r="G159" s="9">
        <v>45685</v>
      </c>
      <c r="H159" t="s">
        <v>40</v>
      </c>
      <c r="I159" s="11">
        <v>10</v>
      </c>
      <c r="J159" t="str">
        <f>IF(I159="","",IFERROR(IF(INDEX([1]ListadoFichasDeProduccion!LQ:MB,MATCH(A159,[1]ListadoFichasDeProduccion!A:A,0),K159)=0,"",INDEX([1]ListadoFichasDeProduccion!LQ:MB,MATCH(A159,[1]ListadoFichasDeProduccion!A:A,0),K159)),""))</f>
        <v/>
      </c>
      <c r="K159" s="11">
        <v>4</v>
      </c>
    </row>
    <row r="160" spans="1:11" hidden="1" x14ac:dyDescent="0.3">
      <c r="A160" s="11">
        <v>1623</v>
      </c>
      <c r="B160" s="8" t="str">
        <f>VLOOKUP(A160,[1]ListadoFichasDeProduccion!$A$2:$LP$3000,328,FALSE)</f>
        <v>COMPLETADO</v>
      </c>
      <c r="C160" s="11">
        <v>22</v>
      </c>
      <c r="D160" t="s">
        <v>33</v>
      </c>
      <c r="E160" t="s">
        <v>37</v>
      </c>
      <c r="F160" s="9" t="s">
        <v>38</v>
      </c>
      <c r="G160" s="9">
        <v>45705</v>
      </c>
      <c r="H160" t="s">
        <v>40</v>
      </c>
      <c r="I160" s="11">
        <v>2</v>
      </c>
      <c r="J160" t="str">
        <f>IF(I160="","",IFERROR(IF(INDEX([1]ListadoFichasDeProduccion!LQ:MB,MATCH(A160,[1]ListadoFichasDeProduccion!A:A,0),K160)=0,"",INDEX([1]ListadoFichasDeProduccion!LQ:MB,MATCH(A160,[1]ListadoFichasDeProduccion!A:A,0),K160)),""))</f>
        <v/>
      </c>
      <c r="K160" s="11">
        <v>1</v>
      </c>
    </row>
    <row r="161" spans="1:11" hidden="1" x14ac:dyDescent="0.3">
      <c r="A161" s="11">
        <v>1623</v>
      </c>
      <c r="B161" s="8" t="str">
        <f>VLOOKUP(A161,[1]ListadoFichasDeProduccion!$A$2:$LP$3000,328,FALSE)</f>
        <v>COMPLETADO</v>
      </c>
      <c r="C161" s="11">
        <v>22</v>
      </c>
      <c r="D161" t="s">
        <v>33</v>
      </c>
      <c r="E161" t="s">
        <v>37</v>
      </c>
      <c r="F161" s="9" t="s">
        <v>38</v>
      </c>
      <c r="G161" s="9">
        <v>45705</v>
      </c>
      <c r="H161" t="s">
        <v>36</v>
      </c>
      <c r="I161" s="11">
        <v>10</v>
      </c>
      <c r="J161" t="str">
        <f>IF(I161="","",IFERROR(IF(INDEX([1]ListadoFichasDeProduccion!LQ:MB,MATCH(A161,[1]ListadoFichasDeProduccion!A:A,0),K161)=0,"",INDEX([1]ListadoFichasDeProduccion!LQ:MB,MATCH(A161,[1]ListadoFichasDeProduccion!A:A,0),K161)),""))</f>
        <v/>
      </c>
      <c r="K161" s="11">
        <v>2</v>
      </c>
    </row>
    <row r="162" spans="1:11" hidden="1" x14ac:dyDescent="0.3">
      <c r="A162" s="11">
        <v>1623</v>
      </c>
      <c r="B162" s="8" t="str">
        <f>VLOOKUP(A162,[1]ListadoFichasDeProduccion!$A$2:$LP$3000,328,FALSE)</f>
        <v>COMPLETADO</v>
      </c>
      <c r="C162" s="11">
        <v>22</v>
      </c>
      <c r="D162" t="s">
        <v>33</v>
      </c>
      <c r="E162" t="s">
        <v>37</v>
      </c>
      <c r="F162" s="9" t="s">
        <v>38</v>
      </c>
      <c r="G162" s="9">
        <v>45705</v>
      </c>
      <c r="H162" t="s">
        <v>32</v>
      </c>
      <c r="I162" s="11">
        <v>10</v>
      </c>
      <c r="J162" t="str">
        <f>IF(I162="","",IFERROR(IF(INDEX([1]ListadoFichasDeProduccion!LQ:MB,MATCH(A162,[1]ListadoFichasDeProduccion!A:A,0),K162)=0,"",INDEX([1]ListadoFichasDeProduccion!LQ:MB,MATCH(A162,[1]ListadoFichasDeProduccion!A:A,0),K162)),""))</f>
        <v/>
      </c>
      <c r="K162" s="11">
        <v>3</v>
      </c>
    </row>
    <row r="163" spans="1:11" hidden="1" x14ac:dyDescent="0.3">
      <c r="A163" s="11">
        <v>1823</v>
      </c>
      <c r="B163" s="8" t="str">
        <f>VLOOKUP(A163,[1]ListadoFichasDeProduccion!$A$2:$LP$3000,328,FALSE)</f>
        <v>COMPLETADO</v>
      </c>
      <c r="C163" s="11">
        <v>6</v>
      </c>
      <c r="D163" t="s">
        <v>33</v>
      </c>
      <c r="E163" t="s">
        <v>37</v>
      </c>
      <c r="F163" t="s">
        <v>38</v>
      </c>
      <c r="G163" s="9">
        <v>45813</v>
      </c>
      <c r="H163" t="s">
        <v>40</v>
      </c>
      <c r="I163" s="11">
        <v>6</v>
      </c>
      <c r="J163" t="str">
        <f>IF(I163="","",IFERROR(IF(INDEX([1]ListadoFichasDeProduccion!LQ:MB,MATCH(A163,[1]ListadoFichasDeProduccion!A:A,0),K163)=0,"",INDEX([1]ListadoFichasDeProduccion!LQ:MB,MATCH(A163,[1]ListadoFichasDeProduccion!A:A,0),K163)),""))</f>
        <v/>
      </c>
      <c r="K163" s="11">
        <v>1</v>
      </c>
    </row>
    <row r="164" spans="1:11" x14ac:dyDescent="0.3">
      <c r="A164" s="11">
        <v>1921</v>
      </c>
      <c r="B164" s="8" t="str">
        <f>VLOOKUP(A164,[1]ListadoFichasDeProduccion!$A$2:$LP$3000,328,FALSE)</f>
        <v>EN PRODUCCION</v>
      </c>
      <c r="C164" s="11">
        <v>6</v>
      </c>
      <c r="D164" t="s">
        <v>33</v>
      </c>
      <c r="E164" t="s">
        <v>37</v>
      </c>
      <c r="F164" t="s">
        <v>38</v>
      </c>
      <c r="G164" s="9">
        <v>45869</v>
      </c>
      <c r="H164" t="s">
        <v>40</v>
      </c>
      <c r="I164" s="11">
        <v>6</v>
      </c>
      <c r="J164" t="str">
        <f>IF(I164="","",IFERROR(IF(INDEX([1]ListadoFichasDeProduccion!LQ:MB,MATCH(A164,[1]ListadoFichasDeProduccion!A:A,0),K164)=0,"",INDEX([1]ListadoFichasDeProduccion!LQ:MB,MATCH(A164,[1]ListadoFichasDeProduccion!A:A,0),K164)),""))</f>
        <v/>
      </c>
      <c r="K164" s="11">
        <v>1</v>
      </c>
    </row>
    <row r="165" spans="1:11" hidden="1" x14ac:dyDescent="0.3">
      <c r="A165" s="11" t="s">
        <v>379</v>
      </c>
      <c r="B165" t="str">
        <f>VLOOKUP(A165,[1]ListadoFichasDeProduccion!$A$2:$LP$3000,328,FALSE)</f>
        <v>COMPLETADO</v>
      </c>
      <c r="C165" s="11">
        <v>5</v>
      </c>
      <c r="D165" t="s">
        <v>33</v>
      </c>
      <c r="E165" t="s">
        <v>37</v>
      </c>
      <c r="F165" t="s">
        <v>38</v>
      </c>
      <c r="G165" s="9">
        <v>45938</v>
      </c>
      <c r="H165" t="s">
        <v>24</v>
      </c>
      <c r="I165" s="11">
        <v>2</v>
      </c>
      <c r="J165" t="str">
        <f>IF(I165="","",IFERROR(IF(INDEX([1]ListadoFichasDeProduccion!LQ:MB,MATCH(A165,[1]ListadoFichasDeProduccion!A:A,0),K165)=0,"",INDEX([1]ListadoFichasDeProduccion!LQ:MB,MATCH(A165,[1]ListadoFichasDeProduccion!A:A,0),K165)),""))</f>
        <v/>
      </c>
      <c r="K165" s="11">
        <v>1</v>
      </c>
    </row>
    <row r="166" spans="1:11" hidden="1" x14ac:dyDescent="0.3">
      <c r="A166" s="11" t="s">
        <v>379</v>
      </c>
      <c r="B166" t="str">
        <f>VLOOKUP(A166,[1]ListadoFichasDeProduccion!$A$2:$LP$3000,328,FALSE)</f>
        <v>COMPLETADO</v>
      </c>
      <c r="C166" s="11">
        <v>5</v>
      </c>
      <c r="D166" t="s">
        <v>33</v>
      </c>
      <c r="E166" t="s">
        <v>37</v>
      </c>
      <c r="F166" t="s">
        <v>38</v>
      </c>
      <c r="G166" s="9">
        <v>45938</v>
      </c>
      <c r="H166" t="s">
        <v>40</v>
      </c>
      <c r="I166" s="11">
        <v>3</v>
      </c>
      <c r="J166" s="9" t="str">
        <f>IF(I166="","",IFERROR(IF(INDEX([1]ListadoFichasDeProduccion!LQ:MB,MATCH(A166,[1]ListadoFichasDeProduccion!A:A,0),K166)=0,"",INDEX([1]ListadoFichasDeProduccion!LQ:MB,MATCH(A166,[1]ListadoFichasDeProduccion!A:A,0),K166)),""))</f>
        <v/>
      </c>
      <c r="K166" s="11">
        <v>2</v>
      </c>
    </row>
    <row r="167" spans="1:11" hidden="1" x14ac:dyDescent="0.3">
      <c r="A167" s="11">
        <v>1624</v>
      </c>
      <c r="B167" s="8" t="str">
        <f>VLOOKUP(A167,[1]ListadoFichasDeProduccion!$A$2:$LP$3000,328,FALSE)</f>
        <v>COMPLETADO</v>
      </c>
      <c r="C167" s="11">
        <v>11</v>
      </c>
      <c r="D167" t="s">
        <v>33</v>
      </c>
      <c r="E167" t="s">
        <v>66</v>
      </c>
      <c r="F167" s="9"/>
      <c r="G167" s="9">
        <v>45705</v>
      </c>
      <c r="H167" t="s">
        <v>65</v>
      </c>
      <c r="I167" s="11">
        <v>1</v>
      </c>
      <c r="J167" t="str">
        <f>IF(I167="","",IFERROR(IF(INDEX([1]ListadoFichasDeProduccion!LQ:MB,MATCH(A167,[1]ListadoFichasDeProduccion!A:A,0),K167)=0,"",INDEX([1]ListadoFichasDeProduccion!LQ:MB,MATCH(A167,[1]ListadoFichasDeProduccion!A:A,0),K167)),""))</f>
        <v/>
      </c>
      <c r="K167" s="11">
        <v>1</v>
      </c>
    </row>
    <row r="168" spans="1:11" hidden="1" x14ac:dyDescent="0.3">
      <c r="A168" s="11">
        <v>1624</v>
      </c>
      <c r="B168" s="8" t="str">
        <f>VLOOKUP(A168,[1]ListadoFichasDeProduccion!$A$2:$LP$3000,328,FALSE)</f>
        <v>COMPLETADO</v>
      </c>
      <c r="C168" s="11">
        <v>11</v>
      </c>
      <c r="D168" t="s">
        <v>33</v>
      </c>
      <c r="E168" t="s">
        <v>66</v>
      </c>
      <c r="F168" s="9"/>
      <c r="G168" s="9">
        <v>45705</v>
      </c>
      <c r="H168" t="s">
        <v>67</v>
      </c>
      <c r="I168" s="11">
        <v>6</v>
      </c>
      <c r="J168" t="str">
        <f>IF(I168="","",IFERROR(IF(INDEX([1]ListadoFichasDeProduccion!LQ:MB,MATCH(A168,[1]ListadoFichasDeProduccion!A:A,0),K168)=0,"",INDEX([1]ListadoFichasDeProduccion!LQ:MB,MATCH(A168,[1]ListadoFichasDeProduccion!A:A,0),K168)),""))</f>
        <v/>
      </c>
      <c r="K168" s="11">
        <v>2</v>
      </c>
    </row>
    <row r="169" spans="1:11" hidden="1" x14ac:dyDescent="0.3">
      <c r="A169" s="11">
        <v>1624</v>
      </c>
      <c r="B169" s="8" t="str">
        <f>VLOOKUP(A169,[1]ListadoFichasDeProduccion!$A$2:$LP$3000,328,FALSE)</f>
        <v>COMPLETADO</v>
      </c>
      <c r="C169" s="11">
        <v>11</v>
      </c>
      <c r="D169" t="s">
        <v>33</v>
      </c>
      <c r="E169" t="s">
        <v>66</v>
      </c>
      <c r="F169" s="9"/>
      <c r="G169" s="9">
        <v>45705</v>
      </c>
      <c r="H169" t="s">
        <v>56</v>
      </c>
      <c r="I169" s="11">
        <v>4</v>
      </c>
      <c r="J169" t="str">
        <f>IF(I169="","",IFERROR(IF(INDEX([1]ListadoFichasDeProduccion!LQ:MB,MATCH(A169,[1]ListadoFichasDeProduccion!A:A,0),K169)=0,"",INDEX([1]ListadoFichasDeProduccion!LQ:MB,MATCH(A169,[1]ListadoFichasDeProduccion!A:A,0),K169)),""))</f>
        <v/>
      </c>
      <c r="K169" s="11">
        <v>3</v>
      </c>
    </row>
    <row r="170" spans="1:11" hidden="1" x14ac:dyDescent="0.3">
      <c r="A170" s="11">
        <v>1843</v>
      </c>
      <c r="B170" s="8" t="str">
        <f>VLOOKUP(A170,[1]ListadoFichasDeProduccion!$A$2:$LP$3000,328,FALSE)</f>
        <v>COMPLETADO</v>
      </c>
      <c r="C170" s="11">
        <v>10</v>
      </c>
      <c r="D170" t="s">
        <v>33</v>
      </c>
      <c r="E170" t="s">
        <v>66</v>
      </c>
      <c r="G170" s="9">
        <v>45826</v>
      </c>
      <c r="H170" t="s">
        <v>24</v>
      </c>
      <c r="I170" s="11">
        <v>5</v>
      </c>
      <c r="J170" t="str">
        <f>IF(I170="","",IFERROR(IF(INDEX([1]ListadoFichasDeProduccion!LQ:MB,MATCH(A170,[1]ListadoFichasDeProduccion!A:A,0),K170)=0,"",INDEX([1]ListadoFichasDeProduccion!LQ:MB,MATCH(A170,[1]ListadoFichasDeProduccion!A:A,0),K170)),""))</f>
        <v/>
      </c>
      <c r="K170" s="11">
        <v>1</v>
      </c>
    </row>
    <row r="171" spans="1:11" hidden="1" x14ac:dyDescent="0.3">
      <c r="A171" s="11">
        <v>1843</v>
      </c>
      <c r="B171" s="8" t="str">
        <f>VLOOKUP(A171,[1]ListadoFichasDeProduccion!$A$2:$LP$3000,328,FALSE)</f>
        <v>COMPLETADO</v>
      </c>
      <c r="C171" s="11">
        <v>10</v>
      </c>
      <c r="D171" t="s">
        <v>33</v>
      </c>
      <c r="E171" t="s">
        <v>66</v>
      </c>
      <c r="G171" s="9">
        <v>45826</v>
      </c>
      <c r="H171" t="s">
        <v>67</v>
      </c>
      <c r="I171" s="11">
        <v>4</v>
      </c>
      <c r="J171" t="str">
        <f>IF(I171="","",IFERROR(IF(INDEX([1]ListadoFichasDeProduccion!LQ:MB,MATCH(A171,[1]ListadoFichasDeProduccion!A:A,0),K171)=0,"",INDEX([1]ListadoFichasDeProduccion!LQ:MB,MATCH(A171,[1]ListadoFichasDeProduccion!A:A,0),K171)),""))</f>
        <v/>
      </c>
      <c r="K171" s="11">
        <v>2</v>
      </c>
    </row>
    <row r="172" spans="1:11" hidden="1" x14ac:dyDescent="0.3">
      <c r="A172" s="11">
        <v>1843</v>
      </c>
      <c r="B172" s="8" t="str">
        <f>VLOOKUP(A172,[1]ListadoFichasDeProduccion!$A$2:$LP$3000,328,FALSE)</f>
        <v>COMPLETADO</v>
      </c>
      <c r="C172" s="11">
        <v>10</v>
      </c>
      <c r="D172" t="s">
        <v>33</v>
      </c>
      <c r="E172" t="s">
        <v>66</v>
      </c>
      <c r="G172" s="9">
        <v>45826</v>
      </c>
      <c r="H172" t="s">
        <v>35</v>
      </c>
      <c r="I172" s="11">
        <v>1</v>
      </c>
      <c r="J172" t="str">
        <f>IF(I172="","",IFERROR(IF(INDEX([1]ListadoFichasDeProduccion!LQ:MB,MATCH(A172,[1]ListadoFichasDeProduccion!A:A,0),K172)=0,"",INDEX([1]ListadoFichasDeProduccion!LQ:MB,MATCH(A172,[1]ListadoFichasDeProduccion!A:A,0),K172)),""))</f>
        <v/>
      </c>
      <c r="K172" s="11">
        <v>3</v>
      </c>
    </row>
    <row r="173" spans="1:11" hidden="1" x14ac:dyDescent="0.3">
      <c r="A173" s="11" t="s">
        <v>380</v>
      </c>
      <c r="B173" t="str">
        <f>VLOOKUP(A173,[1]ListadoFichasDeProduccion!$A$2:$LP$3000,328,FALSE)</f>
        <v>COMPLETADO</v>
      </c>
      <c r="C173" s="11">
        <v>12</v>
      </c>
      <c r="D173" t="s">
        <v>33</v>
      </c>
      <c r="E173" t="s">
        <v>66</v>
      </c>
      <c r="G173" s="9">
        <v>45938</v>
      </c>
      <c r="H173" t="s">
        <v>56</v>
      </c>
      <c r="I173" s="11">
        <v>6</v>
      </c>
      <c r="J173" s="9" t="str">
        <f>IF(I173="","",IFERROR(IF(INDEX([1]ListadoFichasDeProduccion!LQ:MB,MATCH(A173,[1]ListadoFichasDeProduccion!A:A,0),K173)=0,"",INDEX([1]ListadoFichasDeProduccion!LQ:MB,MATCH(A173,[1]ListadoFichasDeProduccion!A:A,0),K173)),""))</f>
        <v/>
      </c>
      <c r="K173" s="11">
        <v>1</v>
      </c>
    </row>
    <row r="174" spans="1:11" hidden="1" x14ac:dyDescent="0.3">
      <c r="A174" s="11" t="s">
        <v>380</v>
      </c>
      <c r="B174" t="str">
        <f>VLOOKUP(A174,[1]ListadoFichasDeProduccion!$A$2:$LP$3000,328,FALSE)</f>
        <v>COMPLETADO</v>
      </c>
      <c r="C174" s="11">
        <v>12</v>
      </c>
      <c r="D174" t="s">
        <v>33</v>
      </c>
      <c r="E174" t="s">
        <v>66</v>
      </c>
      <c r="G174" s="9">
        <v>45938</v>
      </c>
      <c r="H174" t="s">
        <v>67</v>
      </c>
      <c r="I174" s="11">
        <v>6</v>
      </c>
      <c r="J174" s="9" t="str">
        <f>IF(I174="","",IFERROR(IF(INDEX([1]ListadoFichasDeProduccion!LQ:MB,MATCH(A174,[1]ListadoFichasDeProduccion!A:A,0),K174)=0,"",INDEX([1]ListadoFichasDeProduccion!LQ:MB,MATCH(A174,[1]ListadoFichasDeProduccion!A:A,0),K174)),""))</f>
        <v/>
      </c>
      <c r="K174" s="11">
        <v>2</v>
      </c>
    </row>
    <row r="175" spans="1:11" x14ac:dyDescent="0.3">
      <c r="A175" s="11" t="s">
        <v>471</v>
      </c>
      <c r="B175" t="str">
        <f>VLOOKUP(A175,[1]ListadoFichasDeProduccion!$A$2:$LP$3000,328,FALSE)</f>
        <v>EN PRODUCCION</v>
      </c>
      <c r="C175" s="11">
        <v>2</v>
      </c>
      <c r="D175" t="s">
        <v>33</v>
      </c>
      <c r="E175" t="s">
        <v>66</v>
      </c>
      <c r="H175" t="s">
        <v>35</v>
      </c>
      <c r="I175" s="11">
        <v>2</v>
      </c>
      <c r="J175" t="str">
        <f>IF(I175="","",IFERROR(IF(INDEX([1]ListadoFichasDeProduccion!LQ:MB,MATCH(A175,[1]ListadoFichasDeProduccion!A:A,0),K175)=0,"",INDEX([1]ListadoFichasDeProduccion!LQ:MB,MATCH(A175,[1]ListadoFichasDeProduccion!A:A,0),K175)),""))</f>
        <v/>
      </c>
      <c r="K175" s="11">
        <v>1</v>
      </c>
    </row>
    <row r="176" spans="1:11" hidden="1" x14ac:dyDescent="0.3">
      <c r="A176" s="11">
        <v>1784</v>
      </c>
      <c r="B176" s="8" t="str">
        <f>VLOOKUP(A176,[1]ListadoFichasDeProduccion!$A$2:$LP$3000,328,FALSE)</f>
        <v>COMPLETADO</v>
      </c>
      <c r="C176" s="11">
        <v>30</v>
      </c>
      <c r="D176" t="s">
        <v>33</v>
      </c>
      <c r="E176" t="s">
        <v>179</v>
      </c>
      <c r="G176" s="9">
        <v>45786</v>
      </c>
      <c r="H176" t="s">
        <v>26</v>
      </c>
      <c r="I176" s="11">
        <v>6</v>
      </c>
      <c r="J176" t="str">
        <f>IF(I176="","",IFERROR(IF(INDEX([1]ListadoFichasDeProduccion!LQ:MB,MATCH(A176,[1]ListadoFichasDeProduccion!A:A,0),K176)=0,"",INDEX([1]ListadoFichasDeProduccion!LQ:MB,MATCH(A176,[1]ListadoFichasDeProduccion!A:A,0),K176)),""))</f>
        <v/>
      </c>
      <c r="K176" s="11">
        <v>1</v>
      </c>
    </row>
    <row r="177" spans="1:11" hidden="1" x14ac:dyDescent="0.3">
      <c r="A177" s="11">
        <v>1784</v>
      </c>
      <c r="B177" s="8" t="str">
        <f>VLOOKUP(A177,[1]ListadoFichasDeProduccion!$A$2:$LP$3000,328,FALSE)</f>
        <v>COMPLETADO</v>
      </c>
      <c r="C177" s="11">
        <v>30</v>
      </c>
      <c r="D177" t="s">
        <v>33</v>
      </c>
      <c r="E177" t="s">
        <v>179</v>
      </c>
      <c r="G177" s="9">
        <v>45786</v>
      </c>
      <c r="H177" t="s">
        <v>64</v>
      </c>
      <c r="I177" s="11">
        <v>12</v>
      </c>
      <c r="J177" t="str">
        <f>IF(I177="","",IFERROR(IF(INDEX([1]ListadoFichasDeProduccion!LQ:MB,MATCH(A177,[1]ListadoFichasDeProduccion!A:A,0),K177)=0,"",INDEX([1]ListadoFichasDeProduccion!LQ:MB,MATCH(A177,[1]ListadoFichasDeProduccion!A:A,0),K177)),""))</f>
        <v/>
      </c>
      <c r="K177" s="11">
        <v>2</v>
      </c>
    </row>
    <row r="178" spans="1:11" hidden="1" x14ac:dyDescent="0.3">
      <c r="A178" s="11">
        <v>1784</v>
      </c>
      <c r="B178" s="8" t="str">
        <f>VLOOKUP(A178,[1]ListadoFichasDeProduccion!$A$2:$LP$3000,328,FALSE)</f>
        <v>COMPLETADO</v>
      </c>
      <c r="C178" s="11">
        <v>30</v>
      </c>
      <c r="D178" t="s">
        <v>33</v>
      </c>
      <c r="E178" t="s">
        <v>179</v>
      </c>
      <c r="G178" s="9">
        <v>45786</v>
      </c>
      <c r="H178" t="s">
        <v>51</v>
      </c>
      <c r="I178" s="11">
        <v>12</v>
      </c>
      <c r="J178" t="str">
        <f>IF(I178="","",IFERROR(IF(INDEX([1]ListadoFichasDeProduccion!LQ:MB,MATCH(A178,[1]ListadoFichasDeProduccion!A:A,0),K178)=0,"",INDEX([1]ListadoFichasDeProduccion!LQ:MB,MATCH(A178,[1]ListadoFichasDeProduccion!A:A,0),K178)),""))</f>
        <v/>
      </c>
      <c r="K178" s="11">
        <v>3</v>
      </c>
    </row>
    <row r="179" spans="1:11" x14ac:dyDescent="0.3">
      <c r="A179" s="11">
        <v>1892</v>
      </c>
      <c r="B179" s="8" t="str">
        <f>VLOOKUP(A179,[1]ListadoFichasDeProduccion!$A$2:$LP$3000,328,FALSE)</f>
        <v>EN PRODUCCION</v>
      </c>
      <c r="C179" s="11">
        <v>14</v>
      </c>
      <c r="D179" t="s">
        <v>33</v>
      </c>
      <c r="E179" t="s">
        <v>179</v>
      </c>
      <c r="G179" s="9">
        <v>45856</v>
      </c>
      <c r="H179" t="s">
        <v>138</v>
      </c>
      <c r="I179" s="11">
        <v>14</v>
      </c>
      <c r="J179" t="str">
        <f>IF(I179="","",IFERROR(IF(INDEX([1]ListadoFichasDeProduccion!LQ:MB,MATCH(A179,[1]ListadoFichasDeProduccion!A:A,0),K179)=0,"",INDEX([1]ListadoFichasDeProduccion!LQ:MB,MATCH(A179,[1]ListadoFichasDeProduccion!A:A,0),K179)),""))</f>
        <v/>
      </c>
      <c r="K179" s="11">
        <v>1</v>
      </c>
    </row>
    <row r="180" spans="1:11" hidden="1" x14ac:dyDescent="0.3">
      <c r="A180" s="11" t="s">
        <v>381</v>
      </c>
      <c r="B180" t="str">
        <f>VLOOKUP(A180,[1]ListadoFichasDeProduccion!$A$2:$LP$3000,328,FALSE)</f>
        <v>COMPLETADO</v>
      </c>
      <c r="C180" s="11">
        <v>6</v>
      </c>
      <c r="D180" t="s">
        <v>33</v>
      </c>
      <c r="E180" t="s">
        <v>179</v>
      </c>
      <c r="G180" s="9">
        <v>45938</v>
      </c>
      <c r="H180" t="s">
        <v>51</v>
      </c>
      <c r="I180" s="11">
        <v>6</v>
      </c>
      <c r="J180" s="9" t="str">
        <f>IF(I180="","",IFERROR(IF(INDEX([1]ListadoFichasDeProduccion!LQ:MB,MATCH(A180,[1]ListadoFichasDeProduccion!A:A,0),K180)=0,"",INDEX([1]ListadoFichasDeProduccion!LQ:MB,MATCH(A180,[1]ListadoFichasDeProduccion!A:A,0),K180)),""))</f>
        <v/>
      </c>
      <c r="K180" s="11">
        <v>1</v>
      </c>
    </row>
    <row r="181" spans="1:11" x14ac:dyDescent="0.3">
      <c r="A181" s="11" t="s">
        <v>482</v>
      </c>
      <c r="B181" t="str">
        <f>VLOOKUP(A181,[1]ListadoFichasDeProduccion!$A$2:$LP$3000,328,FALSE)</f>
        <v>NO COMENZADO</v>
      </c>
      <c r="C181" s="11">
        <v>24</v>
      </c>
      <c r="D181" t="s">
        <v>33</v>
      </c>
      <c r="E181" t="s">
        <v>179</v>
      </c>
      <c r="H181" t="s">
        <v>28</v>
      </c>
      <c r="I181" s="11">
        <v>24</v>
      </c>
      <c r="J181" t="str">
        <f>IF(I181="","",IFERROR(IF(INDEX([1]ListadoFichasDeProduccion!LQ:MB,MATCH(A181,[1]ListadoFichasDeProduccion!A:A,0),K181)=0,"",INDEX([1]ListadoFichasDeProduccion!LQ:MB,MATCH(A181,[1]ListadoFichasDeProduccion!A:A,0),K181)),""))</f>
        <v/>
      </c>
      <c r="K181" s="11">
        <v>1</v>
      </c>
    </row>
    <row r="182" spans="1:11" x14ac:dyDescent="0.3">
      <c r="A182" s="11" t="s">
        <v>482</v>
      </c>
      <c r="B182" t="str">
        <f>VLOOKUP(A182,[1]ListadoFichasDeProduccion!$A$2:$LP$3000,328,FALSE)</f>
        <v>NO COMENZADO</v>
      </c>
      <c r="C182" s="11">
        <v>24</v>
      </c>
      <c r="D182" t="s">
        <v>33</v>
      </c>
      <c r="E182" t="s">
        <v>179</v>
      </c>
      <c r="H182" t="s">
        <v>26</v>
      </c>
      <c r="I182" s="11">
        <v>0</v>
      </c>
      <c r="J182" t="str">
        <f>IF(I182="","",IFERROR(IF(INDEX([1]ListadoFichasDeProduccion!LQ:MB,MATCH(A182,[1]ListadoFichasDeProduccion!A:A,0),K182)=0,"",INDEX([1]ListadoFichasDeProduccion!LQ:MB,MATCH(A182,[1]ListadoFichasDeProduccion!A:A,0),K182)),""))</f>
        <v/>
      </c>
      <c r="K182" s="11">
        <v>2</v>
      </c>
    </row>
    <row r="183" spans="1:11" x14ac:dyDescent="0.3">
      <c r="A183" s="11" t="s">
        <v>485</v>
      </c>
      <c r="B183" t="str">
        <f>VLOOKUP(A183,[1]ListadoFichasDeProduccion!$A$2:$LP$3000,328,FALSE)</f>
        <v>NO COMENZADO</v>
      </c>
      <c r="C183" s="11">
        <v>12</v>
      </c>
      <c r="D183" t="s">
        <v>33</v>
      </c>
      <c r="E183" t="s">
        <v>179</v>
      </c>
      <c r="H183" t="s">
        <v>26</v>
      </c>
      <c r="I183" s="11">
        <v>12</v>
      </c>
      <c r="J183" t="str">
        <f>IF(I183="","",IFERROR(IF(INDEX([1]ListadoFichasDeProduccion!LQ:MB,MATCH(A183,[1]ListadoFichasDeProduccion!A:A,0),K183)=0,"",INDEX([1]ListadoFichasDeProduccion!LQ:MB,MATCH(A183,[1]ListadoFichasDeProduccion!A:A,0),K183)),""))</f>
        <v/>
      </c>
      <c r="K183" s="11">
        <v>1</v>
      </c>
    </row>
    <row r="184" spans="1:11" x14ac:dyDescent="0.3">
      <c r="A184" s="11" t="s">
        <v>499</v>
      </c>
      <c r="B184" t="str">
        <f>VLOOKUP(A184,[1]ListadoFichasDeProduccion!$A$2:$LP$3000,328,FALSE)</f>
        <v>NO COMENZADO</v>
      </c>
      <c r="C184" s="11">
        <v>42</v>
      </c>
      <c r="D184" t="s">
        <v>33</v>
      </c>
      <c r="E184" t="s">
        <v>179</v>
      </c>
      <c r="G184" s="9">
        <v>45989</v>
      </c>
      <c r="H184" t="s">
        <v>28</v>
      </c>
      <c r="I184" s="11">
        <v>30</v>
      </c>
      <c r="J184" s="9" t="str">
        <f>IF(I184="","",IFERROR(IF(INDEX([1]ListadoFichasDeProduccion!LQ:MB,MATCH(A184,[1]ListadoFichasDeProduccion!A:A,0),K184)=0,"",INDEX([1]ListadoFichasDeProduccion!LQ:MB,MATCH(A184,[1]ListadoFichasDeProduccion!A:A,0),K184)),""))</f>
        <v/>
      </c>
      <c r="K184" s="11">
        <v>1</v>
      </c>
    </row>
    <row r="185" spans="1:11" x14ac:dyDescent="0.3">
      <c r="A185" s="11" t="s">
        <v>499</v>
      </c>
      <c r="B185" t="str">
        <f>VLOOKUP(A185,[1]ListadoFichasDeProduccion!$A$2:$LP$3000,328,FALSE)</f>
        <v>NO COMENZADO</v>
      </c>
      <c r="C185" s="11">
        <v>42</v>
      </c>
      <c r="D185" t="s">
        <v>33</v>
      </c>
      <c r="E185" t="s">
        <v>179</v>
      </c>
      <c r="G185" s="9">
        <v>45989</v>
      </c>
      <c r="H185" t="s">
        <v>51</v>
      </c>
      <c r="I185" s="11">
        <v>12</v>
      </c>
      <c r="J185" s="9" t="str">
        <f>IF(I185="","",IFERROR(IF(INDEX([1]ListadoFichasDeProduccion!LQ:MB,MATCH(A185,[1]ListadoFichasDeProduccion!A:A,0),K185)=0,"",INDEX([1]ListadoFichasDeProduccion!LQ:MB,MATCH(A185,[1]ListadoFichasDeProduccion!A:A,0),K185)),""))</f>
        <v/>
      </c>
      <c r="K185" s="11">
        <v>2</v>
      </c>
    </row>
    <row r="186" spans="1:11" hidden="1" x14ac:dyDescent="0.3">
      <c r="A186" s="11">
        <v>1844</v>
      </c>
      <c r="B186" s="8" t="str">
        <f>VLOOKUP(A186,[1]ListadoFichasDeProduccion!$A$2:$LP$3000,328,FALSE)</f>
        <v>COMPLETADO</v>
      </c>
      <c r="C186" s="11">
        <v>6</v>
      </c>
      <c r="D186" t="s">
        <v>33</v>
      </c>
      <c r="E186" t="s">
        <v>227</v>
      </c>
      <c r="G186" s="9">
        <v>45826</v>
      </c>
      <c r="H186" t="s">
        <v>35</v>
      </c>
      <c r="I186" s="11">
        <v>6</v>
      </c>
      <c r="J186" t="str">
        <f>IF(I186="","",IFERROR(IF(INDEX([1]ListadoFichasDeProduccion!LQ:MB,MATCH(A186,[1]ListadoFichasDeProduccion!A:A,0),K186)=0,"",INDEX([1]ListadoFichasDeProduccion!LQ:MB,MATCH(A186,[1]ListadoFichasDeProduccion!A:A,0),K186)),""))</f>
        <v/>
      </c>
      <c r="K186" s="11">
        <v>1</v>
      </c>
    </row>
    <row r="187" spans="1:11" hidden="1" x14ac:dyDescent="0.3">
      <c r="A187" s="11">
        <v>1922</v>
      </c>
      <c r="B187" s="8" t="str">
        <f>VLOOKUP(A187,[1]ListadoFichasDeProduccion!$A$2:$LP$3000,328,FALSE)</f>
        <v>COMPLETADO</v>
      </c>
      <c r="C187" s="11">
        <v>20</v>
      </c>
      <c r="D187" t="s">
        <v>33</v>
      </c>
      <c r="E187" t="s">
        <v>227</v>
      </c>
      <c r="G187" s="9">
        <v>45869</v>
      </c>
      <c r="H187" t="s">
        <v>269</v>
      </c>
      <c r="I187" s="11">
        <v>5</v>
      </c>
      <c r="J187" t="str">
        <f>IF(I187="","",IFERROR(IF(INDEX([1]ListadoFichasDeProduccion!LQ:MB,MATCH(A187,[1]ListadoFichasDeProduccion!A:A,0),K187)=0,"",INDEX([1]ListadoFichasDeProduccion!LQ:MB,MATCH(A187,[1]ListadoFichasDeProduccion!A:A,0),K187)),""))</f>
        <v/>
      </c>
      <c r="K187" s="11">
        <v>1</v>
      </c>
    </row>
    <row r="188" spans="1:11" hidden="1" x14ac:dyDescent="0.3">
      <c r="A188" s="11">
        <v>1922</v>
      </c>
      <c r="B188" s="8" t="str">
        <f>VLOOKUP(A188,[1]ListadoFichasDeProduccion!$A$2:$LP$3000,328,FALSE)</f>
        <v>COMPLETADO</v>
      </c>
      <c r="C188" s="11">
        <v>20</v>
      </c>
      <c r="D188" t="s">
        <v>33</v>
      </c>
      <c r="E188" t="s">
        <v>227</v>
      </c>
      <c r="G188" s="9">
        <v>45869</v>
      </c>
      <c r="H188" t="s">
        <v>138</v>
      </c>
      <c r="I188" s="11">
        <v>6</v>
      </c>
      <c r="J188" t="str">
        <f>IF(I188="","",IFERROR(IF(INDEX([1]ListadoFichasDeProduccion!LQ:MB,MATCH(A188,[1]ListadoFichasDeProduccion!A:A,0),K188)=0,"",INDEX([1]ListadoFichasDeProduccion!LQ:MB,MATCH(A188,[1]ListadoFichasDeProduccion!A:A,0),K188)),""))</f>
        <v>OJO REVISAR QUE EL COLOR NO SE LEVANTE</v>
      </c>
      <c r="K188" s="11">
        <v>2</v>
      </c>
    </row>
    <row r="189" spans="1:11" hidden="1" x14ac:dyDescent="0.3">
      <c r="A189" s="11">
        <v>1922</v>
      </c>
      <c r="B189" s="8" t="str">
        <f>VLOOKUP(A189,[1]ListadoFichasDeProduccion!$A$2:$LP$3000,328,FALSE)</f>
        <v>COMPLETADO</v>
      </c>
      <c r="C189" s="11">
        <v>20</v>
      </c>
      <c r="D189" t="s">
        <v>33</v>
      </c>
      <c r="E189" t="s">
        <v>227</v>
      </c>
      <c r="G189" s="9">
        <v>45869</v>
      </c>
      <c r="H189" t="s">
        <v>137</v>
      </c>
      <c r="I189" s="11">
        <v>9</v>
      </c>
      <c r="J189" t="str">
        <f>IF(I189="","",IFERROR(IF(INDEX([1]ListadoFichasDeProduccion!LQ:MB,MATCH(A189,[1]ListadoFichasDeProduccion!A:A,0),K189)=0,"",INDEX([1]ListadoFichasDeProduccion!LQ:MB,MATCH(A189,[1]ListadoFichasDeProduccion!A:A,0),K189)),""))</f>
        <v>OJO REVISAR QUE EL COLOR NO SE LEVANTE</v>
      </c>
      <c r="K189" s="11">
        <v>3</v>
      </c>
    </row>
    <row r="190" spans="1:11" hidden="1" x14ac:dyDescent="0.3">
      <c r="A190" s="11" t="s">
        <v>288</v>
      </c>
      <c r="B190" t="str">
        <f>VLOOKUP(A190,[1]ListadoFichasDeProduccion!$A$2:$LP$3000,328,FALSE)</f>
        <v>COMPLETADO</v>
      </c>
      <c r="C190" s="11">
        <v>21</v>
      </c>
      <c r="D190" t="s">
        <v>33</v>
      </c>
      <c r="E190" t="s">
        <v>227</v>
      </c>
      <c r="G190" s="9">
        <v>45909</v>
      </c>
      <c r="H190" t="s">
        <v>56</v>
      </c>
      <c r="I190" s="11">
        <v>9</v>
      </c>
      <c r="J190" t="str">
        <f>IF(I190="","",IFERROR(IF(INDEX([1]ListadoFichasDeProduccion!LQ:MB,MATCH(A190,[1]ListadoFichasDeProduccion!A:A,0),K190)=0,"",INDEX([1]ListadoFichasDeProduccion!LQ:MB,MATCH(A190,[1]ListadoFichasDeProduccion!A:A,0),K190)),""))</f>
        <v/>
      </c>
      <c r="K190" s="11">
        <v>1</v>
      </c>
    </row>
    <row r="191" spans="1:11" hidden="1" x14ac:dyDescent="0.3">
      <c r="A191" s="11" t="s">
        <v>288</v>
      </c>
      <c r="B191" t="str">
        <f>VLOOKUP(A191,[1]ListadoFichasDeProduccion!$A$2:$LP$3000,328,FALSE)</f>
        <v>COMPLETADO</v>
      </c>
      <c r="C191" s="11">
        <v>21</v>
      </c>
      <c r="D191" t="s">
        <v>33</v>
      </c>
      <c r="E191" t="s">
        <v>227</v>
      </c>
      <c r="G191" s="9">
        <v>45909</v>
      </c>
      <c r="H191" t="s">
        <v>138</v>
      </c>
      <c r="I191" s="11">
        <v>6</v>
      </c>
      <c r="J191" t="str">
        <f>IF(I191="","",IFERROR(IF(INDEX([1]ListadoFichasDeProduccion!LQ:MB,MATCH(A191,[1]ListadoFichasDeProduccion!A:A,0),K191)=0,"",INDEX([1]ListadoFichasDeProduccion!LQ:MB,MATCH(A191,[1]ListadoFichasDeProduccion!A:A,0),K191)),""))</f>
        <v xml:space="preserve"> OJO REVISAR QUE EL COLOR NO SE LEVANTE</v>
      </c>
      <c r="K191" s="11">
        <v>2</v>
      </c>
    </row>
    <row r="192" spans="1:11" hidden="1" x14ac:dyDescent="0.3">
      <c r="A192" s="11" t="s">
        <v>288</v>
      </c>
      <c r="B192" t="str">
        <f>VLOOKUP(A192,[1]ListadoFichasDeProduccion!$A$2:$LP$3000,328,FALSE)</f>
        <v>COMPLETADO</v>
      </c>
      <c r="C192" s="11">
        <v>21</v>
      </c>
      <c r="D192" t="s">
        <v>33</v>
      </c>
      <c r="E192" t="s">
        <v>227</v>
      </c>
      <c r="G192" s="9">
        <v>45909</v>
      </c>
      <c r="H192" t="s">
        <v>137</v>
      </c>
      <c r="I192" s="11">
        <v>6</v>
      </c>
      <c r="J192" t="str">
        <f>IF(I192="","",IFERROR(IF(INDEX([1]ListadoFichasDeProduccion!LQ:MB,MATCH(A192,[1]ListadoFichasDeProduccion!A:A,0),K192)=0,"",INDEX([1]ListadoFichasDeProduccion!LQ:MB,MATCH(A192,[1]ListadoFichasDeProduccion!A:A,0),K192)),""))</f>
        <v/>
      </c>
      <c r="K192" s="11">
        <v>3</v>
      </c>
    </row>
    <row r="193" spans="1:11" x14ac:dyDescent="0.3">
      <c r="A193" s="11" t="s">
        <v>458</v>
      </c>
      <c r="B193" t="str">
        <f>VLOOKUP(A193,[1]ListadoFichasDeProduccion!$A$2:$LP$3000,328,FALSE)</f>
        <v>NO COMENZADO</v>
      </c>
      <c r="C193" s="11">
        <v>18</v>
      </c>
      <c r="D193" t="s">
        <v>33</v>
      </c>
      <c r="E193" t="s">
        <v>227</v>
      </c>
      <c r="H193" t="s">
        <v>137</v>
      </c>
      <c r="I193" s="11">
        <v>6</v>
      </c>
      <c r="J193" t="str">
        <f>IF(I193="","",IFERROR(IF(INDEX([1]ListadoFichasDeProduccion!LQ:MB,MATCH(A193,[1]ListadoFichasDeProduccion!A:A,0),K193)=0,"",INDEX([1]ListadoFichasDeProduccion!LQ:MB,MATCH(A193,[1]ListadoFichasDeProduccion!A:A,0),K193)),""))</f>
        <v>OJO REVISAR QUE EL COLOR NO SE LEVANTE</v>
      </c>
      <c r="K193" s="11">
        <v>1</v>
      </c>
    </row>
    <row r="194" spans="1:11" x14ac:dyDescent="0.3">
      <c r="A194" s="11" t="s">
        <v>458</v>
      </c>
      <c r="B194" t="str">
        <f>VLOOKUP(A194,[1]ListadoFichasDeProduccion!$A$2:$LP$3000,328,FALSE)</f>
        <v>NO COMENZADO</v>
      </c>
      <c r="C194" s="11">
        <v>18</v>
      </c>
      <c r="D194" t="s">
        <v>33</v>
      </c>
      <c r="E194" t="s">
        <v>227</v>
      </c>
      <c r="H194" t="s">
        <v>138</v>
      </c>
      <c r="I194" s="11">
        <v>12</v>
      </c>
      <c r="J194" t="str">
        <f>IF(I194="","",IFERROR(IF(INDEX([1]ListadoFichasDeProduccion!LQ:MB,MATCH(A194,[1]ListadoFichasDeProduccion!A:A,0),K194)=0,"",INDEX([1]ListadoFichasDeProduccion!LQ:MB,MATCH(A194,[1]ListadoFichasDeProduccion!A:A,0),K194)),""))</f>
        <v/>
      </c>
      <c r="K194" s="11">
        <v>2</v>
      </c>
    </row>
    <row r="195" spans="1:11" x14ac:dyDescent="0.3">
      <c r="A195" s="11" t="s">
        <v>500</v>
      </c>
      <c r="B195" t="str">
        <f>VLOOKUP(A195,[1]ListadoFichasDeProduccion!$A$2:$LP$3000,328,FALSE)</f>
        <v>NO COMENZADO</v>
      </c>
      <c r="C195" s="11">
        <v>84</v>
      </c>
      <c r="D195" t="s">
        <v>33</v>
      </c>
      <c r="E195" t="s">
        <v>227</v>
      </c>
      <c r="H195" t="s">
        <v>56</v>
      </c>
      <c r="I195" s="11">
        <v>20</v>
      </c>
      <c r="J195" s="9" t="str">
        <f>IF(I195="","",IFERROR(IF(INDEX([1]ListadoFichasDeProduccion!LQ:MB,MATCH(A195,[1]ListadoFichasDeProduccion!A:A,0),K195)=0,"",INDEX([1]ListadoFichasDeProduccion!LQ:MB,MATCH(A195,[1]ListadoFichasDeProduccion!A:A,0),K195)),""))</f>
        <v/>
      </c>
      <c r="K195" s="11">
        <v>1</v>
      </c>
    </row>
    <row r="196" spans="1:11" x14ac:dyDescent="0.3">
      <c r="A196" s="11" t="s">
        <v>500</v>
      </c>
      <c r="B196" t="str">
        <f>VLOOKUP(A196,[1]ListadoFichasDeProduccion!$A$2:$LP$3000,328,FALSE)</f>
        <v>NO COMENZADO</v>
      </c>
      <c r="C196" s="11">
        <v>84</v>
      </c>
      <c r="D196" t="s">
        <v>33</v>
      </c>
      <c r="E196" t="s">
        <v>227</v>
      </c>
      <c r="H196" t="s">
        <v>26</v>
      </c>
      <c r="I196" s="11">
        <v>12</v>
      </c>
      <c r="J196" t="str">
        <f>IF(I196="","",IFERROR(IF(INDEX([1]ListadoFichasDeProduccion!LQ:MB,MATCH(A196,[1]ListadoFichasDeProduccion!A:A,0),K196)=0,"",INDEX([1]ListadoFichasDeProduccion!LQ:MB,MATCH(A196,[1]ListadoFichasDeProduccion!A:A,0),K196)),""))</f>
        <v/>
      </c>
      <c r="K196" s="11">
        <v>2</v>
      </c>
    </row>
    <row r="197" spans="1:11" x14ac:dyDescent="0.3">
      <c r="A197" s="11" t="s">
        <v>500</v>
      </c>
      <c r="B197" t="str">
        <f>VLOOKUP(A197,[1]ListadoFichasDeProduccion!$A$2:$LP$3000,328,FALSE)</f>
        <v>NO COMENZADO</v>
      </c>
      <c r="C197" s="11">
        <v>84</v>
      </c>
      <c r="D197" t="s">
        <v>33</v>
      </c>
      <c r="E197" t="s">
        <v>227</v>
      </c>
      <c r="H197" t="s">
        <v>35</v>
      </c>
      <c r="I197" s="11">
        <v>20</v>
      </c>
      <c r="J197" t="str">
        <f>IF(I197="","",IFERROR(IF(INDEX([1]ListadoFichasDeProduccion!LQ:MB,MATCH(A197,[1]ListadoFichasDeProduccion!A:A,0),K197)=0,"",INDEX([1]ListadoFichasDeProduccion!LQ:MB,MATCH(A197,[1]ListadoFichasDeProduccion!A:A,0),K197)),""))</f>
        <v/>
      </c>
      <c r="K197" s="11">
        <v>3</v>
      </c>
    </row>
    <row r="198" spans="1:11" x14ac:dyDescent="0.3">
      <c r="A198" s="11" t="s">
        <v>500</v>
      </c>
      <c r="B198" t="str">
        <f>VLOOKUP(A198,[1]ListadoFichasDeProduccion!$A$2:$LP$3000,328,FALSE)</f>
        <v>NO COMENZADO</v>
      </c>
      <c r="C198" s="11">
        <v>84</v>
      </c>
      <c r="D198" t="s">
        <v>33</v>
      </c>
      <c r="E198" t="s">
        <v>227</v>
      </c>
      <c r="H198" t="s">
        <v>138</v>
      </c>
      <c r="I198" s="11">
        <v>12</v>
      </c>
      <c r="J198" t="str">
        <f>IF(I198="","",IFERROR(IF(INDEX([1]ListadoFichasDeProduccion!LQ:MB,MATCH(A198,[1]ListadoFichasDeProduccion!A:A,0),K198)=0,"",INDEX([1]ListadoFichasDeProduccion!LQ:MB,MATCH(A198,[1]ListadoFichasDeProduccion!A:A,0),K198)),""))</f>
        <v/>
      </c>
      <c r="K198" s="11">
        <v>4</v>
      </c>
    </row>
    <row r="199" spans="1:11" x14ac:dyDescent="0.3">
      <c r="A199" s="11" t="s">
        <v>500</v>
      </c>
      <c r="B199" t="str">
        <f>VLOOKUP(A199,[1]ListadoFichasDeProduccion!$A$2:$LP$3000,328,FALSE)</f>
        <v>NO COMENZADO</v>
      </c>
      <c r="C199" s="11">
        <v>84</v>
      </c>
      <c r="D199" t="s">
        <v>33</v>
      </c>
      <c r="E199" t="s">
        <v>227</v>
      </c>
      <c r="H199" t="s">
        <v>137</v>
      </c>
      <c r="I199" s="11">
        <v>20</v>
      </c>
      <c r="J199" t="str">
        <f>IF(I199="","",IFERROR(IF(INDEX([1]ListadoFichasDeProduccion!LQ:MB,MATCH(A199,[1]ListadoFichasDeProduccion!A:A,0),K199)=0,"",INDEX([1]ListadoFichasDeProduccion!LQ:MB,MATCH(A199,[1]ListadoFichasDeProduccion!A:A,0),K199)),""))</f>
        <v/>
      </c>
      <c r="K199" s="11">
        <v>5</v>
      </c>
    </row>
    <row r="200" spans="1:11" hidden="1" x14ac:dyDescent="0.3">
      <c r="A200" s="11">
        <v>1593</v>
      </c>
      <c r="B200" s="8" t="str">
        <f>VLOOKUP(A200,[1]ListadoFichasDeProduccion!$A$2:$LP$3000,328,FALSE)</f>
        <v>COMPLETADO</v>
      </c>
      <c r="C200" s="11">
        <v>14</v>
      </c>
      <c r="D200" t="s">
        <v>33</v>
      </c>
      <c r="E200" t="s">
        <v>41</v>
      </c>
      <c r="F200" s="9"/>
      <c r="G200" s="9">
        <v>45680</v>
      </c>
      <c r="H200" t="s">
        <v>32</v>
      </c>
      <c r="I200" s="11">
        <v>8</v>
      </c>
      <c r="J200" t="str">
        <f>IF(I200="","",IFERROR(IF(INDEX([1]ListadoFichasDeProduccion!LQ:MB,MATCH(A200,[1]ListadoFichasDeProduccion!A:A,0),K200)=0,"",INDEX([1]ListadoFichasDeProduccion!LQ:MB,MATCH(A200,[1]ListadoFichasDeProduccion!A:A,0),K200)),""))</f>
        <v/>
      </c>
      <c r="K200" s="11">
        <v>1</v>
      </c>
    </row>
    <row r="201" spans="1:11" hidden="1" x14ac:dyDescent="0.3">
      <c r="A201" s="11">
        <v>1593</v>
      </c>
      <c r="B201" s="8" t="str">
        <f>VLOOKUP(A201,[1]ListadoFichasDeProduccion!$A$2:$LP$3000,328,FALSE)</f>
        <v>COMPLETADO</v>
      </c>
      <c r="C201" s="11">
        <v>14</v>
      </c>
      <c r="D201" t="s">
        <v>33</v>
      </c>
      <c r="E201" t="s">
        <v>41</v>
      </c>
      <c r="F201" s="9"/>
      <c r="G201" s="9">
        <v>45680</v>
      </c>
      <c r="H201" t="s">
        <v>36</v>
      </c>
      <c r="I201" s="11">
        <v>6</v>
      </c>
      <c r="J201" t="str">
        <f>IF(I201="","",IFERROR(IF(INDEX([1]ListadoFichasDeProduccion!LQ:MB,MATCH(A201,[1]ListadoFichasDeProduccion!A:A,0),K201)=0,"",INDEX([1]ListadoFichasDeProduccion!LQ:MB,MATCH(A201,[1]ListadoFichasDeProduccion!A:A,0),K201)),""))</f>
        <v/>
      </c>
      <c r="K201" s="11">
        <v>2</v>
      </c>
    </row>
    <row r="202" spans="1:11" hidden="1" x14ac:dyDescent="0.3">
      <c r="A202" s="11">
        <v>1625</v>
      </c>
      <c r="B202" s="8" t="str">
        <f>VLOOKUP(A202,[1]ListadoFichasDeProduccion!$A$2:$LP$3000,328,FALSE)</f>
        <v>COMPLETADO</v>
      </c>
      <c r="C202" s="11">
        <v>14</v>
      </c>
      <c r="D202" t="s">
        <v>33</v>
      </c>
      <c r="E202" t="s">
        <v>41</v>
      </c>
      <c r="F202" s="9"/>
      <c r="G202" s="9">
        <v>45705</v>
      </c>
      <c r="H202" t="s">
        <v>32</v>
      </c>
      <c r="I202" s="11">
        <v>8</v>
      </c>
      <c r="J202" t="str">
        <f>IF(I202="","",IFERROR(IF(INDEX([1]ListadoFichasDeProduccion!LQ:MB,MATCH(A202,[1]ListadoFichasDeProduccion!A:A,0),K202)=0,"",INDEX([1]ListadoFichasDeProduccion!LQ:MB,MATCH(A202,[1]ListadoFichasDeProduccion!A:A,0),K202)),""))</f>
        <v/>
      </c>
      <c r="K202" s="11">
        <v>1</v>
      </c>
    </row>
    <row r="203" spans="1:11" hidden="1" x14ac:dyDescent="0.3">
      <c r="A203" s="11">
        <v>1625</v>
      </c>
      <c r="B203" s="8" t="str">
        <f>VLOOKUP(A203,[1]ListadoFichasDeProduccion!$A$2:$LP$3000,328,FALSE)</f>
        <v>COMPLETADO</v>
      </c>
      <c r="C203" s="11">
        <v>14</v>
      </c>
      <c r="D203" t="s">
        <v>33</v>
      </c>
      <c r="E203" t="s">
        <v>41</v>
      </c>
      <c r="F203" s="9"/>
      <c r="G203" s="9">
        <v>45705</v>
      </c>
      <c r="H203" t="s">
        <v>36</v>
      </c>
      <c r="I203" s="11">
        <v>2</v>
      </c>
      <c r="J203" t="str">
        <f>IF(I203="","",IFERROR(IF(INDEX([1]ListadoFichasDeProduccion!LQ:MB,MATCH(A203,[1]ListadoFichasDeProduccion!A:A,0),K203)=0,"",INDEX([1]ListadoFichasDeProduccion!LQ:MB,MATCH(A203,[1]ListadoFichasDeProduccion!A:A,0),K203)),""))</f>
        <v/>
      </c>
      <c r="K203" s="11">
        <v>2</v>
      </c>
    </row>
    <row r="204" spans="1:11" hidden="1" x14ac:dyDescent="0.3">
      <c r="A204" s="11">
        <v>1625</v>
      </c>
      <c r="B204" s="8" t="str">
        <f>VLOOKUP(A204,[1]ListadoFichasDeProduccion!$A$2:$LP$3000,328,FALSE)</f>
        <v>COMPLETADO</v>
      </c>
      <c r="C204" s="11">
        <v>14</v>
      </c>
      <c r="D204" t="s">
        <v>33</v>
      </c>
      <c r="E204" t="s">
        <v>41</v>
      </c>
      <c r="F204" s="9"/>
      <c r="G204" s="9">
        <v>45705</v>
      </c>
      <c r="H204" t="s">
        <v>27</v>
      </c>
      <c r="I204" s="11">
        <v>4</v>
      </c>
      <c r="J204" t="str">
        <f>IF(I204="","",IFERROR(IF(INDEX([1]ListadoFichasDeProduccion!LQ:MB,MATCH(A204,[1]ListadoFichasDeProduccion!A:A,0),K204)=0,"",INDEX([1]ListadoFichasDeProduccion!LQ:MB,MATCH(A204,[1]ListadoFichasDeProduccion!A:A,0),K204)),""))</f>
        <v/>
      </c>
      <c r="K204" s="11">
        <v>3</v>
      </c>
    </row>
    <row r="205" spans="1:11" hidden="1" x14ac:dyDescent="0.3">
      <c r="A205" s="11">
        <v>1746</v>
      </c>
      <c r="B205" s="8" t="str">
        <f>VLOOKUP(A205,[1]ListadoFichasDeProduccion!$A$2:$LP$3000,328,FALSE)</f>
        <v>COMPLETADO</v>
      </c>
      <c r="C205" s="11">
        <v>43</v>
      </c>
      <c r="D205" t="s">
        <v>33</v>
      </c>
      <c r="E205" t="s">
        <v>41</v>
      </c>
      <c r="G205" s="9">
        <v>45762</v>
      </c>
      <c r="H205" t="s">
        <v>24</v>
      </c>
      <c r="I205" s="11">
        <v>6</v>
      </c>
      <c r="J205" t="str">
        <f>IF(I205="","",IFERROR(IF(INDEX([1]ListadoFichasDeProduccion!LQ:MB,MATCH(A205,[1]ListadoFichasDeProduccion!A:A,0),K205)=0,"",INDEX([1]ListadoFichasDeProduccion!LQ:MB,MATCH(A205,[1]ListadoFichasDeProduccion!A:A,0),K205)),""))</f>
        <v/>
      </c>
      <c r="K205" s="11">
        <v>1</v>
      </c>
    </row>
    <row r="206" spans="1:11" hidden="1" x14ac:dyDescent="0.3">
      <c r="A206" s="11">
        <v>1746</v>
      </c>
      <c r="B206" s="8" t="str">
        <f>VLOOKUP(A206,[1]ListadoFichasDeProduccion!$A$2:$LP$3000,328,FALSE)</f>
        <v>COMPLETADO</v>
      </c>
      <c r="C206" s="11">
        <v>43</v>
      </c>
      <c r="D206" t="s">
        <v>33</v>
      </c>
      <c r="E206" t="s">
        <v>41</v>
      </c>
      <c r="G206" s="9">
        <v>45762</v>
      </c>
      <c r="H206" t="s">
        <v>39</v>
      </c>
      <c r="I206" s="11">
        <v>6</v>
      </c>
      <c r="J206" t="str">
        <f>IF(I206="","",IFERROR(IF(INDEX([1]ListadoFichasDeProduccion!LQ:MB,MATCH(A206,[1]ListadoFichasDeProduccion!A:A,0),K206)=0,"",INDEX([1]ListadoFichasDeProduccion!LQ:MB,MATCH(A206,[1]ListadoFichasDeProduccion!A:A,0),K206)),""))</f>
        <v/>
      </c>
      <c r="K206" s="11">
        <v>2</v>
      </c>
    </row>
    <row r="207" spans="1:11" hidden="1" x14ac:dyDescent="0.3">
      <c r="A207" s="11">
        <v>1746</v>
      </c>
      <c r="B207" s="8" t="str">
        <f>VLOOKUP(A207,[1]ListadoFichasDeProduccion!$A$2:$LP$3000,328,FALSE)</f>
        <v>COMPLETADO</v>
      </c>
      <c r="C207" s="11">
        <v>43</v>
      </c>
      <c r="D207" t="s">
        <v>33</v>
      </c>
      <c r="E207" t="s">
        <v>41</v>
      </c>
      <c r="G207" s="9">
        <v>45762</v>
      </c>
      <c r="H207" t="s">
        <v>35</v>
      </c>
      <c r="I207" s="11">
        <v>6</v>
      </c>
      <c r="J207" t="str">
        <f>IF(I207="","",IFERROR(IF(INDEX([1]ListadoFichasDeProduccion!LQ:MB,MATCH(A207,[1]ListadoFichasDeProduccion!A:A,0),K207)=0,"",INDEX([1]ListadoFichasDeProduccion!LQ:MB,MATCH(A207,[1]ListadoFichasDeProduccion!A:A,0),K207)),""))</f>
        <v/>
      </c>
      <c r="K207" s="11">
        <v>3</v>
      </c>
    </row>
    <row r="208" spans="1:11" hidden="1" x14ac:dyDescent="0.3">
      <c r="A208" s="11">
        <v>1746</v>
      </c>
      <c r="B208" s="8" t="str">
        <f>VLOOKUP(A208,[1]ListadoFichasDeProduccion!$A$2:$LP$3000,328,FALSE)</f>
        <v>COMPLETADO</v>
      </c>
      <c r="C208" s="11">
        <v>43</v>
      </c>
      <c r="D208" t="s">
        <v>33</v>
      </c>
      <c r="E208" t="s">
        <v>41</v>
      </c>
      <c r="G208" s="9">
        <v>45762</v>
      </c>
      <c r="H208" t="s">
        <v>36</v>
      </c>
      <c r="I208" s="11">
        <v>6</v>
      </c>
      <c r="J208" t="str">
        <f>IF(I208="","",IFERROR(IF(INDEX([1]ListadoFichasDeProduccion!LQ:MB,MATCH(A208,[1]ListadoFichasDeProduccion!A:A,0),K208)=0,"",INDEX([1]ListadoFichasDeProduccion!LQ:MB,MATCH(A208,[1]ListadoFichasDeProduccion!A:A,0),K208)),""))</f>
        <v/>
      </c>
      <c r="K208" s="11">
        <v>4</v>
      </c>
    </row>
    <row r="209" spans="1:11" hidden="1" x14ac:dyDescent="0.3">
      <c r="A209" s="11">
        <v>1746</v>
      </c>
      <c r="B209" s="8" t="str">
        <f>VLOOKUP(A209,[1]ListadoFichasDeProduccion!$A$2:$LP$3000,328,FALSE)</f>
        <v>COMPLETADO</v>
      </c>
      <c r="C209" s="11">
        <v>43</v>
      </c>
      <c r="D209" t="s">
        <v>33</v>
      </c>
      <c r="E209" t="s">
        <v>41</v>
      </c>
      <c r="G209" s="9">
        <v>45762</v>
      </c>
      <c r="H209" t="s">
        <v>40</v>
      </c>
      <c r="I209" s="11">
        <v>6</v>
      </c>
      <c r="J209" t="str">
        <f>IF(I209="","",IFERROR(IF(INDEX([1]ListadoFichasDeProduccion!LQ:MB,MATCH(A209,[1]ListadoFichasDeProduccion!A:A,0),K209)=0,"",INDEX([1]ListadoFichasDeProduccion!LQ:MB,MATCH(A209,[1]ListadoFichasDeProduccion!A:A,0),K209)),""))</f>
        <v/>
      </c>
      <c r="K209" s="11">
        <v>5</v>
      </c>
    </row>
    <row r="210" spans="1:11" hidden="1" x14ac:dyDescent="0.3">
      <c r="A210" s="11">
        <v>1746</v>
      </c>
      <c r="B210" s="8" t="str">
        <f>VLOOKUP(A210,[1]ListadoFichasDeProduccion!$A$2:$LP$3000,328,FALSE)</f>
        <v>COMPLETADO</v>
      </c>
      <c r="C210" s="11">
        <v>43</v>
      </c>
      <c r="D210" t="s">
        <v>33</v>
      </c>
      <c r="E210" t="s">
        <v>41</v>
      </c>
      <c r="G210" s="9">
        <v>45762</v>
      </c>
      <c r="H210" t="s">
        <v>94</v>
      </c>
      <c r="I210" s="11">
        <v>4</v>
      </c>
      <c r="J210" t="str">
        <f>IF(I210="","",IFERROR(IF(INDEX([1]ListadoFichasDeProduccion!LQ:MB,MATCH(A210,[1]ListadoFichasDeProduccion!A:A,0),K210)=0,"",INDEX([1]ListadoFichasDeProduccion!LQ:MB,MATCH(A210,[1]ListadoFichasDeProduccion!A:A,0),K210)),""))</f>
        <v/>
      </c>
      <c r="K210" s="11">
        <v>6</v>
      </c>
    </row>
    <row r="211" spans="1:11" hidden="1" x14ac:dyDescent="0.3">
      <c r="A211" s="11">
        <v>1746</v>
      </c>
      <c r="B211" s="8" t="str">
        <f>VLOOKUP(A211,[1]ListadoFichasDeProduccion!$A$2:$LP$3000,328,FALSE)</f>
        <v>COMPLETADO</v>
      </c>
      <c r="C211" s="11">
        <v>43</v>
      </c>
      <c r="D211" t="s">
        <v>33</v>
      </c>
      <c r="E211" t="s">
        <v>41</v>
      </c>
      <c r="G211" s="9">
        <v>45762</v>
      </c>
      <c r="H211" t="s">
        <v>88</v>
      </c>
      <c r="I211" s="11">
        <v>9</v>
      </c>
      <c r="J211" t="str">
        <f>IF(I211="","",IFERROR(IF(INDEX([1]ListadoFichasDeProduccion!LQ:MB,MATCH(A211,[1]ListadoFichasDeProduccion!A:A,0),K211)=0,"",INDEX([1]ListadoFichasDeProduccion!LQ:MB,MATCH(A211,[1]ListadoFichasDeProduccion!A:A,0),K211)),""))</f>
        <v/>
      </c>
      <c r="K211" s="11">
        <v>7</v>
      </c>
    </row>
    <row r="212" spans="1:11" hidden="1" x14ac:dyDescent="0.3">
      <c r="A212" s="11">
        <v>1824</v>
      </c>
      <c r="B212" s="8" t="str">
        <f>VLOOKUP(A212,[1]ListadoFichasDeProduccion!$A$2:$LP$3000,328,FALSE)</f>
        <v>COMPLETADO</v>
      </c>
      <c r="C212" s="11">
        <v>11</v>
      </c>
      <c r="D212" t="s">
        <v>33</v>
      </c>
      <c r="E212" t="s">
        <v>41</v>
      </c>
      <c r="G212" s="9">
        <v>45814</v>
      </c>
      <c r="H212" t="s">
        <v>40</v>
      </c>
      <c r="I212" s="11">
        <v>6</v>
      </c>
      <c r="J212" t="str">
        <f>IF(I212="","",IFERROR(IF(INDEX([1]ListadoFichasDeProduccion!LQ:MB,MATCH(A212,[1]ListadoFichasDeProduccion!A:A,0),K212)=0,"",INDEX([1]ListadoFichasDeProduccion!LQ:MB,MATCH(A212,[1]ListadoFichasDeProduccion!A:A,0),K212)),""))</f>
        <v/>
      </c>
      <c r="K212" s="11">
        <v>1</v>
      </c>
    </row>
    <row r="213" spans="1:11" hidden="1" x14ac:dyDescent="0.3">
      <c r="A213" s="11">
        <v>1824</v>
      </c>
      <c r="B213" s="8" t="str">
        <f>VLOOKUP(A213,[1]ListadoFichasDeProduccion!$A$2:$LP$3000,328,FALSE)</f>
        <v>COMPLETADO</v>
      </c>
      <c r="C213" s="11">
        <v>11</v>
      </c>
      <c r="D213" t="s">
        <v>33</v>
      </c>
      <c r="E213" t="s">
        <v>41</v>
      </c>
      <c r="G213" s="9">
        <v>45814</v>
      </c>
      <c r="H213" t="s">
        <v>39</v>
      </c>
      <c r="I213" s="11">
        <v>3</v>
      </c>
      <c r="J213" t="str">
        <f>IF(I213="","",IFERROR(IF(INDEX([1]ListadoFichasDeProduccion!LQ:MB,MATCH(A213,[1]ListadoFichasDeProduccion!A:A,0),K213)=0,"",INDEX([1]ListadoFichasDeProduccion!LQ:MB,MATCH(A213,[1]ListadoFichasDeProduccion!A:A,0),K213)),""))</f>
        <v/>
      </c>
      <c r="K213" s="11">
        <v>2</v>
      </c>
    </row>
    <row r="214" spans="1:11" hidden="1" x14ac:dyDescent="0.3">
      <c r="A214" s="11">
        <v>1824</v>
      </c>
      <c r="B214" s="8" t="str">
        <f>VLOOKUP(A214,[1]ListadoFichasDeProduccion!$A$2:$LP$3000,328,FALSE)</f>
        <v>COMPLETADO</v>
      </c>
      <c r="C214" s="11">
        <v>11</v>
      </c>
      <c r="D214" t="s">
        <v>33</v>
      </c>
      <c r="E214" t="s">
        <v>41</v>
      </c>
      <c r="G214" s="9">
        <v>45814</v>
      </c>
      <c r="H214" t="s">
        <v>137</v>
      </c>
      <c r="I214" s="11">
        <v>2</v>
      </c>
      <c r="J214" t="str">
        <f>IF(I214="","",IFERROR(IF(INDEX([1]ListadoFichasDeProduccion!LQ:MB,MATCH(A214,[1]ListadoFichasDeProduccion!A:A,0),K214)=0,"",INDEX([1]ListadoFichasDeProduccion!LQ:MB,MATCH(A214,[1]ListadoFichasDeProduccion!A:A,0),K214)),""))</f>
        <v/>
      </c>
      <c r="K214" s="11">
        <v>3</v>
      </c>
    </row>
    <row r="215" spans="1:11" hidden="1" x14ac:dyDescent="0.3">
      <c r="A215" s="11">
        <v>1945</v>
      </c>
      <c r="B215" t="str">
        <f>VLOOKUP(A215,[1]ListadoFichasDeProduccion!$A$2:$LP$3000,328,FALSE)</f>
        <v>COMPLETADO</v>
      </c>
      <c r="C215" s="11">
        <v>27</v>
      </c>
      <c r="D215" t="s">
        <v>33</v>
      </c>
      <c r="E215" t="s">
        <v>41</v>
      </c>
      <c r="G215" s="9">
        <v>45883</v>
      </c>
      <c r="H215" t="s">
        <v>40</v>
      </c>
      <c r="I215" s="11">
        <v>2</v>
      </c>
      <c r="J215" t="str">
        <f>IF(I215="","",IFERROR(IF(INDEX([1]ListadoFichasDeProduccion!LQ:MB,MATCH(A215,[1]ListadoFichasDeProduccion!A:A,0),K215)=0,"",INDEX([1]ListadoFichasDeProduccion!LQ:MB,MATCH(A215,[1]ListadoFichasDeProduccion!A:A,0),K215)),""))</f>
        <v/>
      </c>
      <c r="K215" s="11">
        <v>1</v>
      </c>
    </row>
    <row r="216" spans="1:11" hidden="1" x14ac:dyDescent="0.3">
      <c r="A216" s="11">
        <v>1945</v>
      </c>
      <c r="B216" t="str">
        <f>VLOOKUP(A216,[1]ListadoFichasDeProduccion!$A$2:$LP$3000,328,FALSE)</f>
        <v>COMPLETADO</v>
      </c>
      <c r="C216" s="11">
        <v>27</v>
      </c>
      <c r="D216" t="s">
        <v>33</v>
      </c>
      <c r="E216" t="s">
        <v>41</v>
      </c>
      <c r="G216" s="9">
        <v>45883</v>
      </c>
      <c r="H216" t="s">
        <v>39</v>
      </c>
      <c r="I216" s="11">
        <v>6</v>
      </c>
      <c r="J216" t="str">
        <f>IF(I216="","",IFERROR(IF(INDEX([1]ListadoFichasDeProduccion!LQ:MB,MATCH(A216,[1]ListadoFichasDeProduccion!A:A,0),K216)=0,"",INDEX([1]ListadoFichasDeProduccion!LQ:MB,MATCH(A216,[1]ListadoFichasDeProduccion!A:A,0),K216)),""))</f>
        <v/>
      </c>
      <c r="K216" s="11">
        <v>2</v>
      </c>
    </row>
    <row r="217" spans="1:11" hidden="1" x14ac:dyDescent="0.3">
      <c r="A217" s="11">
        <v>1945</v>
      </c>
      <c r="B217" t="str">
        <f>VLOOKUP(A217,[1]ListadoFichasDeProduccion!$A$2:$LP$3000,328,FALSE)</f>
        <v>COMPLETADO</v>
      </c>
      <c r="C217" s="11">
        <v>27</v>
      </c>
      <c r="D217" t="s">
        <v>33</v>
      </c>
      <c r="E217" t="s">
        <v>41</v>
      </c>
      <c r="G217" s="9">
        <v>45883</v>
      </c>
      <c r="H217" t="s">
        <v>137</v>
      </c>
      <c r="I217" s="11">
        <v>9</v>
      </c>
      <c r="J217" t="str">
        <f>IF(I217="","",IFERROR(IF(INDEX([1]ListadoFichasDeProduccion!LQ:MB,MATCH(A217,[1]ListadoFichasDeProduccion!A:A,0),K217)=0,"",INDEX([1]ListadoFichasDeProduccion!LQ:MB,MATCH(A217,[1]ListadoFichasDeProduccion!A:A,0),K217)),""))</f>
        <v/>
      </c>
      <c r="K217" s="11">
        <v>3</v>
      </c>
    </row>
    <row r="218" spans="1:11" hidden="1" x14ac:dyDescent="0.3">
      <c r="A218" s="11">
        <v>1945</v>
      </c>
      <c r="B218" t="str">
        <f>VLOOKUP(A218,[1]ListadoFichasDeProduccion!$A$2:$LP$3000,328,FALSE)</f>
        <v>COMPLETADO</v>
      </c>
      <c r="C218" s="11">
        <v>27</v>
      </c>
      <c r="D218" t="s">
        <v>33</v>
      </c>
      <c r="E218" t="s">
        <v>41</v>
      </c>
      <c r="G218" s="9">
        <v>45883</v>
      </c>
      <c r="H218" t="s">
        <v>138</v>
      </c>
      <c r="I218" s="11">
        <v>4</v>
      </c>
      <c r="J218" t="str">
        <f>IF(I218="","",IFERROR(IF(INDEX([1]ListadoFichasDeProduccion!LQ:MB,MATCH(A218,[1]ListadoFichasDeProduccion!A:A,0),K218)=0,"",INDEX([1]ListadoFichasDeProduccion!LQ:MB,MATCH(A218,[1]ListadoFichasDeProduccion!A:A,0),K218)),""))</f>
        <v/>
      </c>
      <c r="K218" s="11">
        <v>4</v>
      </c>
    </row>
    <row r="219" spans="1:11" hidden="1" x14ac:dyDescent="0.3">
      <c r="A219" s="11">
        <v>1945</v>
      </c>
      <c r="B219" t="str">
        <f>VLOOKUP(A219,[1]ListadoFichasDeProduccion!$A$2:$LP$3000,328,FALSE)</f>
        <v>COMPLETADO</v>
      </c>
      <c r="C219" s="11">
        <v>27</v>
      </c>
      <c r="D219" t="s">
        <v>33</v>
      </c>
      <c r="E219" t="s">
        <v>41</v>
      </c>
      <c r="G219" s="9">
        <v>45883</v>
      </c>
      <c r="H219" t="s">
        <v>35</v>
      </c>
      <c r="I219" s="11">
        <v>6</v>
      </c>
      <c r="J219" t="str">
        <f>IF(I219="","",IFERROR(IF(INDEX([1]ListadoFichasDeProduccion!LQ:MB,MATCH(A219,[1]ListadoFichasDeProduccion!A:A,0),K219)=0,"",INDEX([1]ListadoFichasDeProduccion!LQ:MB,MATCH(A219,[1]ListadoFichasDeProduccion!A:A,0),K219)),""))</f>
        <v/>
      </c>
      <c r="K219" s="11">
        <v>5</v>
      </c>
    </row>
    <row r="220" spans="1:11" hidden="1" x14ac:dyDescent="0.3">
      <c r="A220" s="11">
        <v>18242</v>
      </c>
      <c r="B220" t="str">
        <f>VLOOKUP(A220,[1]ListadoFichasDeProduccion!$A$2:$LP$3000,328,FALSE)</f>
        <v>COMPLETADO</v>
      </c>
      <c r="C220" s="11">
        <v>2</v>
      </c>
      <c r="D220" t="s">
        <v>33</v>
      </c>
      <c r="E220" t="s">
        <v>41</v>
      </c>
      <c r="G220" s="9">
        <v>45905</v>
      </c>
      <c r="H220" t="s">
        <v>138</v>
      </c>
      <c r="I220" s="11">
        <v>2</v>
      </c>
      <c r="J220" t="str">
        <f>IF(I220="","",IFERROR(IF(INDEX([1]ListadoFichasDeProduccion!LQ:MB,MATCH(A220,[1]ListadoFichasDeProduccion!A:A,0),K220)=0,"",INDEX([1]ListadoFichasDeProduccion!LQ:MB,MATCH(A220,[1]ListadoFichasDeProduccion!A:A,0),K220)),""))</f>
        <v/>
      </c>
      <c r="K220" s="11">
        <v>1</v>
      </c>
    </row>
    <row r="221" spans="1:11" hidden="1" x14ac:dyDescent="0.3">
      <c r="A221" s="11" t="s">
        <v>289</v>
      </c>
      <c r="B221" t="str">
        <f>VLOOKUP(A221,[1]ListadoFichasDeProduccion!$A$2:$LP$3000,328,FALSE)</f>
        <v>COMPLETADO</v>
      </c>
      <c r="C221" s="11">
        <v>19</v>
      </c>
      <c r="D221" t="s">
        <v>33</v>
      </c>
      <c r="E221" t="s">
        <v>41</v>
      </c>
      <c r="G221" s="9">
        <v>45909</v>
      </c>
      <c r="H221" t="s">
        <v>44</v>
      </c>
      <c r="I221" s="11">
        <v>9</v>
      </c>
      <c r="J221" t="str">
        <f>IF(I221="","",IFERROR(IF(INDEX([1]ListadoFichasDeProduccion!LQ:MB,MATCH(A221,[1]ListadoFichasDeProduccion!A:A,0),K221)=0,"",INDEX([1]ListadoFichasDeProduccion!LQ:MB,MATCH(A221,[1]ListadoFichasDeProduccion!A:A,0),K221)),""))</f>
        <v/>
      </c>
      <c r="K221" s="11">
        <v>1</v>
      </c>
    </row>
    <row r="222" spans="1:11" hidden="1" x14ac:dyDescent="0.3">
      <c r="A222" s="11" t="s">
        <v>289</v>
      </c>
      <c r="B222" t="str">
        <f>VLOOKUP(A222,[1]ListadoFichasDeProduccion!$A$2:$LP$3000,328,FALSE)</f>
        <v>COMPLETADO</v>
      </c>
      <c r="C222" s="11">
        <v>19</v>
      </c>
      <c r="D222" t="s">
        <v>33</v>
      </c>
      <c r="E222" t="s">
        <v>41</v>
      </c>
      <c r="G222" s="9">
        <v>45909</v>
      </c>
      <c r="H222" t="s">
        <v>50</v>
      </c>
      <c r="I222" s="11">
        <v>6</v>
      </c>
      <c r="J222" t="str">
        <f>IF(I222="","",IFERROR(IF(INDEX([1]ListadoFichasDeProduccion!LQ:MB,MATCH(A222,[1]ListadoFichasDeProduccion!A:A,0),K222)=0,"",INDEX([1]ListadoFichasDeProduccion!LQ:MB,MATCH(A222,[1]ListadoFichasDeProduccion!A:A,0),K222)),""))</f>
        <v/>
      </c>
      <c r="K222" s="11">
        <v>2</v>
      </c>
    </row>
    <row r="223" spans="1:11" hidden="1" x14ac:dyDescent="0.3">
      <c r="A223" s="11" t="s">
        <v>289</v>
      </c>
      <c r="B223" t="str">
        <f>VLOOKUP(A223,[1]ListadoFichasDeProduccion!$A$2:$LP$3000,328,FALSE)</f>
        <v>COMPLETADO</v>
      </c>
      <c r="C223" s="11">
        <v>19</v>
      </c>
      <c r="D223" t="s">
        <v>33</v>
      </c>
      <c r="E223" t="s">
        <v>41</v>
      </c>
      <c r="G223" s="9">
        <v>45909</v>
      </c>
      <c r="H223" t="s">
        <v>27</v>
      </c>
      <c r="I223" s="11">
        <v>4</v>
      </c>
      <c r="J223" t="str">
        <f>IF(I223="","",IFERROR(IF(INDEX([1]ListadoFichasDeProduccion!LQ:MB,MATCH(A223,[1]ListadoFichasDeProduccion!A:A,0),K223)=0,"",INDEX([1]ListadoFichasDeProduccion!LQ:MB,MATCH(A223,[1]ListadoFichasDeProduccion!A:A,0),K223)),""))</f>
        <v/>
      </c>
      <c r="K223" s="11">
        <v>3</v>
      </c>
    </row>
    <row r="224" spans="1:11" hidden="1" x14ac:dyDescent="0.3">
      <c r="A224" s="11">
        <v>1594</v>
      </c>
      <c r="B224" s="8" t="str">
        <f>VLOOKUP(A224,[1]ListadoFichasDeProduccion!$A$2:$LP$3000,328,FALSE)</f>
        <v>COMPLETADO</v>
      </c>
      <c r="C224" s="11">
        <v>30</v>
      </c>
      <c r="D224" t="s">
        <v>33</v>
      </c>
      <c r="E224" t="s">
        <v>42</v>
      </c>
      <c r="F224" s="9"/>
      <c r="G224" s="9">
        <v>45674</v>
      </c>
      <c r="H224" t="s">
        <v>35</v>
      </c>
      <c r="I224" s="11">
        <v>6</v>
      </c>
      <c r="J224" t="str">
        <f>IF(I224="","",IFERROR(IF(INDEX([1]ListadoFichasDeProduccion!LQ:MB,MATCH(A224,[1]ListadoFichasDeProduccion!A:A,0),K224)=0,"",INDEX([1]ListadoFichasDeProduccion!LQ:MB,MATCH(A224,[1]ListadoFichasDeProduccion!A:A,0),K224)),""))</f>
        <v/>
      </c>
      <c r="K224" s="11">
        <v>1</v>
      </c>
    </row>
    <row r="225" spans="1:11" hidden="1" x14ac:dyDescent="0.3">
      <c r="A225" s="11">
        <v>1594</v>
      </c>
      <c r="B225" s="8" t="str">
        <f>VLOOKUP(A225,[1]ListadoFichasDeProduccion!$A$2:$LP$3000,328,FALSE)</f>
        <v>COMPLETADO</v>
      </c>
      <c r="C225" s="11">
        <v>30</v>
      </c>
      <c r="D225" t="s">
        <v>33</v>
      </c>
      <c r="E225" t="s">
        <v>42</v>
      </c>
      <c r="F225" s="9"/>
      <c r="G225" s="9">
        <v>45674</v>
      </c>
      <c r="H225" t="s">
        <v>39</v>
      </c>
      <c r="I225" s="11">
        <v>6</v>
      </c>
      <c r="J225" t="str">
        <f>IF(I225="","",IFERROR(IF(INDEX([1]ListadoFichasDeProduccion!LQ:MB,MATCH(A225,[1]ListadoFichasDeProduccion!A:A,0),K225)=0,"",INDEX([1]ListadoFichasDeProduccion!LQ:MB,MATCH(A225,[1]ListadoFichasDeProduccion!A:A,0),K225)),""))</f>
        <v/>
      </c>
      <c r="K225" s="11">
        <v>2</v>
      </c>
    </row>
    <row r="226" spans="1:11" hidden="1" x14ac:dyDescent="0.3">
      <c r="A226" s="11">
        <v>1594</v>
      </c>
      <c r="B226" s="8" t="str">
        <f>VLOOKUP(A226,[1]ListadoFichasDeProduccion!$A$2:$LP$3000,328,FALSE)</f>
        <v>COMPLETADO</v>
      </c>
      <c r="C226" s="11">
        <v>30</v>
      </c>
      <c r="D226" t="s">
        <v>33</v>
      </c>
      <c r="E226" t="s">
        <v>42</v>
      </c>
      <c r="F226" s="9"/>
      <c r="G226" s="9">
        <v>45674</v>
      </c>
      <c r="H226" t="s">
        <v>36</v>
      </c>
      <c r="I226" s="11">
        <v>6</v>
      </c>
      <c r="J226" t="str">
        <f>IF(I226="","",IFERROR(IF(INDEX([1]ListadoFichasDeProduccion!LQ:MB,MATCH(A226,[1]ListadoFichasDeProduccion!A:A,0),K226)=0,"",INDEX([1]ListadoFichasDeProduccion!LQ:MB,MATCH(A226,[1]ListadoFichasDeProduccion!A:A,0),K226)),""))</f>
        <v/>
      </c>
      <c r="K226" s="11">
        <v>3</v>
      </c>
    </row>
    <row r="227" spans="1:11" hidden="1" x14ac:dyDescent="0.3">
      <c r="A227" s="11">
        <v>1594</v>
      </c>
      <c r="B227" s="8" t="str">
        <f>VLOOKUP(A227,[1]ListadoFichasDeProduccion!$A$2:$LP$3000,328,FALSE)</f>
        <v>COMPLETADO</v>
      </c>
      <c r="C227" s="11">
        <v>30</v>
      </c>
      <c r="D227" t="s">
        <v>33</v>
      </c>
      <c r="E227" t="s">
        <v>42</v>
      </c>
      <c r="F227" s="9"/>
      <c r="G227" s="9">
        <v>45674</v>
      </c>
      <c r="H227" t="s">
        <v>40</v>
      </c>
      <c r="I227" s="11">
        <v>2</v>
      </c>
      <c r="J227" t="str">
        <f>IF(I227="","",IFERROR(IF(INDEX([1]ListadoFichasDeProduccion!LQ:MB,MATCH(A227,[1]ListadoFichasDeProduccion!A:A,0),K227)=0,"",INDEX([1]ListadoFichasDeProduccion!LQ:MB,MATCH(A227,[1]ListadoFichasDeProduccion!A:A,0),K227)),""))</f>
        <v/>
      </c>
      <c r="K227" s="11">
        <v>4</v>
      </c>
    </row>
    <row r="228" spans="1:11" hidden="1" x14ac:dyDescent="0.3">
      <c r="A228" s="11">
        <v>1594</v>
      </c>
      <c r="B228" s="8" t="str">
        <f>VLOOKUP(A228,[1]ListadoFichasDeProduccion!$A$2:$LP$3000,328,FALSE)</f>
        <v>COMPLETADO</v>
      </c>
      <c r="C228" s="11">
        <v>30</v>
      </c>
      <c r="D228" t="s">
        <v>33</v>
      </c>
      <c r="E228" t="s">
        <v>42</v>
      </c>
      <c r="F228" s="9"/>
      <c r="G228" s="9">
        <v>45674</v>
      </c>
      <c r="H228" t="s">
        <v>32</v>
      </c>
      <c r="I228" s="11">
        <v>10</v>
      </c>
      <c r="J228" t="str">
        <f>IF(I228="","",IFERROR(IF(INDEX([1]ListadoFichasDeProduccion!LQ:MB,MATCH(A228,[1]ListadoFichasDeProduccion!A:A,0),K228)=0,"",INDEX([1]ListadoFichasDeProduccion!LQ:MB,MATCH(A228,[1]ListadoFichasDeProduccion!A:A,0),K228)),""))</f>
        <v/>
      </c>
      <c r="K228" s="11">
        <v>5</v>
      </c>
    </row>
    <row r="229" spans="1:11" hidden="1" x14ac:dyDescent="0.3">
      <c r="A229" s="11">
        <v>1626</v>
      </c>
      <c r="B229" s="8" t="str">
        <f>VLOOKUP(A229,[1]ListadoFichasDeProduccion!$A$2:$LP$3000,328,FALSE)</f>
        <v>COMPLETADO</v>
      </c>
      <c r="C229" s="11">
        <v>20</v>
      </c>
      <c r="D229" t="s">
        <v>33</v>
      </c>
      <c r="E229" t="s">
        <v>42</v>
      </c>
      <c r="F229" s="9"/>
      <c r="G229" s="9">
        <v>45705</v>
      </c>
      <c r="H229" t="s">
        <v>35</v>
      </c>
      <c r="I229" s="11">
        <v>8</v>
      </c>
      <c r="J229" t="str">
        <f>IF(I229="","",IFERROR(IF(INDEX([1]ListadoFichasDeProduccion!LQ:MB,MATCH(A229,[1]ListadoFichasDeProduccion!A:A,0),K229)=0,"",INDEX([1]ListadoFichasDeProduccion!LQ:MB,MATCH(A229,[1]ListadoFichasDeProduccion!A:A,0),K229)),""))</f>
        <v/>
      </c>
      <c r="K229" s="11">
        <v>1</v>
      </c>
    </row>
    <row r="230" spans="1:11" hidden="1" x14ac:dyDescent="0.3">
      <c r="A230" s="11">
        <v>1626</v>
      </c>
      <c r="B230" s="8" t="str">
        <f>VLOOKUP(A230,[1]ListadoFichasDeProduccion!$A$2:$LP$3000,328,FALSE)</f>
        <v>COMPLETADO</v>
      </c>
      <c r="C230" s="11">
        <v>20</v>
      </c>
      <c r="D230" t="s">
        <v>33</v>
      </c>
      <c r="E230" t="s">
        <v>42</v>
      </c>
      <c r="F230" s="9"/>
      <c r="G230" s="9">
        <v>45705</v>
      </c>
      <c r="H230" t="s">
        <v>40</v>
      </c>
      <c r="I230" s="11">
        <v>6</v>
      </c>
      <c r="J230" t="str">
        <f>IF(I230="","",IFERROR(IF(INDEX([1]ListadoFichasDeProduccion!LQ:MB,MATCH(A230,[1]ListadoFichasDeProduccion!A:A,0),K230)=0,"",INDEX([1]ListadoFichasDeProduccion!LQ:MB,MATCH(A230,[1]ListadoFichasDeProduccion!A:A,0),K230)),""))</f>
        <v/>
      </c>
      <c r="K230" s="11">
        <v>2</v>
      </c>
    </row>
    <row r="231" spans="1:11" hidden="1" x14ac:dyDescent="0.3">
      <c r="A231" s="11">
        <v>1626</v>
      </c>
      <c r="B231" s="8" t="str">
        <f>VLOOKUP(A231,[1]ListadoFichasDeProduccion!$A$2:$LP$3000,328,FALSE)</f>
        <v>COMPLETADO</v>
      </c>
      <c r="C231" s="11">
        <v>20</v>
      </c>
      <c r="D231" t="s">
        <v>33</v>
      </c>
      <c r="E231" t="s">
        <v>42</v>
      </c>
      <c r="F231" s="9"/>
      <c r="G231" s="9">
        <v>45705</v>
      </c>
      <c r="H231" t="s">
        <v>32</v>
      </c>
      <c r="I231" s="11">
        <v>6</v>
      </c>
      <c r="J231" t="str">
        <f>IF(I231="","",IFERROR(IF(INDEX([1]ListadoFichasDeProduccion!LQ:MB,MATCH(A231,[1]ListadoFichasDeProduccion!A:A,0),K231)=0,"",INDEX([1]ListadoFichasDeProduccion!LQ:MB,MATCH(A231,[1]ListadoFichasDeProduccion!A:A,0),K231)),""))</f>
        <v/>
      </c>
      <c r="K231" s="11">
        <v>3</v>
      </c>
    </row>
    <row r="232" spans="1:11" hidden="1" x14ac:dyDescent="0.3">
      <c r="A232" s="11">
        <v>1822</v>
      </c>
      <c r="B232" s="8" t="str">
        <f>VLOOKUP(A232,[1]ListadoFichasDeProduccion!$A$2:$LP$3000,328,FALSE)</f>
        <v>COMPLETADO</v>
      </c>
      <c r="C232" s="11">
        <v>10</v>
      </c>
      <c r="D232" t="s">
        <v>33</v>
      </c>
      <c r="E232" t="s">
        <v>42</v>
      </c>
      <c r="G232" s="9">
        <v>45813</v>
      </c>
      <c r="H232" t="s">
        <v>39</v>
      </c>
      <c r="I232" s="11">
        <v>2</v>
      </c>
      <c r="J232" t="str">
        <f>IF(I232="","",IFERROR(IF(INDEX([1]ListadoFichasDeProduccion!LQ:MB,MATCH(A232,[1]ListadoFichasDeProduccion!A:A,0),K232)=0,"",INDEX([1]ListadoFichasDeProduccion!LQ:MB,MATCH(A232,[1]ListadoFichasDeProduccion!A:A,0),K232)),""))</f>
        <v/>
      </c>
      <c r="K232" s="11">
        <v>1</v>
      </c>
    </row>
    <row r="233" spans="1:11" hidden="1" x14ac:dyDescent="0.3">
      <c r="A233" s="11">
        <v>1822</v>
      </c>
      <c r="B233" s="8" t="str">
        <f>VLOOKUP(A233,[1]ListadoFichasDeProduccion!$A$2:$LP$3000,328,FALSE)</f>
        <v>COMPLETADO</v>
      </c>
      <c r="C233" s="11">
        <v>10</v>
      </c>
      <c r="D233" t="s">
        <v>33</v>
      </c>
      <c r="E233" t="s">
        <v>42</v>
      </c>
      <c r="G233" s="9">
        <v>45813</v>
      </c>
      <c r="H233" t="s">
        <v>40</v>
      </c>
      <c r="I233" s="11">
        <v>8</v>
      </c>
      <c r="J233" t="str">
        <f>IF(I233="","",IFERROR(IF(INDEX([1]ListadoFichasDeProduccion!LQ:MB,MATCH(A233,[1]ListadoFichasDeProduccion!A:A,0),K233)=0,"",INDEX([1]ListadoFichasDeProduccion!LQ:MB,MATCH(A233,[1]ListadoFichasDeProduccion!A:A,0),K233)),""))</f>
        <v/>
      </c>
      <c r="K233" s="11">
        <v>2</v>
      </c>
    </row>
    <row r="234" spans="1:11" hidden="1" x14ac:dyDescent="0.3">
      <c r="A234" s="11">
        <v>1946</v>
      </c>
      <c r="B234" t="str">
        <f>VLOOKUP(A234,[1]ListadoFichasDeProduccion!$A$2:$LP$3000,328,FALSE)</f>
        <v>COMPLETADO</v>
      </c>
      <c r="C234" s="11">
        <v>10</v>
      </c>
      <c r="D234" t="s">
        <v>33</v>
      </c>
      <c r="E234" t="s">
        <v>42</v>
      </c>
      <c r="G234" s="9">
        <v>45883</v>
      </c>
      <c r="H234" t="s">
        <v>39</v>
      </c>
      <c r="I234" s="11">
        <v>6</v>
      </c>
      <c r="J234" t="str">
        <f>IF(I234="","",IFERROR(IF(INDEX([1]ListadoFichasDeProduccion!LQ:MB,MATCH(A234,[1]ListadoFichasDeProduccion!A:A,0),K234)=0,"",INDEX([1]ListadoFichasDeProduccion!LQ:MB,MATCH(A234,[1]ListadoFichasDeProduccion!A:A,0),K234)),""))</f>
        <v/>
      </c>
      <c r="K234" s="11">
        <v>1</v>
      </c>
    </row>
    <row r="235" spans="1:11" hidden="1" x14ac:dyDescent="0.3">
      <c r="A235" s="11">
        <v>1946</v>
      </c>
      <c r="B235" t="str">
        <f>VLOOKUP(A235,[1]ListadoFichasDeProduccion!$A$2:$LP$3000,328,FALSE)</f>
        <v>COMPLETADO</v>
      </c>
      <c r="C235" s="11">
        <v>10</v>
      </c>
      <c r="D235" t="s">
        <v>33</v>
      </c>
      <c r="E235" t="s">
        <v>42</v>
      </c>
      <c r="G235" s="9">
        <v>45883</v>
      </c>
      <c r="H235" t="s">
        <v>138</v>
      </c>
      <c r="I235" s="11">
        <v>4</v>
      </c>
      <c r="J235" t="str">
        <f>IF(I235="","",IFERROR(IF(INDEX([1]ListadoFichasDeProduccion!LQ:MB,MATCH(A235,[1]ListadoFichasDeProduccion!A:A,0),K235)=0,"",INDEX([1]ListadoFichasDeProduccion!LQ:MB,MATCH(A235,[1]ListadoFichasDeProduccion!A:A,0),K235)),""))</f>
        <v/>
      </c>
      <c r="K235" s="11">
        <v>2</v>
      </c>
    </row>
    <row r="236" spans="1:11" hidden="1" x14ac:dyDescent="0.3">
      <c r="A236" s="11">
        <v>18222</v>
      </c>
      <c r="B236" t="str">
        <f>VLOOKUP(A236,[1]ListadoFichasDeProduccion!$A$2:$LP$3000,328,FALSE)</f>
        <v>COMPLETADO</v>
      </c>
      <c r="C236" s="11">
        <v>6</v>
      </c>
      <c r="D236" t="s">
        <v>33</v>
      </c>
      <c r="E236" t="s">
        <v>42</v>
      </c>
      <c r="G236" s="9">
        <v>45905</v>
      </c>
      <c r="H236" t="s">
        <v>138</v>
      </c>
      <c r="I236" s="11">
        <v>6</v>
      </c>
      <c r="J236" t="str">
        <f>IF(I236="","",IFERROR(IF(INDEX([1]ListadoFichasDeProduccion!LQ:MB,MATCH(A236,[1]ListadoFichasDeProduccion!A:A,0),K236)=0,"",INDEX([1]ListadoFichasDeProduccion!LQ:MB,MATCH(A236,[1]ListadoFichasDeProduccion!A:A,0),K236)),""))</f>
        <v/>
      </c>
      <c r="K236" s="11">
        <v>1</v>
      </c>
    </row>
    <row r="237" spans="1:11" hidden="1" x14ac:dyDescent="0.3">
      <c r="A237" s="11" t="s">
        <v>382</v>
      </c>
      <c r="B237" t="str">
        <f>VLOOKUP(A237,[1]ListadoFichasDeProduccion!$A$2:$LP$3000,328,FALSE)</f>
        <v>COMPLETADO</v>
      </c>
      <c r="C237" s="11">
        <v>14</v>
      </c>
      <c r="D237" t="s">
        <v>33</v>
      </c>
      <c r="E237" t="s">
        <v>42</v>
      </c>
      <c r="G237" s="9">
        <v>45938</v>
      </c>
      <c r="H237" t="s">
        <v>24</v>
      </c>
      <c r="I237" s="11">
        <v>2</v>
      </c>
      <c r="J237" s="9" t="str">
        <f>IF(I237="","",IFERROR(IF(INDEX([1]ListadoFichasDeProduccion!LQ:MB,MATCH(A237,[1]ListadoFichasDeProduccion!A:A,0),K237)=0,"",INDEX([1]ListadoFichasDeProduccion!LQ:MB,MATCH(A237,[1]ListadoFichasDeProduccion!A:A,0),K237)),""))</f>
        <v/>
      </c>
      <c r="K237" s="11">
        <v>1</v>
      </c>
    </row>
    <row r="238" spans="1:11" hidden="1" x14ac:dyDescent="0.3">
      <c r="A238" s="11" t="s">
        <v>382</v>
      </c>
      <c r="B238" t="str">
        <f>VLOOKUP(A238,[1]ListadoFichasDeProduccion!$A$2:$LP$3000,328,FALSE)</f>
        <v>COMPLETADO</v>
      </c>
      <c r="C238" s="11">
        <v>14</v>
      </c>
      <c r="D238" t="s">
        <v>33</v>
      </c>
      <c r="E238" t="s">
        <v>42</v>
      </c>
      <c r="G238" s="9">
        <v>45938</v>
      </c>
      <c r="H238" t="s">
        <v>40</v>
      </c>
      <c r="I238" s="11">
        <v>12</v>
      </c>
      <c r="J238" s="9" t="str">
        <f>IF(I238="","",IFERROR(IF(INDEX([1]ListadoFichasDeProduccion!LQ:MB,MATCH(A238,[1]ListadoFichasDeProduccion!A:A,0),K238)=0,"",INDEX([1]ListadoFichasDeProduccion!LQ:MB,MATCH(A238,[1]ListadoFichasDeProduccion!A:A,0),K238)),""))</f>
        <v/>
      </c>
      <c r="K238" s="11">
        <v>2</v>
      </c>
    </row>
    <row r="239" spans="1:11" hidden="1" x14ac:dyDescent="0.3">
      <c r="A239" s="11">
        <v>1923</v>
      </c>
      <c r="B239" t="str">
        <f>VLOOKUP(A239,[1]ListadoFichasDeProduccion!$A$2:$LP$3000,328,FALSE)</f>
        <v>COMPLETADO</v>
      </c>
      <c r="C239" s="11">
        <v>50</v>
      </c>
      <c r="D239" t="s">
        <v>11</v>
      </c>
      <c r="E239" t="s">
        <v>271</v>
      </c>
      <c r="G239" s="9">
        <v>45911</v>
      </c>
      <c r="J239" t="str">
        <f>IF(I239="","",IFERROR(IF(INDEX([1]ListadoFichasDeProduccion!LQ:MB,MATCH(A239,[1]ListadoFichasDeProduccion!A:A,0),K239)=0,"",INDEX([1]ListadoFichasDeProduccion!LQ:MB,MATCH(A239,[1]ListadoFichasDeProduccion!A:A,0),K239)),""))</f>
        <v/>
      </c>
    </row>
    <row r="240" spans="1:11" x14ac:dyDescent="0.3">
      <c r="A240" s="11" t="s">
        <v>491</v>
      </c>
      <c r="B240" t="str">
        <f>VLOOKUP(A240,[1]ListadoFichasDeProduccion!$A$2:$LP$3000,328,FALSE)</f>
        <v>NO COMENZADO</v>
      </c>
      <c r="C240" s="11">
        <v>60</v>
      </c>
      <c r="D240" t="s">
        <v>11</v>
      </c>
      <c r="E240" t="s">
        <v>271</v>
      </c>
      <c r="J240" t="str">
        <f>IF(I240="","",IFERROR(IF(INDEX([1]ListadoFichasDeProduccion!LQ:MB,MATCH(A240,[1]ListadoFichasDeProduccion!A:A,0),K240)=0,"",INDEX([1]ListadoFichasDeProduccion!LQ:MB,MATCH(A240,[1]ListadoFichasDeProduccion!A:A,0),K240)),""))</f>
        <v/>
      </c>
    </row>
    <row r="241" spans="1:11" hidden="1" x14ac:dyDescent="0.3">
      <c r="A241" s="11">
        <v>1781</v>
      </c>
      <c r="B241" s="8" t="str">
        <f>VLOOKUP(A241,[1]ListadoFichasDeProduccion!$A$2:$LP$3000,328,FALSE)</f>
        <v>COMPLETADO</v>
      </c>
      <c r="C241" s="11">
        <v>30</v>
      </c>
      <c r="D241" t="s">
        <v>11</v>
      </c>
      <c r="E241" t="s">
        <v>182</v>
      </c>
      <c r="F241" t="s">
        <v>183</v>
      </c>
      <c r="G241" s="9">
        <v>45807</v>
      </c>
      <c r="J241" t="str">
        <f>IF(I241="","",IFERROR(IF(INDEX([1]ListadoFichasDeProduccion!LQ:MB,MATCH(A241,[1]ListadoFichasDeProduccion!A:A,0),K241)=0,"",INDEX([1]ListadoFichasDeProduccion!LQ:MB,MATCH(A241,[1]ListadoFichasDeProduccion!A:A,0),K241)),""))</f>
        <v/>
      </c>
    </row>
    <row r="242" spans="1:11" hidden="1" x14ac:dyDescent="0.3">
      <c r="A242" s="11">
        <v>1924</v>
      </c>
      <c r="B242" t="str">
        <f>VLOOKUP(A242,[1]ListadoFichasDeProduccion!$A$2:$LP$3000,328,FALSE)</f>
        <v>COMPLETADO</v>
      </c>
      <c r="C242" s="11">
        <v>20</v>
      </c>
      <c r="D242" t="s">
        <v>11</v>
      </c>
      <c r="E242" t="s">
        <v>182</v>
      </c>
      <c r="F242" t="s">
        <v>183</v>
      </c>
      <c r="G242" s="9">
        <v>45911</v>
      </c>
      <c r="J242" t="str">
        <f>IF(I242="","",IFERROR(IF(INDEX([1]ListadoFichasDeProduccion!LQ:MB,MATCH(A242,[1]ListadoFichasDeProduccion!A:A,0),K242)=0,"",INDEX([1]ListadoFichasDeProduccion!LQ:MB,MATCH(A242,[1]ListadoFichasDeProduccion!A:A,0),K242)),""))</f>
        <v/>
      </c>
    </row>
    <row r="243" spans="1:11" x14ac:dyDescent="0.3">
      <c r="A243" s="11" t="s">
        <v>492</v>
      </c>
      <c r="B243" t="str">
        <f>VLOOKUP(A243,[1]ListadoFichasDeProduccion!$A$2:$LP$3000,328,FALSE)</f>
        <v>NO COMENZADO</v>
      </c>
      <c r="C243" s="11">
        <v>20</v>
      </c>
      <c r="D243" t="s">
        <v>11</v>
      </c>
      <c r="E243" t="s">
        <v>182</v>
      </c>
      <c r="F243" t="s">
        <v>183</v>
      </c>
      <c r="J243" t="str">
        <f>IF(I243="","",IFERROR(IF(INDEX([1]ListadoFichasDeProduccion!LQ:MB,MATCH(A243,[1]ListadoFichasDeProduccion!A:A,0),K243)=0,"",INDEX([1]ListadoFichasDeProduccion!LQ:MB,MATCH(A243,[1]ListadoFichasDeProduccion!A:A,0),K243)),""))</f>
        <v/>
      </c>
    </row>
    <row r="244" spans="1:11" hidden="1" x14ac:dyDescent="0.3">
      <c r="A244" s="11">
        <v>1782</v>
      </c>
      <c r="B244" s="8" t="str">
        <f>VLOOKUP(A244,[1]ListadoFichasDeProduccion!$A$2:$LP$3000,328,FALSE)</f>
        <v>COMPLETADO</v>
      </c>
      <c r="C244" s="11">
        <v>50</v>
      </c>
      <c r="D244" t="s">
        <v>11</v>
      </c>
      <c r="E244" t="s">
        <v>184</v>
      </c>
      <c r="F244" t="s">
        <v>185</v>
      </c>
      <c r="G244" s="9">
        <v>45807</v>
      </c>
      <c r="J244" t="str">
        <f>IF(I244="","",IFERROR(IF(INDEX([1]ListadoFichasDeProduccion!LQ:MB,MATCH(A244,[1]ListadoFichasDeProduccion!A:A,0),K244)=0,"",INDEX([1]ListadoFichasDeProduccion!LQ:MB,MATCH(A244,[1]ListadoFichasDeProduccion!A:A,0),K244)),""))</f>
        <v/>
      </c>
    </row>
    <row r="245" spans="1:11" hidden="1" x14ac:dyDescent="0.3">
      <c r="A245" s="11">
        <v>1845</v>
      </c>
      <c r="B245" s="8" t="str">
        <f>VLOOKUP(A245,[1]ListadoFichasDeProduccion!$A$2:$LP$3000,328,FALSE)</f>
        <v>COMPLETADO</v>
      </c>
      <c r="C245" s="11">
        <v>6</v>
      </c>
      <c r="D245" t="s">
        <v>11</v>
      </c>
      <c r="E245" t="s">
        <v>231</v>
      </c>
      <c r="G245" s="9">
        <v>45832</v>
      </c>
      <c r="H245" t="s">
        <v>51</v>
      </c>
      <c r="I245" s="11">
        <v>3</v>
      </c>
      <c r="J245" t="str">
        <f>IF(I245="","",IFERROR(IF(INDEX([1]ListadoFichasDeProduccion!LQ:MB,MATCH(A245,[1]ListadoFichasDeProduccion!A:A,0),K245)=0,"",INDEX([1]ListadoFichasDeProduccion!LQ:MB,MATCH(A245,[1]ListadoFichasDeProduccion!A:A,0),K245)),""))</f>
        <v/>
      </c>
      <c r="K245" s="11">
        <v>1</v>
      </c>
    </row>
    <row r="246" spans="1:11" hidden="1" x14ac:dyDescent="0.3">
      <c r="A246" s="11">
        <v>1845</v>
      </c>
      <c r="B246" s="8" t="str">
        <f>VLOOKUP(A246,[1]ListadoFichasDeProduccion!$A$2:$LP$3000,328,FALSE)</f>
        <v>COMPLETADO</v>
      </c>
      <c r="C246" s="11">
        <v>6</v>
      </c>
      <c r="D246" t="s">
        <v>11</v>
      </c>
      <c r="E246" t="s">
        <v>231</v>
      </c>
      <c r="G246" s="9">
        <v>45832</v>
      </c>
      <c r="H246" t="s">
        <v>28</v>
      </c>
      <c r="I246" s="11">
        <v>3</v>
      </c>
      <c r="J246" t="str">
        <f>IF(I246="","",IFERROR(IF(INDEX([1]ListadoFichasDeProduccion!LQ:MB,MATCH(A246,[1]ListadoFichasDeProduccion!A:A,0),K246)=0,"",INDEX([1]ListadoFichasDeProduccion!LQ:MB,MATCH(A246,[1]ListadoFichasDeProduccion!A:A,0),K246)),""))</f>
        <v/>
      </c>
      <c r="K246" s="11">
        <v>2</v>
      </c>
    </row>
    <row r="247" spans="1:11" hidden="1" x14ac:dyDescent="0.3">
      <c r="A247" s="11">
        <v>1931</v>
      </c>
      <c r="B247" t="str">
        <f>VLOOKUP(A247,[1]ListadoFichasDeProduccion!$A$2:$LP$3000,328,FALSE)</f>
        <v>COMPLETADO</v>
      </c>
      <c r="C247" s="11">
        <v>5</v>
      </c>
      <c r="D247" t="s">
        <v>11</v>
      </c>
      <c r="E247" t="s">
        <v>231</v>
      </c>
      <c r="G247" s="9">
        <v>45877</v>
      </c>
      <c r="H247" t="s">
        <v>51</v>
      </c>
      <c r="I247" s="11">
        <v>2</v>
      </c>
      <c r="J247" t="str">
        <f>IF(I247="","",IFERROR(IF(INDEX([1]ListadoFichasDeProduccion!LQ:MB,MATCH(A247,[1]ListadoFichasDeProduccion!A:A,0),K247)=0,"",INDEX([1]ListadoFichasDeProduccion!LQ:MB,MATCH(A247,[1]ListadoFichasDeProduccion!A:A,0),K247)),""))</f>
        <v/>
      </c>
      <c r="K247" s="11">
        <v>1</v>
      </c>
    </row>
    <row r="248" spans="1:11" hidden="1" x14ac:dyDescent="0.3">
      <c r="A248" s="11">
        <v>1931</v>
      </c>
      <c r="B248" t="str">
        <f>VLOOKUP(A248,[1]ListadoFichasDeProduccion!$A$2:$LP$3000,328,FALSE)</f>
        <v>COMPLETADO</v>
      </c>
      <c r="C248" s="11">
        <v>5</v>
      </c>
      <c r="D248" t="s">
        <v>11</v>
      </c>
      <c r="E248" t="s">
        <v>231</v>
      </c>
      <c r="G248" s="9">
        <v>45877</v>
      </c>
      <c r="H248" t="s">
        <v>28</v>
      </c>
      <c r="I248" s="11">
        <v>3</v>
      </c>
      <c r="J248" t="str">
        <f>IF(I248="","",IFERROR(IF(INDEX([1]ListadoFichasDeProduccion!LQ:MB,MATCH(A248,[1]ListadoFichasDeProduccion!A:A,0),K248)=0,"",INDEX([1]ListadoFichasDeProduccion!LQ:MB,MATCH(A248,[1]ListadoFichasDeProduccion!A:A,0),K248)),""))</f>
        <v/>
      </c>
      <c r="K248" s="11">
        <v>2</v>
      </c>
    </row>
    <row r="249" spans="1:11" hidden="1" x14ac:dyDescent="0.3">
      <c r="A249" s="7">
        <v>1583</v>
      </c>
      <c r="B249" s="8" t="str">
        <f>VLOOKUP(A249,[1]ListadoFichasDeProduccion!$A$2:$LP$3000,328,FALSE)</f>
        <v>COMPLETADO</v>
      </c>
      <c r="C249" s="7">
        <v>7</v>
      </c>
      <c r="D249" t="s">
        <v>11</v>
      </c>
      <c r="E249" t="s">
        <v>12</v>
      </c>
      <c r="F249" s="9" t="s">
        <v>13</v>
      </c>
      <c r="G249" s="10">
        <v>45670</v>
      </c>
      <c r="H249" t="s">
        <v>14</v>
      </c>
      <c r="I249" s="11">
        <v>5</v>
      </c>
      <c r="J249" t="str">
        <f>IF(I249="","",IFERROR(IF(INDEX([1]ListadoFichasDeProduccion!LQ:MB,MATCH(A249,[1]ListadoFichasDeProduccion!A:A,0),K249)=0,"",INDEX([1]ListadoFichasDeProduccion!LQ:MB,MATCH(A249,[1]ListadoFichasDeProduccion!A:A,0),K249)),""))</f>
        <v/>
      </c>
      <c r="K249" s="11">
        <v>1</v>
      </c>
    </row>
    <row r="250" spans="1:11" hidden="1" x14ac:dyDescent="0.3">
      <c r="A250" s="7">
        <v>1583</v>
      </c>
      <c r="B250" s="8" t="str">
        <f>VLOOKUP(A250,[1]ListadoFichasDeProduccion!$A$2:$LP$3000,328,FALSE)</f>
        <v>COMPLETADO</v>
      </c>
      <c r="C250" s="7">
        <v>7</v>
      </c>
      <c r="D250" t="s">
        <v>11</v>
      </c>
      <c r="E250" t="s">
        <v>12</v>
      </c>
      <c r="F250" s="9" t="s">
        <v>13</v>
      </c>
      <c r="G250" s="10">
        <v>45670</v>
      </c>
      <c r="H250" t="s">
        <v>15</v>
      </c>
      <c r="I250" s="11">
        <v>2</v>
      </c>
      <c r="J250" t="str">
        <f>IF(I250="","",IFERROR(IF(INDEX([1]ListadoFichasDeProduccion!LQ:MB,MATCH(A250,[1]ListadoFichasDeProduccion!A:A,0),K250)=0,"",INDEX([1]ListadoFichasDeProduccion!LQ:MB,MATCH(A250,[1]ListadoFichasDeProduccion!A:A,0),K250)),""))</f>
        <v/>
      </c>
      <c r="K250" s="11">
        <v>2</v>
      </c>
    </row>
    <row r="251" spans="1:11" hidden="1" x14ac:dyDescent="0.3">
      <c r="A251" s="11">
        <v>1666</v>
      </c>
      <c r="B251" s="8" t="str">
        <f>VLOOKUP(A251,[1]ListadoFichasDeProduccion!$A$2:$LP$3000,328,FALSE)</f>
        <v>COMPLETADO</v>
      </c>
      <c r="C251" s="11">
        <v>10</v>
      </c>
      <c r="D251" t="s">
        <v>11</v>
      </c>
      <c r="E251" t="s">
        <v>12</v>
      </c>
      <c r="F251" t="s">
        <v>13</v>
      </c>
      <c r="G251" s="9">
        <v>45708</v>
      </c>
      <c r="H251" t="s">
        <v>113</v>
      </c>
      <c r="I251" s="11">
        <v>5</v>
      </c>
      <c r="J251" t="str">
        <f>IF(I251="","",IFERROR(IF(INDEX([1]ListadoFichasDeProduccion!LQ:MB,MATCH(A251,[1]ListadoFichasDeProduccion!A:A,0),K251)=0,"",INDEX([1]ListadoFichasDeProduccion!LQ:MB,MATCH(A251,[1]ListadoFichasDeProduccion!A:A,0),K251)),""))</f>
        <v/>
      </c>
      <c r="K251" s="11">
        <v>1</v>
      </c>
    </row>
    <row r="252" spans="1:11" hidden="1" x14ac:dyDescent="0.3">
      <c r="A252" s="11">
        <v>1666</v>
      </c>
      <c r="B252" s="8" t="str">
        <f>VLOOKUP(A252,[1]ListadoFichasDeProduccion!$A$2:$LP$3000,328,FALSE)</f>
        <v>COMPLETADO</v>
      </c>
      <c r="C252" s="11">
        <v>10</v>
      </c>
      <c r="D252" t="s">
        <v>11</v>
      </c>
      <c r="E252" t="s">
        <v>12</v>
      </c>
      <c r="F252" t="s">
        <v>13</v>
      </c>
      <c r="G252" s="9">
        <v>45708</v>
      </c>
      <c r="H252" t="s">
        <v>114</v>
      </c>
      <c r="I252" s="11">
        <v>5</v>
      </c>
      <c r="J252" t="str">
        <f>IF(I252="","",IFERROR(IF(INDEX([1]ListadoFichasDeProduccion!LQ:MB,MATCH(A252,[1]ListadoFichasDeProduccion!A:A,0),K252)=0,"",INDEX([1]ListadoFichasDeProduccion!LQ:MB,MATCH(A252,[1]ListadoFichasDeProduccion!A:A,0),K252)),""))</f>
        <v/>
      </c>
      <c r="K252" s="11">
        <v>2</v>
      </c>
    </row>
    <row r="253" spans="1:11" hidden="1" x14ac:dyDescent="0.3">
      <c r="A253" s="11">
        <v>1766</v>
      </c>
      <c r="B253" s="8" t="str">
        <f>VLOOKUP(A253,[1]ListadoFichasDeProduccion!$A$2:$LP$3000,328,FALSE)</f>
        <v>COMPLETADO</v>
      </c>
      <c r="C253" s="11">
        <v>16</v>
      </c>
      <c r="D253" t="s">
        <v>11</v>
      </c>
      <c r="E253" t="s">
        <v>12</v>
      </c>
      <c r="F253" t="s">
        <v>13</v>
      </c>
      <c r="G253" s="9">
        <v>45779</v>
      </c>
      <c r="H253" t="s">
        <v>186</v>
      </c>
      <c r="I253" s="11">
        <v>2</v>
      </c>
      <c r="J253" t="str">
        <f>IF(I253="","",IFERROR(IF(INDEX([1]ListadoFichasDeProduccion!LQ:MB,MATCH(A253,[1]ListadoFichasDeProduccion!A:A,0),K253)=0,"",INDEX([1]ListadoFichasDeProduccion!LQ:MB,MATCH(A253,[1]ListadoFichasDeProduccion!A:A,0),K253)),""))</f>
        <v/>
      </c>
      <c r="K253" s="11">
        <v>1</v>
      </c>
    </row>
    <row r="254" spans="1:11" hidden="1" x14ac:dyDescent="0.3">
      <c r="A254" s="11">
        <v>1766</v>
      </c>
      <c r="B254" s="8" t="str">
        <f>VLOOKUP(A254,[1]ListadoFichasDeProduccion!$A$2:$LP$3000,328,FALSE)</f>
        <v>COMPLETADO</v>
      </c>
      <c r="C254" s="11">
        <v>16</v>
      </c>
      <c r="D254" t="s">
        <v>11</v>
      </c>
      <c r="E254" t="s">
        <v>12</v>
      </c>
      <c r="F254" t="s">
        <v>13</v>
      </c>
      <c r="G254" s="9">
        <v>45779</v>
      </c>
      <c r="H254" t="s">
        <v>120</v>
      </c>
      <c r="I254" s="11">
        <v>1</v>
      </c>
      <c r="J254" t="str">
        <f>IF(I254="","",IFERROR(IF(INDEX([1]ListadoFichasDeProduccion!LQ:MB,MATCH(A254,[1]ListadoFichasDeProduccion!A:A,0),K254)=0,"",INDEX([1]ListadoFichasDeProduccion!LQ:MB,MATCH(A254,[1]ListadoFichasDeProduccion!A:A,0),K254)),""))</f>
        <v/>
      </c>
      <c r="K254" s="11">
        <v>2</v>
      </c>
    </row>
    <row r="255" spans="1:11" hidden="1" x14ac:dyDescent="0.3">
      <c r="A255" s="11">
        <v>1766</v>
      </c>
      <c r="B255" s="8" t="str">
        <f>VLOOKUP(A255,[1]ListadoFichasDeProduccion!$A$2:$LP$3000,328,FALSE)</f>
        <v>COMPLETADO</v>
      </c>
      <c r="C255" s="11">
        <v>16</v>
      </c>
      <c r="D255" t="s">
        <v>11</v>
      </c>
      <c r="E255" t="s">
        <v>12</v>
      </c>
      <c r="F255" t="s">
        <v>13</v>
      </c>
      <c r="G255" s="9">
        <v>45779</v>
      </c>
      <c r="H255" t="s">
        <v>187</v>
      </c>
      <c r="I255" s="11">
        <v>2</v>
      </c>
      <c r="J255" t="str">
        <f>IF(I255="","",IFERROR(IF(INDEX([1]ListadoFichasDeProduccion!LQ:MB,MATCH(A255,[1]ListadoFichasDeProduccion!A:A,0),K255)=0,"",INDEX([1]ListadoFichasDeProduccion!LQ:MB,MATCH(A255,[1]ListadoFichasDeProduccion!A:A,0),K255)),""))</f>
        <v/>
      </c>
      <c r="K255" s="11">
        <v>3</v>
      </c>
    </row>
    <row r="256" spans="1:11" hidden="1" x14ac:dyDescent="0.3">
      <c r="A256" s="11">
        <v>1766</v>
      </c>
      <c r="B256" s="8" t="str">
        <f>VLOOKUP(A256,[1]ListadoFichasDeProduccion!$A$2:$LP$3000,328,FALSE)</f>
        <v>COMPLETADO</v>
      </c>
      <c r="C256" s="11">
        <v>16</v>
      </c>
      <c r="D256" t="s">
        <v>11</v>
      </c>
      <c r="E256" t="s">
        <v>12</v>
      </c>
      <c r="F256" t="s">
        <v>13</v>
      </c>
      <c r="G256" s="9">
        <v>45779</v>
      </c>
      <c r="H256" t="s">
        <v>28</v>
      </c>
      <c r="I256" s="11">
        <v>4</v>
      </c>
      <c r="J256" t="str">
        <f>IF(I256="","",IFERROR(IF(INDEX([1]ListadoFichasDeProduccion!LQ:MB,MATCH(A256,[1]ListadoFichasDeProduccion!A:A,0),K256)=0,"",INDEX([1]ListadoFichasDeProduccion!LQ:MB,MATCH(A256,[1]ListadoFichasDeProduccion!A:A,0),K256)),""))</f>
        <v/>
      </c>
      <c r="K256" s="11">
        <v>4</v>
      </c>
    </row>
    <row r="257" spans="1:11" hidden="1" x14ac:dyDescent="0.3">
      <c r="A257" s="11">
        <v>1766</v>
      </c>
      <c r="B257" s="8" t="str">
        <f>VLOOKUP(A257,[1]ListadoFichasDeProduccion!$A$2:$LP$3000,328,FALSE)</f>
        <v>COMPLETADO</v>
      </c>
      <c r="C257" s="11">
        <v>16</v>
      </c>
      <c r="D257" t="s">
        <v>11</v>
      </c>
      <c r="E257" t="s">
        <v>12</v>
      </c>
      <c r="F257" t="s">
        <v>13</v>
      </c>
      <c r="G257" s="9">
        <v>45779</v>
      </c>
      <c r="H257" t="s">
        <v>31</v>
      </c>
      <c r="I257" s="11">
        <v>3</v>
      </c>
      <c r="J257" t="str">
        <f>IF(I257="","",IFERROR(IF(INDEX([1]ListadoFichasDeProduccion!LQ:MB,MATCH(A257,[1]ListadoFichasDeProduccion!A:A,0),K257)=0,"",INDEX([1]ListadoFichasDeProduccion!LQ:MB,MATCH(A257,[1]ListadoFichasDeProduccion!A:A,0),K257)),""))</f>
        <v/>
      </c>
      <c r="K257" s="11">
        <v>5</v>
      </c>
    </row>
    <row r="258" spans="1:11" hidden="1" x14ac:dyDescent="0.3">
      <c r="A258" s="11">
        <v>1766</v>
      </c>
      <c r="B258" s="8" t="str">
        <f>VLOOKUP(A258,[1]ListadoFichasDeProduccion!$A$2:$LP$3000,328,FALSE)</f>
        <v>COMPLETADO</v>
      </c>
      <c r="C258" s="11">
        <v>16</v>
      </c>
      <c r="D258" t="s">
        <v>11</v>
      </c>
      <c r="E258" t="s">
        <v>12</v>
      </c>
      <c r="F258" t="s">
        <v>13</v>
      </c>
      <c r="G258" s="9">
        <v>45779</v>
      </c>
      <c r="H258" t="s">
        <v>188</v>
      </c>
      <c r="I258" s="11">
        <v>4</v>
      </c>
      <c r="J258" t="str">
        <f>IF(I258="","",IFERROR(IF(INDEX([1]ListadoFichasDeProduccion!LQ:MB,MATCH(A258,[1]ListadoFichasDeProduccion!A:A,0),K258)=0,"",INDEX([1]ListadoFichasDeProduccion!LQ:MB,MATCH(A258,[1]ListadoFichasDeProduccion!A:A,0),K258)),""))</f>
        <v/>
      </c>
      <c r="K258" s="11">
        <v>6</v>
      </c>
    </row>
    <row r="259" spans="1:11" hidden="1" x14ac:dyDescent="0.3">
      <c r="A259" s="11">
        <v>1846</v>
      </c>
      <c r="B259" s="8" t="str">
        <f>VLOOKUP(A259,[1]ListadoFichasDeProduccion!$A$2:$LP$3000,328,FALSE)</f>
        <v>COMPLETADO</v>
      </c>
      <c r="C259" s="11">
        <v>1</v>
      </c>
      <c r="D259" t="s">
        <v>11</v>
      </c>
      <c r="E259" t="s">
        <v>12</v>
      </c>
      <c r="F259" t="s">
        <v>13</v>
      </c>
      <c r="G259" s="9">
        <v>45832</v>
      </c>
      <c r="H259" t="s">
        <v>113</v>
      </c>
      <c r="I259" s="11">
        <v>1</v>
      </c>
      <c r="J259" t="str">
        <f>IF(I259="","",IFERROR(IF(INDEX([1]ListadoFichasDeProduccion!LQ:MB,MATCH(A259,[1]ListadoFichasDeProduccion!A:A,0),K259)=0,"",INDEX([1]ListadoFichasDeProduccion!LQ:MB,MATCH(A259,[1]ListadoFichasDeProduccion!A:A,0),K259)),""))</f>
        <v/>
      </c>
      <c r="K259" s="11">
        <v>1</v>
      </c>
    </row>
    <row r="260" spans="1:11" hidden="1" x14ac:dyDescent="0.3">
      <c r="A260" s="11">
        <v>1917</v>
      </c>
      <c r="B260" s="8" t="str">
        <f>VLOOKUP(A260,[1]ListadoFichasDeProduccion!$A$2:$LP$3000,328,FALSE)</f>
        <v>COMPLETADO</v>
      </c>
      <c r="C260" s="11">
        <v>6</v>
      </c>
      <c r="D260" t="s">
        <v>11</v>
      </c>
      <c r="E260" t="s">
        <v>12</v>
      </c>
      <c r="F260" t="s">
        <v>13</v>
      </c>
      <c r="G260" s="9">
        <v>45869</v>
      </c>
      <c r="H260" t="s">
        <v>28</v>
      </c>
      <c r="I260" s="11">
        <v>2</v>
      </c>
      <c r="J260" t="str">
        <f>IF(I260="","",IFERROR(IF(INDEX([1]ListadoFichasDeProduccion!LQ:MB,MATCH(A260,[1]ListadoFichasDeProduccion!A:A,0),K260)=0,"",INDEX([1]ListadoFichasDeProduccion!LQ:MB,MATCH(A260,[1]ListadoFichasDeProduccion!A:A,0),K260)),""))</f>
        <v/>
      </c>
      <c r="K260" s="11">
        <v>1</v>
      </c>
    </row>
    <row r="261" spans="1:11" hidden="1" x14ac:dyDescent="0.3">
      <c r="A261" s="11">
        <v>1917</v>
      </c>
      <c r="B261" s="8" t="str">
        <f>VLOOKUP(A261,[1]ListadoFichasDeProduccion!$A$2:$LP$3000,328,FALSE)</f>
        <v>COMPLETADO</v>
      </c>
      <c r="C261" s="11">
        <v>6</v>
      </c>
      <c r="D261" t="s">
        <v>11</v>
      </c>
      <c r="E261" t="s">
        <v>12</v>
      </c>
      <c r="F261" t="s">
        <v>13</v>
      </c>
      <c r="G261" s="9">
        <v>45869</v>
      </c>
      <c r="H261" t="s">
        <v>119</v>
      </c>
      <c r="I261" s="11">
        <v>2</v>
      </c>
      <c r="J261" t="str">
        <f>IF(I261="","",IFERROR(IF(INDEX([1]ListadoFichasDeProduccion!LQ:MB,MATCH(A261,[1]ListadoFichasDeProduccion!A:A,0),K261)=0,"",INDEX([1]ListadoFichasDeProduccion!LQ:MB,MATCH(A261,[1]ListadoFichasDeProduccion!A:A,0),K261)),""))</f>
        <v/>
      </c>
      <c r="K261" s="11">
        <v>2</v>
      </c>
    </row>
    <row r="262" spans="1:11" hidden="1" x14ac:dyDescent="0.3">
      <c r="A262" s="11">
        <v>1917</v>
      </c>
      <c r="B262" t="str">
        <f>VLOOKUP(A262,[1]ListadoFichasDeProduccion!$A$2:$LP$3000,328,FALSE)</f>
        <v>COMPLETADO</v>
      </c>
      <c r="C262" s="11">
        <v>6</v>
      </c>
      <c r="D262" t="s">
        <v>11</v>
      </c>
      <c r="E262" t="s">
        <v>12</v>
      </c>
      <c r="F262" t="s">
        <v>13</v>
      </c>
      <c r="G262" s="9">
        <v>45869</v>
      </c>
      <c r="H262" t="s">
        <v>114</v>
      </c>
      <c r="I262" s="11">
        <v>2</v>
      </c>
      <c r="J262" t="str">
        <f>IF(I262="","",IFERROR(IF(INDEX([1]ListadoFichasDeProduccion!LQ:MB,MATCH(A262,[1]ListadoFichasDeProduccion!A:A,0),K262)=0,"",INDEX([1]ListadoFichasDeProduccion!LQ:MB,MATCH(A262,[1]ListadoFichasDeProduccion!A:A,0),K262)),""))</f>
        <v/>
      </c>
      <c r="K262" s="11">
        <v>3</v>
      </c>
    </row>
    <row r="263" spans="1:11" hidden="1" x14ac:dyDescent="0.3">
      <c r="A263" s="11" t="s">
        <v>278</v>
      </c>
      <c r="B263" t="str">
        <f>VLOOKUP(A263,[1]ListadoFichasDeProduccion!$A$2:$LP$3000,328,FALSE)</f>
        <v>COMPLETADO</v>
      </c>
      <c r="C263" s="11">
        <v>14</v>
      </c>
      <c r="D263" t="s">
        <v>11</v>
      </c>
      <c r="E263" t="s">
        <v>12</v>
      </c>
      <c r="F263" t="s">
        <v>13</v>
      </c>
      <c r="G263" s="9">
        <v>45908</v>
      </c>
      <c r="H263" t="s">
        <v>28</v>
      </c>
      <c r="I263" s="11">
        <v>2</v>
      </c>
      <c r="J263" t="str">
        <f>IF(I263="","",IFERROR(IF(INDEX([1]ListadoFichasDeProduccion!LQ:MB,MATCH(A263,[1]ListadoFichasDeProduccion!A:A,0),K263)=0,"",INDEX([1]ListadoFichasDeProduccion!LQ:MB,MATCH(A263,[1]ListadoFichasDeProduccion!A:A,0),K263)),""))</f>
        <v/>
      </c>
      <c r="K263" s="11">
        <v>1</v>
      </c>
    </row>
    <row r="264" spans="1:11" hidden="1" x14ac:dyDescent="0.3">
      <c r="A264" s="11" t="s">
        <v>278</v>
      </c>
      <c r="B264" t="str">
        <f>VLOOKUP(A264,[1]ListadoFichasDeProduccion!$A$2:$LP$3000,328,FALSE)</f>
        <v>COMPLETADO</v>
      </c>
      <c r="C264" s="11">
        <v>14</v>
      </c>
      <c r="D264" t="s">
        <v>11</v>
      </c>
      <c r="E264" t="s">
        <v>12</v>
      </c>
      <c r="F264" t="s">
        <v>13</v>
      </c>
      <c r="G264" s="9">
        <v>45908</v>
      </c>
      <c r="H264" t="s">
        <v>113</v>
      </c>
      <c r="I264" s="11">
        <v>2</v>
      </c>
      <c r="J264" t="str">
        <f>IF(I264="","",IFERROR(IF(INDEX([1]ListadoFichasDeProduccion!LQ:MB,MATCH(A264,[1]ListadoFichasDeProduccion!A:A,0),K264)=0,"",INDEX([1]ListadoFichasDeProduccion!LQ:MB,MATCH(A264,[1]ListadoFichasDeProduccion!A:A,0),K264)),""))</f>
        <v/>
      </c>
      <c r="K264" s="11">
        <v>2</v>
      </c>
    </row>
    <row r="265" spans="1:11" hidden="1" x14ac:dyDescent="0.3">
      <c r="A265" s="11" t="s">
        <v>278</v>
      </c>
      <c r="B265" t="str">
        <f>VLOOKUP(A265,[1]ListadoFichasDeProduccion!$A$2:$LP$3000,328,FALSE)</f>
        <v>COMPLETADO</v>
      </c>
      <c r="C265" s="11">
        <v>14</v>
      </c>
      <c r="D265" t="s">
        <v>11</v>
      </c>
      <c r="E265" t="s">
        <v>12</v>
      </c>
      <c r="F265" t="s">
        <v>13</v>
      </c>
      <c r="G265" s="9">
        <v>45908</v>
      </c>
      <c r="H265" t="s">
        <v>114</v>
      </c>
      <c r="I265" s="11">
        <v>1</v>
      </c>
      <c r="J265" t="str">
        <f>IF(I265="","",IFERROR(IF(INDEX([1]ListadoFichasDeProduccion!LQ:MB,MATCH(A265,[1]ListadoFichasDeProduccion!A:A,0),K265)=0,"",INDEX([1]ListadoFichasDeProduccion!LQ:MB,MATCH(A265,[1]ListadoFichasDeProduccion!A:A,0),K265)),""))</f>
        <v/>
      </c>
      <c r="K265" s="11">
        <v>3</v>
      </c>
    </row>
    <row r="266" spans="1:11" hidden="1" x14ac:dyDescent="0.3">
      <c r="A266" s="11" t="s">
        <v>278</v>
      </c>
      <c r="B266" t="str">
        <f>VLOOKUP(A266,[1]ListadoFichasDeProduccion!$A$2:$LP$3000,328,FALSE)</f>
        <v>COMPLETADO</v>
      </c>
      <c r="C266" s="11">
        <v>14</v>
      </c>
      <c r="D266" t="s">
        <v>11</v>
      </c>
      <c r="E266" t="s">
        <v>12</v>
      </c>
      <c r="F266" t="s">
        <v>13</v>
      </c>
      <c r="G266" s="9">
        <v>45908</v>
      </c>
      <c r="H266" t="s">
        <v>26</v>
      </c>
      <c r="I266" s="11">
        <v>3</v>
      </c>
      <c r="J266" t="str">
        <f>IF(I266="","",IFERROR(IF(INDEX([1]ListadoFichasDeProduccion!LQ:MB,MATCH(A266,[1]ListadoFichasDeProduccion!A:A,0),K266)=0,"",INDEX([1]ListadoFichasDeProduccion!LQ:MB,MATCH(A266,[1]ListadoFichasDeProduccion!A:A,0),K266)),""))</f>
        <v/>
      </c>
      <c r="K266" s="11">
        <v>4</v>
      </c>
    </row>
    <row r="267" spans="1:11" hidden="1" x14ac:dyDescent="0.3">
      <c r="A267" s="11" t="s">
        <v>278</v>
      </c>
      <c r="B267" t="str">
        <f>VLOOKUP(A267,[1]ListadoFichasDeProduccion!$A$2:$LP$3000,328,FALSE)</f>
        <v>COMPLETADO</v>
      </c>
      <c r="C267" s="11">
        <v>14</v>
      </c>
      <c r="D267" t="s">
        <v>11</v>
      </c>
      <c r="E267" t="s">
        <v>12</v>
      </c>
      <c r="F267" t="s">
        <v>13</v>
      </c>
      <c r="G267" s="9">
        <v>45908</v>
      </c>
      <c r="H267" t="s">
        <v>31</v>
      </c>
      <c r="I267" s="11">
        <v>5</v>
      </c>
      <c r="J267" t="str">
        <f>IF(I267="","",IFERROR(IF(INDEX([1]ListadoFichasDeProduccion!LQ:MB,MATCH(A267,[1]ListadoFichasDeProduccion!A:A,0),K267)=0,"",INDEX([1]ListadoFichasDeProduccion!LQ:MB,MATCH(A267,[1]ListadoFichasDeProduccion!A:A,0),K267)),""))</f>
        <v/>
      </c>
      <c r="K267" s="11">
        <v>5</v>
      </c>
    </row>
    <row r="268" spans="1:11" hidden="1" x14ac:dyDescent="0.3">
      <c r="A268" s="11" t="s">
        <v>278</v>
      </c>
      <c r="B268" t="str">
        <f>VLOOKUP(A268,[1]ListadoFichasDeProduccion!$A$2:$LP$3000,328,FALSE)</f>
        <v>COMPLETADO</v>
      </c>
      <c r="C268" s="11">
        <v>14</v>
      </c>
      <c r="D268" t="s">
        <v>11</v>
      </c>
      <c r="E268" t="s">
        <v>12</v>
      </c>
      <c r="F268" t="s">
        <v>13</v>
      </c>
      <c r="G268" s="9">
        <v>45908</v>
      </c>
      <c r="H268" t="s">
        <v>159</v>
      </c>
      <c r="I268" s="11">
        <v>1</v>
      </c>
      <c r="J268" t="str">
        <f>IF(I268="","",IFERROR(IF(INDEX([1]ListadoFichasDeProduccion!LQ:MB,MATCH(A268,[1]ListadoFichasDeProduccion!A:A,0),K268)=0,"",INDEX([1]ListadoFichasDeProduccion!LQ:MB,MATCH(A268,[1]ListadoFichasDeProduccion!A:A,0),K268)),""))</f>
        <v/>
      </c>
      <c r="K268" s="11">
        <v>6</v>
      </c>
    </row>
    <row r="269" spans="1:11" hidden="1" x14ac:dyDescent="0.3">
      <c r="A269" s="11" t="s">
        <v>441</v>
      </c>
      <c r="B269" t="str">
        <f>VLOOKUP(A269,[1]ListadoFichasDeProduccion!$A$2:$LP$3000,328,FALSE)</f>
        <v>COMPLETADO</v>
      </c>
      <c r="C269" s="11">
        <v>2</v>
      </c>
      <c r="D269" t="s">
        <v>11</v>
      </c>
      <c r="E269" t="s">
        <v>12</v>
      </c>
      <c r="F269" t="s">
        <v>13</v>
      </c>
      <c r="G269" s="9">
        <v>45957</v>
      </c>
      <c r="H269" t="s">
        <v>186</v>
      </c>
      <c r="I269" s="11">
        <v>2</v>
      </c>
      <c r="J269" t="str">
        <f>IF(I269="","",IFERROR(IF(INDEX([1]ListadoFichasDeProduccion!LQ:MB,MATCH(A269,[1]ListadoFichasDeProduccion!A:A,0),K269)=0,"",INDEX([1]ListadoFichasDeProduccion!LQ:MB,MATCH(A269,[1]ListadoFichasDeProduccion!A:A,0),K269)),""))</f>
        <v/>
      </c>
      <c r="K269" s="11">
        <v>1</v>
      </c>
    </row>
    <row r="270" spans="1:11" hidden="1" x14ac:dyDescent="0.3">
      <c r="A270" s="11" t="s">
        <v>488</v>
      </c>
      <c r="B270" t="str">
        <f>VLOOKUP(A270,[1]ListadoFichasDeProduccion!$A$2:$LP$3000,328,FALSE)</f>
        <v>COMPLETADO</v>
      </c>
      <c r="C270" s="11">
        <v>15</v>
      </c>
      <c r="D270" t="s">
        <v>11</v>
      </c>
      <c r="E270" t="s">
        <v>12</v>
      </c>
      <c r="F270" t="s">
        <v>13</v>
      </c>
      <c r="G270" s="9">
        <v>45979</v>
      </c>
      <c r="H270" t="s">
        <v>489</v>
      </c>
      <c r="I270" s="11">
        <v>2</v>
      </c>
      <c r="J270" t="str">
        <f>IF(I270="","",IFERROR(IF(INDEX([1]ListadoFichasDeProduccion!LQ:MB,MATCH(A270,[1]ListadoFichasDeProduccion!A:A,0),K270)=0,"",INDEX([1]ListadoFichasDeProduccion!LQ:MB,MATCH(A270,[1]ListadoFichasDeProduccion!A:A,0),K270)),""))</f>
        <v/>
      </c>
      <c r="K270" s="11">
        <v>1</v>
      </c>
    </row>
    <row r="271" spans="1:11" hidden="1" x14ac:dyDescent="0.3">
      <c r="A271" s="11" t="s">
        <v>488</v>
      </c>
      <c r="B271" t="str">
        <f>VLOOKUP(A271,[1]ListadoFichasDeProduccion!$A$2:$LP$3000,328,FALSE)</f>
        <v>COMPLETADO</v>
      </c>
      <c r="C271" s="11">
        <v>15</v>
      </c>
      <c r="D271" t="s">
        <v>11</v>
      </c>
      <c r="E271" t="s">
        <v>12</v>
      </c>
      <c r="F271" t="s">
        <v>13</v>
      </c>
      <c r="G271" s="9">
        <v>45979</v>
      </c>
      <c r="H271" t="s">
        <v>14</v>
      </c>
      <c r="I271" s="11">
        <v>3</v>
      </c>
      <c r="J271" t="str">
        <f>IF(I271="","",IFERROR(IF(INDEX([1]ListadoFichasDeProduccion!LQ:MB,MATCH(A271,[1]ListadoFichasDeProduccion!A:A,0),K271)=0,"",INDEX([1]ListadoFichasDeProduccion!LQ:MB,MATCH(A271,[1]ListadoFichasDeProduccion!A:A,0),K271)),""))</f>
        <v/>
      </c>
      <c r="K271" s="11">
        <v>2</v>
      </c>
    </row>
    <row r="272" spans="1:11" hidden="1" x14ac:dyDescent="0.3">
      <c r="A272" s="11" t="s">
        <v>488</v>
      </c>
      <c r="B272" t="str">
        <f>VLOOKUP(A272,[1]ListadoFichasDeProduccion!$A$2:$LP$3000,328,FALSE)</f>
        <v>COMPLETADO</v>
      </c>
      <c r="C272" s="11">
        <v>15</v>
      </c>
      <c r="D272" t="s">
        <v>11</v>
      </c>
      <c r="E272" t="s">
        <v>12</v>
      </c>
      <c r="F272" t="s">
        <v>13</v>
      </c>
      <c r="G272" s="9">
        <v>45979</v>
      </c>
      <c r="H272" t="s">
        <v>113</v>
      </c>
      <c r="I272" s="11">
        <v>4</v>
      </c>
      <c r="J272" t="str">
        <f>IF(I272="","",IFERROR(IF(INDEX([1]ListadoFichasDeProduccion!LQ:MB,MATCH(A272,[1]ListadoFichasDeProduccion!A:A,0),K272)=0,"",INDEX([1]ListadoFichasDeProduccion!LQ:MB,MATCH(A272,[1]ListadoFichasDeProduccion!A:A,0),K272)),""))</f>
        <v/>
      </c>
      <c r="K272" s="11">
        <v>3</v>
      </c>
    </row>
    <row r="273" spans="1:11" hidden="1" x14ac:dyDescent="0.3">
      <c r="A273" s="11" t="s">
        <v>488</v>
      </c>
      <c r="B273" t="str">
        <f>VLOOKUP(A273,[1]ListadoFichasDeProduccion!$A$2:$LP$3000,328,FALSE)</f>
        <v>COMPLETADO</v>
      </c>
      <c r="C273" s="11">
        <v>15</v>
      </c>
      <c r="D273" t="s">
        <v>11</v>
      </c>
      <c r="E273" t="s">
        <v>12</v>
      </c>
      <c r="F273" t="s">
        <v>13</v>
      </c>
      <c r="G273" s="9">
        <v>45979</v>
      </c>
      <c r="H273" t="s">
        <v>114</v>
      </c>
      <c r="I273" s="11">
        <v>6</v>
      </c>
      <c r="J273" t="str">
        <f>IF(I273="","",IFERROR(IF(INDEX([1]ListadoFichasDeProduccion!LQ:MB,MATCH(A273,[1]ListadoFichasDeProduccion!A:A,0),K273)=0,"",INDEX([1]ListadoFichasDeProduccion!LQ:MB,MATCH(A273,[1]ListadoFichasDeProduccion!A:A,0),K273)),""))</f>
        <v/>
      </c>
      <c r="K273" s="11">
        <v>4</v>
      </c>
    </row>
    <row r="274" spans="1:11" hidden="1" x14ac:dyDescent="0.3">
      <c r="A274" s="11">
        <v>18462</v>
      </c>
      <c r="B274" s="8" t="str">
        <f>VLOOKUP(A274,[1]ListadoFichasDeProduccion!$A$2:$LP$3000,328,FALSE)</f>
        <v>COMPLETADO</v>
      </c>
      <c r="C274" s="11">
        <v>2</v>
      </c>
      <c r="D274" t="s">
        <v>11</v>
      </c>
      <c r="E274" t="s">
        <v>244</v>
      </c>
      <c r="F274" t="s">
        <v>13</v>
      </c>
      <c r="G274" s="9">
        <v>45856</v>
      </c>
      <c r="H274" t="s">
        <v>15</v>
      </c>
      <c r="I274" s="11">
        <v>2</v>
      </c>
      <c r="J274" t="str">
        <f>IF(I274="","",IFERROR(IF(INDEX([1]ListadoFichasDeProduccion!LQ:MB,MATCH(A274,[1]ListadoFichasDeProduccion!A:A,0),K274)=0,"",INDEX([1]ListadoFichasDeProduccion!LQ:MB,MATCH(A274,[1]ListadoFichasDeProduccion!A:A,0),K274)),""))</f>
        <v/>
      </c>
      <c r="K274" s="11">
        <v>1</v>
      </c>
    </row>
    <row r="275" spans="1:11" x14ac:dyDescent="0.3">
      <c r="A275" s="11">
        <v>1688</v>
      </c>
      <c r="B275" s="8" t="str">
        <f>VLOOKUP(A275,[1]ListadoFichasDeProduccion!$A$2:$LP$3000,328,FALSE)</f>
        <v>NO COMENZADO</v>
      </c>
      <c r="C275" s="11">
        <v>18</v>
      </c>
      <c r="D275" t="s">
        <v>11</v>
      </c>
      <c r="E275" t="s">
        <v>122</v>
      </c>
      <c r="G275" s="9"/>
      <c r="H275" t="s">
        <v>19</v>
      </c>
      <c r="I275" s="11">
        <v>9</v>
      </c>
      <c r="J275" t="str">
        <f>IF(I275="","",IFERROR(IF(INDEX([1]ListadoFichasDeProduccion!LQ:MB,MATCH(A275,[1]ListadoFichasDeProduccion!A:A,0),K275)=0,"",INDEX([1]ListadoFichasDeProduccion!LQ:MB,MATCH(A275,[1]ListadoFichasDeProduccion!A:A,0),K275)),""))</f>
        <v/>
      </c>
      <c r="K275" s="11">
        <v>1</v>
      </c>
    </row>
    <row r="276" spans="1:11" x14ac:dyDescent="0.3">
      <c r="A276" s="11">
        <v>1688</v>
      </c>
      <c r="B276" s="8" t="str">
        <f>VLOOKUP(A276,[1]ListadoFichasDeProduccion!$A$2:$LP$3000,328,FALSE)</f>
        <v>NO COMENZADO</v>
      </c>
      <c r="C276" s="11">
        <v>18</v>
      </c>
      <c r="D276" t="s">
        <v>11</v>
      </c>
      <c r="E276" t="s">
        <v>122</v>
      </c>
      <c r="G276" s="9"/>
      <c r="H276" t="s">
        <v>123</v>
      </c>
      <c r="I276" s="11">
        <v>9</v>
      </c>
      <c r="J276" t="str">
        <f>IF(I276="","",IFERROR(IF(INDEX([1]ListadoFichasDeProduccion!LQ:MB,MATCH(A276,[1]ListadoFichasDeProduccion!A:A,0),K276)=0,"",INDEX([1]ListadoFichasDeProduccion!LQ:MB,MATCH(A276,[1]ListadoFichasDeProduccion!A:A,0),K276)),""))</f>
        <v/>
      </c>
      <c r="K276" s="11">
        <v>2</v>
      </c>
    </row>
    <row r="277" spans="1:11" hidden="1" x14ac:dyDescent="0.3">
      <c r="A277" s="11">
        <v>1847</v>
      </c>
      <c r="B277" s="8" t="str">
        <f>VLOOKUP(A277,[1]ListadoFichasDeProduccion!$A$2:$LP$3000,328,FALSE)</f>
        <v>COMPLETADO</v>
      </c>
      <c r="C277" s="11">
        <v>9</v>
      </c>
      <c r="D277" t="s">
        <v>11</v>
      </c>
      <c r="E277" t="s">
        <v>122</v>
      </c>
      <c r="G277" s="9">
        <v>45832</v>
      </c>
      <c r="H277" t="s">
        <v>27</v>
      </c>
      <c r="I277" s="11">
        <v>6</v>
      </c>
      <c r="J277" t="str">
        <f>IF(I277="","",IFERROR(IF(INDEX([1]ListadoFichasDeProduccion!LQ:MB,MATCH(A277,[1]ListadoFichasDeProduccion!A:A,0),K277)=0,"",INDEX([1]ListadoFichasDeProduccion!LQ:MB,MATCH(A277,[1]ListadoFichasDeProduccion!A:A,0),K277)),""))</f>
        <v/>
      </c>
      <c r="K277" s="11">
        <v>1</v>
      </c>
    </row>
    <row r="278" spans="1:11" hidden="1" x14ac:dyDescent="0.3">
      <c r="A278" s="11">
        <v>1847</v>
      </c>
      <c r="B278" s="8" t="str">
        <f>VLOOKUP(A278,[1]ListadoFichasDeProduccion!$A$2:$LP$3000,328,FALSE)</f>
        <v>COMPLETADO</v>
      </c>
      <c r="C278" s="11">
        <v>9</v>
      </c>
      <c r="D278" t="s">
        <v>11</v>
      </c>
      <c r="E278" t="s">
        <v>122</v>
      </c>
      <c r="G278" s="9">
        <v>45832</v>
      </c>
      <c r="H278" t="s">
        <v>137</v>
      </c>
      <c r="I278" s="11">
        <v>3</v>
      </c>
      <c r="J278" t="str">
        <f>IF(I278="","",IFERROR(IF(INDEX([1]ListadoFichasDeProduccion!LQ:MB,MATCH(A278,[1]ListadoFichasDeProduccion!A:A,0),K278)=0,"",INDEX([1]ListadoFichasDeProduccion!LQ:MB,MATCH(A278,[1]ListadoFichasDeProduccion!A:A,0),K278)),""))</f>
        <v/>
      </c>
      <c r="K278" s="11">
        <v>2</v>
      </c>
    </row>
    <row r="279" spans="1:11" hidden="1" x14ac:dyDescent="0.3">
      <c r="A279" s="11">
        <v>1940</v>
      </c>
      <c r="B279" t="str">
        <f>VLOOKUP(A279,[1]ListadoFichasDeProduccion!$A$2:$LP$3000,328,FALSE)</f>
        <v>COMPLETADO</v>
      </c>
      <c r="C279" s="11">
        <v>14</v>
      </c>
      <c r="D279" t="s">
        <v>11</v>
      </c>
      <c r="E279" t="s">
        <v>273</v>
      </c>
      <c r="F279" t="s">
        <v>274</v>
      </c>
      <c r="G279" s="9">
        <v>45884</v>
      </c>
      <c r="H279" t="s">
        <v>28</v>
      </c>
      <c r="I279" s="11">
        <v>10</v>
      </c>
      <c r="J279" t="str">
        <f>IF(I279="","",IFERROR(IF(INDEX([1]ListadoFichasDeProduccion!LQ:MB,MATCH(A279,[1]ListadoFichasDeProduccion!A:A,0),K279)=0,"",INDEX([1]ListadoFichasDeProduccion!LQ:MB,MATCH(A279,[1]ListadoFichasDeProduccion!A:A,0),K279)),""))</f>
        <v/>
      </c>
      <c r="K279" s="11">
        <v>1</v>
      </c>
    </row>
    <row r="280" spans="1:11" hidden="1" x14ac:dyDescent="0.3">
      <c r="A280" s="11">
        <v>1940</v>
      </c>
      <c r="B280" t="str">
        <f>VLOOKUP(A280,[1]ListadoFichasDeProduccion!$A$2:$LP$3000,328,FALSE)</f>
        <v>COMPLETADO</v>
      </c>
      <c r="C280" s="11">
        <v>14</v>
      </c>
      <c r="D280" t="s">
        <v>11</v>
      </c>
      <c r="E280" t="s">
        <v>273</v>
      </c>
      <c r="F280" t="s">
        <v>274</v>
      </c>
      <c r="G280" s="9">
        <v>45884</v>
      </c>
      <c r="H280" t="s">
        <v>31</v>
      </c>
      <c r="I280" s="11">
        <v>4</v>
      </c>
      <c r="J280" t="str">
        <f>IF(I280="","",IFERROR(IF(INDEX([1]ListadoFichasDeProduccion!LQ:MB,MATCH(A280,[1]ListadoFichasDeProduccion!A:A,0),K280)=0,"",INDEX([1]ListadoFichasDeProduccion!LQ:MB,MATCH(A280,[1]ListadoFichasDeProduccion!A:A,0),K280)),""))</f>
        <v/>
      </c>
      <c r="K280" s="11">
        <v>2</v>
      </c>
    </row>
    <row r="281" spans="1:11" hidden="1" x14ac:dyDescent="0.3">
      <c r="A281" s="11">
        <v>18472</v>
      </c>
      <c r="B281" t="str">
        <f>VLOOKUP(A281,[1]ListadoFichasDeProduccion!$A$2:$LP$3000,328,FALSE)</f>
        <v>COMPLETADO</v>
      </c>
      <c r="C281" s="11">
        <v>3</v>
      </c>
      <c r="D281" t="s">
        <v>11</v>
      </c>
      <c r="E281" t="s">
        <v>273</v>
      </c>
      <c r="F281" t="s">
        <v>274</v>
      </c>
      <c r="G281" s="9">
        <v>45905</v>
      </c>
      <c r="H281" t="s">
        <v>138</v>
      </c>
      <c r="I281" s="11">
        <v>3</v>
      </c>
      <c r="J281" t="str">
        <f>IF(I281="","",IFERROR(IF(INDEX([1]ListadoFichasDeProduccion!LQ:MB,MATCH(A281,[1]ListadoFichasDeProduccion!A:A,0),K281)=0,"",INDEX([1]ListadoFichasDeProduccion!LQ:MB,MATCH(A281,[1]ListadoFichasDeProduccion!A:A,0),K281)),""))</f>
        <v/>
      </c>
      <c r="K281" s="11">
        <v>1</v>
      </c>
    </row>
    <row r="282" spans="1:11" hidden="1" x14ac:dyDescent="0.3">
      <c r="A282" s="11" t="s">
        <v>302</v>
      </c>
      <c r="B282" t="str">
        <f>VLOOKUP(A282,[1]ListadoFichasDeProduccion!$A$2:$LP$3000,328,FALSE)</f>
        <v>COMPLETADO</v>
      </c>
      <c r="C282" s="11">
        <v>6</v>
      </c>
      <c r="D282" t="s">
        <v>11</v>
      </c>
      <c r="E282" t="s">
        <v>303</v>
      </c>
      <c r="F282" t="s">
        <v>304</v>
      </c>
      <c r="G282" s="9">
        <v>45912</v>
      </c>
      <c r="H282" t="s">
        <v>305</v>
      </c>
      <c r="I282" s="11">
        <v>6</v>
      </c>
      <c r="J282" t="str">
        <f>IF(I282="","",IFERROR(IF(INDEX([1]ListadoFichasDeProduccion!LQ:MB,MATCH(A282,[1]ListadoFichasDeProduccion!A:A,0),K282)=0,"",INDEX([1]ListadoFichasDeProduccion!LQ:MB,MATCH(A282,[1]ListadoFichasDeProduccion!A:A,0),K282)),""))</f>
        <v/>
      </c>
      <c r="K282" s="11">
        <v>1</v>
      </c>
    </row>
    <row r="283" spans="1:11" hidden="1" x14ac:dyDescent="0.3">
      <c r="A283" s="11">
        <v>1720</v>
      </c>
      <c r="B283" s="8" t="str">
        <f>VLOOKUP(A283,[1]ListadoFichasDeProduccion!$A$2:$LP$3000,328,FALSE)</f>
        <v>COMPLETADO</v>
      </c>
      <c r="C283" s="11">
        <v>42</v>
      </c>
      <c r="D283" t="s">
        <v>11</v>
      </c>
      <c r="E283" t="s">
        <v>140</v>
      </c>
      <c r="F283" t="s">
        <v>118</v>
      </c>
      <c r="G283" s="9">
        <v>45747</v>
      </c>
      <c r="H283" t="s">
        <v>141</v>
      </c>
      <c r="I283" s="11">
        <v>14</v>
      </c>
      <c r="J283" t="str">
        <f>IF(I283="","",IFERROR(IF(INDEX([1]ListadoFichasDeProduccion!LQ:MB,MATCH(A283,[1]ListadoFichasDeProduccion!A:A,0),K283)=0,"",INDEX([1]ListadoFichasDeProduccion!LQ:MB,MATCH(A283,[1]ListadoFichasDeProduccion!A:A,0),K283)),""))</f>
        <v/>
      </c>
      <c r="K283" s="11">
        <v>1</v>
      </c>
    </row>
    <row r="284" spans="1:11" hidden="1" x14ac:dyDescent="0.3">
      <c r="A284" s="11">
        <v>1720</v>
      </c>
      <c r="B284" s="8" t="str">
        <f>VLOOKUP(A284,[1]ListadoFichasDeProduccion!$A$2:$LP$3000,328,FALSE)</f>
        <v>COMPLETADO</v>
      </c>
      <c r="C284" s="11">
        <v>42</v>
      </c>
      <c r="D284" t="s">
        <v>11</v>
      </c>
      <c r="E284" t="s">
        <v>140</v>
      </c>
      <c r="F284" t="s">
        <v>118</v>
      </c>
      <c r="G284" s="9">
        <v>45747</v>
      </c>
      <c r="H284" t="s">
        <v>142</v>
      </c>
      <c r="I284" s="11">
        <v>14</v>
      </c>
      <c r="J284" t="str">
        <f>IF(I284="","",IFERROR(IF(INDEX([1]ListadoFichasDeProduccion!LQ:MB,MATCH(A284,[1]ListadoFichasDeProduccion!A:A,0),K284)=0,"",INDEX([1]ListadoFichasDeProduccion!LQ:MB,MATCH(A284,[1]ListadoFichasDeProduccion!A:A,0),K284)),""))</f>
        <v/>
      </c>
      <c r="K284" s="11">
        <v>2</v>
      </c>
    </row>
    <row r="285" spans="1:11" hidden="1" x14ac:dyDescent="0.3">
      <c r="A285" s="11">
        <v>1720</v>
      </c>
      <c r="B285" s="8" t="str">
        <f>VLOOKUP(A285,[1]ListadoFichasDeProduccion!$A$2:$LP$3000,328,FALSE)</f>
        <v>COMPLETADO</v>
      </c>
      <c r="C285" s="11">
        <v>42</v>
      </c>
      <c r="D285" t="s">
        <v>11</v>
      </c>
      <c r="E285" t="s">
        <v>140</v>
      </c>
      <c r="F285" t="s">
        <v>118</v>
      </c>
      <c r="G285" s="9">
        <v>45747</v>
      </c>
      <c r="H285" t="s">
        <v>143</v>
      </c>
      <c r="I285" s="11">
        <v>14</v>
      </c>
      <c r="J285" t="str">
        <f>IF(I285="","",IFERROR(IF(INDEX([1]ListadoFichasDeProduccion!LQ:MB,MATCH(A285,[1]ListadoFichasDeProduccion!A:A,0),K285)=0,"",INDEX([1]ListadoFichasDeProduccion!LQ:MB,MATCH(A285,[1]ListadoFichasDeProduccion!A:A,0),K285)),""))</f>
        <v/>
      </c>
      <c r="K285" s="11">
        <v>3</v>
      </c>
    </row>
    <row r="286" spans="1:11" hidden="1" x14ac:dyDescent="0.3">
      <c r="A286" s="11">
        <v>1588</v>
      </c>
      <c r="B286" s="8" t="str">
        <f>VLOOKUP(A286,[1]ListadoFichasDeProduccion!$A$2:$LP$3000,328,FALSE)</f>
        <v>COMPLETADO</v>
      </c>
      <c r="C286" s="11">
        <v>15</v>
      </c>
      <c r="D286" t="s">
        <v>11</v>
      </c>
      <c r="E286" t="s">
        <v>25</v>
      </c>
      <c r="F286" s="9"/>
      <c r="G286" s="9">
        <v>45679</v>
      </c>
      <c r="H286" t="s">
        <v>26</v>
      </c>
      <c r="I286" s="11">
        <v>5</v>
      </c>
      <c r="J286" t="str">
        <f>IF(I286="","",IFERROR(IF(INDEX([1]ListadoFichasDeProduccion!LQ:MB,MATCH(A286,[1]ListadoFichasDeProduccion!A:A,0),K286)=0,"",INDEX([1]ListadoFichasDeProduccion!LQ:MB,MATCH(A286,[1]ListadoFichasDeProduccion!A:A,0),K286)),""))</f>
        <v/>
      </c>
      <c r="K286" s="11">
        <v>1</v>
      </c>
    </row>
    <row r="287" spans="1:11" hidden="1" x14ac:dyDescent="0.3">
      <c r="A287" s="11">
        <v>1588</v>
      </c>
      <c r="B287" s="8" t="str">
        <f>VLOOKUP(A287,[1]ListadoFichasDeProduccion!$A$2:$LP$3000,328,FALSE)</f>
        <v>COMPLETADO</v>
      </c>
      <c r="C287" s="11">
        <v>15</v>
      </c>
      <c r="D287" t="s">
        <v>11</v>
      </c>
      <c r="E287" t="s">
        <v>25</v>
      </c>
      <c r="F287" s="9"/>
      <c r="G287" s="9">
        <v>45679</v>
      </c>
      <c r="H287" t="s">
        <v>27</v>
      </c>
      <c r="I287" s="11">
        <v>5</v>
      </c>
      <c r="J287" t="str">
        <f>IF(I287="","",IFERROR(IF(INDEX([1]ListadoFichasDeProduccion!LQ:MB,MATCH(A287,[1]ListadoFichasDeProduccion!A:A,0),K287)=0,"",INDEX([1]ListadoFichasDeProduccion!LQ:MB,MATCH(A287,[1]ListadoFichasDeProduccion!A:A,0),K287)),""))</f>
        <v/>
      </c>
      <c r="K287" s="11">
        <v>2</v>
      </c>
    </row>
    <row r="288" spans="1:11" hidden="1" x14ac:dyDescent="0.3">
      <c r="A288" s="11">
        <v>1588</v>
      </c>
      <c r="B288" s="8" t="str">
        <f>VLOOKUP(A288,[1]ListadoFichasDeProduccion!$A$2:$LP$3000,328,FALSE)</f>
        <v>COMPLETADO</v>
      </c>
      <c r="C288" s="11">
        <v>15</v>
      </c>
      <c r="D288" t="s">
        <v>11</v>
      </c>
      <c r="E288" t="s">
        <v>25</v>
      </c>
      <c r="F288" s="9"/>
      <c r="G288" s="9">
        <v>45679</v>
      </c>
      <c r="H288" s="12" t="s">
        <v>28</v>
      </c>
      <c r="I288" s="11">
        <v>5</v>
      </c>
      <c r="J288" t="str">
        <f>IF(I288="","",IFERROR(IF(INDEX([1]ListadoFichasDeProduccion!LQ:MB,MATCH(A288,[1]ListadoFichasDeProduccion!A:A,0),K288)=0,"",INDEX([1]ListadoFichasDeProduccion!LQ:MB,MATCH(A288,[1]ListadoFichasDeProduccion!A:A,0),K288)),""))</f>
        <v/>
      </c>
      <c r="K288" s="11">
        <v>3</v>
      </c>
    </row>
    <row r="289" spans="1:11" hidden="1" x14ac:dyDescent="0.3">
      <c r="A289" s="11" t="s">
        <v>318</v>
      </c>
      <c r="B289" t="str">
        <f>VLOOKUP(A289,[1]ListadoFichasDeProduccion!$A$2:$LP$3000,328,FALSE)</f>
        <v>COMPLETADO</v>
      </c>
      <c r="C289" s="11">
        <v>5</v>
      </c>
      <c r="D289" t="s">
        <v>11</v>
      </c>
      <c r="E289" t="s">
        <v>25</v>
      </c>
      <c r="G289" s="9">
        <v>45917</v>
      </c>
      <c r="H289" t="s">
        <v>28</v>
      </c>
      <c r="I289" s="11">
        <v>5</v>
      </c>
      <c r="J289" t="str">
        <f>IF(I289="","",IFERROR(IF(INDEX([1]ListadoFichasDeProduccion!LQ:MB,MATCH(A289,[1]ListadoFichasDeProduccion!A:A,0),K289)=0,"",INDEX([1]ListadoFichasDeProduccion!LQ:MB,MATCH(A289,[1]ListadoFichasDeProduccion!A:A,0),K289)),""))</f>
        <v/>
      </c>
      <c r="K289" s="11">
        <v>1</v>
      </c>
    </row>
    <row r="290" spans="1:11" hidden="1" x14ac:dyDescent="0.3">
      <c r="A290" s="11">
        <v>1654</v>
      </c>
      <c r="B290" s="8" t="str">
        <f>VLOOKUP(A290,[1]ListadoFichasDeProduccion!$A$2:$LP$3000,328,FALSE)</f>
        <v>COMPLETADO</v>
      </c>
      <c r="C290" s="11">
        <v>6</v>
      </c>
      <c r="D290" t="s">
        <v>11</v>
      </c>
      <c r="E290" t="s">
        <v>103</v>
      </c>
      <c r="G290" s="9">
        <v>45712</v>
      </c>
      <c r="H290" t="s">
        <v>31</v>
      </c>
      <c r="I290" s="11">
        <v>6</v>
      </c>
      <c r="J290" t="str">
        <f>IF(I290="","",IFERROR(IF(INDEX([1]ListadoFichasDeProduccion!LQ:MB,MATCH(A290,[1]ListadoFichasDeProduccion!A:A,0),K290)=0,"",INDEX([1]ListadoFichasDeProduccion!LQ:MB,MATCH(A290,[1]ListadoFichasDeProduccion!A:A,0),K290)),""))</f>
        <v/>
      </c>
      <c r="K290" s="11">
        <v>1</v>
      </c>
    </row>
    <row r="291" spans="1:11" hidden="1" x14ac:dyDescent="0.3">
      <c r="A291" s="11">
        <v>1731</v>
      </c>
      <c r="B291" s="8" t="str">
        <f>VLOOKUP(A291,[1]ListadoFichasDeProduccion!$A$2:$LP$3000,328,FALSE)</f>
        <v>COMPLETADO</v>
      </c>
      <c r="C291" s="11">
        <v>8</v>
      </c>
      <c r="D291" t="s">
        <v>11</v>
      </c>
      <c r="E291" t="s">
        <v>103</v>
      </c>
      <c r="G291" s="9">
        <v>45754</v>
      </c>
      <c r="H291" t="s">
        <v>27</v>
      </c>
      <c r="I291" s="11">
        <v>8</v>
      </c>
      <c r="J291" t="str">
        <f>IF(I291="","",IFERROR(IF(INDEX([1]ListadoFichasDeProduccion!LQ:MB,MATCH(A291,[1]ListadoFichasDeProduccion!A:A,0),K291)=0,"",INDEX([1]ListadoFichasDeProduccion!LQ:MB,MATCH(A291,[1]ListadoFichasDeProduccion!A:A,0),K291)),""))</f>
        <v/>
      </c>
      <c r="K291" s="11">
        <v>1</v>
      </c>
    </row>
    <row r="292" spans="1:11" hidden="1" x14ac:dyDescent="0.3">
      <c r="A292" s="11">
        <v>1887</v>
      </c>
      <c r="B292" s="8" t="str">
        <f>VLOOKUP(A292,[1]ListadoFichasDeProduccion!$A$2:$LP$3000,328,FALSE)</f>
        <v>COMPLETADO</v>
      </c>
      <c r="C292" s="11">
        <v>10</v>
      </c>
      <c r="D292" t="s">
        <v>11</v>
      </c>
      <c r="E292" t="s">
        <v>103</v>
      </c>
      <c r="G292" s="9">
        <v>45841</v>
      </c>
      <c r="H292" t="s">
        <v>44</v>
      </c>
      <c r="I292" s="11">
        <v>2</v>
      </c>
      <c r="J292" t="str">
        <f>IF(I292="","",IFERROR(IF(INDEX([1]ListadoFichasDeProduccion!LQ:MB,MATCH(A292,[1]ListadoFichasDeProduccion!A:A,0),K292)=0,"",INDEX([1]ListadoFichasDeProduccion!LQ:MB,MATCH(A292,[1]ListadoFichasDeProduccion!A:A,0),K292)),""))</f>
        <v/>
      </c>
      <c r="K292" s="11">
        <v>1</v>
      </c>
    </row>
    <row r="293" spans="1:11" hidden="1" x14ac:dyDescent="0.3">
      <c r="A293" s="11">
        <v>1887</v>
      </c>
      <c r="B293" s="8" t="str">
        <f>VLOOKUP(A293,[1]ListadoFichasDeProduccion!$A$2:$LP$3000,328,FALSE)</f>
        <v>COMPLETADO</v>
      </c>
      <c r="C293" s="11">
        <v>10</v>
      </c>
      <c r="D293" t="s">
        <v>11</v>
      </c>
      <c r="E293" t="s">
        <v>103</v>
      </c>
      <c r="G293" s="9">
        <v>45841</v>
      </c>
      <c r="H293" t="s">
        <v>27</v>
      </c>
      <c r="I293" s="11">
        <v>2</v>
      </c>
      <c r="J293" t="str">
        <f>IF(I293="","",IFERROR(IF(INDEX([1]ListadoFichasDeProduccion!LQ:MB,MATCH(A293,[1]ListadoFichasDeProduccion!A:A,0),K293)=0,"",INDEX([1]ListadoFichasDeProduccion!LQ:MB,MATCH(A293,[1]ListadoFichasDeProduccion!A:A,0),K293)),""))</f>
        <v/>
      </c>
      <c r="K293" s="11">
        <v>2</v>
      </c>
    </row>
    <row r="294" spans="1:11" hidden="1" x14ac:dyDescent="0.3">
      <c r="A294" s="11">
        <v>1887</v>
      </c>
      <c r="B294" s="8" t="str">
        <f>VLOOKUP(A294,[1]ListadoFichasDeProduccion!$A$2:$LP$3000,328,FALSE)</f>
        <v>COMPLETADO</v>
      </c>
      <c r="C294" s="11">
        <v>10</v>
      </c>
      <c r="D294" t="s">
        <v>11</v>
      </c>
      <c r="E294" t="s">
        <v>103</v>
      </c>
      <c r="G294" s="9">
        <v>45841</v>
      </c>
      <c r="H294" t="s">
        <v>51</v>
      </c>
      <c r="I294" s="11">
        <v>2</v>
      </c>
      <c r="J294" t="str">
        <f>IF(I294="","",IFERROR(IF(INDEX([1]ListadoFichasDeProduccion!LQ:MB,MATCH(A294,[1]ListadoFichasDeProduccion!A:A,0),K294)=0,"",INDEX([1]ListadoFichasDeProduccion!LQ:MB,MATCH(A294,[1]ListadoFichasDeProduccion!A:A,0),K294)),""))</f>
        <v/>
      </c>
      <c r="K294" s="11">
        <v>3</v>
      </c>
    </row>
    <row r="295" spans="1:11" hidden="1" x14ac:dyDescent="0.3">
      <c r="A295" s="11">
        <v>1887</v>
      </c>
      <c r="B295" s="8" t="str">
        <f>VLOOKUP(A295,[1]ListadoFichasDeProduccion!$A$2:$LP$3000,328,FALSE)</f>
        <v>COMPLETADO</v>
      </c>
      <c r="C295" s="11">
        <v>10</v>
      </c>
      <c r="D295" t="s">
        <v>11</v>
      </c>
      <c r="E295" t="s">
        <v>103</v>
      </c>
      <c r="G295" s="9">
        <v>45841</v>
      </c>
      <c r="H295" t="s">
        <v>31</v>
      </c>
      <c r="I295" s="11">
        <v>4</v>
      </c>
      <c r="J295" t="str">
        <f>IF(I295="","",IFERROR(IF(INDEX([1]ListadoFichasDeProduccion!LQ:MB,MATCH(A295,[1]ListadoFichasDeProduccion!A:A,0),K295)=0,"",INDEX([1]ListadoFichasDeProduccion!LQ:MB,MATCH(A295,[1]ListadoFichasDeProduccion!A:A,0),K295)),""))</f>
        <v/>
      </c>
      <c r="K295" s="11">
        <v>4</v>
      </c>
    </row>
    <row r="296" spans="1:11" hidden="1" x14ac:dyDescent="0.3">
      <c r="A296" s="11">
        <v>1941</v>
      </c>
      <c r="B296" t="str">
        <f>VLOOKUP(A296,[1]ListadoFichasDeProduccion!$A$2:$LP$3000,328,FALSE)</f>
        <v>COMPLETADO</v>
      </c>
      <c r="C296" s="11">
        <v>13</v>
      </c>
      <c r="D296" t="s">
        <v>11</v>
      </c>
      <c r="E296" t="s">
        <v>103</v>
      </c>
      <c r="G296" s="9">
        <v>45883</v>
      </c>
      <c r="H296" t="s">
        <v>51</v>
      </c>
      <c r="I296" s="11">
        <v>9</v>
      </c>
      <c r="J296" t="str">
        <f>IF(I296="","",IFERROR(IF(INDEX([1]ListadoFichasDeProduccion!LQ:MB,MATCH(A296,[1]ListadoFichasDeProduccion!A:A,0),K296)=0,"",INDEX([1]ListadoFichasDeProduccion!LQ:MB,MATCH(A296,[1]ListadoFichasDeProduccion!A:A,0),K296)),""))</f>
        <v/>
      </c>
      <c r="K296" s="11">
        <v>1</v>
      </c>
    </row>
    <row r="297" spans="1:11" hidden="1" x14ac:dyDescent="0.3">
      <c r="A297" s="11">
        <v>1941</v>
      </c>
      <c r="B297" t="str">
        <f>VLOOKUP(A297,[1]ListadoFichasDeProduccion!$A$2:$LP$3000,328,FALSE)</f>
        <v>COMPLETADO</v>
      </c>
      <c r="C297" s="11">
        <v>13</v>
      </c>
      <c r="D297" t="s">
        <v>11</v>
      </c>
      <c r="E297" t="s">
        <v>103</v>
      </c>
      <c r="G297" s="9">
        <v>45883</v>
      </c>
      <c r="H297" t="s">
        <v>31</v>
      </c>
      <c r="I297" s="11">
        <v>4</v>
      </c>
      <c r="J297" t="str">
        <f>IF(I297="","",IFERROR(IF(INDEX([1]ListadoFichasDeProduccion!LQ:MB,MATCH(A297,[1]ListadoFichasDeProduccion!A:A,0),K297)=0,"",INDEX([1]ListadoFichasDeProduccion!LQ:MB,MATCH(A297,[1]ListadoFichasDeProduccion!A:A,0),K297)),""))</f>
        <v/>
      </c>
      <c r="K297" s="11">
        <v>2</v>
      </c>
    </row>
    <row r="298" spans="1:11" hidden="1" x14ac:dyDescent="0.3">
      <c r="A298" s="11" t="s">
        <v>319</v>
      </c>
      <c r="B298" t="str">
        <f>VLOOKUP(A298,[1]ListadoFichasDeProduccion!$A$2:$LP$3000,328,FALSE)</f>
        <v>COMPLETADO</v>
      </c>
      <c r="C298" s="11">
        <v>12</v>
      </c>
      <c r="D298" t="s">
        <v>11</v>
      </c>
      <c r="E298" t="s">
        <v>103</v>
      </c>
      <c r="G298" s="9">
        <v>45918</v>
      </c>
      <c r="H298" t="s">
        <v>44</v>
      </c>
      <c r="I298" s="11">
        <v>3</v>
      </c>
      <c r="J298" t="str">
        <f>IF(I298="","",IFERROR(IF(INDEX([1]ListadoFichasDeProduccion!LQ:MB,MATCH(A298,[1]ListadoFichasDeProduccion!A:A,0),K298)=0,"",INDEX([1]ListadoFichasDeProduccion!LQ:MB,MATCH(A298,[1]ListadoFichasDeProduccion!A:A,0),K298)),""))</f>
        <v/>
      </c>
      <c r="K298" s="11">
        <v>1</v>
      </c>
    </row>
    <row r="299" spans="1:11" hidden="1" x14ac:dyDescent="0.3">
      <c r="A299" s="11" t="s">
        <v>319</v>
      </c>
      <c r="B299" t="str">
        <f>VLOOKUP(A299,[1]ListadoFichasDeProduccion!$A$2:$LP$3000,328,FALSE)</f>
        <v>COMPLETADO</v>
      </c>
      <c r="C299" s="11">
        <v>12</v>
      </c>
      <c r="D299" t="s">
        <v>11</v>
      </c>
      <c r="E299" t="s">
        <v>103</v>
      </c>
      <c r="G299" s="9">
        <v>45918</v>
      </c>
      <c r="H299" t="s">
        <v>27</v>
      </c>
      <c r="I299" s="11">
        <v>5</v>
      </c>
      <c r="J299" t="str">
        <f>IF(I299="","",IFERROR(IF(INDEX([1]ListadoFichasDeProduccion!LQ:MB,MATCH(A299,[1]ListadoFichasDeProduccion!A:A,0),K299)=0,"",INDEX([1]ListadoFichasDeProduccion!LQ:MB,MATCH(A299,[1]ListadoFichasDeProduccion!A:A,0),K299)),""))</f>
        <v/>
      </c>
      <c r="K299" s="11">
        <v>3</v>
      </c>
    </row>
    <row r="300" spans="1:11" hidden="1" x14ac:dyDescent="0.3">
      <c r="A300" s="11" t="s">
        <v>319</v>
      </c>
      <c r="B300" t="str">
        <f>VLOOKUP(A300,[1]ListadoFichasDeProduccion!$A$2:$LP$3000,328,FALSE)</f>
        <v>COMPLETADO</v>
      </c>
      <c r="C300" s="11">
        <v>12</v>
      </c>
      <c r="D300" t="s">
        <v>11</v>
      </c>
      <c r="E300" t="s">
        <v>103</v>
      </c>
      <c r="G300" s="9">
        <v>45918</v>
      </c>
      <c r="H300" t="s">
        <v>36</v>
      </c>
      <c r="I300" s="11">
        <v>4</v>
      </c>
      <c r="J300" t="str">
        <f>IF(I300="","",IFERROR(IF(INDEX([1]ListadoFichasDeProduccion!LQ:MB,MATCH(A300,[1]ListadoFichasDeProduccion!A:A,0),K300)=0,"",INDEX([1]ListadoFichasDeProduccion!LQ:MB,MATCH(A300,[1]ListadoFichasDeProduccion!A:A,0),K300)),""))</f>
        <v/>
      </c>
      <c r="K300" s="11">
        <v>4</v>
      </c>
    </row>
    <row r="301" spans="1:11" hidden="1" x14ac:dyDescent="0.3">
      <c r="A301" s="11" t="s">
        <v>417</v>
      </c>
      <c r="B301" t="str">
        <f>VLOOKUP(A301,[1]ListadoFichasDeProduccion!$A$2:$LP$3000,328,FALSE)</f>
        <v>COMPLETADO</v>
      </c>
      <c r="C301" s="11">
        <v>4</v>
      </c>
      <c r="D301" t="s">
        <v>11</v>
      </c>
      <c r="E301" t="s">
        <v>103</v>
      </c>
      <c r="G301" s="9">
        <v>45918</v>
      </c>
      <c r="H301" t="s">
        <v>31</v>
      </c>
      <c r="I301" s="11">
        <v>4</v>
      </c>
      <c r="J301" t="str">
        <f>IF(I301="","",IFERROR(IF(INDEX([1]ListadoFichasDeProduccion!LQ:MB,MATCH(A301,[1]ListadoFichasDeProduccion!A:A,0),K301)=0,"",INDEX([1]ListadoFichasDeProduccion!LQ:MB,MATCH(A301,[1]ListadoFichasDeProduccion!A:A,0),K301)),""))</f>
        <v/>
      </c>
      <c r="K301" s="11">
        <v>1</v>
      </c>
    </row>
    <row r="302" spans="1:11" hidden="1" x14ac:dyDescent="0.3">
      <c r="A302" s="11">
        <v>1585</v>
      </c>
      <c r="B302" s="8" t="str">
        <f>VLOOKUP(A302,[1]ListadoFichasDeProduccion!$A$2:$LP$3000,328,FALSE)</f>
        <v>COMPLETADO</v>
      </c>
      <c r="C302" s="11">
        <v>8</v>
      </c>
      <c r="D302" t="s">
        <v>11</v>
      </c>
      <c r="E302" t="s">
        <v>20</v>
      </c>
      <c r="F302" s="9" t="s">
        <v>21</v>
      </c>
      <c r="G302" s="9">
        <v>45713</v>
      </c>
      <c r="H302" t="s">
        <v>22</v>
      </c>
      <c r="I302" s="11">
        <v>8</v>
      </c>
      <c r="J302" t="str">
        <f>IF(I302="","",IFERROR(IF(INDEX([1]ListadoFichasDeProduccion!LQ:MB,MATCH(A302,[1]ListadoFichasDeProduccion!A:A,0),K302)=0,"",INDEX([1]ListadoFichasDeProduccion!LQ:MB,MATCH(A302,[1]ListadoFichasDeProduccion!A:A,0),K302)),""))</f>
        <v/>
      </c>
      <c r="K302" s="11">
        <v>1</v>
      </c>
    </row>
    <row r="303" spans="1:11" hidden="1" x14ac:dyDescent="0.3">
      <c r="A303" s="11">
        <v>1763</v>
      </c>
      <c r="B303" s="8" t="str">
        <f>VLOOKUP(A303,[1]ListadoFichasDeProduccion!$A$2:$LP$3000,328,FALSE)</f>
        <v>COMPLETADO</v>
      </c>
      <c r="C303" s="11">
        <v>7</v>
      </c>
      <c r="D303" t="s">
        <v>11</v>
      </c>
      <c r="E303" t="s">
        <v>20</v>
      </c>
      <c r="F303" t="s">
        <v>21</v>
      </c>
      <c r="G303" s="9">
        <v>45777</v>
      </c>
      <c r="H303" t="s">
        <v>24</v>
      </c>
      <c r="I303" s="11">
        <v>2</v>
      </c>
      <c r="J303" t="str">
        <f>IF(I303="","",IFERROR(IF(INDEX([1]ListadoFichasDeProduccion!LQ:MB,MATCH(A303,[1]ListadoFichasDeProduccion!A:A,0),K303)=0,"",INDEX([1]ListadoFichasDeProduccion!LQ:MB,MATCH(A303,[1]ListadoFichasDeProduccion!A:A,0),K303)),""))</f>
        <v/>
      </c>
      <c r="K303" s="11">
        <v>1</v>
      </c>
    </row>
    <row r="304" spans="1:11" hidden="1" x14ac:dyDescent="0.3">
      <c r="A304" s="11">
        <v>1763</v>
      </c>
      <c r="B304" s="8" t="str">
        <f>VLOOKUP(A304,[1]ListadoFichasDeProduccion!$A$2:$LP$3000,328,FALSE)</f>
        <v>COMPLETADO</v>
      </c>
      <c r="C304" s="11">
        <v>7</v>
      </c>
      <c r="D304" t="s">
        <v>11</v>
      </c>
      <c r="E304" t="s">
        <v>20</v>
      </c>
      <c r="F304" t="s">
        <v>21</v>
      </c>
      <c r="G304" s="9">
        <v>45777</v>
      </c>
      <c r="H304" t="s">
        <v>39</v>
      </c>
      <c r="I304" s="11">
        <v>5</v>
      </c>
      <c r="J304" t="str">
        <f>IF(I304="","",IFERROR(IF(INDEX([1]ListadoFichasDeProduccion!LQ:MB,MATCH(A304,[1]ListadoFichasDeProduccion!A:A,0),K304)=0,"",INDEX([1]ListadoFichasDeProduccion!LQ:MB,MATCH(A304,[1]ListadoFichasDeProduccion!A:A,0),K304)),""))</f>
        <v/>
      </c>
      <c r="K304" s="11">
        <v>2</v>
      </c>
    </row>
    <row r="305" spans="1:11" x14ac:dyDescent="0.3">
      <c r="A305" s="11">
        <v>1848</v>
      </c>
      <c r="B305" s="8" t="str">
        <f>VLOOKUP(A305,[1]ListadoFichasDeProduccion!$A$2:$LP$3000,328,FALSE)</f>
        <v>EN PRODUCCION</v>
      </c>
      <c r="C305" s="11">
        <v>11</v>
      </c>
      <c r="D305" t="s">
        <v>11</v>
      </c>
      <c r="E305" t="s">
        <v>232</v>
      </c>
      <c r="G305" s="9">
        <v>45832</v>
      </c>
      <c r="H305" t="s">
        <v>120</v>
      </c>
      <c r="I305" s="11">
        <v>5</v>
      </c>
      <c r="J305" t="str">
        <f>IF(I305="","",IFERROR(IF(INDEX([1]ListadoFichasDeProduccion!LQ:MB,MATCH(A305,[1]ListadoFichasDeProduccion!A:A,0),K305)=0,"",INDEX([1]ListadoFichasDeProduccion!LQ:MB,MATCH(A305,[1]ListadoFichasDeProduccion!A:A,0),K305)),""))</f>
        <v/>
      </c>
      <c r="K305" s="11">
        <v>1</v>
      </c>
    </row>
    <row r="306" spans="1:11" x14ac:dyDescent="0.3">
      <c r="A306" s="11">
        <v>1848</v>
      </c>
      <c r="B306" s="8" t="str">
        <f>VLOOKUP(A306,[1]ListadoFichasDeProduccion!$A$2:$LP$3000,328,FALSE)</f>
        <v>EN PRODUCCION</v>
      </c>
      <c r="C306" s="11">
        <v>11</v>
      </c>
      <c r="D306" t="s">
        <v>11</v>
      </c>
      <c r="E306" t="s">
        <v>232</v>
      </c>
      <c r="G306" s="9">
        <v>45832</v>
      </c>
      <c r="H306" t="s">
        <v>121</v>
      </c>
      <c r="I306" s="11">
        <v>4</v>
      </c>
      <c r="J306" t="str">
        <f>IF(I306="","",IFERROR(IF(INDEX([1]ListadoFichasDeProduccion!LQ:MB,MATCH(A306,[1]ListadoFichasDeProduccion!A:A,0),K306)=0,"",INDEX([1]ListadoFichasDeProduccion!LQ:MB,MATCH(A306,[1]ListadoFichasDeProduccion!A:A,0),K306)),""))</f>
        <v/>
      </c>
      <c r="K306" s="11">
        <v>2</v>
      </c>
    </row>
    <row r="307" spans="1:11" x14ac:dyDescent="0.3">
      <c r="A307" s="11">
        <v>1848</v>
      </c>
      <c r="B307" s="8" t="str">
        <f>VLOOKUP(A307,[1]ListadoFichasDeProduccion!$A$2:$LP$3000,328,FALSE)</f>
        <v>EN PRODUCCION</v>
      </c>
      <c r="C307" s="11">
        <v>11</v>
      </c>
      <c r="D307" t="s">
        <v>11</v>
      </c>
      <c r="E307" t="s">
        <v>232</v>
      </c>
      <c r="G307" s="9">
        <v>45832</v>
      </c>
      <c r="H307" t="s">
        <v>119</v>
      </c>
      <c r="I307" s="11">
        <v>2</v>
      </c>
      <c r="J307" t="str">
        <f>IF(I307="","",IFERROR(IF(INDEX([1]ListadoFichasDeProduccion!LQ:MB,MATCH(A307,[1]ListadoFichasDeProduccion!A:A,0),K307)=0,"",INDEX([1]ListadoFichasDeProduccion!LQ:MB,MATCH(A307,[1]ListadoFichasDeProduccion!A:A,0),K307)),""))</f>
        <v/>
      </c>
      <c r="K307" s="11">
        <v>3</v>
      </c>
    </row>
    <row r="308" spans="1:11" hidden="1" x14ac:dyDescent="0.3">
      <c r="A308" s="11">
        <v>1932</v>
      </c>
      <c r="B308" t="str">
        <f>VLOOKUP(A308,[1]ListadoFichasDeProduccion!$A$2:$LP$3000,328,FALSE)</f>
        <v>COMPLETADO</v>
      </c>
      <c r="C308" s="11">
        <v>3</v>
      </c>
      <c r="D308" t="s">
        <v>11</v>
      </c>
      <c r="E308" t="s">
        <v>232</v>
      </c>
      <c r="G308" s="9">
        <v>45877</v>
      </c>
      <c r="H308" t="s">
        <v>121</v>
      </c>
      <c r="I308" s="11">
        <v>3</v>
      </c>
      <c r="J308" t="str">
        <f>IF(I308="","",IFERROR(IF(INDEX([1]ListadoFichasDeProduccion!LQ:MB,MATCH(A308,[1]ListadoFichasDeProduccion!A:A,0),K308)=0,"",INDEX([1]ListadoFichasDeProduccion!LQ:MB,MATCH(A308,[1]ListadoFichasDeProduccion!A:A,0),K308)),""))</f>
        <v/>
      </c>
      <c r="K308" s="11">
        <v>1</v>
      </c>
    </row>
    <row r="309" spans="1:11" x14ac:dyDescent="0.3">
      <c r="A309" s="11">
        <v>19322</v>
      </c>
      <c r="B309" t="str">
        <f>VLOOKUP(A309,[1]ListadoFichasDeProduccion!$A$2:$LP$3000,328,FALSE)</f>
        <v>NO COMENZADO</v>
      </c>
      <c r="C309" s="11">
        <v>6</v>
      </c>
      <c r="D309" t="s">
        <v>11</v>
      </c>
      <c r="E309" t="s">
        <v>232</v>
      </c>
      <c r="F309" t="s">
        <v>362</v>
      </c>
      <c r="H309" t="s">
        <v>120</v>
      </c>
      <c r="I309" s="11">
        <v>6</v>
      </c>
      <c r="J309" t="str">
        <f>IF(I309="","",IFERROR(IF(INDEX([1]ListadoFichasDeProduccion!LQ:MB,MATCH(A309,[1]ListadoFichasDeProduccion!A:A,0),K309)=0,"",INDEX([1]ListadoFichasDeProduccion!LQ:MB,MATCH(A309,[1]ListadoFichasDeProduccion!A:A,0),K309)),""))</f>
        <v/>
      </c>
      <c r="K309" s="11">
        <v>1</v>
      </c>
    </row>
    <row r="310" spans="1:11" hidden="1" x14ac:dyDescent="0.3">
      <c r="A310" s="11" t="s">
        <v>398</v>
      </c>
      <c r="B310" t="str">
        <f>VLOOKUP(A310,[1]ListadoFichasDeProduccion!$A$2:$LP$3000,328,FALSE)</f>
        <v>COMPLETADO</v>
      </c>
      <c r="C310" s="11">
        <v>13</v>
      </c>
      <c r="D310" t="s">
        <v>11</v>
      </c>
      <c r="E310" t="s">
        <v>232</v>
      </c>
      <c r="F310" t="s">
        <v>362</v>
      </c>
      <c r="G310" s="9">
        <v>45944</v>
      </c>
      <c r="H310" t="s">
        <v>119</v>
      </c>
      <c r="I310" s="11">
        <v>4</v>
      </c>
      <c r="J310" s="9" t="str">
        <f>IF(I310="","",IFERROR(IF(INDEX([1]ListadoFichasDeProduccion!LQ:MB,MATCH(A310,[1]ListadoFichasDeProduccion!A:A,0),K310)=0,"",INDEX([1]ListadoFichasDeProduccion!LQ:MB,MATCH(A310,[1]ListadoFichasDeProduccion!A:A,0),K310)),""))</f>
        <v/>
      </c>
      <c r="K310" s="11">
        <v>1</v>
      </c>
    </row>
    <row r="311" spans="1:11" hidden="1" x14ac:dyDescent="0.3">
      <c r="A311" s="11" t="s">
        <v>398</v>
      </c>
      <c r="B311" t="str">
        <f>VLOOKUP(A311,[1]ListadoFichasDeProduccion!$A$2:$LP$3000,328,FALSE)</f>
        <v>COMPLETADO</v>
      </c>
      <c r="C311" s="11">
        <v>13</v>
      </c>
      <c r="D311" t="s">
        <v>11</v>
      </c>
      <c r="E311" t="s">
        <v>232</v>
      </c>
      <c r="F311" t="s">
        <v>362</v>
      </c>
      <c r="G311" s="9">
        <v>45944</v>
      </c>
      <c r="H311" t="s">
        <v>272</v>
      </c>
      <c r="I311" s="11">
        <v>9</v>
      </c>
      <c r="J311" s="9" t="str">
        <f>IF(I311="","",IFERROR(IF(INDEX([1]ListadoFichasDeProduccion!LQ:MB,MATCH(A311,[1]ListadoFichasDeProduccion!A:A,0),K311)=0,"",INDEX([1]ListadoFichasDeProduccion!LQ:MB,MATCH(A311,[1]ListadoFichasDeProduccion!A:A,0),K311)),""))</f>
        <v/>
      </c>
      <c r="K311" s="11">
        <v>2</v>
      </c>
    </row>
    <row r="312" spans="1:11" hidden="1" x14ac:dyDescent="0.3">
      <c r="A312" s="11">
        <v>1725</v>
      </c>
      <c r="B312" s="8" t="str">
        <f>VLOOKUP(A312,[1]ListadoFichasDeProduccion!$A$2:$LP$3000,328,FALSE)</f>
        <v>COMPLETADO</v>
      </c>
      <c r="C312" s="11">
        <v>12</v>
      </c>
      <c r="D312" t="s">
        <v>11</v>
      </c>
      <c r="E312" t="s">
        <v>145</v>
      </c>
      <c r="F312" t="s">
        <v>146</v>
      </c>
      <c r="G312" s="9">
        <v>45761</v>
      </c>
      <c r="H312" t="s">
        <v>123</v>
      </c>
      <c r="I312" s="11">
        <v>6</v>
      </c>
      <c r="J312" t="str">
        <f>IF(I312="","",IFERROR(IF(INDEX([1]ListadoFichasDeProduccion!LQ:MB,MATCH(A312,[1]ListadoFichasDeProduccion!A:A,0),K312)=0,"",INDEX([1]ListadoFichasDeProduccion!LQ:MB,MATCH(A312,[1]ListadoFichasDeProduccion!A:A,0),K312)),""))</f>
        <v/>
      </c>
      <c r="K312" s="11">
        <v>1</v>
      </c>
    </row>
    <row r="313" spans="1:11" hidden="1" x14ac:dyDescent="0.3">
      <c r="A313" s="11">
        <v>1725</v>
      </c>
      <c r="B313" s="8" t="str">
        <f>VLOOKUP(A313,[1]ListadoFichasDeProduccion!$A$2:$LP$3000,328,FALSE)</f>
        <v>COMPLETADO</v>
      </c>
      <c r="C313" s="11">
        <v>12</v>
      </c>
      <c r="D313" t="s">
        <v>11</v>
      </c>
      <c r="E313" t="s">
        <v>145</v>
      </c>
      <c r="F313" t="s">
        <v>146</v>
      </c>
      <c r="G313" s="9">
        <v>45761</v>
      </c>
      <c r="H313" t="s">
        <v>19</v>
      </c>
      <c r="I313" s="11">
        <v>6</v>
      </c>
      <c r="J313" t="str">
        <f>IF(I313="","",IFERROR(IF(INDEX([1]ListadoFichasDeProduccion!LQ:MB,MATCH(A313,[1]ListadoFichasDeProduccion!A:A,0),K313)=0,"",INDEX([1]ListadoFichasDeProduccion!LQ:MB,MATCH(A313,[1]ListadoFichasDeProduccion!A:A,0),K313)),""))</f>
        <v/>
      </c>
      <c r="K313" s="11">
        <v>2</v>
      </c>
    </row>
    <row r="314" spans="1:11" hidden="1" x14ac:dyDescent="0.3">
      <c r="A314" s="11">
        <v>1785</v>
      </c>
      <c r="B314" s="8" t="str">
        <f>VLOOKUP(A314,[1]ListadoFichasDeProduccion!$A$2:$LP$3000,328,FALSE)</f>
        <v>COMPLETADO</v>
      </c>
      <c r="C314" s="11">
        <v>24</v>
      </c>
      <c r="D314" t="s">
        <v>11</v>
      </c>
      <c r="E314" t="s">
        <v>145</v>
      </c>
      <c r="F314" t="s">
        <v>146</v>
      </c>
      <c r="G314" s="9">
        <v>45789</v>
      </c>
      <c r="H314" t="s">
        <v>51</v>
      </c>
      <c r="I314" s="11">
        <v>6</v>
      </c>
      <c r="J314" t="str">
        <f>IF(I314="","",IFERROR(IF(INDEX([1]ListadoFichasDeProduccion!LQ:MB,MATCH(A314,[1]ListadoFichasDeProduccion!A:A,0),K314)=0,"",INDEX([1]ListadoFichasDeProduccion!LQ:MB,MATCH(A314,[1]ListadoFichasDeProduccion!A:A,0),K314)),""))</f>
        <v/>
      </c>
      <c r="K314" s="11">
        <v>1</v>
      </c>
    </row>
    <row r="315" spans="1:11" hidden="1" x14ac:dyDescent="0.3">
      <c r="A315" s="11">
        <v>1785</v>
      </c>
      <c r="B315" s="8" t="str">
        <f>VLOOKUP(A315,[1]ListadoFichasDeProduccion!$A$2:$LP$3000,328,FALSE)</f>
        <v>COMPLETADO</v>
      </c>
      <c r="C315" s="11">
        <v>24</v>
      </c>
      <c r="D315" t="s">
        <v>11</v>
      </c>
      <c r="E315" t="s">
        <v>145</v>
      </c>
      <c r="F315" t="s">
        <v>146</v>
      </c>
      <c r="G315" s="9">
        <v>45789</v>
      </c>
      <c r="H315" t="s">
        <v>31</v>
      </c>
      <c r="I315" s="11">
        <v>6</v>
      </c>
      <c r="J315" t="str">
        <f>IF(I315="","",IFERROR(IF(INDEX([1]ListadoFichasDeProduccion!LQ:MB,MATCH(A315,[1]ListadoFichasDeProduccion!A:A,0),K315)=0,"",INDEX([1]ListadoFichasDeProduccion!LQ:MB,MATCH(A315,[1]ListadoFichasDeProduccion!A:A,0),K315)),""))</f>
        <v/>
      </c>
      <c r="K315" s="11">
        <v>2</v>
      </c>
    </row>
    <row r="316" spans="1:11" hidden="1" x14ac:dyDescent="0.3">
      <c r="A316" s="11">
        <v>1785</v>
      </c>
      <c r="B316" s="8" t="str">
        <f>VLOOKUP(A316,[1]ListadoFichasDeProduccion!$A$2:$LP$3000,328,FALSE)</f>
        <v>COMPLETADO</v>
      </c>
      <c r="C316" s="11">
        <v>24</v>
      </c>
      <c r="D316" t="s">
        <v>11</v>
      </c>
      <c r="E316" t="s">
        <v>145</v>
      </c>
      <c r="F316" t="s">
        <v>146</v>
      </c>
      <c r="G316" s="9">
        <v>45789</v>
      </c>
      <c r="H316" t="s">
        <v>50</v>
      </c>
      <c r="I316" s="11">
        <v>6</v>
      </c>
      <c r="J316" t="str">
        <f>IF(I316="","",IFERROR(IF(INDEX([1]ListadoFichasDeProduccion!LQ:MB,MATCH(A316,[1]ListadoFichasDeProduccion!A:A,0),K316)=0,"",INDEX([1]ListadoFichasDeProduccion!LQ:MB,MATCH(A316,[1]ListadoFichasDeProduccion!A:A,0),K316)),""))</f>
        <v/>
      </c>
      <c r="K316" s="11">
        <v>3</v>
      </c>
    </row>
    <row r="317" spans="1:11" hidden="1" x14ac:dyDescent="0.3">
      <c r="A317" s="11">
        <v>1785</v>
      </c>
      <c r="B317" s="8" t="str">
        <f>VLOOKUP(A317,[1]ListadoFichasDeProduccion!$A$2:$LP$3000,328,FALSE)</f>
        <v>COMPLETADO</v>
      </c>
      <c r="C317" s="11">
        <v>24</v>
      </c>
      <c r="D317" t="s">
        <v>11</v>
      </c>
      <c r="E317" t="s">
        <v>145</v>
      </c>
      <c r="F317" t="s">
        <v>146</v>
      </c>
      <c r="G317" s="9">
        <v>45789</v>
      </c>
      <c r="H317" t="s">
        <v>27</v>
      </c>
      <c r="I317" s="11">
        <v>6</v>
      </c>
      <c r="J317" t="str">
        <f>IF(I317="","",IFERROR(IF(INDEX([1]ListadoFichasDeProduccion!LQ:MB,MATCH(A317,[1]ListadoFichasDeProduccion!A:A,0),K317)=0,"",INDEX([1]ListadoFichasDeProduccion!LQ:MB,MATCH(A317,[1]ListadoFichasDeProduccion!A:A,0),K317)),""))</f>
        <v/>
      </c>
      <c r="K317" s="11">
        <v>4</v>
      </c>
    </row>
    <row r="318" spans="1:11" hidden="1" x14ac:dyDescent="0.3">
      <c r="A318" s="11">
        <v>1849</v>
      </c>
      <c r="B318" s="8" t="str">
        <f>VLOOKUP(A318,[1]ListadoFichasDeProduccion!$A$2:$LP$3000,328,FALSE)</f>
        <v>COMPLETADO</v>
      </c>
      <c r="C318" s="11">
        <v>30</v>
      </c>
      <c r="D318" t="s">
        <v>11</v>
      </c>
      <c r="E318" t="s">
        <v>145</v>
      </c>
      <c r="F318" t="s">
        <v>146</v>
      </c>
      <c r="G318" s="9">
        <v>45840</v>
      </c>
      <c r="H318" t="s">
        <v>51</v>
      </c>
      <c r="I318" s="11">
        <v>8</v>
      </c>
      <c r="J318" t="str">
        <f>IF(I318="","",IFERROR(IF(INDEX([1]ListadoFichasDeProduccion!LQ:MB,MATCH(A318,[1]ListadoFichasDeProduccion!A:A,0),K318)=0,"",INDEX([1]ListadoFichasDeProduccion!LQ:MB,MATCH(A318,[1]ListadoFichasDeProduccion!A:A,0),K318)),""))</f>
        <v/>
      </c>
      <c r="K318" s="11">
        <v>1</v>
      </c>
    </row>
    <row r="319" spans="1:11" hidden="1" x14ac:dyDescent="0.3">
      <c r="A319" s="11">
        <v>1849</v>
      </c>
      <c r="B319" s="8" t="str">
        <f>VLOOKUP(A319,[1]ListadoFichasDeProduccion!$A$2:$LP$3000,328,FALSE)</f>
        <v>COMPLETADO</v>
      </c>
      <c r="C319" s="11">
        <v>30</v>
      </c>
      <c r="D319" t="s">
        <v>11</v>
      </c>
      <c r="E319" t="s">
        <v>145</v>
      </c>
      <c r="F319" t="s">
        <v>146</v>
      </c>
      <c r="G319" s="9">
        <v>45840</v>
      </c>
      <c r="H319" t="s">
        <v>27</v>
      </c>
      <c r="I319" s="11">
        <v>8</v>
      </c>
      <c r="J319" t="str">
        <f>IF(I319="","",IFERROR(IF(INDEX([1]ListadoFichasDeProduccion!LQ:MB,MATCH(A319,[1]ListadoFichasDeProduccion!A:A,0),K319)=0,"",INDEX([1]ListadoFichasDeProduccion!LQ:MB,MATCH(A319,[1]ListadoFichasDeProduccion!A:A,0),K319)),""))</f>
        <v/>
      </c>
      <c r="K319" s="11">
        <v>2</v>
      </c>
    </row>
    <row r="320" spans="1:11" hidden="1" x14ac:dyDescent="0.3">
      <c r="A320" s="11">
        <v>1849</v>
      </c>
      <c r="B320" s="8" t="str">
        <f>VLOOKUP(A320,[1]ListadoFichasDeProduccion!$A$2:$LP$3000,328,FALSE)</f>
        <v>COMPLETADO</v>
      </c>
      <c r="C320" s="11">
        <v>30</v>
      </c>
      <c r="D320" t="s">
        <v>11</v>
      </c>
      <c r="E320" t="s">
        <v>145</v>
      </c>
      <c r="F320" t="s">
        <v>146</v>
      </c>
      <c r="G320" s="9">
        <v>45840</v>
      </c>
      <c r="H320" t="s">
        <v>50</v>
      </c>
      <c r="I320" s="11">
        <v>4</v>
      </c>
      <c r="J320" t="str">
        <f>IF(I320="","",IFERROR(IF(INDEX([1]ListadoFichasDeProduccion!LQ:MB,MATCH(A320,[1]ListadoFichasDeProduccion!A:A,0),K320)=0,"",INDEX([1]ListadoFichasDeProduccion!LQ:MB,MATCH(A320,[1]ListadoFichasDeProduccion!A:A,0),K320)),""))</f>
        <v/>
      </c>
      <c r="K320" s="11">
        <v>3</v>
      </c>
    </row>
    <row r="321" spans="1:11" hidden="1" x14ac:dyDescent="0.3">
      <c r="A321" s="11">
        <v>1849</v>
      </c>
      <c r="B321" s="8" t="str">
        <f>VLOOKUP(A321,[1]ListadoFichasDeProduccion!$A$2:$LP$3000,328,FALSE)</f>
        <v>COMPLETADO</v>
      </c>
      <c r="C321" s="11">
        <v>30</v>
      </c>
      <c r="D321" t="s">
        <v>11</v>
      </c>
      <c r="E321" t="s">
        <v>145</v>
      </c>
      <c r="F321" t="s">
        <v>146</v>
      </c>
      <c r="G321" s="9">
        <v>45840</v>
      </c>
      <c r="H321" t="s">
        <v>123</v>
      </c>
      <c r="I321" s="11">
        <v>8</v>
      </c>
      <c r="J321" t="str">
        <f>IF(I321="","",IFERROR(IF(INDEX([1]ListadoFichasDeProduccion!LQ:MB,MATCH(A321,[1]ListadoFichasDeProduccion!A:A,0),K321)=0,"",INDEX([1]ListadoFichasDeProduccion!LQ:MB,MATCH(A321,[1]ListadoFichasDeProduccion!A:A,0),K321)),""))</f>
        <v>QUE SE VEA LA MANCHA SI NO SALE DE RETAZOS USAR PLACA</v>
      </c>
      <c r="K321" s="11">
        <v>4</v>
      </c>
    </row>
    <row r="322" spans="1:11" hidden="1" x14ac:dyDescent="0.3">
      <c r="A322" s="11">
        <v>1849</v>
      </c>
      <c r="B322" s="8" t="str">
        <f>VLOOKUP(A322,[1]ListadoFichasDeProduccion!$A$2:$LP$3000,328,FALSE)</f>
        <v>COMPLETADO</v>
      </c>
      <c r="C322" s="11">
        <v>30</v>
      </c>
      <c r="D322" t="s">
        <v>11</v>
      </c>
      <c r="E322" t="s">
        <v>145</v>
      </c>
      <c r="F322" t="s">
        <v>146</v>
      </c>
      <c r="G322" s="9">
        <v>45840</v>
      </c>
      <c r="H322" t="s">
        <v>19</v>
      </c>
      <c r="I322" s="11">
        <v>2</v>
      </c>
      <c r="J322" t="str">
        <f>IF(I322="","",IFERROR(IF(INDEX([1]ListadoFichasDeProduccion!LQ:MB,MATCH(A322,[1]ListadoFichasDeProduccion!A:A,0),K322)=0,"",INDEX([1]ListadoFichasDeProduccion!LQ:MB,MATCH(A322,[1]ListadoFichasDeProduccion!A:A,0),K322)),""))</f>
        <v>QUE SE VEA LA MANCHA SI NO SALE DE RETAZOS USAR PLACA</v>
      </c>
      <c r="K322" s="11">
        <v>5</v>
      </c>
    </row>
    <row r="323" spans="1:11" hidden="1" x14ac:dyDescent="0.3">
      <c r="A323" s="11">
        <v>1951</v>
      </c>
      <c r="B323" t="str">
        <f>VLOOKUP(A323,[1]ListadoFichasDeProduccion!$A$2:$LP$3000,328,FALSE)</f>
        <v>COMPLETADO</v>
      </c>
      <c r="C323" s="11">
        <v>35</v>
      </c>
      <c r="D323" t="s">
        <v>11</v>
      </c>
      <c r="E323" t="s">
        <v>145</v>
      </c>
      <c r="F323" t="s">
        <v>146</v>
      </c>
      <c r="G323" s="9">
        <v>45897</v>
      </c>
      <c r="H323" t="s">
        <v>51</v>
      </c>
      <c r="I323" s="11">
        <v>9</v>
      </c>
      <c r="J323" t="str">
        <f>IF(I323="","",IFERROR(IF(INDEX([1]ListadoFichasDeProduccion!LQ:MB,MATCH(A323,[1]ListadoFichasDeProduccion!A:A,0),K323)=0,"",INDEX([1]ListadoFichasDeProduccion!LQ:MB,MATCH(A323,[1]ListadoFichasDeProduccion!A:A,0),K323)),""))</f>
        <v/>
      </c>
      <c r="K323" s="11">
        <v>1</v>
      </c>
    </row>
    <row r="324" spans="1:11" hidden="1" x14ac:dyDescent="0.3">
      <c r="A324" s="11">
        <v>1951</v>
      </c>
      <c r="B324" t="str">
        <f>VLOOKUP(A324,[1]ListadoFichasDeProduccion!$A$2:$LP$3000,328,FALSE)</f>
        <v>COMPLETADO</v>
      </c>
      <c r="C324" s="11">
        <v>35</v>
      </c>
      <c r="D324" t="s">
        <v>11</v>
      </c>
      <c r="E324" t="s">
        <v>145</v>
      </c>
      <c r="F324" t="s">
        <v>146</v>
      </c>
      <c r="G324" s="9">
        <v>45897</v>
      </c>
      <c r="H324" t="s">
        <v>27</v>
      </c>
      <c r="I324" s="11">
        <v>9</v>
      </c>
      <c r="J324" t="str">
        <f>IF(I324="","",IFERROR(IF(INDEX([1]ListadoFichasDeProduccion!LQ:MB,MATCH(A324,[1]ListadoFichasDeProduccion!A:A,0),K324)=0,"",INDEX([1]ListadoFichasDeProduccion!LQ:MB,MATCH(A324,[1]ListadoFichasDeProduccion!A:A,0),K324)),""))</f>
        <v/>
      </c>
      <c r="K324" s="11">
        <v>2</v>
      </c>
    </row>
    <row r="325" spans="1:11" hidden="1" x14ac:dyDescent="0.3">
      <c r="A325" s="11">
        <v>1951</v>
      </c>
      <c r="B325" t="str">
        <f>VLOOKUP(A325,[1]ListadoFichasDeProduccion!$A$2:$LP$3000,328,FALSE)</f>
        <v>COMPLETADO</v>
      </c>
      <c r="C325" s="11">
        <v>35</v>
      </c>
      <c r="D325" t="s">
        <v>11</v>
      </c>
      <c r="E325" t="s">
        <v>145</v>
      </c>
      <c r="F325" t="s">
        <v>146</v>
      </c>
      <c r="G325" s="9">
        <v>45897</v>
      </c>
      <c r="H325" t="s">
        <v>50</v>
      </c>
      <c r="I325" s="11">
        <v>9</v>
      </c>
      <c r="J325" t="str">
        <f>IF(I325="","",IFERROR(IF(INDEX([1]ListadoFichasDeProduccion!LQ:MB,MATCH(A325,[1]ListadoFichasDeProduccion!A:A,0),K325)=0,"",INDEX([1]ListadoFichasDeProduccion!LQ:MB,MATCH(A325,[1]ListadoFichasDeProduccion!A:A,0),K325)),""))</f>
        <v/>
      </c>
      <c r="K325" s="11">
        <v>3</v>
      </c>
    </row>
    <row r="326" spans="1:11" hidden="1" x14ac:dyDescent="0.3">
      <c r="A326" s="11">
        <v>1951</v>
      </c>
      <c r="B326" t="str">
        <f>VLOOKUP(A326,[1]ListadoFichasDeProduccion!$A$2:$LP$3000,328,FALSE)</f>
        <v>COMPLETADO</v>
      </c>
      <c r="C326" s="11">
        <v>35</v>
      </c>
      <c r="D326" t="s">
        <v>11</v>
      </c>
      <c r="E326" t="s">
        <v>145</v>
      </c>
      <c r="F326" t="s">
        <v>146</v>
      </c>
      <c r="G326" s="9">
        <v>45897</v>
      </c>
      <c r="H326" t="s">
        <v>123</v>
      </c>
      <c r="I326" s="11">
        <v>4</v>
      </c>
      <c r="J326" t="str">
        <f>IF(I326="","",IFERROR(IF(INDEX([1]ListadoFichasDeProduccion!LQ:MB,MATCH(A326,[1]ListadoFichasDeProduccion!A:A,0),K326)=0,"",INDEX([1]ListadoFichasDeProduccion!LQ:MB,MATCH(A326,[1]ListadoFichasDeProduccion!A:A,0),K326)),""))</f>
        <v>QUE SE VEA LA MANCHA SI NO SALE DE RETAZOS USAR PLACA</v>
      </c>
      <c r="K326" s="11">
        <v>4</v>
      </c>
    </row>
    <row r="327" spans="1:11" hidden="1" x14ac:dyDescent="0.3">
      <c r="A327" s="11">
        <v>1951</v>
      </c>
      <c r="B327" t="str">
        <f>VLOOKUP(A327,[1]ListadoFichasDeProduccion!$A$2:$LP$3000,328,FALSE)</f>
        <v>COMPLETADO</v>
      </c>
      <c r="C327" s="11">
        <v>35</v>
      </c>
      <c r="D327" t="s">
        <v>11</v>
      </c>
      <c r="E327" t="s">
        <v>145</v>
      </c>
      <c r="F327" t="s">
        <v>146</v>
      </c>
      <c r="G327" s="9">
        <v>45897</v>
      </c>
      <c r="H327" t="s">
        <v>19</v>
      </c>
      <c r="I327" s="11">
        <v>4</v>
      </c>
      <c r="J327" t="str">
        <f>IF(I327="","",IFERROR(IF(INDEX([1]ListadoFichasDeProduccion!LQ:MB,MATCH(A327,[1]ListadoFichasDeProduccion!A:A,0),K327)=0,"",INDEX([1]ListadoFichasDeProduccion!LQ:MB,MATCH(A327,[1]ListadoFichasDeProduccion!A:A,0),K327)),""))</f>
        <v>QUE SE VEA LA MANCHA SI NO SALE DE RETAZOS USAR PLACA</v>
      </c>
      <c r="K327" s="11">
        <v>5</v>
      </c>
    </row>
    <row r="328" spans="1:11" hidden="1" x14ac:dyDescent="0.3">
      <c r="A328" s="11" t="s">
        <v>313</v>
      </c>
      <c r="B328" t="str">
        <f>VLOOKUP(A328,[1]ListadoFichasDeProduccion!$A$2:$LP$3000,328,FALSE)</f>
        <v>COMPLETADO</v>
      </c>
      <c r="C328" s="11">
        <v>32</v>
      </c>
      <c r="D328" t="s">
        <v>11</v>
      </c>
      <c r="E328" t="s">
        <v>145</v>
      </c>
      <c r="F328" t="s">
        <v>146</v>
      </c>
      <c r="G328" s="9">
        <v>45917</v>
      </c>
      <c r="H328" t="s">
        <v>51</v>
      </c>
      <c r="I328" s="11">
        <v>12</v>
      </c>
      <c r="J328" t="str">
        <f>IF(I328="","",IFERROR(IF(INDEX([1]ListadoFichasDeProduccion!LQ:MB,MATCH(A328,[1]ListadoFichasDeProduccion!A:A,0),K328)=0,"",INDEX([1]ListadoFichasDeProduccion!LQ:MB,MATCH(A328,[1]ListadoFichasDeProduccion!A:A,0),K328)),""))</f>
        <v/>
      </c>
      <c r="K328" s="11">
        <v>1</v>
      </c>
    </row>
    <row r="329" spans="1:11" hidden="1" x14ac:dyDescent="0.3">
      <c r="A329" s="11" t="s">
        <v>313</v>
      </c>
      <c r="B329" t="str">
        <f>VLOOKUP(A329,[1]ListadoFichasDeProduccion!$A$2:$LP$3000,328,FALSE)</f>
        <v>COMPLETADO</v>
      </c>
      <c r="C329" s="11">
        <v>32</v>
      </c>
      <c r="D329" t="s">
        <v>11</v>
      </c>
      <c r="E329" t="s">
        <v>145</v>
      </c>
      <c r="F329" t="s">
        <v>146</v>
      </c>
      <c r="G329" s="9">
        <v>45917</v>
      </c>
      <c r="H329" t="s">
        <v>50</v>
      </c>
      <c r="I329" s="11">
        <v>12</v>
      </c>
      <c r="J329" t="str">
        <f>IF(I329="","",IFERROR(IF(INDEX([1]ListadoFichasDeProduccion!LQ:MB,MATCH(A329,[1]ListadoFichasDeProduccion!A:A,0),K329)=0,"",INDEX([1]ListadoFichasDeProduccion!LQ:MB,MATCH(A329,[1]ListadoFichasDeProduccion!A:A,0),K329)),""))</f>
        <v/>
      </c>
      <c r="K329" s="11">
        <v>2</v>
      </c>
    </row>
    <row r="330" spans="1:11" hidden="1" x14ac:dyDescent="0.3">
      <c r="A330" s="11" t="s">
        <v>313</v>
      </c>
      <c r="B330" t="str">
        <f>VLOOKUP(A330,[1]ListadoFichasDeProduccion!$A$2:$LP$3000,328,FALSE)</f>
        <v>COMPLETADO</v>
      </c>
      <c r="C330" s="11">
        <v>32</v>
      </c>
      <c r="D330" t="s">
        <v>11</v>
      </c>
      <c r="E330" t="s">
        <v>145</v>
      </c>
      <c r="F330" t="s">
        <v>146</v>
      </c>
      <c r="G330" s="9">
        <v>45917</v>
      </c>
      <c r="H330" t="s">
        <v>19</v>
      </c>
      <c r="I330" s="11">
        <v>8</v>
      </c>
      <c r="J330" t="str">
        <f>IF(I330="","",IFERROR(IF(INDEX([1]ListadoFichasDeProduccion!LQ:MB,MATCH(A330,[1]ListadoFichasDeProduccion!A:A,0),K330)=0,"",INDEX([1]ListadoFichasDeProduccion!LQ:MB,MATCH(A330,[1]ListadoFichasDeProduccion!A:A,0),K330)),""))</f>
        <v/>
      </c>
      <c r="K330" s="11">
        <v>3</v>
      </c>
    </row>
    <row r="331" spans="1:11" x14ac:dyDescent="0.3">
      <c r="A331" s="11" t="s">
        <v>399</v>
      </c>
      <c r="B331" t="str">
        <f>VLOOKUP(A331,[1]ListadoFichasDeProduccion!$A$2:$LP$3000,328,FALSE)</f>
        <v>NO COMENZADO</v>
      </c>
      <c r="C331" s="11">
        <v>16</v>
      </c>
      <c r="D331" t="s">
        <v>11</v>
      </c>
      <c r="E331" t="s">
        <v>145</v>
      </c>
      <c r="F331" t="s">
        <v>146</v>
      </c>
      <c r="H331" t="s">
        <v>51</v>
      </c>
      <c r="I331" s="11">
        <v>4</v>
      </c>
      <c r="J331" t="str">
        <f>IF(I331="","",IFERROR(IF(INDEX([1]ListadoFichasDeProduccion!LQ:MB,MATCH(A331,[1]ListadoFichasDeProduccion!A:A,0),K331)=0,"",INDEX([1]ListadoFichasDeProduccion!LQ:MB,MATCH(A331,[1]ListadoFichasDeProduccion!A:A,0),K331)),""))</f>
        <v/>
      </c>
      <c r="K331" s="11">
        <v>1</v>
      </c>
    </row>
    <row r="332" spans="1:11" x14ac:dyDescent="0.3">
      <c r="A332" s="11" t="s">
        <v>399</v>
      </c>
      <c r="B332" t="str">
        <f>VLOOKUP(A332,[1]ListadoFichasDeProduccion!$A$2:$LP$3000,328,FALSE)</f>
        <v>NO COMENZADO</v>
      </c>
      <c r="C332" s="11">
        <v>16</v>
      </c>
      <c r="D332" t="s">
        <v>11</v>
      </c>
      <c r="E332" t="s">
        <v>145</v>
      </c>
      <c r="F332" t="s">
        <v>146</v>
      </c>
      <c r="H332" t="s">
        <v>19</v>
      </c>
      <c r="I332" s="11">
        <v>6</v>
      </c>
      <c r="J332" t="str">
        <f>IF(I332="","",IFERROR(IF(INDEX([1]ListadoFichasDeProduccion!LQ:MB,MATCH(A332,[1]ListadoFichasDeProduccion!A:A,0),K332)=0,"",INDEX([1]ListadoFichasDeProduccion!LQ:MB,MATCH(A332,[1]ListadoFichasDeProduccion!A:A,0),K332)),""))</f>
        <v>QUE SE VEA LA MANCHA SI NO SALE DE RETAZOS USAR PLACA</v>
      </c>
      <c r="K332" s="11">
        <v>3</v>
      </c>
    </row>
    <row r="333" spans="1:11" x14ac:dyDescent="0.3">
      <c r="A333" s="11" t="s">
        <v>399</v>
      </c>
      <c r="B333" t="str">
        <f>VLOOKUP(A333,[1]ListadoFichasDeProduccion!$A$2:$LP$3000,328,FALSE)</f>
        <v>NO COMENZADO</v>
      </c>
      <c r="C333" s="11">
        <v>16</v>
      </c>
      <c r="D333" t="s">
        <v>11</v>
      </c>
      <c r="E333" t="s">
        <v>145</v>
      </c>
      <c r="F333" t="s">
        <v>146</v>
      </c>
      <c r="H333" t="s">
        <v>123</v>
      </c>
      <c r="I333" s="11">
        <v>6</v>
      </c>
      <c r="J333" t="str">
        <f>IF(I333="","",IFERROR(IF(INDEX([1]ListadoFichasDeProduccion!LQ:MB,MATCH(A333,[1]ListadoFichasDeProduccion!A:A,0),K333)=0,"",INDEX([1]ListadoFichasDeProduccion!LQ:MB,MATCH(A333,[1]ListadoFichasDeProduccion!A:A,0),K333)),""))</f>
        <v>QUE SE VEA LA MANCHA SI NO SALE DE RETAZOS USAR PLACA</v>
      </c>
      <c r="K333" s="11">
        <v>4</v>
      </c>
    </row>
    <row r="334" spans="1:11" hidden="1" x14ac:dyDescent="0.3">
      <c r="A334" s="11" t="s">
        <v>405</v>
      </c>
      <c r="B334" t="str">
        <f>VLOOKUP(A334,[1]ListadoFichasDeProduccion!$A$2:$LP$3000,328,FALSE)</f>
        <v>COMPLETADO</v>
      </c>
      <c r="C334" s="11">
        <v>18</v>
      </c>
      <c r="D334" t="s">
        <v>11</v>
      </c>
      <c r="E334" t="s">
        <v>145</v>
      </c>
      <c r="F334" t="s">
        <v>146</v>
      </c>
      <c r="G334" s="9">
        <v>45951</v>
      </c>
      <c r="H334" t="s">
        <v>123</v>
      </c>
      <c r="I334" s="11">
        <v>18</v>
      </c>
      <c r="J334" t="str">
        <f>IF(I334="","",IFERROR(IF(INDEX([1]ListadoFichasDeProduccion!LQ:MB,MATCH(A334,[1]ListadoFichasDeProduccion!A:A,0),K334)=0,"",INDEX([1]ListadoFichasDeProduccion!LQ:MB,MATCH(A334,[1]ListadoFichasDeProduccion!A:A,0),K334)),""))</f>
        <v/>
      </c>
      <c r="K334" s="11">
        <v>1</v>
      </c>
    </row>
    <row r="335" spans="1:11" hidden="1" x14ac:dyDescent="0.3">
      <c r="A335" s="11" t="s">
        <v>410</v>
      </c>
      <c r="B335" t="str">
        <f>VLOOKUP(A335,[1]ListadoFichasDeProduccion!$A$2:$LP$3000,328,FALSE)</f>
        <v>COMPLETADO</v>
      </c>
      <c r="C335" s="11">
        <v>4</v>
      </c>
      <c r="D335" t="s">
        <v>11</v>
      </c>
      <c r="E335" t="s">
        <v>145</v>
      </c>
      <c r="F335" t="s">
        <v>146</v>
      </c>
      <c r="G335" s="9">
        <v>45951</v>
      </c>
      <c r="H335" t="s">
        <v>27</v>
      </c>
      <c r="I335" s="11">
        <v>4</v>
      </c>
      <c r="J335" t="str">
        <f>IF(I335="","",IFERROR(IF(INDEX([1]ListadoFichasDeProduccion!LQ:MB,MATCH(A335,[1]ListadoFichasDeProduccion!A:A,0),K335)=0,"",INDEX([1]ListadoFichasDeProduccion!LQ:MB,MATCH(A335,[1]ListadoFichasDeProduccion!A:A,0),K335)),""))</f>
        <v/>
      </c>
      <c r="K335" s="11">
        <v>2</v>
      </c>
    </row>
    <row r="336" spans="1:11" hidden="1" x14ac:dyDescent="0.3">
      <c r="A336" s="11" t="s">
        <v>476</v>
      </c>
      <c r="B336" t="str">
        <f>VLOOKUP(A336,[1]ListadoFichasDeProduccion!$A$2:$LP$3000,328,FALSE)</f>
        <v>COMPLETADO</v>
      </c>
      <c r="C336" s="11">
        <v>12</v>
      </c>
      <c r="D336" t="s">
        <v>11</v>
      </c>
      <c r="E336" t="s">
        <v>145</v>
      </c>
      <c r="F336" t="s">
        <v>146</v>
      </c>
      <c r="G336" s="9">
        <v>45968</v>
      </c>
      <c r="H336" t="s">
        <v>31</v>
      </c>
      <c r="I336" s="11">
        <v>12</v>
      </c>
      <c r="J336" t="str">
        <f>IF(I336="","",IFERROR(IF(INDEX([1]ListadoFichasDeProduccion!LQ:MB,MATCH(A336,[1]ListadoFichasDeProduccion!A:A,0),K336)=0,"",INDEX([1]ListadoFichasDeProduccion!LQ:MB,MATCH(A336,[1]ListadoFichasDeProduccion!A:A,0),K336)),""))</f>
        <v/>
      </c>
      <c r="K336" s="11">
        <v>1</v>
      </c>
    </row>
    <row r="337" spans="1:11" hidden="1" x14ac:dyDescent="0.3">
      <c r="A337" s="11">
        <v>1799</v>
      </c>
      <c r="B337" s="8" t="str">
        <f>VLOOKUP(A337,[1]ListadoFichasDeProduccion!$A$2:$LP$3000,328,FALSE)</f>
        <v>COMPLETADO</v>
      </c>
      <c r="C337" s="11">
        <v>12</v>
      </c>
      <c r="D337" t="s">
        <v>11</v>
      </c>
      <c r="E337" t="s">
        <v>211</v>
      </c>
      <c r="F337" t="s">
        <v>212</v>
      </c>
      <c r="G337" s="9">
        <v>45805</v>
      </c>
      <c r="H337" t="s">
        <v>213</v>
      </c>
      <c r="I337" s="11">
        <v>6</v>
      </c>
      <c r="J337" t="str">
        <f>IF(I337="","",IFERROR(IF(INDEX([1]ListadoFichasDeProduccion!LQ:MB,MATCH(A337,[1]ListadoFichasDeProduccion!A:A,0),K337)=0,"",INDEX([1]ListadoFichasDeProduccion!LQ:MB,MATCH(A337,[1]ListadoFichasDeProduccion!A:A,0),K337)),""))</f>
        <v/>
      </c>
      <c r="K337" s="11">
        <v>1</v>
      </c>
    </row>
    <row r="338" spans="1:11" hidden="1" x14ac:dyDescent="0.3">
      <c r="A338" s="11">
        <v>1799</v>
      </c>
      <c r="B338" s="8" t="str">
        <f>VLOOKUP(A338,[1]ListadoFichasDeProduccion!$A$2:$LP$3000,328,FALSE)</f>
        <v>COMPLETADO</v>
      </c>
      <c r="C338" s="11">
        <v>12</v>
      </c>
      <c r="D338" t="s">
        <v>11</v>
      </c>
      <c r="E338" t="s">
        <v>211</v>
      </c>
      <c r="F338" t="s">
        <v>212</v>
      </c>
      <c r="G338" s="9">
        <v>45805</v>
      </c>
      <c r="H338" t="s">
        <v>214</v>
      </c>
      <c r="I338" s="11">
        <v>6</v>
      </c>
      <c r="J338" t="str">
        <f>IF(I338="","",IFERROR(IF(INDEX([1]ListadoFichasDeProduccion!LQ:MB,MATCH(A338,[1]ListadoFichasDeProduccion!A:A,0),K338)=0,"",INDEX([1]ListadoFichasDeProduccion!LQ:MB,MATCH(A338,[1]ListadoFichasDeProduccion!A:A,0),K338)),""))</f>
        <v/>
      </c>
      <c r="K338" s="11">
        <v>2</v>
      </c>
    </row>
    <row r="339" spans="1:11" x14ac:dyDescent="0.3">
      <c r="A339" s="11">
        <v>1880</v>
      </c>
      <c r="B339" s="8" t="str">
        <f>VLOOKUP(A339,[1]ListadoFichasDeProduccion!$A$2:$LP$3000,328,FALSE)</f>
        <v>EN PRODUCCION</v>
      </c>
      <c r="C339" s="11">
        <v>14</v>
      </c>
      <c r="D339" t="s">
        <v>11</v>
      </c>
      <c r="E339" t="s">
        <v>211</v>
      </c>
      <c r="F339" t="s">
        <v>212</v>
      </c>
      <c r="G339" s="9">
        <v>45841</v>
      </c>
      <c r="H339" t="s">
        <v>213</v>
      </c>
      <c r="I339" s="11">
        <v>8</v>
      </c>
      <c r="J339" t="str">
        <f>IF(I339="","",IFERROR(IF(INDEX([1]ListadoFichasDeProduccion!LQ:MB,MATCH(A339,[1]ListadoFichasDeProduccion!A:A,0),K339)=0,"",INDEX([1]ListadoFichasDeProduccion!LQ:MB,MATCH(A339,[1]ListadoFichasDeProduccion!A:A,0),K339)),""))</f>
        <v/>
      </c>
      <c r="K339" s="11">
        <v>1</v>
      </c>
    </row>
    <row r="340" spans="1:11" x14ac:dyDescent="0.3">
      <c r="A340" s="11">
        <v>1880</v>
      </c>
      <c r="B340" s="8" t="str">
        <f>VLOOKUP(A340,[1]ListadoFichasDeProduccion!$A$2:$LP$3000,328,FALSE)</f>
        <v>EN PRODUCCION</v>
      </c>
      <c r="C340" s="11">
        <v>14</v>
      </c>
      <c r="D340" t="s">
        <v>11</v>
      </c>
      <c r="E340" t="s">
        <v>211</v>
      </c>
      <c r="F340" t="s">
        <v>212</v>
      </c>
      <c r="G340" s="9">
        <v>45841</v>
      </c>
      <c r="H340" t="s">
        <v>214</v>
      </c>
      <c r="I340" s="11">
        <v>6</v>
      </c>
      <c r="J340" t="str">
        <f>IF(I340="","",IFERROR(IF(INDEX([1]ListadoFichasDeProduccion!LQ:MB,MATCH(A340,[1]ListadoFichasDeProduccion!A:A,0),K340)=0,"",INDEX([1]ListadoFichasDeProduccion!LQ:MB,MATCH(A340,[1]ListadoFichasDeProduccion!A:A,0),K340)),""))</f>
        <v/>
      </c>
      <c r="K340" s="11">
        <v>2</v>
      </c>
    </row>
    <row r="341" spans="1:11" hidden="1" x14ac:dyDescent="0.3">
      <c r="A341" s="11">
        <v>1930</v>
      </c>
      <c r="B341" t="str">
        <f>VLOOKUP(A341,[1]ListadoFichasDeProduccion!$A$2:$LP$3000,328,FALSE)</f>
        <v>COMPLETADO</v>
      </c>
      <c r="C341" s="11">
        <v>2</v>
      </c>
      <c r="D341" t="s">
        <v>11</v>
      </c>
      <c r="E341" t="s">
        <v>211</v>
      </c>
      <c r="F341" t="s">
        <v>212</v>
      </c>
      <c r="G341" s="9">
        <v>45877</v>
      </c>
      <c r="H341" t="s">
        <v>214</v>
      </c>
      <c r="I341" s="11">
        <v>2</v>
      </c>
      <c r="J341" t="str">
        <f>IF(I341="","",IFERROR(IF(INDEX([1]ListadoFichasDeProduccion!LQ:MB,MATCH(A341,[1]ListadoFichasDeProduccion!A:A,0),K341)=0,"",INDEX([1]ListadoFichasDeProduccion!LQ:MB,MATCH(A341,[1]ListadoFichasDeProduccion!A:A,0),K341)),""))</f>
        <v/>
      </c>
      <c r="K341" s="11">
        <v>1</v>
      </c>
    </row>
    <row r="342" spans="1:11" hidden="1" x14ac:dyDescent="0.3">
      <c r="A342" s="11" t="s">
        <v>284</v>
      </c>
      <c r="B342" t="str">
        <f>VLOOKUP(A342,[1]ListadoFichasDeProduccion!$A$2:$LP$3000,328,FALSE)</f>
        <v>COMPLETADO</v>
      </c>
      <c r="C342" s="11">
        <v>6</v>
      </c>
      <c r="D342" t="s">
        <v>11</v>
      </c>
      <c r="E342" t="s">
        <v>211</v>
      </c>
      <c r="F342" t="s">
        <v>212</v>
      </c>
      <c r="G342" s="9">
        <v>45908</v>
      </c>
      <c r="H342" t="s">
        <v>214</v>
      </c>
      <c r="I342" s="11">
        <v>6</v>
      </c>
      <c r="J342" t="str">
        <f>IF(I342="","",IFERROR(IF(INDEX([1]ListadoFichasDeProduccion!LQ:MB,MATCH(A342,[1]ListadoFichasDeProduccion!A:A,0),K342)=0,"",INDEX([1]ListadoFichasDeProduccion!LQ:MB,MATCH(A342,[1]ListadoFichasDeProduccion!A:A,0),K342)),""))</f>
        <v/>
      </c>
      <c r="K342" s="11">
        <v>1</v>
      </c>
    </row>
    <row r="343" spans="1:11" hidden="1" x14ac:dyDescent="0.3">
      <c r="A343" s="11" t="s">
        <v>448</v>
      </c>
      <c r="B343" t="str">
        <f>VLOOKUP(A343,[1]ListadoFichasDeProduccion!$A$2:$LP$3000,328,FALSE)</f>
        <v>COMPLETADO</v>
      </c>
      <c r="C343" s="11">
        <v>8</v>
      </c>
      <c r="D343" t="s">
        <v>11</v>
      </c>
      <c r="E343" t="s">
        <v>211</v>
      </c>
      <c r="F343" t="s">
        <v>212</v>
      </c>
      <c r="G343" s="9">
        <v>45961</v>
      </c>
      <c r="H343" t="s">
        <v>346</v>
      </c>
      <c r="I343" s="11">
        <v>6</v>
      </c>
      <c r="J343" t="str">
        <f>IF(I343="","",IFERROR(IF(INDEX([1]ListadoFichasDeProduccion!LQ:MB,MATCH(A343,[1]ListadoFichasDeProduccion!A:A,0),K343)=0,"",INDEX([1]ListadoFichasDeProduccion!LQ:MB,MATCH(A343,[1]ListadoFichasDeProduccion!A:A,0),K343)),""))</f>
        <v>SI NO HAY METAL ALUMINIO</v>
      </c>
      <c r="K343" s="11">
        <v>1</v>
      </c>
    </row>
    <row r="344" spans="1:11" hidden="1" x14ac:dyDescent="0.3">
      <c r="A344" s="11" t="s">
        <v>448</v>
      </c>
      <c r="B344" t="str">
        <f>VLOOKUP(A344,[1]ListadoFichasDeProduccion!$A$2:$LP$3000,328,FALSE)</f>
        <v>COMPLETADO</v>
      </c>
      <c r="C344" s="11">
        <v>8</v>
      </c>
      <c r="D344" t="s">
        <v>11</v>
      </c>
      <c r="E344" t="s">
        <v>211</v>
      </c>
      <c r="F344" t="s">
        <v>212</v>
      </c>
      <c r="G344" s="9">
        <v>45961</v>
      </c>
      <c r="H344" t="s">
        <v>214</v>
      </c>
      <c r="I344" s="11">
        <v>2</v>
      </c>
      <c r="J344" t="str">
        <f>IF(I344="","",IFERROR(IF(INDEX([1]ListadoFichasDeProduccion!LQ:MB,MATCH(A344,[1]ListadoFichasDeProduccion!A:A,0),K344)=0,"",INDEX([1]ListadoFichasDeProduccion!LQ:MB,MATCH(A344,[1]ListadoFichasDeProduccion!A:A,0),K344)),""))</f>
        <v/>
      </c>
      <c r="K344" s="11">
        <v>2</v>
      </c>
    </row>
    <row r="345" spans="1:11" hidden="1" x14ac:dyDescent="0.3">
      <c r="A345" s="11">
        <v>1586</v>
      </c>
      <c r="B345" s="8" t="str">
        <f>VLOOKUP(A345,[1]ListadoFichasDeProduccion!$A$2:$LP$3000,328,FALSE)</f>
        <v>COMPLETADO</v>
      </c>
      <c r="C345" s="11">
        <v>22</v>
      </c>
      <c r="D345" t="s">
        <v>11</v>
      </c>
      <c r="E345" t="s">
        <v>23</v>
      </c>
      <c r="F345" s="9"/>
      <c r="G345" s="9">
        <v>45679</v>
      </c>
      <c r="H345" t="s">
        <v>22</v>
      </c>
      <c r="I345" s="11">
        <v>12</v>
      </c>
      <c r="J345" t="str">
        <f>IF(I345="","",IFERROR(IF(INDEX([1]ListadoFichasDeProduccion!LQ:MB,MATCH(A345,[1]ListadoFichasDeProduccion!A:A,0),K345)=0,"",INDEX([1]ListadoFichasDeProduccion!LQ:MB,MATCH(A345,[1]ListadoFichasDeProduccion!A:A,0),K345)),""))</f>
        <v/>
      </c>
      <c r="K345" s="11">
        <v>1</v>
      </c>
    </row>
    <row r="346" spans="1:11" hidden="1" x14ac:dyDescent="0.3">
      <c r="A346" s="11">
        <v>1586</v>
      </c>
      <c r="B346" s="8" t="str">
        <f>VLOOKUP(A346,[1]ListadoFichasDeProduccion!$A$2:$LP$3000,328,FALSE)</f>
        <v>COMPLETADO</v>
      </c>
      <c r="C346" s="11">
        <v>22</v>
      </c>
      <c r="D346" t="s">
        <v>11</v>
      </c>
      <c r="E346" t="s">
        <v>23</v>
      </c>
      <c r="F346" s="9"/>
      <c r="G346" s="9">
        <v>45679</v>
      </c>
      <c r="H346" t="s">
        <v>24</v>
      </c>
      <c r="I346" s="11">
        <v>10</v>
      </c>
      <c r="J346" t="str">
        <f>IF(I346="","",IFERROR(IF(INDEX([1]ListadoFichasDeProduccion!LQ:MB,MATCH(A346,[1]ListadoFichasDeProduccion!A:A,0),K346)=0,"",INDEX([1]ListadoFichasDeProduccion!LQ:MB,MATCH(A346,[1]ListadoFichasDeProduccion!A:A,0),K346)),""))</f>
        <v/>
      </c>
      <c r="K346" s="11">
        <v>2</v>
      </c>
    </row>
    <row r="347" spans="1:11" hidden="1" x14ac:dyDescent="0.3">
      <c r="A347" s="11">
        <v>1764</v>
      </c>
      <c r="B347" s="8" t="str">
        <f>VLOOKUP(A347,[1]ListadoFichasDeProduccion!$A$2:$LP$3000,328,FALSE)</f>
        <v>COMPLETADO</v>
      </c>
      <c r="C347" s="11">
        <v>30</v>
      </c>
      <c r="D347" t="s">
        <v>11</v>
      </c>
      <c r="E347" t="s">
        <v>23</v>
      </c>
      <c r="G347" s="9">
        <v>45779</v>
      </c>
      <c r="H347" t="s">
        <v>35</v>
      </c>
      <c r="I347" s="11">
        <v>4</v>
      </c>
      <c r="J347" t="str">
        <f>IF(I347="","",IFERROR(IF(INDEX([1]ListadoFichasDeProduccion!LQ:MB,MATCH(A347,[1]ListadoFichasDeProduccion!A:A,0),K347)=0,"",INDEX([1]ListadoFichasDeProduccion!LQ:MB,MATCH(A347,[1]ListadoFichasDeProduccion!A:A,0),K347)),""))</f>
        <v/>
      </c>
      <c r="K347" s="11">
        <v>1</v>
      </c>
    </row>
    <row r="348" spans="1:11" hidden="1" x14ac:dyDescent="0.3">
      <c r="A348" s="11">
        <v>1764</v>
      </c>
      <c r="B348" s="8" t="str">
        <f>VLOOKUP(A348,[1]ListadoFichasDeProduccion!$A$2:$LP$3000,328,FALSE)</f>
        <v>COMPLETADO</v>
      </c>
      <c r="C348" s="11">
        <v>30</v>
      </c>
      <c r="D348" t="s">
        <v>11</v>
      </c>
      <c r="E348" t="s">
        <v>23</v>
      </c>
      <c r="G348" s="9">
        <v>45779</v>
      </c>
      <c r="H348" t="s">
        <v>40</v>
      </c>
      <c r="I348" s="11">
        <v>6</v>
      </c>
      <c r="J348" t="str">
        <f>IF(I348="","",IFERROR(IF(INDEX([1]ListadoFichasDeProduccion!LQ:MB,MATCH(A348,[1]ListadoFichasDeProduccion!A:A,0),K348)=0,"",INDEX([1]ListadoFichasDeProduccion!LQ:MB,MATCH(A348,[1]ListadoFichasDeProduccion!A:A,0),K348)),""))</f>
        <v/>
      </c>
      <c r="K348" s="11">
        <v>2</v>
      </c>
    </row>
    <row r="349" spans="1:11" hidden="1" x14ac:dyDescent="0.3">
      <c r="A349" s="11">
        <v>1764</v>
      </c>
      <c r="B349" s="8" t="str">
        <f>VLOOKUP(A349,[1]ListadoFichasDeProduccion!$A$2:$LP$3000,328,FALSE)</f>
        <v>COMPLETADO</v>
      </c>
      <c r="C349" s="11">
        <v>30</v>
      </c>
      <c r="D349" t="s">
        <v>11</v>
      </c>
      <c r="E349" t="s">
        <v>23</v>
      </c>
      <c r="G349" s="9">
        <v>45779</v>
      </c>
      <c r="H349" t="s">
        <v>22</v>
      </c>
      <c r="I349" s="11">
        <v>5</v>
      </c>
      <c r="J349" t="str">
        <f>IF(I349="","",IFERROR(IF(INDEX([1]ListadoFichasDeProduccion!LQ:MB,MATCH(A349,[1]ListadoFichasDeProduccion!A:A,0),K349)=0,"",INDEX([1]ListadoFichasDeProduccion!LQ:MB,MATCH(A349,[1]ListadoFichasDeProduccion!A:A,0),K349)),""))</f>
        <v/>
      </c>
      <c r="K349" s="11">
        <v>3</v>
      </c>
    </row>
    <row r="350" spans="1:11" hidden="1" x14ac:dyDescent="0.3">
      <c r="A350" s="11">
        <v>1764</v>
      </c>
      <c r="B350" s="8" t="str">
        <f>VLOOKUP(A350,[1]ListadoFichasDeProduccion!$A$2:$LP$3000,328,FALSE)</f>
        <v>COMPLETADO</v>
      </c>
      <c r="C350" s="11">
        <v>30</v>
      </c>
      <c r="D350" t="s">
        <v>11</v>
      </c>
      <c r="E350" t="s">
        <v>23</v>
      </c>
      <c r="G350" s="9">
        <v>45779</v>
      </c>
      <c r="H350" t="s">
        <v>39</v>
      </c>
      <c r="I350" s="11">
        <v>5</v>
      </c>
      <c r="J350" t="str">
        <f>IF(I350="","",IFERROR(IF(INDEX([1]ListadoFichasDeProduccion!LQ:MB,MATCH(A350,[1]ListadoFichasDeProduccion!A:A,0),K350)=0,"",INDEX([1]ListadoFichasDeProduccion!LQ:MB,MATCH(A350,[1]ListadoFichasDeProduccion!A:A,0),K350)),""))</f>
        <v/>
      </c>
      <c r="K350" s="11">
        <v>4</v>
      </c>
    </row>
    <row r="351" spans="1:11" hidden="1" x14ac:dyDescent="0.3">
      <c r="A351" s="11">
        <v>1764</v>
      </c>
      <c r="B351" s="8" t="str">
        <f>VLOOKUP(A351,[1]ListadoFichasDeProduccion!$A$2:$LP$3000,328,FALSE)</f>
        <v>COMPLETADO</v>
      </c>
      <c r="C351" s="11">
        <v>30</v>
      </c>
      <c r="D351" t="s">
        <v>11</v>
      </c>
      <c r="E351" t="s">
        <v>23</v>
      </c>
      <c r="G351" s="9">
        <v>45779</v>
      </c>
      <c r="H351" t="s">
        <v>56</v>
      </c>
      <c r="I351" s="11">
        <v>10</v>
      </c>
      <c r="J351" t="str">
        <f>IF(I351="","",IFERROR(IF(INDEX([1]ListadoFichasDeProduccion!LQ:MB,MATCH(A351,[1]ListadoFichasDeProduccion!A:A,0),K351)=0,"",INDEX([1]ListadoFichasDeProduccion!LQ:MB,MATCH(A351,[1]ListadoFichasDeProduccion!A:A,0),K351)),""))</f>
        <v/>
      </c>
      <c r="K351" s="11">
        <v>5</v>
      </c>
    </row>
    <row r="352" spans="1:11" hidden="1" x14ac:dyDescent="0.3">
      <c r="A352" s="11">
        <v>1850</v>
      </c>
      <c r="B352" s="8" t="str">
        <f>VLOOKUP(A352,[1]ListadoFichasDeProduccion!$A$2:$LP$3000,328,FALSE)</f>
        <v>COMPLETADO</v>
      </c>
      <c r="C352" s="11">
        <v>18</v>
      </c>
      <c r="D352" t="s">
        <v>11</v>
      </c>
      <c r="E352" t="s">
        <v>23</v>
      </c>
      <c r="G352" s="9">
        <v>45832</v>
      </c>
      <c r="H352" t="s">
        <v>24</v>
      </c>
      <c r="I352" s="11">
        <v>9</v>
      </c>
      <c r="J352" t="str">
        <f>IF(I352="","",IFERROR(IF(INDEX([1]ListadoFichasDeProduccion!LQ:MB,MATCH(A352,[1]ListadoFichasDeProduccion!A:A,0),K352)=0,"",INDEX([1]ListadoFichasDeProduccion!LQ:MB,MATCH(A352,[1]ListadoFichasDeProduccion!A:A,0),K352)),""))</f>
        <v/>
      </c>
      <c r="K352" s="11">
        <v>1</v>
      </c>
    </row>
    <row r="353" spans="1:11" hidden="1" x14ac:dyDescent="0.3">
      <c r="A353" s="11">
        <v>1850</v>
      </c>
      <c r="B353" s="8" t="str">
        <f>VLOOKUP(A353,[1]ListadoFichasDeProduccion!$A$2:$LP$3000,328,FALSE)</f>
        <v>COMPLETADO</v>
      </c>
      <c r="C353" s="11">
        <v>18</v>
      </c>
      <c r="D353" t="s">
        <v>11</v>
      </c>
      <c r="E353" t="s">
        <v>23</v>
      </c>
      <c r="G353" s="9">
        <v>45832</v>
      </c>
      <c r="H353" t="s">
        <v>22</v>
      </c>
      <c r="I353" s="11">
        <v>9</v>
      </c>
      <c r="J353" t="str">
        <f>IF(I353="","",IFERROR(IF(INDEX([1]ListadoFichasDeProduccion!LQ:MB,MATCH(A353,[1]ListadoFichasDeProduccion!A:A,0),K353)=0,"",INDEX([1]ListadoFichasDeProduccion!LQ:MB,MATCH(A353,[1]ListadoFichasDeProduccion!A:A,0),K353)),""))</f>
        <v/>
      </c>
      <c r="K353" s="11">
        <v>2</v>
      </c>
    </row>
    <row r="354" spans="1:11" hidden="1" x14ac:dyDescent="0.3">
      <c r="A354" s="11">
        <v>1942</v>
      </c>
      <c r="B354" t="str">
        <f>VLOOKUP(A354,[1]ListadoFichasDeProduccion!$A$2:$LP$3000,328,FALSE)</f>
        <v>COMPLETADO</v>
      </c>
      <c r="C354" s="11">
        <v>36</v>
      </c>
      <c r="D354" t="s">
        <v>11</v>
      </c>
      <c r="E354" t="s">
        <v>23</v>
      </c>
      <c r="G354" s="9">
        <v>45884</v>
      </c>
      <c r="H354" t="s">
        <v>35</v>
      </c>
      <c r="I354" s="11">
        <v>9</v>
      </c>
      <c r="J354" t="str">
        <f>IF(I354="","",IFERROR(IF(INDEX([1]ListadoFichasDeProduccion!LQ:MB,MATCH(A354,[1]ListadoFichasDeProduccion!A:A,0),K354)=0,"",INDEX([1]ListadoFichasDeProduccion!LQ:MB,MATCH(A354,[1]ListadoFichasDeProduccion!A:A,0),K354)),""))</f>
        <v/>
      </c>
      <c r="K354" s="11">
        <v>1</v>
      </c>
    </row>
    <row r="355" spans="1:11" hidden="1" x14ac:dyDescent="0.3">
      <c r="A355" s="11">
        <v>1942</v>
      </c>
      <c r="B355" t="str">
        <f>VLOOKUP(A355,[1]ListadoFichasDeProduccion!$A$2:$LP$3000,328,FALSE)</f>
        <v>COMPLETADO</v>
      </c>
      <c r="C355" s="11">
        <v>36</v>
      </c>
      <c r="D355" t="s">
        <v>11</v>
      </c>
      <c r="E355" t="s">
        <v>23</v>
      </c>
      <c r="G355" s="9">
        <v>45884</v>
      </c>
      <c r="H355" t="s">
        <v>39</v>
      </c>
      <c r="I355" s="11">
        <v>6</v>
      </c>
      <c r="J355" t="str">
        <f>IF(I355="","",IFERROR(IF(INDEX([1]ListadoFichasDeProduccion!LQ:MB,MATCH(A355,[1]ListadoFichasDeProduccion!A:A,0),K355)=0,"",INDEX([1]ListadoFichasDeProduccion!LQ:MB,MATCH(A355,[1]ListadoFichasDeProduccion!A:A,0),K355)),""))</f>
        <v/>
      </c>
      <c r="K355" s="11">
        <v>2</v>
      </c>
    </row>
    <row r="356" spans="1:11" hidden="1" x14ac:dyDescent="0.3">
      <c r="A356" s="11">
        <v>1942</v>
      </c>
      <c r="B356" t="str">
        <f>VLOOKUP(A356,[1]ListadoFichasDeProduccion!$A$2:$LP$3000,328,FALSE)</f>
        <v>COMPLETADO</v>
      </c>
      <c r="C356" s="11">
        <v>36</v>
      </c>
      <c r="D356" t="s">
        <v>11</v>
      </c>
      <c r="E356" t="s">
        <v>23</v>
      </c>
      <c r="G356" s="9">
        <v>45884</v>
      </c>
      <c r="H356" t="s">
        <v>22</v>
      </c>
      <c r="I356" s="11">
        <v>9</v>
      </c>
      <c r="J356" t="str">
        <f>IF(I356="","",IFERROR(IF(INDEX([1]ListadoFichasDeProduccion!LQ:MB,MATCH(A356,[1]ListadoFichasDeProduccion!A:A,0),K356)=0,"",INDEX([1]ListadoFichasDeProduccion!LQ:MB,MATCH(A356,[1]ListadoFichasDeProduccion!A:A,0),K356)),""))</f>
        <v/>
      </c>
      <c r="K356" s="11">
        <v>3</v>
      </c>
    </row>
    <row r="357" spans="1:11" hidden="1" x14ac:dyDescent="0.3">
      <c r="A357" s="11">
        <v>1942</v>
      </c>
      <c r="B357" t="str">
        <f>VLOOKUP(A357,[1]ListadoFichasDeProduccion!$A$2:$LP$3000,328,FALSE)</f>
        <v>COMPLETADO</v>
      </c>
      <c r="C357" s="11">
        <v>36</v>
      </c>
      <c r="D357" t="s">
        <v>11</v>
      </c>
      <c r="E357" t="s">
        <v>23</v>
      </c>
      <c r="G357" s="9">
        <v>45884</v>
      </c>
      <c r="H357" t="s">
        <v>56</v>
      </c>
      <c r="I357" s="11">
        <v>12</v>
      </c>
      <c r="J357" t="str">
        <f>IF(I357="","",IFERROR(IF(INDEX([1]ListadoFichasDeProduccion!LQ:MB,MATCH(A357,[1]ListadoFichasDeProduccion!A:A,0),K357)=0,"",INDEX([1]ListadoFichasDeProduccion!LQ:MB,MATCH(A357,[1]ListadoFichasDeProduccion!A:A,0),K357)),""))</f>
        <v/>
      </c>
      <c r="K357" s="11">
        <v>4</v>
      </c>
    </row>
    <row r="358" spans="1:11" hidden="1" x14ac:dyDescent="0.3">
      <c r="A358" s="11" t="s">
        <v>314</v>
      </c>
      <c r="B358" t="str">
        <f>VLOOKUP(A358,[1]ListadoFichasDeProduccion!$A$2:$LP$3000,328,FALSE)</f>
        <v>COMPLETADO</v>
      </c>
      <c r="C358" s="11">
        <v>16</v>
      </c>
      <c r="D358" t="s">
        <v>11</v>
      </c>
      <c r="E358" t="s">
        <v>23</v>
      </c>
      <c r="G358" s="9">
        <v>45917</v>
      </c>
      <c r="H358" t="s">
        <v>24</v>
      </c>
      <c r="I358" s="11">
        <v>10</v>
      </c>
      <c r="J358" t="str">
        <f>IF(I358="","",IFERROR(IF(INDEX([1]ListadoFichasDeProduccion!LQ:MB,MATCH(A358,[1]ListadoFichasDeProduccion!A:A,0),K358)=0,"",INDEX([1]ListadoFichasDeProduccion!LQ:MB,MATCH(A358,[1]ListadoFichasDeProduccion!A:A,0),K358)),""))</f>
        <v/>
      </c>
      <c r="K358" s="11">
        <v>1</v>
      </c>
    </row>
    <row r="359" spans="1:11" hidden="1" x14ac:dyDescent="0.3">
      <c r="A359" s="11" t="s">
        <v>314</v>
      </c>
      <c r="B359" t="str">
        <f>VLOOKUP(A359,[1]ListadoFichasDeProduccion!$A$2:$LP$3000,328,FALSE)</f>
        <v>COMPLETADO</v>
      </c>
      <c r="C359" s="11">
        <v>16</v>
      </c>
      <c r="D359" t="s">
        <v>11</v>
      </c>
      <c r="E359" t="s">
        <v>23</v>
      </c>
      <c r="G359" s="9">
        <v>45917</v>
      </c>
      <c r="H359" t="s">
        <v>39</v>
      </c>
      <c r="I359" s="11">
        <v>6</v>
      </c>
      <c r="J359" t="str">
        <f>IF(I359="","",IFERROR(IF(INDEX([1]ListadoFichasDeProduccion!LQ:MB,MATCH(A359,[1]ListadoFichasDeProduccion!A:A,0),K359)=0,"",INDEX([1]ListadoFichasDeProduccion!LQ:MB,MATCH(A359,[1]ListadoFichasDeProduccion!A:A,0),K359)),""))</f>
        <v/>
      </c>
      <c r="K359" s="11">
        <v>2</v>
      </c>
    </row>
    <row r="360" spans="1:11" hidden="1" x14ac:dyDescent="0.3">
      <c r="A360" s="11" t="s">
        <v>449</v>
      </c>
      <c r="B360" t="str">
        <f>VLOOKUP(A360,[1]ListadoFichasDeProduccion!$A$2:$LP$3000,328,FALSE)</f>
        <v>COMPLETADO</v>
      </c>
      <c r="C360" s="11">
        <v>22</v>
      </c>
      <c r="D360" t="s">
        <v>11</v>
      </c>
      <c r="E360" t="s">
        <v>23</v>
      </c>
      <c r="G360" s="9">
        <v>45961</v>
      </c>
      <c r="H360" t="s">
        <v>39</v>
      </c>
      <c r="I360" s="11">
        <v>6</v>
      </c>
      <c r="J360" t="str">
        <f>IF(I360="","",IFERROR(IF(INDEX([1]ListadoFichasDeProduccion!LQ:MB,MATCH(A360,[1]ListadoFichasDeProduccion!A:A,0),K360)=0,"",INDEX([1]ListadoFichasDeProduccion!LQ:MB,MATCH(A360,[1]ListadoFichasDeProduccion!A:A,0),K360)),""))</f>
        <v/>
      </c>
      <c r="K360" s="11">
        <v>1</v>
      </c>
    </row>
    <row r="361" spans="1:11" hidden="1" x14ac:dyDescent="0.3">
      <c r="A361" s="11" t="s">
        <v>449</v>
      </c>
      <c r="B361" t="str">
        <f>VLOOKUP(A361,[1]ListadoFichasDeProduccion!$A$2:$LP$3000,328,FALSE)</f>
        <v>COMPLETADO</v>
      </c>
      <c r="C361" s="11">
        <v>22</v>
      </c>
      <c r="D361" t="s">
        <v>11</v>
      </c>
      <c r="E361" t="s">
        <v>23</v>
      </c>
      <c r="G361" s="9">
        <v>45961</v>
      </c>
      <c r="H361" t="s">
        <v>40</v>
      </c>
      <c r="I361" s="11">
        <v>12</v>
      </c>
      <c r="J361" t="str">
        <f>IF(I361="","",IFERROR(IF(INDEX([1]ListadoFichasDeProduccion!LQ:MB,MATCH(A361,[1]ListadoFichasDeProduccion!A:A,0),K361)=0,"",INDEX([1]ListadoFichasDeProduccion!LQ:MB,MATCH(A361,[1]ListadoFichasDeProduccion!A:A,0),K361)),""))</f>
        <v/>
      </c>
      <c r="K361" s="11">
        <v>2</v>
      </c>
    </row>
    <row r="362" spans="1:11" hidden="1" x14ac:dyDescent="0.3">
      <c r="A362" s="11" t="s">
        <v>449</v>
      </c>
      <c r="B362" t="str">
        <f>VLOOKUP(A362,[1]ListadoFichasDeProduccion!$A$2:$LP$3000,328,FALSE)</f>
        <v>COMPLETADO</v>
      </c>
      <c r="C362" s="11">
        <v>22</v>
      </c>
      <c r="D362" t="s">
        <v>11</v>
      </c>
      <c r="E362" t="s">
        <v>23</v>
      </c>
      <c r="G362" s="9">
        <v>45961</v>
      </c>
      <c r="H362" t="s">
        <v>24</v>
      </c>
      <c r="I362" s="11">
        <v>4</v>
      </c>
      <c r="J362" t="str">
        <f>IF(I362="","",IFERROR(IF(INDEX([1]ListadoFichasDeProduccion!LQ:MB,MATCH(A362,[1]ListadoFichasDeProduccion!A:A,0),K362)=0,"",INDEX([1]ListadoFichasDeProduccion!LQ:MB,MATCH(A362,[1]ListadoFichasDeProduccion!A:A,0),K362)),""))</f>
        <v/>
      </c>
      <c r="K362" s="11">
        <v>3</v>
      </c>
    </row>
    <row r="363" spans="1:11" hidden="1" x14ac:dyDescent="0.3">
      <c r="A363" s="11" t="s">
        <v>475</v>
      </c>
      <c r="B363" t="str">
        <f>VLOOKUP(A363,[1]ListadoFichasDeProduccion!$A$2:$LP$3000,328,FALSE)</f>
        <v>COMPLETADO</v>
      </c>
      <c r="C363" s="11">
        <v>6</v>
      </c>
      <c r="D363" t="s">
        <v>11</v>
      </c>
      <c r="E363" t="s">
        <v>23</v>
      </c>
      <c r="G363" s="9">
        <v>45968</v>
      </c>
      <c r="H363" t="s">
        <v>35</v>
      </c>
      <c r="I363" s="11">
        <v>6</v>
      </c>
      <c r="J363" t="str">
        <f>IF(I363="","",IFERROR(IF(INDEX([1]ListadoFichasDeProduccion!LQ:MB,MATCH(A363,[1]ListadoFichasDeProduccion!A:A,0),K363)=0,"",INDEX([1]ListadoFichasDeProduccion!LQ:MB,MATCH(A363,[1]ListadoFichasDeProduccion!A:A,0),K363)),""))</f>
        <v/>
      </c>
      <c r="K363" s="11">
        <v>2</v>
      </c>
    </row>
    <row r="364" spans="1:11" x14ac:dyDescent="0.3">
      <c r="A364" s="11" t="s">
        <v>493</v>
      </c>
      <c r="B364" t="str">
        <f>VLOOKUP(A364,[1]ListadoFichasDeProduccion!$A$2:$LP$3000,328,FALSE)</f>
        <v>NO COMENZADO</v>
      </c>
      <c r="C364" s="11">
        <v>14</v>
      </c>
      <c r="D364" t="s">
        <v>11</v>
      </c>
      <c r="E364" t="s">
        <v>23</v>
      </c>
      <c r="H364" t="s">
        <v>22</v>
      </c>
      <c r="I364" s="11">
        <v>14</v>
      </c>
      <c r="J364" t="str">
        <f>IF(I364="","",IFERROR(IF(INDEX([1]ListadoFichasDeProduccion!LQ:MB,MATCH(A364,[1]ListadoFichasDeProduccion!A:A,0),K364)=0,"",INDEX([1]ListadoFichasDeProduccion!LQ:MB,MATCH(A364,[1]ListadoFichasDeProduccion!A:A,0),K364)),""))</f>
        <v/>
      </c>
      <c r="K364" s="11">
        <v>1</v>
      </c>
    </row>
    <row r="365" spans="1:11" hidden="1" x14ac:dyDescent="0.3">
      <c r="A365" s="11">
        <v>1655</v>
      </c>
      <c r="B365" s="8" t="str">
        <f>VLOOKUP(A365,[1]ListadoFichasDeProduccion!$A$2:$LP$3000,328,FALSE)</f>
        <v>COMPLETADO</v>
      </c>
      <c r="C365" s="11">
        <v>20</v>
      </c>
      <c r="D365" t="s">
        <v>11</v>
      </c>
      <c r="E365" t="s">
        <v>104</v>
      </c>
      <c r="G365" s="9">
        <v>45712</v>
      </c>
      <c r="H365" t="s">
        <v>27</v>
      </c>
      <c r="I365" s="11">
        <v>3</v>
      </c>
      <c r="J365" t="str">
        <f>IF(I365="","",IFERROR(IF(INDEX([1]ListadoFichasDeProduccion!LQ:MB,MATCH(A365,[1]ListadoFichasDeProduccion!A:A,0),K365)=0,"",INDEX([1]ListadoFichasDeProduccion!LQ:MB,MATCH(A365,[1]ListadoFichasDeProduccion!A:A,0),K365)),""))</f>
        <v/>
      </c>
      <c r="K365" s="11">
        <v>1</v>
      </c>
    </row>
    <row r="366" spans="1:11" hidden="1" x14ac:dyDescent="0.3">
      <c r="A366" s="11">
        <v>1655</v>
      </c>
      <c r="B366" s="8" t="str">
        <f>VLOOKUP(A366,[1]ListadoFichasDeProduccion!$A$2:$LP$3000,328,FALSE)</f>
        <v>COMPLETADO</v>
      </c>
      <c r="C366" s="11">
        <v>20</v>
      </c>
      <c r="D366" t="s">
        <v>11</v>
      </c>
      <c r="E366" t="s">
        <v>104</v>
      </c>
      <c r="G366" s="9">
        <v>45712</v>
      </c>
      <c r="H366" t="s">
        <v>31</v>
      </c>
      <c r="I366" s="11">
        <v>2</v>
      </c>
      <c r="J366" t="str">
        <f>IF(I366="","",IFERROR(IF(INDEX([1]ListadoFichasDeProduccion!LQ:MB,MATCH(A366,[1]ListadoFichasDeProduccion!A:A,0),K366)=0,"",INDEX([1]ListadoFichasDeProduccion!LQ:MB,MATCH(A366,[1]ListadoFichasDeProduccion!A:A,0),K366)),""))</f>
        <v/>
      </c>
      <c r="K366" s="11">
        <v>2</v>
      </c>
    </row>
    <row r="367" spans="1:11" hidden="1" x14ac:dyDescent="0.3">
      <c r="A367" s="11">
        <v>1655</v>
      </c>
      <c r="B367" s="8" t="str">
        <f>VLOOKUP(A367,[1]ListadoFichasDeProduccion!$A$2:$LP$3000,328,FALSE)</f>
        <v>COMPLETADO</v>
      </c>
      <c r="C367" s="11">
        <v>20</v>
      </c>
      <c r="D367" t="s">
        <v>11</v>
      </c>
      <c r="E367" t="s">
        <v>104</v>
      </c>
      <c r="G367" s="9">
        <v>45712</v>
      </c>
      <c r="H367" t="s">
        <v>28</v>
      </c>
      <c r="I367" s="11">
        <v>3</v>
      </c>
      <c r="J367" t="str">
        <f>IF(I367="","",IFERROR(IF(INDEX([1]ListadoFichasDeProduccion!LQ:MB,MATCH(A367,[1]ListadoFichasDeProduccion!A:A,0),K367)=0,"",INDEX([1]ListadoFichasDeProduccion!LQ:MB,MATCH(A367,[1]ListadoFichasDeProduccion!A:A,0),K367)),""))</f>
        <v/>
      </c>
      <c r="K367" s="11">
        <v>3</v>
      </c>
    </row>
    <row r="368" spans="1:11" hidden="1" x14ac:dyDescent="0.3">
      <c r="A368" s="11">
        <v>1655</v>
      </c>
      <c r="B368" s="8" t="str">
        <f>VLOOKUP(A368,[1]ListadoFichasDeProduccion!$A$2:$LP$3000,328,FALSE)</f>
        <v>COMPLETADO</v>
      </c>
      <c r="C368" s="11">
        <v>20</v>
      </c>
      <c r="D368" t="s">
        <v>11</v>
      </c>
      <c r="E368" t="s">
        <v>104</v>
      </c>
      <c r="G368" s="9">
        <v>45712</v>
      </c>
      <c r="H368" t="s">
        <v>32</v>
      </c>
      <c r="I368" s="11">
        <v>6</v>
      </c>
      <c r="J368" t="str">
        <f>IF(I368="","",IFERROR(IF(INDEX([1]ListadoFichasDeProduccion!LQ:MB,MATCH(A368,[1]ListadoFichasDeProduccion!A:A,0),K368)=0,"",INDEX([1]ListadoFichasDeProduccion!LQ:MB,MATCH(A368,[1]ListadoFichasDeProduccion!A:A,0),K368)),""))</f>
        <v/>
      </c>
      <c r="K368" s="11">
        <v>4</v>
      </c>
    </row>
    <row r="369" spans="1:11" hidden="1" x14ac:dyDescent="0.3">
      <c r="A369" s="11">
        <v>1655</v>
      </c>
      <c r="B369" s="8" t="str">
        <f>VLOOKUP(A369,[1]ListadoFichasDeProduccion!$A$2:$LP$3000,328,FALSE)</f>
        <v>COMPLETADO</v>
      </c>
      <c r="C369" s="11">
        <v>20</v>
      </c>
      <c r="D369" t="s">
        <v>11</v>
      </c>
      <c r="E369" t="s">
        <v>104</v>
      </c>
      <c r="G369" s="9">
        <v>45712</v>
      </c>
      <c r="H369" t="s">
        <v>36</v>
      </c>
      <c r="I369" s="11">
        <v>6</v>
      </c>
      <c r="J369" t="str">
        <f>IF(I369="","",IFERROR(IF(INDEX([1]ListadoFichasDeProduccion!LQ:MB,MATCH(A369,[1]ListadoFichasDeProduccion!A:A,0),K369)=0,"",INDEX([1]ListadoFichasDeProduccion!LQ:MB,MATCH(A369,[1]ListadoFichasDeProduccion!A:A,0),K369)),""))</f>
        <v/>
      </c>
      <c r="K369" s="11">
        <v>5</v>
      </c>
    </row>
    <row r="370" spans="1:11" hidden="1" x14ac:dyDescent="0.3">
      <c r="A370" s="11">
        <v>1748</v>
      </c>
      <c r="B370" s="8" t="str">
        <f>VLOOKUP(A370,[1]ListadoFichasDeProduccion!$A$2:$LP$3000,328,FALSE)</f>
        <v>COMPLETADO</v>
      </c>
      <c r="C370" s="11">
        <v>37</v>
      </c>
      <c r="D370" t="s">
        <v>11</v>
      </c>
      <c r="E370" t="s">
        <v>104</v>
      </c>
      <c r="G370" s="9">
        <v>45763</v>
      </c>
      <c r="H370" t="s">
        <v>51</v>
      </c>
      <c r="I370" s="11">
        <v>6</v>
      </c>
      <c r="J370" t="str">
        <f>IF(I370="","",IFERROR(IF(INDEX([1]ListadoFichasDeProduccion!LQ:MB,MATCH(A370,[1]ListadoFichasDeProduccion!A:A,0),K370)=0,"",INDEX([1]ListadoFichasDeProduccion!LQ:MB,MATCH(A370,[1]ListadoFichasDeProduccion!A:A,0),K370)),""))</f>
        <v/>
      </c>
      <c r="K370" s="11">
        <v>1</v>
      </c>
    </row>
    <row r="371" spans="1:11" hidden="1" x14ac:dyDescent="0.3">
      <c r="A371" s="11">
        <v>1748</v>
      </c>
      <c r="B371" s="8" t="str">
        <f>VLOOKUP(A371,[1]ListadoFichasDeProduccion!$A$2:$LP$3000,328,FALSE)</f>
        <v>COMPLETADO</v>
      </c>
      <c r="C371" s="11">
        <v>37</v>
      </c>
      <c r="D371" t="s">
        <v>11</v>
      </c>
      <c r="E371" t="s">
        <v>104</v>
      </c>
      <c r="G371" s="9">
        <v>45763</v>
      </c>
      <c r="H371" t="s">
        <v>31</v>
      </c>
      <c r="I371" s="11">
        <v>6</v>
      </c>
      <c r="J371" t="str">
        <f>IF(I371="","",IFERROR(IF(INDEX([1]ListadoFichasDeProduccion!LQ:MB,MATCH(A371,[1]ListadoFichasDeProduccion!A:A,0),K371)=0,"",INDEX([1]ListadoFichasDeProduccion!LQ:MB,MATCH(A371,[1]ListadoFichasDeProduccion!A:A,0),K371)),""))</f>
        <v/>
      </c>
      <c r="K371" s="11">
        <v>2</v>
      </c>
    </row>
    <row r="372" spans="1:11" hidden="1" x14ac:dyDescent="0.3">
      <c r="A372" s="11">
        <v>1748</v>
      </c>
      <c r="B372" s="8" t="str">
        <f>VLOOKUP(A372,[1]ListadoFichasDeProduccion!$A$2:$LP$3000,328,FALSE)</f>
        <v>COMPLETADO</v>
      </c>
      <c r="C372" s="11">
        <v>37</v>
      </c>
      <c r="D372" t="s">
        <v>11</v>
      </c>
      <c r="E372" t="s">
        <v>104</v>
      </c>
      <c r="G372" s="9">
        <v>45763</v>
      </c>
      <c r="H372" t="s">
        <v>28</v>
      </c>
      <c r="I372" s="11">
        <v>8</v>
      </c>
      <c r="J372" t="str">
        <f>IF(I372="","",IFERROR(IF(INDEX([1]ListadoFichasDeProduccion!LQ:MB,MATCH(A372,[1]ListadoFichasDeProduccion!A:A,0),K372)=0,"",INDEX([1]ListadoFichasDeProduccion!LQ:MB,MATCH(A372,[1]ListadoFichasDeProduccion!A:A,0),K372)),""))</f>
        <v/>
      </c>
      <c r="K372" s="11">
        <v>3</v>
      </c>
    </row>
    <row r="373" spans="1:11" hidden="1" x14ac:dyDescent="0.3">
      <c r="A373" s="11">
        <v>1748</v>
      </c>
      <c r="B373" s="8" t="str">
        <f>VLOOKUP(A373,[1]ListadoFichasDeProduccion!$A$2:$LP$3000,328,FALSE)</f>
        <v>COMPLETADO</v>
      </c>
      <c r="C373" s="11">
        <v>37</v>
      </c>
      <c r="D373" t="s">
        <v>11</v>
      </c>
      <c r="E373" t="s">
        <v>104</v>
      </c>
      <c r="G373" s="9">
        <v>45763</v>
      </c>
      <c r="H373" t="s">
        <v>44</v>
      </c>
      <c r="I373" s="11">
        <v>8</v>
      </c>
      <c r="J373" t="str">
        <f>IF(I373="","",IFERROR(IF(INDEX([1]ListadoFichasDeProduccion!LQ:MB,MATCH(A373,[1]ListadoFichasDeProduccion!A:A,0),K373)=0,"",INDEX([1]ListadoFichasDeProduccion!LQ:MB,MATCH(A373,[1]ListadoFichasDeProduccion!A:A,0),K373)),""))</f>
        <v/>
      </c>
      <c r="K373" s="11">
        <v>4</v>
      </c>
    </row>
    <row r="374" spans="1:11" hidden="1" x14ac:dyDescent="0.3">
      <c r="A374" s="11">
        <v>1748</v>
      </c>
      <c r="B374" s="8" t="str">
        <f>VLOOKUP(A374,[1]ListadoFichasDeProduccion!$A$2:$LP$3000,328,FALSE)</f>
        <v>COMPLETADO</v>
      </c>
      <c r="C374" s="11">
        <v>37</v>
      </c>
      <c r="D374" t="s">
        <v>11</v>
      </c>
      <c r="E374" t="s">
        <v>104</v>
      </c>
      <c r="G374" s="9">
        <v>45763</v>
      </c>
      <c r="H374" t="s">
        <v>27</v>
      </c>
      <c r="I374" s="11">
        <v>6</v>
      </c>
      <c r="J374" t="str">
        <f>IF(I374="","",IFERROR(IF(INDEX([1]ListadoFichasDeProduccion!LQ:MB,MATCH(A374,[1]ListadoFichasDeProduccion!A:A,0),K374)=0,"",INDEX([1]ListadoFichasDeProduccion!LQ:MB,MATCH(A374,[1]ListadoFichasDeProduccion!A:A,0),K374)),""))</f>
        <v/>
      </c>
      <c r="K374" s="11">
        <v>5</v>
      </c>
    </row>
    <row r="375" spans="1:11" hidden="1" x14ac:dyDescent="0.3">
      <c r="A375" s="11">
        <v>1748</v>
      </c>
      <c r="B375" s="8" t="str">
        <f>VLOOKUP(A375,[1]ListadoFichasDeProduccion!$A$2:$LP$3000,328,FALSE)</f>
        <v>COMPLETADO</v>
      </c>
      <c r="C375" s="11">
        <v>37</v>
      </c>
      <c r="D375" t="s">
        <v>11</v>
      </c>
      <c r="E375" t="s">
        <v>104</v>
      </c>
      <c r="G375" s="9">
        <v>45763</v>
      </c>
      <c r="H375" t="s">
        <v>159</v>
      </c>
      <c r="I375" s="11">
        <v>3</v>
      </c>
      <c r="J375" t="str">
        <f>IF(I375="","",IFERROR(IF(INDEX([1]ListadoFichasDeProduccion!LQ:MB,MATCH(A375,[1]ListadoFichasDeProduccion!A:A,0),K375)=0,"",INDEX([1]ListadoFichasDeProduccion!LQ:MB,MATCH(A375,[1]ListadoFichasDeProduccion!A:A,0),K375)),""))</f>
        <v/>
      </c>
      <c r="K375" s="11">
        <v>6</v>
      </c>
    </row>
    <row r="376" spans="1:11" hidden="1" x14ac:dyDescent="0.3">
      <c r="A376" s="11">
        <v>1851</v>
      </c>
      <c r="B376" s="8" t="str">
        <f>VLOOKUP(A376,[1]ListadoFichasDeProduccion!$A$2:$LP$3000,328,FALSE)</f>
        <v>COMPLETADO</v>
      </c>
      <c r="C376" s="11">
        <v>32</v>
      </c>
      <c r="D376" t="s">
        <v>11</v>
      </c>
      <c r="E376" t="s">
        <v>104</v>
      </c>
      <c r="G376" s="9">
        <v>45840</v>
      </c>
      <c r="H376" t="s">
        <v>51</v>
      </c>
      <c r="I376" s="11">
        <v>4</v>
      </c>
      <c r="J376" t="str">
        <f>IF(I376="","",IFERROR(IF(INDEX([1]ListadoFichasDeProduccion!LQ:MB,MATCH(A376,[1]ListadoFichasDeProduccion!A:A,0),K376)=0,"",INDEX([1]ListadoFichasDeProduccion!LQ:MB,MATCH(A376,[1]ListadoFichasDeProduccion!A:A,0),K376)),""))</f>
        <v/>
      </c>
      <c r="K376" s="11">
        <v>1</v>
      </c>
    </row>
    <row r="377" spans="1:11" hidden="1" x14ac:dyDescent="0.3">
      <c r="A377" s="11">
        <v>1851</v>
      </c>
      <c r="B377" s="8" t="str">
        <f>VLOOKUP(A377,[1]ListadoFichasDeProduccion!$A$2:$LP$3000,328,FALSE)</f>
        <v>COMPLETADO</v>
      </c>
      <c r="C377" s="11">
        <v>32</v>
      </c>
      <c r="D377" t="s">
        <v>11</v>
      </c>
      <c r="E377" t="s">
        <v>104</v>
      </c>
      <c r="G377" s="9">
        <v>45840</v>
      </c>
      <c r="H377" t="s">
        <v>31</v>
      </c>
      <c r="I377" s="11">
        <v>6</v>
      </c>
      <c r="J377" t="str">
        <f>IF(I377="","",IFERROR(IF(INDEX([1]ListadoFichasDeProduccion!LQ:MB,MATCH(A377,[1]ListadoFichasDeProduccion!A:A,0),K377)=0,"",INDEX([1]ListadoFichasDeProduccion!LQ:MB,MATCH(A377,[1]ListadoFichasDeProduccion!A:A,0),K377)),""))</f>
        <v/>
      </c>
      <c r="K377" s="11">
        <v>2</v>
      </c>
    </row>
    <row r="378" spans="1:11" hidden="1" x14ac:dyDescent="0.3">
      <c r="A378" s="11">
        <v>1851</v>
      </c>
      <c r="B378" s="8" t="str">
        <f>VLOOKUP(A378,[1]ListadoFichasDeProduccion!$A$2:$LP$3000,328,FALSE)</f>
        <v>COMPLETADO</v>
      </c>
      <c r="C378" s="11">
        <v>32</v>
      </c>
      <c r="D378" t="s">
        <v>11</v>
      </c>
      <c r="E378" t="s">
        <v>104</v>
      </c>
      <c r="G378" s="9">
        <v>45840</v>
      </c>
      <c r="H378" t="s">
        <v>28</v>
      </c>
      <c r="I378" s="11">
        <v>8</v>
      </c>
      <c r="J378" t="str">
        <f>IF(I378="","",IFERROR(IF(INDEX([1]ListadoFichasDeProduccion!LQ:MB,MATCH(A378,[1]ListadoFichasDeProduccion!A:A,0),K378)=0,"",INDEX([1]ListadoFichasDeProduccion!LQ:MB,MATCH(A378,[1]ListadoFichasDeProduccion!A:A,0),K378)),""))</f>
        <v/>
      </c>
      <c r="K378" s="11">
        <v>3</v>
      </c>
    </row>
    <row r="379" spans="1:11" hidden="1" x14ac:dyDescent="0.3">
      <c r="A379" s="11">
        <v>1851</v>
      </c>
      <c r="B379" s="8" t="str">
        <f>VLOOKUP(A379,[1]ListadoFichasDeProduccion!$A$2:$LP$3000,328,FALSE)</f>
        <v>COMPLETADO</v>
      </c>
      <c r="C379" s="11">
        <v>32</v>
      </c>
      <c r="D379" t="s">
        <v>11</v>
      </c>
      <c r="E379" t="s">
        <v>104</v>
      </c>
      <c r="G379" s="9">
        <v>45840</v>
      </c>
      <c r="H379" t="s">
        <v>44</v>
      </c>
      <c r="I379" s="11">
        <v>4</v>
      </c>
      <c r="J379" t="str">
        <f>IF(I379="","",IFERROR(IF(INDEX([1]ListadoFichasDeProduccion!LQ:MB,MATCH(A379,[1]ListadoFichasDeProduccion!A:A,0),K379)=0,"",INDEX([1]ListadoFichasDeProduccion!LQ:MB,MATCH(A379,[1]ListadoFichasDeProduccion!A:A,0),K379)),""))</f>
        <v/>
      </c>
      <c r="K379" s="11">
        <v>4</v>
      </c>
    </row>
    <row r="380" spans="1:11" hidden="1" x14ac:dyDescent="0.3">
      <c r="A380" s="11">
        <v>1851</v>
      </c>
      <c r="B380" s="8" t="str">
        <f>VLOOKUP(A380,[1]ListadoFichasDeProduccion!$A$2:$LP$3000,328,FALSE)</f>
        <v>COMPLETADO</v>
      </c>
      <c r="C380" s="11">
        <v>32</v>
      </c>
      <c r="D380" t="s">
        <v>11</v>
      </c>
      <c r="E380" t="s">
        <v>104</v>
      </c>
      <c r="G380" s="9">
        <v>45840</v>
      </c>
      <c r="H380" t="s">
        <v>27</v>
      </c>
      <c r="I380" s="11">
        <v>6</v>
      </c>
      <c r="J380" t="str">
        <f>IF(I380="","",IFERROR(IF(INDEX([1]ListadoFichasDeProduccion!LQ:MB,MATCH(A380,[1]ListadoFichasDeProduccion!A:A,0),K380)=0,"",INDEX([1]ListadoFichasDeProduccion!LQ:MB,MATCH(A380,[1]ListadoFichasDeProduccion!A:A,0),K380)),""))</f>
        <v/>
      </c>
      <c r="K380" s="11">
        <v>5</v>
      </c>
    </row>
    <row r="381" spans="1:11" hidden="1" x14ac:dyDescent="0.3">
      <c r="A381" s="11">
        <v>1851</v>
      </c>
      <c r="B381" s="8" t="str">
        <f>VLOOKUP(A381,[1]ListadoFichasDeProduccion!$A$2:$LP$3000,328,FALSE)</f>
        <v>COMPLETADO</v>
      </c>
      <c r="C381" s="11">
        <v>32</v>
      </c>
      <c r="D381" t="s">
        <v>11</v>
      </c>
      <c r="E381" t="s">
        <v>104</v>
      </c>
      <c r="G381" s="9">
        <v>45840</v>
      </c>
      <c r="H381" t="s">
        <v>159</v>
      </c>
      <c r="I381" s="11">
        <v>4</v>
      </c>
      <c r="J381" t="str">
        <f>IF(I381="","",IFERROR(IF(INDEX([1]ListadoFichasDeProduccion!LQ:MB,MATCH(A381,[1]ListadoFichasDeProduccion!A:A,0),K381)=0,"",INDEX([1]ListadoFichasDeProduccion!LQ:MB,MATCH(A381,[1]ListadoFichasDeProduccion!A:A,0),K381)),""))</f>
        <v/>
      </c>
      <c r="K381" s="11">
        <v>6</v>
      </c>
    </row>
    <row r="382" spans="1:11" hidden="1" x14ac:dyDescent="0.3">
      <c r="A382" s="11" t="s">
        <v>285</v>
      </c>
      <c r="B382" t="str">
        <f>VLOOKUP(A382,[1]ListadoFichasDeProduccion!$A$2:$LP$3000,328,FALSE)</f>
        <v>COMPLETADO</v>
      </c>
      <c r="C382" s="11">
        <v>20</v>
      </c>
      <c r="D382" t="s">
        <v>11</v>
      </c>
      <c r="E382" t="s">
        <v>104</v>
      </c>
      <c r="G382" s="9">
        <v>45908</v>
      </c>
      <c r="H382" t="s">
        <v>51</v>
      </c>
      <c r="I382" s="11">
        <v>6</v>
      </c>
      <c r="J382" t="str">
        <f>IF(I382="","",IFERROR(IF(INDEX([1]ListadoFichasDeProduccion!LQ:MB,MATCH(A382,[1]ListadoFichasDeProduccion!A:A,0),K382)=0,"",INDEX([1]ListadoFichasDeProduccion!LQ:MB,MATCH(A382,[1]ListadoFichasDeProduccion!A:A,0),K382)),""))</f>
        <v/>
      </c>
      <c r="K382" s="11">
        <v>1</v>
      </c>
    </row>
    <row r="383" spans="1:11" hidden="1" x14ac:dyDescent="0.3">
      <c r="A383" s="11" t="s">
        <v>285</v>
      </c>
      <c r="B383" t="str">
        <f>VLOOKUP(A383,[1]ListadoFichasDeProduccion!$A$2:$LP$3000,328,FALSE)</f>
        <v>COMPLETADO</v>
      </c>
      <c r="C383" s="11">
        <v>20</v>
      </c>
      <c r="D383" t="s">
        <v>11</v>
      </c>
      <c r="E383" t="s">
        <v>104</v>
      </c>
      <c r="G383" s="9">
        <v>45908</v>
      </c>
      <c r="H383" t="s">
        <v>50</v>
      </c>
      <c r="I383" s="11">
        <v>4</v>
      </c>
      <c r="J383" t="str">
        <f>IF(I383="","",IFERROR(IF(INDEX([1]ListadoFichasDeProduccion!LQ:MB,MATCH(A383,[1]ListadoFichasDeProduccion!A:A,0),K383)=0,"",INDEX([1]ListadoFichasDeProduccion!LQ:MB,MATCH(A383,[1]ListadoFichasDeProduccion!A:A,0),K383)),""))</f>
        <v/>
      </c>
      <c r="K383" s="11">
        <v>2</v>
      </c>
    </row>
    <row r="384" spans="1:11" hidden="1" x14ac:dyDescent="0.3">
      <c r="A384" s="11" t="s">
        <v>285</v>
      </c>
      <c r="B384" t="str">
        <f>VLOOKUP(A384,[1]ListadoFichasDeProduccion!$A$2:$LP$3000,328,FALSE)</f>
        <v>COMPLETADO</v>
      </c>
      <c r="C384" s="11">
        <v>20</v>
      </c>
      <c r="D384" t="s">
        <v>11</v>
      </c>
      <c r="E384" t="s">
        <v>104</v>
      </c>
      <c r="G384" s="9">
        <v>45908</v>
      </c>
      <c r="H384" t="s">
        <v>28</v>
      </c>
      <c r="I384" s="11">
        <v>10</v>
      </c>
      <c r="J384" t="str">
        <f>IF(I384="","",IFERROR(IF(INDEX([1]ListadoFichasDeProduccion!LQ:MB,MATCH(A384,[1]ListadoFichasDeProduccion!A:A,0),K384)=0,"",INDEX([1]ListadoFichasDeProduccion!LQ:MB,MATCH(A384,[1]ListadoFichasDeProduccion!A:A,0),K384)),""))</f>
        <v/>
      </c>
      <c r="K384" s="11">
        <v>3</v>
      </c>
    </row>
    <row r="385" spans="1:11" hidden="1" x14ac:dyDescent="0.3">
      <c r="A385" s="11" t="s">
        <v>374</v>
      </c>
      <c r="B385" t="str">
        <f>VLOOKUP(A385,[1]ListadoFichasDeProduccion!$A$2:$LP$3000,328,FALSE)</f>
        <v>COMPLETADO</v>
      </c>
      <c r="C385" s="11">
        <v>9</v>
      </c>
      <c r="D385" t="s">
        <v>11</v>
      </c>
      <c r="E385" t="s">
        <v>104</v>
      </c>
      <c r="G385" s="9">
        <v>45939</v>
      </c>
      <c r="H385" t="s">
        <v>31</v>
      </c>
      <c r="I385" s="11">
        <v>6</v>
      </c>
      <c r="J385" t="str">
        <f>IF(I385="","",IFERROR(IF(INDEX([1]ListadoFichasDeProduccion!LQ:MB,MATCH(A385,[1]ListadoFichasDeProduccion!A:A,0),K385)=0,"",INDEX([1]ListadoFichasDeProduccion!LQ:MB,MATCH(A385,[1]ListadoFichasDeProduccion!A:A,0),K385)),""))</f>
        <v/>
      </c>
      <c r="K385" s="11">
        <v>1</v>
      </c>
    </row>
    <row r="386" spans="1:11" hidden="1" x14ac:dyDescent="0.3">
      <c r="A386" s="11" t="s">
        <v>374</v>
      </c>
      <c r="B386" t="str">
        <f>VLOOKUP(A386,[1]ListadoFichasDeProduccion!$A$2:$LP$3000,328,FALSE)</f>
        <v>COMPLETADO</v>
      </c>
      <c r="C386" s="11">
        <v>9</v>
      </c>
      <c r="D386" t="s">
        <v>11</v>
      </c>
      <c r="E386" t="s">
        <v>104</v>
      </c>
      <c r="G386" s="9">
        <v>45939</v>
      </c>
      <c r="H386" t="s">
        <v>50</v>
      </c>
      <c r="I386" s="11">
        <v>3</v>
      </c>
      <c r="J386" t="str">
        <f>IF(I386="","",IFERROR(IF(INDEX([1]ListadoFichasDeProduccion!LQ:MB,MATCH(A386,[1]ListadoFichasDeProduccion!A:A,0),K386)=0,"",INDEX([1]ListadoFichasDeProduccion!LQ:MB,MATCH(A386,[1]ListadoFichasDeProduccion!A:A,0),K386)),""))</f>
        <v/>
      </c>
      <c r="K386" s="11">
        <v>2</v>
      </c>
    </row>
    <row r="387" spans="1:11" hidden="1" x14ac:dyDescent="0.3">
      <c r="A387" s="11" t="s">
        <v>411</v>
      </c>
      <c r="B387" t="str">
        <f>VLOOKUP(A387,[1]ListadoFichasDeProduccion!$A$2:$LP$3000,328,FALSE)</f>
        <v>COMPLETADO</v>
      </c>
      <c r="C387" s="11">
        <v>6</v>
      </c>
      <c r="D387" t="s">
        <v>11</v>
      </c>
      <c r="E387" t="s">
        <v>104</v>
      </c>
      <c r="G387" s="9">
        <v>45951</v>
      </c>
      <c r="H387" t="s">
        <v>28</v>
      </c>
      <c r="I387" s="11">
        <v>6</v>
      </c>
      <c r="J387" t="str">
        <f>IF(I387="","",IFERROR(IF(INDEX([1]ListadoFichasDeProduccion!LQ:MB,MATCH(A387,[1]ListadoFichasDeProduccion!A:A,0),K387)=0,"",INDEX([1]ListadoFichasDeProduccion!LQ:MB,MATCH(A387,[1]ListadoFichasDeProduccion!A:A,0),K387)),""))</f>
        <v/>
      </c>
      <c r="K387" s="11">
        <v>1</v>
      </c>
    </row>
    <row r="388" spans="1:11" hidden="1" x14ac:dyDescent="0.3">
      <c r="A388" s="11">
        <v>1900</v>
      </c>
      <c r="B388" s="8" t="str">
        <f>VLOOKUP(A388,[1]ListadoFichasDeProduccion!$A$2:$LP$3000,328,FALSE)</f>
        <v>COMPLETADO</v>
      </c>
      <c r="C388" s="11">
        <v>8</v>
      </c>
      <c r="D388" t="s">
        <v>11</v>
      </c>
      <c r="E388" t="s">
        <v>246</v>
      </c>
      <c r="F388" t="s">
        <v>247</v>
      </c>
      <c r="G388" s="9">
        <v>45861</v>
      </c>
      <c r="H388" t="s">
        <v>248</v>
      </c>
      <c r="I388" s="11">
        <v>4</v>
      </c>
      <c r="J388" t="str">
        <f>IF(I388="","",IFERROR(IF(INDEX([1]ListadoFichasDeProduccion!LQ:MB,MATCH(A388,[1]ListadoFichasDeProduccion!A:A,0),K388)=0,"",INDEX([1]ListadoFichasDeProduccion!LQ:MB,MATCH(A388,[1]ListadoFichasDeProduccion!A:A,0),K388)),""))</f>
        <v/>
      </c>
      <c r="K388" s="11">
        <v>1</v>
      </c>
    </row>
    <row r="389" spans="1:11" hidden="1" x14ac:dyDescent="0.3">
      <c r="A389" s="11">
        <v>1900</v>
      </c>
      <c r="B389" s="8" t="str">
        <f>VLOOKUP(A389,[1]ListadoFichasDeProduccion!$A$2:$LP$3000,328,FALSE)</f>
        <v>COMPLETADO</v>
      </c>
      <c r="C389" s="11">
        <v>8</v>
      </c>
      <c r="D389" t="s">
        <v>11</v>
      </c>
      <c r="E389" t="s">
        <v>246</v>
      </c>
      <c r="F389" t="s">
        <v>247</v>
      </c>
      <c r="G389" s="9">
        <v>45861</v>
      </c>
      <c r="H389" t="s">
        <v>249</v>
      </c>
      <c r="I389" s="11">
        <v>4</v>
      </c>
      <c r="J389" t="str">
        <f>IF(I389="","",IFERROR(IF(INDEX([1]ListadoFichasDeProduccion!LQ:MB,MATCH(A389,[1]ListadoFichasDeProduccion!A:A,0),K389)=0,"",INDEX([1]ListadoFichasDeProduccion!LQ:MB,MATCH(A389,[1]ListadoFichasDeProduccion!A:A,0),K389)),""))</f>
        <v/>
      </c>
      <c r="K389" s="11">
        <v>2</v>
      </c>
    </row>
    <row r="390" spans="1:11" hidden="1" x14ac:dyDescent="0.3">
      <c r="A390" s="11">
        <v>1958</v>
      </c>
      <c r="B390" t="str">
        <f>VLOOKUP(A390,[1]ListadoFichasDeProduccion!$A$2:$LP$3000,328,FALSE)</f>
        <v>COMPLETADO</v>
      </c>
      <c r="C390" s="11">
        <v>6</v>
      </c>
      <c r="D390" t="s">
        <v>11</v>
      </c>
      <c r="E390" t="s">
        <v>246</v>
      </c>
      <c r="F390" t="s">
        <v>247</v>
      </c>
      <c r="G390" s="9">
        <v>45903</v>
      </c>
      <c r="H390" t="s">
        <v>248</v>
      </c>
      <c r="I390" s="11">
        <v>3</v>
      </c>
      <c r="J390" t="str">
        <f>IF(I390="","",IFERROR(IF(INDEX([1]ListadoFichasDeProduccion!LQ:MB,MATCH(A390,[1]ListadoFichasDeProduccion!A:A,0),K390)=0,"",INDEX([1]ListadoFichasDeProduccion!LQ:MB,MATCH(A390,[1]ListadoFichasDeProduccion!A:A,0),K390)),""))</f>
        <v/>
      </c>
      <c r="K390" s="11">
        <v>1</v>
      </c>
    </row>
    <row r="391" spans="1:11" hidden="1" x14ac:dyDescent="0.3">
      <c r="A391" s="11">
        <v>1958</v>
      </c>
      <c r="B391" t="str">
        <f>VLOOKUP(A391,[1]ListadoFichasDeProduccion!$A$2:$LP$3000,328,FALSE)</f>
        <v>COMPLETADO</v>
      </c>
      <c r="C391" s="11">
        <v>6</v>
      </c>
      <c r="D391" t="s">
        <v>11</v>
      </c>
      <c r="E391" t="s">
        <v>246</v>
      </c>
      <c r="F391" t="s">
        <v>247</v>
      </c>
      <c r="G391" s="9">
        <v>45903</v>
      </c>
      <c r="H391" t="s">
        <v>249</v>
      </c>
      <c r="I391" s="11">
        <v>3</v>
      </c>
      <c r="J391" t="str">
        <f>IF(I391="","",IFERROR(IF(INDEX([1]ListadoFichasDeProduccion!LQ:MB,MATCH(A391,[1]ListadoFichasDeProduccion!A:A,0),K391)=0,"",INDEX([1]ListadoFichasDeProduccion!LQ:MB,MATCH(A391,[1]ListadoFichasDeProduccion!A:A,0),K391)),""))</f>
        <v/>
      </c>
      <c r="K391" s="11">
        <v>2</v>
      </c>
    </row>
    <row r="392" spans="1:11" hidden="1" x14ac:dyDescent="0.3">
      <c r="A392" s="11" t="s">
        <v>310</v>
      </c>
      <c r="B392" t="str">
        <f>VLOOKUP(A392,[1]ListadoFichasDeProduccion!$A$2:$LP$3000,328,FALSE)</f>
        <v>COMPLETADO</v>
      </c>
      <c r="C392" s="11">
        <v>10</v>
      </c>
      <c r="D392" t="s">
        <v>11</v>
      </c>
      <c r="E392" t="s">
        <v>246</v>
      </c>
      <c r="F392" t="s">
        <v>247</v>
      </c>
      <c r="G392" s="9">
        <v>45912</v>
      </c>
      <c r="H392" t="s">
        <v>248</v>
      </c>
      <c r="I392" s="11">
        <v>5</v>
      </c>
      <c r="J392" t="str">
        <f>IF(I392="","",IFERROR(IF(INDEX([1]ListadoFichasDeProduccion!LQ:MB,MATCH(A392,[1]ListadoFichasDeProduccion!A:A,0),K392)=0,"",INDEX([1]ListadoFichasDeProduccion!LQ:MB,MATCH(A392,[1]ListadoFichasDeProduccion!A:A,0),K392)),""))</f>
        <v/>
      </c>
      <c r="K392" s="11">
        <v>1</v>
      </c>
    </row>
    <row r="393" spans="1:11" hidden="1" x14ac:dyDescent="0.3">
      <c r="A393" s="11" t="s">
        <v>310</v>
      </c>
      <c r="B393" t="str">
        <f>VLOOKUP(A393,[1]ListadoFichasDeProduccion!$A$2:$LP$3000,328,FALSE)</f>
        <v>COMPLETADO</v>
      </c>
      <c r="C393" s="11">
        <v>10</v>
      </c>
      <c r="D393" t="s">
        <v>11</v>
      </c>
      <c r="E393" t="s">
        <v>246</v>
      </c>
      <c r="F393" t="s">
        <v>247</v>
      </c>
      <c r="G393" s="9">
        <v>45912</v>
      </c>
      <c r="H393" t="s">
        <v>249</v>
      </c>
      <c r="I393" s="11">
        <v>5</v>
      </c>
      <c r="J393" t="str">
        <f>IF(I393="","",IFERROR(IF(INDEX([1]ListadoFichasDeProduccion!LQ:MB,MATCH(A393,[1]ListadoFichasDeProduccion!A:A,0),K393)=0,"",INDEX([1]ListadoFichasDeProduccion!LQ:MB,MATCH(A393,[1]ListadoFichasDeProduccion!A:A,0),K393)),""))</f>
        <v/>
      </c>
      <c r="K393" s="11">
        <v>2</v>
      </c>
    </row>
    <row r="394" spans="1:11" hidden="1" x14ac:dyDescent="0.3">
      <c r="A394" s="11" t="s">
        <v>447</v>
      </c>
      <c r="B394" t="str">
        <f>VLOOKUP(A394,[1]ListadoFichasDeProduccion!$A$2:$LP$3000,328,FALSE)</f>
        <v>COMPLETADO</v>
      </c>
      <c r="C394" s="11">
        <v>10</v>
      </c>
      <c r="D394" t="s">
        <v>11</v>
      </c>
      <c r="E394" t="s">
        <v>246</v>
      </c>
      <c r="F394" t="s">
        <v>247</v>
      </c>
      <c r="G394" s="9">
        <v>45961</v>
      </c>
      <c r="J394" t="str">
        <f>IF(I394="","",IFERROR(IF(INDEX([1]ListadoFichasDeProduccion!LQ:MB,MATCH(A394,[1]ListadoFichasDeProduccion!A:A,0),K394)=0,"",INDEX([1]ListadoFichasDeProduccion!LQ:MB,MATCH(A394,[1]ListadoFichasDeProduccion!A:A,0),K394)),""))</f>
        <v/>
      </c>
    </row>
    <row r="395" spans="1:11" x14ac:dyDescent="0.3">
      <c r="A395" s="11" t="s">
        <v>494</v>
      </c>
      <c r="B395" t="str">
        <f>VLOOKUP(A395,[1]ListadoFichasDeProduccion!$A$2:$LP$3000,328,FALSE)</f>
        <v>NO COMENZADO</v>
      </c>
      <c r="C395" s="11">
        <v>8</v>
      </c>
      <c r="D395" t="s">
        <v>11</v>
      </c>
      <c r="E395" t="s">
        <v>246</v>
      </c>
      <c r="F395" t="s">
        <v>247</v>
      </c>
      <c r="H395" t="s">
        <v>495</v>
      </c>
      <c r="I395" s="11">
        <v>8</v>
      </c>
      <c r="J395" t="str">
        <f>IF(I395="","",IFERROR(IF(INDEX([1]ListadoFichasDeProduccion!LQ:MB,MATCH(A395,[1]ListadoFichasDeProduccion!A:A,0),K395)=0,"",INDEX([1]ListadoFichasDeProduccion!LQ:MB,MATCH(A395,[1]ListadoFichasDeProduccion!A:A,0),K395)),""))</f>
        <v/>
      </c>
      <c r="K395" s="11">
        <v>1</v>
      </c>
    </row>
    <row r="396" spans="1:11" x14ac:dyDescent="0.3">
      <c r="A396" s="11">
        <v>1656</v>
      </c>
      <c r="B396" s="8" t="str">
        <f>VLOOKUP(A396,[1]ListadoFichasDeProduccion!$A$2:$LP$3000,328,FALSE)</f>
        <v>NO COMENZADO</v>
      </c>
      <c r="C396" s="11">
        <v>6</v>
      </c>
      <c r="D396" t="s">
        <v>11</v>
      </c>
      <c r="E396" t="s">
        <v>105</v>
      </c>
      <c r="G396" s="9"/>
      <c r="H396" t="s">
        <v>27</v>
      </c>
      <c r="I396" s="11">
        <v>6</v>
      </c>
      <c r="J396" t="str">
        <f>IF(I396="","",IFERROR(IF(INDEX([1]ListadoFichasDeProduccion!LQ:MB,MATCH(A396,[1]ListadoFichasDeProduccion!A:A,0),K396)=0,"",INDEX([1]ListadoFichasDeProduccion!LQ:MB,MATCH(A396,[1]ListadoFichasDeProduccion!A:A,0),K396)),""))</f>
        <v/>
      </c>
      <c r="K396" s="11">
        <v>1</v>
      </c>
    </row>
    <row r="397" spans="1:11" hidden="1" x14ac:dyDescent="0.3">
      <c r="A397" s="11">
        <v>1798</v>
      </c>
      <c r="B397" s="8" t="str">
        <f>VLOOKUP(A397,[1]ListadoFichasDeProduccion!$A$2:$LP$3000,328,FALSE)</f>
        <v>COMPLETADO</v>
      </c>
      <c r="C397" s="11">
        <v>30</v>
      </c>
      <c r="D397" t="s">
        <v>11</v>
      </c>
      <c r="E397" t="s">
        <v>199</v>
      </c>
      <c r="F397" t="s">
        <v>200</v>
      </c>
      <c r="G397" s="9">
        <v>45807</v>
      </c>
      <c r="H397" t="s">
        <v>186</v>
      </c>
      <c r="I397" s="11">
        <v>10</v>
      </c>
      <c r="J397" t="str">
        <f>IF(I397="","",IFERROR(IF(INDEX([1]ListadoFichasDeProduccion!LQ:MB,MATCH(A397,[1]ListadoFichasDeProduccion!A:A,0),K397)=0,"",INDEX([1]ListadoFichasDeProduccion!LQ:MB,MATCH(A397,[1]ListadoFichasDeProduccion!A:A,0),K397)),""))</f>
        <v/>
      </c>
      <c r="K397" s="11">
        <v>1</v>
      </c>
    </row>
    <row r="398" spans="1:11" hidden="1" x14ac:dyDescent="0.3">
      <c r="A398" s="11">
        <v>1798</v>
      </c>
      <c r="B398" s="8" t="str">
        <f>VLOOKUP(A398,[1]ListadoFichasDeProduccion!$A$2:$LP$3000,328,FALSE)</f>
        <v>COMPLETADO</v>
      </c>
      <c r="C398" s="11">
        <v>30</v>
      </c>
      <c r="D398" t="s">
        <v>11</v>
      </c>
      <c r="E398" t="s">
        <v>199</v>
      </c>
      <c r="F398" t="s">
        <v>200</v>
      </c>
      <c r="G398" s="9">
        <v>45807</v>
      </c>
      <c r="H398" t="s">
        <v>120</v>
      </c>
      <c r="I398" s="11">
        <v>10</v>
      </c>
      <c r="J398" t="str">
        <f>IF(I398="","",IFERROR(IF(INDEX([1]ListadoFichasDeProduccion!LQ:MB,MATCH(A398,[1]ListadoFichasDeProduccion!A:A,0),K398)=0,"",INDEX([1]ListadoFichasDeProduccion!LQ:MB,MATCH(A398,[1]ListadoFichasDeProduccion!A:A,0),K398)),""))</f>
        <v/>
      </c>
      <c r="K398" s="11">
        <v>2</v>
      </c>
    </row>
    <row r="399" spans="1:11" hidden="1" x14ac:dyDescent="0.3">
      <c r="A399" s="11">
        <v>1798</v>
      </c>
      <c r="B399" s="8" t="str">
        <f>VLOOKUP(A399,[1]ListadoFichasDeProduccion!$A$2:$LP$3000,328,FALSE)</f>
        <v>COMPLETADO</v>
      </c>
      <c r="C399" s="11">
        <v>30</v>
      </c>
      <c r="D399" t="s">
        <v>11</v>
      </c>
      <c r="E399" t="s">
        <v>199</v>
      </c>
      <c r="F399" t="s">
        <v>200</v>
      </c>
      <c r="G399" s="9">
        <v>45807</v>
      </c>
      <c r="H399" t="s">
        <v>201</v>
      </c>
      <c r="I399" s="11">
        <v>10</v>
      </c>
      <c r="J399" t="str">
        <f>IF(I399="","",IFERROR(IF(INDEX([1]ListadoFichasDeProduccion!LQ:MB,MATCH(A399,[1]ListadoFichasDeProduccion!A:A,0),K399)=0,"",INDEX([1]ListadoFichasDeProduccion!LQ:MB,MATCH(A399,[1]ListadoFichasDeProduccion!A:A,0),K399)),""))</f>
        <v/>
      </c>
      <c r="K399" s="11">
        <v>3</v>
      </c>
    </row>
    <row r="400" spans="1:11" hidden="1" x14ac:dyDescent="0.3">
      <c r="A400" s="11">
        <v>18812</v>
      </c>
      <c r="B400" s="8" t="str">
        <f>VLOOKUP(A400,[1]ListadoFichasDeProduccion!$A$2:$LP$3000,328,FALSE)</f>
        <v>COMPLETADO</v>
      </c>
      <c r="C400" s="11">
        <v>4</v>
      </c>
      <c r="D400" t="s">
        <v>11</v>
      </c>
      <c r="E400" t="s">
        <v>199</v>
      </c>
      <c r="F400" t="s">
        <v>200</v>
      </c>
      <c r="G400" s="9">
        <v>45841</v>
      </c>
      <c r="H400" t="s">
        <v>201</v>
      </c>
      <c r="I400" s="11">
        <v>4</v>
      </c>
      <c r="J400" t="str">
        <f>IF(I400="","",IFERROR(IF(INDEX([1]ListadoFichasDeProduccion!LQ:MB,MATCH(A400,[1]ListadoFichasDeProduccion!A:A,0),K400)=0,"",INDEX([1]ListadoFichasDeProduccion!LQ:MB,MATCH(A400,[1]ListadoFichasDeProduccion!A:A,0),K400)),""))</f>
        <v/>
      </c>
      <c r="K400" s="11">
        <v>1</v>
      </c>
    </row>
    <row r="401" spans="1:11" hidden="1" x14ac:dyDescent="0.3">
      <c r="A401" s="11">
        <v>1935</v>
      </c>
      <c r="B401" t="str">
        <f>VLOOKUP(A401,[1]ListadoFichasDeProduccion!$A$2:$LP$3000,328,FALSE)</f>
        <v>COMPLETADO</v>
      </c>
      <c r="C401" s="11">
        <v>4</v>
      </c>
      <c r="D401" t="s">
        <v>11</v>
      </c>
      <c r="E401" t="s">
        <v>199</v>
      </c>
      <c r="F401" t="s">
        <v>200</v>
      </c>
      <c r="G401" s="9">
        <v>45884</v>
      </c>
      <c r="H401" t="s">
        <v>272</v>
      </c>
      <c r="I401" s="11">
        <v>4</v>
      </c>
      <c r="J401" t="str">
        <f>IF(I401="","",IFERROR(IF(INDEX([1]ListadoFichasDeProduccion!LQ:MB,MATCH(A401,[1]ListadoFichasDeProduccion!A:A,0),K401)=0,"",INDEX([1]ListadoFichasDeProduccion!LQ:MB,MATCH(A401,[1]ListadoFichasDeProduccion!A:A,0),K401)),""))</f>
        <v>NOBUCK DE NAPOLITANA USAR EL NOBUCK DEL LADO DEL FRENTE DE LA CARTERA!!!</v>
      </c>
      <c r="K401" s="11">
        <v>1</v>
      </c>
    </row>
    <row r="402" spans="1:11" hidden="1" x14ac:dyDescent="0.3">
      <c r="A402" s="11">
        <v>1952</v>
      </c>
      <c r="B402" t="str">
        <f>VLOOKUP(A402,[1]ListadoFichasDeProduccion!$A$2:$LP$3000,328,FALSE)</f>
        <v>COMPLETADO</v>
      </c>
      <c r="C402" s="11">
        <v>2</v>
      </c>
      <c r="D402" t="s">
        <v>11</v>
      </c>
      <c r="E402" t="s">
        <v>199</v>
      </c>
      <c r="F402" t="s">
        <v>200</v>
      </c>
      <c r="G402" s="9">
        <v>45897</v>
      </c>
      <c r="H402" t="s">
        <v>272</v>
      </c>
      <c r="I402" s="11">
        <v>2</v>
      </c>
      <c r="J402" t="str">
        <f>IF(I402="","",IFERROR(IF(INDEX([1]ListadoFichasDeProduccion!LQ:MB,MATCH(A402,[1]ListadoFichasDeProduccion!A:A,0),K402)=0,"",INDEX([1]ListadoFichasDeProduccion!LQ:MB,MATCH(A402,[1]ListadoFichasDeProduccion!A:A,0),K402)),""))</f>
        <v/>
      </c>
      <c r="K402" s="11">
        <v>1</v>
      </c>
    </row>
    <row r="403" spans="1:11" hidden="1" x14ac:dyDescent="0.3">
      <c r="A403" s="11" t="s">
        <v>364</v>
      </c>
      <c r="B403" t="str">
        <f>VLOOKUP(A403,[1]ListadoFichasDeProduccion!$A$2:$LP$3000,328,FALSE)</f>
        <v>COMPLETADO</v>
      </c>
      <c r="C403" s="11">
        <v>12</v>
      </c>
      <c r="D403" t="s">
        <v>11</v>
      </c>
      <c r="E403" t="s">
        <v>199</v>
      </c>
      <c r="F403" t="s">
        <v>200</v>
      </c>
      <c r="G403" s="9">
        <v>45936</v>
      </c>
      <c r="H403" t="s">
        <v>342</v>
      </c>
      <c r="I403" s="11">
        <v>6</v>
      </c>
      <c r="J403" t="str">
        <f>IF(I403="","",IFERROR(IF(INDEX([1]ListadoFichasDeProduccion!LQ:MB,MATCH(A403,[1]ListadoFichasDeProduccion!A:A,0),K403)=0,"",INDEX([1]ListadoFichasDeProduccion!LQ:MB,MATCH(A403,[1]ListadoFichasDeProduccion!A:A,0),K403)),""))</f>
        <v>NOBUCK DE NAPOLITANA USAR EL NOBUCK DEL LADO DEL FRENTE DE LA CARTERA!!!</v>
      </c>
      <c r="K403" s="11">
        <v>1</v>
      </c>
    </row>
    <row r="404" spans="1:11" hidden="1" x14ac:dyDescent="0.3">
      <c r="A404" s="11" t="s">
        <v>364</v>
      </c>
      <c r="B404" t="str">
        <f>VLOOKUP(A404,[1]ListadoFichasDeProduccion!$A$2:$LP$3000,328,FALSE)</f>
        <v>COMPLETADO</v>
      </c>
      <c r="C404" s="11">
        <v>12</v>
      </c>
      <c r="D404" t="s">
        <v>11</v>
      </c>
      <c r="E404" t="s">
        <v>199</v>
      </c>
      <c r="F404" t="s">
        <v>200</v>
      </c>
      <c r="G404" s="9">
        <v>45936</v>
      </c>
      <c r="H404" t="s">
        <v>252</v>
      </c>
      <c r="I404" s="11">
        <v>6</v>
      </c>
      <c r="J404" t="str">
        <f>IF(I404="","",IFERROR(IF(INDEX([1]ListadoFichasDeProduccion!LQ:MB,MATCH(A404,[1]ListadoFichasDeProduccion!A:A,0),K404)=0,"",INDEX([1]ListadoFichasDeProduccion!LQ:MB,MATCH(A404,[1]ListadoFichasDeProduccion!A:A,0),K404)),""))</f>
        <v>NOBUCK DE NAPOLITANA USAR EL NOBUCK DEL LADO DEL FRENTE DE LA CARTERA!!!</v>
      </c>
      <c r="K404" s="11">
        <v>2</v>
      </c>
    </row>
    <row r="405" spans="1:11" hidden="1" x14ac:dyDescent="0.3">
      <c r="A405" s="11" t="s">
        <v>425</v>
      </c>
      <c r="B405" t="str">
        <f>VLOOKUP(A405,[1]ListadoFichasDeProduccion!$A$2:$LP$3000,328,FALSE)</f>
        <v>COMPLETADO</v>
      </c>
      <c r="C405" s="11">
        <v>6</v>
      </c>
      <c r="D405" t="s">
        <v>11</v>
      </c>
      <c r="E405" t="s">
        <v>199</v>
      </c>
      <c r="F405" t="s">
        <v>200</v>
      </c>
      <c r="G405" s="9">
        <v>45957</v>
      </c>
      <c r="H405" t="s">
        <v>186</v>
      </c>
      <c r="I405" s="11">
        <v>6</v>
      </c>
      <c r="J405" t="str">
        <f>IF(I405="","",IFERROR(IF(INDEX([1]ListadoFichasDeProduccion!LQ:MB,MATCH(A405,[1]ListadoFichasDeProduccion!A:A,0),K405)=0,"",INDEX([1]ListadoFichasDeProduccion!LQ:MB,MATCH(A405,[1]ListadoFichasDeProduccion!A:A,0),K405)),""))</f>
        <v/>
      </c>
      <c r="K405" s="11">
        <v>1</v>
      </c>
    </row>
    <row r="406" spans="1:11" hidden="1" x14ac:dyDescent="0.3">
      <c r="A406" s="11" t="s">
        <v>426</v>
      </c>
      <c r="B406" t="str">
        <f>VLOOKUP(A406,[1]ListadoFichasDeProduccion!$A$2:$LP$3000,328,FALSE)</f>
        <v>COMPLETADO</v>
      </c>
      <c r="C406" s="11">
        <v>6</v>
      </c>
      <c r="D406" t="s">
        <v>11</v>
      </c>
      <c r="E406" t="s">
        <v>199</v>
      </c>
      <c r="F406" t="s">
        <v>200</v>
      </c>
      <c r="G406" s="9">
        <v>45957</v>
      </c>
      <c r="H406" t="s">
        <v>186</v>
      </c>
      <c r="I406" s="11">
        <v>6</v>
      </c>
      <c r="J406" t="str">
        <f>IF(I406="","",IFERROR(IF(INDEX([1]ListadoFichasDeProduccion!LQ:MB,MATCH(A406,[1]ListadoFichasDeProduccion!A:A,0),K406)=0,"",INDEX([1]ListadoFichasDeProduccion!LQ:MB,MATCH(A406,[1]ListadoFichasDeProduccion!A:A,0),K406)),""))</f>
        <v/>
      </c>
      <c r="K406" s="11">
        <v>1</v>
      </c>
    </row>
    <row r="407" spans="1:11" hidden="1" x14ac:dyDescent="0.3">
      <c r="A407" s="11" t="s">
        <v>440</v>
      </c>
      <c r="B407" t="str">
        <f>VLOOKUP(A407,[1]ListadoFichasDeProduccion!$A$2:$LP$3000,328,FALSE)</f>
        <v>COMPLETADO</v>
      </c>
      <c r="C407" s="11">
        <v>6</v>
      </c>
      <c r="D407" t="s">
        <v>11</v>
      </c>
      <c r="E407" t="s">
        <v>199</v>
      </c>
      <c r="F407" t="s">
        <v>200</v>
      </c>
      <c r="G407" s="9">
        <v>45947</v>
      </c>
      <c r="H407" t="s">
        <v>248</v>
      </c>
      <c r="I407" s="11">
        <v>6</v>
      </c>
      <c r="J407" t="str">
        <f>IF(I407="","",IFERROR(IF(INDEX([1]ListadoFichasDeProduccion!LQ:MB,MATCH(A407,[1]ListadoFichasDeProduccion!A:A,0),K407)=0,"",INDEX([1]ListadoFichasDeProduccion!LQ:MB,MATCH(A407,[1]ListadoFichasDeProduccion!A:A,0),K407)),""))</f>
        <v/>
      </c>
      <c r="K407" s="11">
        <v>1</v>
      </c>
    </row>
    <row r="408" spans="1:11" hidden="1" x14ac:dyDescent="0.3">
      <c r="A408" s="11" t="s">
        <v>460</v>
      </c>
      <c r="B408" t="str">
        <f>VLOOKUP(A408,[1]ListadoFichasDeProduccion!$A$2:$LP$3000,328,FALSE)</f>
        <v>COMPLETADO</v>
      </c>
      <c r="C408" s="11">
        <v>20</v>
      </c>
      <c r="D408" t="s">
        <v>11</v>
      </c>
      <c r="E408" t="s">
        <v>199</v>
      </c>
      <c r="F408" t="s">
        <v>200</v>
      </c>
      <c r="G408" s="9">
        <v>45967</v>
      </c>
      <c r="H408" t="s">
        <v>248</v>
      </c>
      <c r="I408" s="11">
        <v>10</v>
      </c>
      <c r="J408" t="str">
        <f>IF(I408="","",IFERROR(IF(INDEX([1]ListadoFichasDeProduccion!LQ:MB,MATCH(A408,[1]ListadoFichasDeProduccion!A:A,0),K408)=0,"",INDEX([1]ListadoFichasDeProduccion!LQ:MB,MATCH(A408,[1]ListadoFichasDeProduccion!A:A,0),K408)),""))</f>
        <v/>
      </c>
      <c r="K408" s="11">
        <v>1</v>
      </c>
    </row>
    <row r="409" spans="1:11" hidden="1" x14ac:dyDescent="0.3">
      <c r="A409" s="11">
        <v>1627</v>
      </c>
      <c r="B409" s="8" t="str">
        <f>VLOOKUP(A409,[1]ListadoFichasDeProduccion!$A$2:$LP$3000,328,FALSE)</f>
        <v>COMPLETADO</v>
      </c>
      <c r="C409" s="11">
        <v>26</v>
      </c>
      <c r="D409" t="s">
        <v>33</v>
      </c>
      <c r="E409" t="s">
        <v>68</v>
      </c>
      <c r="F409" s="9"/>
      <c r="G409" s="9">
        <v>45733</v>
      </c>
      <c r="H409" t="s">
        <v>32</v>
      </c>
      <c r="I409" s="11">
        <v>8</v>
      </c>
      <c r="J409" t="str">
        <f>IF(I409="","",IFERROR(IF(INDEX([1]ListadoFichasDeProduccion!LQ:MB,MATCH(A409,[1]ListadoFichasDeProduccion!A:A,0),K409)=0,"",INDEX([1]ListadoFichasDeProduccion!LQ:MB,MATCH(A409,[1]ListadoFichasDeProduccion!A:A,0),K409)),""))</f>
        <v/>
      </c>
      <c r="K409" s="11">
        <v>1</v>
      </c>
    </row>
    <row r="410" spans="1:11" hidden="1" x14ac:dyDescent="0.3">
      <c r="A410" s="11">
        <v>1627</v>
      </c>
      <c r="B410" s="8" t="str">
        <f>VLOOKUP(A410,[1]ListadoFichasDeProduccion!$A$2:$LP$3000,328,FALSE)</f>
        <v>COMPLETADO</v>
      </c>
      <c r="C410" s="11">
        <v>26</v>
      </c>
      <c r="D410" t="s">
        <v>33</v>
      </c>
      <c r="E410" t="s">
        <v>68</v>
      </c>
      <c r="F410" s="9"/>
      <c r="G410" s="9">
        <v>45733</v>
      </c>
      <c r="H410" t="s">
        <v>36</v>
      </c>
      <c r="I410" s="11">
        <v>10</v>
      </c>
      <c r="J410" t="str">
        <f>IF(I410="","",IFERROR(IF(INDEX([1]ListadoFichasDeProduccion!LQ:MB,MATCH(A410,[1]ListadoFichasDeProduccion!A:A,0),K410)=0,"",INDEX([1]ListadoFichasDeProduccion!LQ:MB,MATCH(A410,[1]ListadoFichasDeProduccion!A:A,0),K410)),""))</f>
        <v/>
      </c>
      <c r="K410" s="11">
        <v>2</v>
      </c>
    </row>
    <row r="411" spans="1:11" hidden="1" x14ac:dyDescent="0.3">
      <c r="A411" s="11">
        <v>1627</v>
      </c>
      <c r="B411" s="8" t="str">
        <f>VLOOKUP(A411,[1]ListadoFichasDeProduccion!$A$2:$LP$3000,328,FALSE)</f>
        <v>COMPLETADO</v>
      </c>
      <c r="C411" s="11">
        <v>26</v>
      </c>
      <c r="D411" t="s">
        <v>33</v>
      </c>
      <c r="E411" t="s">
        <v>68</v>
      </c>
      <c r="F411" s="9"/>
      <c r="G411" s="9">
        <v>45733</v>
      </c>
      <c r="H411" t="s">
        <v>47</v>
      </c>
      <c r="I411" s="11">
        <v>4</v>
      </c>
      <c r="J411" t="str">
        <f>IF(I411="","",IFERROR(IF(INDEX([1]ListadoFichasDeProduccion!LQ:MB,MATCH(A411,[1]ListadoFichasDeProduccion!A:A,0),K411)=0,"",INDEX([1]ListadoFichasDeProduccion!LQ:MB,MATCH(A411,[1]ListadoFichasDeProduccion!A:A,0),K411)),""))</f>
        <v/>
      </c>
      <c r="K411" s="11">
        <v>3</v>
      </c>
    </row>
    <row r="412" spans="1:11" hidden="1" x14ac:dyDescent="0.3">
      <c r="A412" s="11">
        <v>1627</v>
      </c>
      <c r="B412" s="8" t="str">
        <f>VLOOKUP(A412,[1]ListadoFichasDeProduccion!$A$2:$LP$3000,328,FALSE)</f>
        <v>COMPLETADO</v>
      </c>
      <c r="C412" s="11">
        <v>26</v>
      </c>
      <c r="D412" t="s">
        <v>33</v>
      </c>
      <c r="E412" t="s">
        <v>68</v>
      </c>
      <c r="F412" s="9"/>
      <c r="G412" s="9">
        <v>45733</v>
      </c>
      <c r="H412" t="s">
        <v>46</v>
      </c>
      <c r="I412" s="11">
        <v>4</v>
      </c>
      <c r="J412" t="str">
        <f>IF(I412="","",IFERROR(IF(INDEX([1]ListadoFichasDeProduccion!LQ:MB,MATCH(A412,[1]ListadoFichasDeProduccion!A:A,0),K412)=0,"",INDEX([1]ListadoFichasDeProduccion!LQ:MB,MATCH(A412,[1]ListadoFichasDeProduccion!A:A,0),K412)),""))</f>
        <v/>
      </c>
      <c r="K412" s="11">
        <v>4</v>
      </c>
    </row>
    <row r="413" spans="1:11" hidden="1" x14ac:dyDescent="0.3">
      <c r="A413" s="11">
        <v>1826</v>
      </c>
      <c r="B413" s="8" t="str">
        <f>VLOOKUP(A413,[1]ListadoFichasDeProduccion!$A$2:$LP$3000,328,FALSE)</f>
        <v>COMPLETADO</v>
      </c>
      <c r="C413" s="11">
        <v>8</v>
      </c>
      <c r="D413" t="s">
        <v>33</v>
      </c>
      <c r="E413" t="s">
        <v>68</v>
      </c>
      <c r="G413" s="9">
        <v>45813</v>
      </c>
      <c r="H413" t="s">
        <v>44</v>
      </c>
      <c r="I413" s="11">
        <v>2</v>
      </c>
      <c r="J413" t="str">
        <f>IF(I413="","",IFERROR(IF(INDEX([1]ListadoFichasDeProduccion!LQ:MB,MATCH(A413,[1]ListadoFichasDeProduccion!A:A,0),K413)=0,"",INDEX([1]ListadoFichasDeProduccion!LQ:MB,MATCH(A413,[1]ListadoFichasDeProduccion!A:A,0),K413)),""))</f>
        <v/>
      </c>
      <c r="K413" s="11">
        <v>1</v>
      </c>
    </row>
    <row r="414" spans="1:11" hidden="1" x14ac:dyDescent="0.3">
      <c r="A414" s="11">
        <v>1826</v>
      </c>
      <c r="B414" s="8" t="str">
        <f>VLOOKUP(A414,[1]ListadoFichasDeProduccion!$A$2:$LP$3000,328,FALSE)</f>
        <v>COMPLETADO</v>
      </c>
      <c r="C414" s="11">
        <v>8</v>
      </c>
      <c r="D414" t="s">
        <v>33</v>
      </c>
      <c r="E414" t="s">
        <v>68</v>
      </c>
      <c r="G414" s="9">
        <v>45813</v>
      </c>
      <c r="H414" t="s">
        <v>137</v>
      </c>
      <c r="I414" s="11">
        <v>6</v>
      </c>
      <c r="J414" t="str">
        <f>IF(I414="","",IFERROR(IF(INDEX([1]ListadoFichasDeProduccion!LQ:MB,MATCH(A414,[1]ListadoFichasDeProduccion!A:A,0),K414)=0,"",INDEX([1]ListadoFichasDeProduccion!LQ:MB,MATCH(A414,[1]ListadoFichasDeProduccion!A:A,0),K414)),""))</f>
        <v/>
      </c>
      <c r="K414" s="11">
        <v>2</v>
      </c>
    </row>
    <row r="415" spans="1:11" hidden="1" x14ac:dyDescent="0.3">
      <c r="A415" s="11">
        <v>18262</v>
      </c>
      <c r="B415" t="str">
        <f>VLOOKUP(A415,[1]ListadoFichasDeProduccion!$A$2:$LP$3000,328,FALSE)</f>
        <v>COMPLETADO</v>
      </c>
      <c r="C415" s="11">
        <v>3</v>
      </c>
      <c r="D415" t="s">
        <v>33</v>
      </c>
      <c r="E415" t="s">
        <v>68</v>
      </c>
      <c r="G415" s="9">
        <v>45825</v>
      </c>
      <c r="H415" t="s">
        <v>27</v>
      </c>
      <c r="I415" s="11">
        <v>3</v>
      </c>
      <c r="J415" t="str">
        <f>IF(I415="","",IFERROR(IF(INDEX([1]ListadoFichasDeProduccion!LQ:MB,MATCH(A415,[1]ListadoFichasDeProduccion!A:A,0),K415)=0,"",INDEX([1]ListadoFichasDeProduccion!LQ:MB,MATCH(A415,[1]ListadoFichasDeProduccion!A:A,0),K415)),""))</f>
        <v/>
      </c>
      <c r="K415" s="11">
        <v>1</v>
      </c>
    </row>
    <row r="416" spans="1:11" hidden="1" x14ac:dyDescent="0.3">
      <c r="A416" s="11">
        <v>18263</v>
      </c>
      <c r="B416" t="str">
        <f>VLOOKUP(A416,[1]ListadoFichasDeProduccion!$A$2:$LP$3000,328,FALSE)</f>
        <v>COMPLETADO</v>
      </c>
      <c r="C416" s="11">
        <v>2</v>
      </c>
      <c r="D416" t="s">
        <v>33</v>
      </c>
      <c r="E416" t="s">
        <v>68</v>
      </c>
      <c r="G416" s="9">
        <v>45905</v>
      </c>
      <c r="H416" t="s">
        <v>138</v>
      </c>
      <c r="I416" s="11">
        <v>2</v>
      </c>
      <c r="J416" t="str">
        <f>IF(I416="","",IFERROR(IF(INDEX([1]ListadoFichasDeProduccion!LQ:MB,MATCH(A416,[1]ListadoFichasDeProduccion!A:A,0),K416)=0,"",INDEX([1]ListadoFichasDeProduccion!LQ:MB,MATCH(A416,[1]ListadoFichasDeProduccion!A:A,0),K416)),""))</f>
        <v/>
      </c>
      <c r="K416" s="11">
        <v>1</v>
      </c>
    </row>
    <row r="417" spans="1:11" hidden="1" x14ac:dyDescent="0.3">
      <c r="A417" s="11" t="s">
        <v>290</v>
      </c>
      <c r="B417" t="str">
        <f>VLOOKUP(A417,[1]ListadoFichasDeProduccion!$A$2:$LP$3000,328,FALSE)</f>
        <v>COMPLETADO</v>
      </c>
      <c r="C417" s="11">
        <v>39</v>
      </c>
      <c r="D417" t="s">
        <v>33</v>
      </c>
      <c r="E417" t="s">
        <v>68</v>
      </c>
      <c r="G417" s="9">
        <v>45909</v>
      </c>
      <c r="H417" t="s">
        <v>27</v>
      </c>
      <c r="I417" s="11">
        <v>6</v>
      </c>
      <c r="J417" t="str">
        <f>IF(I417="","",IFERROR(IF(INDEX([1]ListadoFichasDeProduccion!LQ:MB,MATCH(A417,[1]ListadoFichasDeProduccion!A:A,0),K417)=0,"",INDEX([1]ListadoFichasDeProduccion!LQ:MB,MATCH(A417,[1]ListadoFichasDeProduccion!A:A,0),K417)),""))</f>
        <v/>
      </c>
      <c r="K417" s="11">
        <v>1</v>
      </c>
    </row>
    <row r="418" spans="1:11" hidden="1" x14ac:dyDescent="0.3">
      <c r="A418" s="11" t="s">
        <v>290</v>
      </c>
      <c r="B418" t="str">
        <f>VLOOKUP(A418,[1]ListadoFichasDeProduccion!$A$2:$LP$3000,328,FALSE)</f>
        <v>COMPLETADO</v>
      </c>
      <c r="C418" s="11">
        <v>39</v>
      </c>
      <c r="D418" t="s">
        <v>33</v>
      </c>
      <c r="E418" t="s">
        <v>68</v>
      </c>
      <c r="G418" s="9">
        <v>45909</v>
      </c>
      <c r="H418" t="s">
        <v>137</v>
      </c>
      <c r="I418" s="11">
        <v>6</v>
      </c>
      <c r="J418" t="str">
        <f>IF(I418="","",IFERROR(IF(INDEX([1]ListadoFichasDeProduccion!LQ:MB,MATCH(A418,[1]ListadoFichasDeProduccion!A:A,0),K418)=0,"",INDEX([1]ListadoFichasDeProduccion!LQ:MB,MATCH(A418,[1]ListadoFichasDeProduccion!A:A,0),K418)),""))</f>
        <v/>
      </c>
      <c r="K418" s="11">
        <v>2</v>
      </c>
    </row>
    <row r="419" spans="1:11" hidden="1" x14ac:dyDescent="0.3">
      <c r="A419" s="11" t="s">
        <v>290</v>
      </c>
      <c r="B419" t="str">
        <f>VLOOKUP(A419,[1]ListadoFichasDeProduccion!$A$2:$LP$3000,328,FALSE)</f>
        <v>COMPLETADO</v>
      </c>
      <c r="C419" s="11">
        <v>39</v>
      </c>
      <c r="D419" t="s">
        <v>33</v>
      </c>
      <c r="E419" t="s">
        <v>68</v>
      </c>
      <c r="G419" s="9">
        <v>45909</v>
      </c>
      <c r="H419" t="s">
        <v>138</v>
      </c>
      <c r="I419" s="11">
        <v>6</v>
      </c>
      <c r="J419" t="str">
        <f>IF(I419="","",IFERROR(IF(INDEX([1]ListadoFichasDeProduccion!LQ:MB,MATCH(A419,[1]ListadoFichasDeProduccion!A:A,0),K419)=0,"",INDEX([1]ListadoFichasDeProduccion!LQ:MB,MATCH(A419,[1]ListadoFichasDeProduccion!A:A,0),K419)),""))</f>
        <v/>
      </c>
      <c r="K419" s="11">
        <v>3</v>
      </c>
    </row>
    <row r="420" spans="1:11" hidden="1" x14ac:dyDescent="0.3">
      <c r="A420" s="11" t="s">
        <v>290</v>
      </c>
      <c r="B420" t="str">
        <f>VLOOKUP(A420,[1]ListadoFichasDeProduccion!$A$2:$LP$3000,328,FALSE)</f>
        <v>COMPLETADO</v>
      </c>
      <c r="C420" s="11">
        <v>39</v>
      </c>
      <c r="D420" t="s">
        <v>33</v>
      </c>
      <c r="E420" t="s">
        <v>68</v>
      </c>
      <c r="G420" s="9">
        <v>45909</v>
      </c>
      <c r="H420" t="s">
        <v>31</v>
      </c>
      <c r="I420" s="11">
        <v>12</v>
      </c>
      <c r="J420" t="str">
        <f>IF(I420="","",IFERROR(IF(INDEX([1]ListadoFichasDeProduccion!LQ:MB,MATCH(A420,[1]ListadoFichasDeProduccion!A:A,0),K420)=0,"",INDEX([1]ListadoFichasDeProduccion!LQ:MB,MATCH(A420,[1]ListadoFichasDeProduccion!A:A,0),K420)),""))</f>
        <v/>
      </c>
      <c r="K420" s="11">
        <v>4</v>
      </c>
    </row>
    <row r="421" spans="1:11" hidden="1" x14ac:dyDescent="0.3">
      <c r="A421" s="11" t="s">
        <v>290</v>
      </c>
      <c r="B421" t="str">
        <f>VLOOKUP(A421,[1]ListadoFichasDeProduccion!$A$2:$LP$3000,328,FALSE)</f>
        <v>COMPLETADO</v>
      </c>
      <c r="C421" s="11">
        <v>39</v>
      </c>
      <c r="D421" t="s">
        <v>33</v>
      </c>
      <c r="E421" t="s">
        <v>68</v>
      </c>
      <c r="G421" s="9">
        <v>45909</v>
      </c>
      <c r="H421" t="s">
        <v>50</v>
      </c>
      <c r="I421" s="11">
        <v>9</v>
      </c>
      <c r="J421" t="str">
        <f>IF(I421="","",IFERROR(IF(INDEX([1]ListadoFichasDeProduccion!LQ:MB,MATCH(A421,[1]ListadoFichasDeProduccion!A:A,0),K421)=0,"",INDEX([1]ListadoFichasDeProduccion!LQ:MB,MATCH(A421,[1]ListadoFichasDeProduccion!A:A,0),K421)),""))</f>
        <v/>
      </c>
      <c r="K421" s="11">
        <v>5</v>
      </c>
    </row>
    <row r="422" spans="1:11" hidden="1" x14ac:dyDescent="0.3">
      <c r="A422" s="11">
        <v>1908</v>
      </c>
      <c r="B422" s="8" t="str">
        <f>VLOOKUP(A422,[1]ListadoFichasDeProduccion!$A$2:$LP$3000,328,FALSE)</f>
        <v>COMPLETADO</v>
      </c>
      <c r="C422" s="11">
        <v>12</v>
      </c>
      <c r="D422" t="s">
        <v>259</v>
      </c>
      <c r="E422" t="s">
        <v>260</v>
      </c>
      <c r="F422" t="s">
        <v>261</v>
      </c>
      <c r="G422" s="9">
        <v>45859</v>
      </c>
      <c r="H422" t="s">
        <v>262</v>
      </c>
      <c r="I422" s="11">
        <v>6</v>
      </c>
      <c r="J422" t="str">
        <f>IF(I422="","",IFERROR(IF(INDEX([1]ListadoFichasDeProduccion!LQ:MB,MATCH(A422,[1]ListadoFichasDeProduccion!A:A,0),K422)=0,"",INDEX([1]ListadoFichasDeProduccion!LQ:MB,MATCH(A422,[1]ListadoFichasDeProduccion!A:A,0),K422)),""))</f>
        <v/>
      </c>
      <c r="K422" s="11">
        <v>1</v>
      </c>
    </row>
    <row r="423" spans="1:11" hidden="1" x14ac:dyDescent="0.3">
      <c r="A423" s="11">
        <v>1908</v>
      </c>
      <c r="B423" s="8" t="str">
        <f>VLOOKUP(A423,[1]ListadoFichasDeProduccion!$A$2:$LP$3000,328,FALSE)</f>
        <v>COMPLETADO</v>
      </c>
      <c r="C423" s="11">
        <v>12</v>
      </c>
      <c r="D423" t="s">
        <v>259</v>
      </c>
      <c r="E423" t="s">
        <v>260</v>
      </c>
      <c r="F423" t="s">
        <v>261</v>
      </c>
      <c r="G423" s="9">
        <v>45859</v>
      </c>
      <c r="H423" t="s">
        <v>263</v>
      </c>
      <c r="I423" s="11">
        <v>6</v>
      </c>
      <c r="J423" t="str">
        <f>IF(I423="","",IFERROR(IF(INDEX([1]ListadoFichasDeProduccion!LQ:MB,MATCH(A423,[1]ListadoFichasDeProduccion!A:A,0),K423)=0,"",INDEX([1]ListadoFichasDeProduccion!LQ:MB,MATCH(A423,[1]ListadoFichasDeProduccion!A:A,0),K423)),""))</f>
        <v/>
      </c>
      <c r="K423" s="11">
        <v>2</v>
      </c>
    </row>
    <row r="424" spans="1:11" x14ac:dyDescent="0.3">
      <c r="A424" s="11" t="s">
        <v>368</v>
      </c>
      <c r="B424" t="str">
        <f>VLOOKUP(A424,[1]ListadoFichasDeProduccion!$A$2:$LP$3000,328,FALSE)</f>
        <v>NO COMENZADO</v>
      </c>
      <c r="C424" s="11">
        <v>22</v>
      </c>
      <c r="D424" t="s">
        <v>259</v>
      </c>
      <c r="E424" t="s">
        <v>260</v>
      </c>
      <c r="F424" t="s">
        <v>261</v>
      </c>
      <c r="G424" s="9">
        <v>45932</v>
      </c>
      <c r="H424" t="s">
        <v>262</v>
      </c>
      <c r="I424" s="11">
        <v>12</v>
      </c>
      <c r="J424" t="str">
        <f>IF(I424="","",IFERROR(IF(INDEX([1]ListadoFichasDeProduccion!LQ:MB,MATCH(A424,[1]ListadoFichasDeProduccion!A:A,0),K424)=0,"",INDEX([1]ListadoFichasDeProduccion!LQ:MB,MATCH(A424,[1]ListadoFichasDeProduccion!A:A,0),K424)),""))</f>
        <v/>
      </c>
      <c r="K424" s="11">
        <v>1</v>
      </c>
    </row>
    <row r="425" spans="1:11" x14ac:dyDescent="0.3">
      <c r="A425" s="11" t="s">
        <v>368</v>
      </c>
      <c r="B425" t="str">
        <f>VLOOKUP(A425,[1]ListadoFichasDeProduccion!$A$2:$LP$3000,328,FALSE)</f>
        <v>NO COMENZADO</v>
      </c>
      <c r="C425" s="11">
        <v>22</v>
      </c>
      <c r="D425" t="s">
        <v>259</v>
      </c>
      <c r="E425" t="s">
        <v>260</v>
      </c>
      <c r="F425" t="s">
        <v>261</v>
      </c>
      <c r="G425" s="9">
        <v>45932</v>
      </c>
      <c r="H425" t="s">
        <v>263</v>
      </c>
      <c r="I425" s="11">
        <v>10</v>
      </c>
      <c r="J425" t="str">
        <f>IF(I425="","",IFERROR(IF(INDEX([1]ListadoFichasDeProduccion!LQ:MB,MATCH(A425,[1]ListadoFichasDeProduccion!A:A,0),K425)=0,"",INDEX([1]ListadoFichasDeProduccion!LQ:MB,MATCH(A425,[1]ListadoFichasDeProduccion!A:A,0),K425)),""))</f>
        <v/>
      </c>
      <c r="K425" s="11">
        <v>2</v>
      </c>
    </row>
    <row r="426" spans="1:11" hidden="1" x14ac:dyDescent="0.3">
      <c r="A426" s="11">
        <v>1909</v>
      </c>
      <c r="B426" s="8" t="str">
        <f>VLOOKUP(A426,[1]ListadoFichasDeProduccion!$A$2:$LP$3000,328,FALSE)</f>
        <v>COMPLETADO</v>
      </c>
      <c r="C426" s="11">
        <v>12</v>
      </c>
      <c r="D426" t="s">
        <v>259</v>
      </c>
      <c r="E426" t="s">
        <v>264</v>
      </c>
      <c r="F426" t="s">
        <v>261</v>
      </c>
      <c r="G426" s="9">
        <v>45859</v>
      </c>
      <c r="H426" t="s">
        <v>262</v>
      </c>
      <c r="I426" s="11">
        <v>6</v>
      </c>
      <c r="J426" t="str">
        <f>IF(I426="","",IFERROR(IF(INDEX([1]ListadoFichasDeProduccion!LQ:MB,MATCH(A426,[1]ListadoFichasDeProduccion!A:A,0),K426)=0,"",INDEX([1]ListadoFichasDeProduccion!LQ:MB,MATCH(A426,[1]ListadoFichasDeProduccion!A:A,0),K426)),""))</f>
        <v/>
      </c>
      <c r="K426" s="11">
        <v>1</v>
      </c>
    </row>
    <row r="427" spans="1:11" hidden="1" x14ac:dyDescent="0.3">
      <c r="A427" s="11">
        <v>1909</v>
      </c>
      <c r="B427" s="8" t="str">
        <f>VLOOKUP(A427,[1]ListadoFichasDeProduccion!$A$2:$LP$3000,328,FALSE)</f>
        <v>COMPLETADO</v>
      </c>
      <c r="C427" s="11">
        <v>12</v>
      </c>
      <c r="D427" t="s">
        <v>259</v>
      </c>
      <c r="E427" t="s">
        <v>264</v>
      </c>
      <c r="F427" t="s">
        <v>261</v>
      </c>
      <c r="G427" s="9">
        <v>45859</v>
      </c>
      <c r="H427" t="s">
        <v>263</v>
      </c>
      <c r="I427" s="11">
        <v>6</v>
      </c>
      <c r="J427" t="str">
        <f>IF(I427="","",IFERROR(IF(INDEX([1]ListadoFichasDeProduccion!LQ:MB,MATCH(A427,[1]ListadoFichasDeProduccion!A:A,0),K427)=0,"",INDEX([1]ListadoFichasDeProduccion!LQ:MB,MATCH(A427,[1]ListadoFichasDeProduccion!A:A,0),K427)),""))</f>
        <v/>
      </c>
      <c r="K427" s="11">
        <v>2</v>
      </c>
    </row>
    <row r="428" spans="1:11" hidden="1" x14ac:dyDescent="0.3">
      <c r="A428" s="11" t="s">
        <v>369</v>
      </c>
      <c r="B428" t="str">
        <f>VLOOKUP(A428,[1]ListadoFichasDeProduccion!$A$2:$LP$3000,328,FALSE)</f>
        <v>COMPLETADO</v>
      </c>
      <c r="C428" s="11">
        <v>24</v>
      </c>
      <c r="D428" t="s">
        <v>259</v>
      </c>
      <c r="E428" t="s">
        <v>264</v>
      </c>
      <c r="F428" t="s">
        <v>261</v>
      </c>
      <c r="G428" s="9">
        <v>45932</v>
      </c>
      <c r="H428" t="s">
        <v>262</v>
      </c>
      <c r="I428" s="11">
        <v>12</v>
      </c>
      <c r="J428" t="str">
        <f>IF(I428="","",IFERROR(IF(INDEX([1]ListadoFichasDeProduccion!LQ:MB,MATCH(A428,[1]ListadoFichasDeProduccion!A:A,0),K428)=0,"",INDEX([1]ListadoFichasDeProduccion!LQ:MB,MATCH(A428,[1]ListadoFichasDeProduccion!A:A,0),K428)),""))</f>
        <v/>
      </c>
      <c r="K428" s="11">
        <v>1</v>
      </c>
    </row>
    <row r="429" spans="1:11" hidden="1" x14ac:dyDescent="0.3">
      <c r="A429" s="11" t="s">
        <v>369</v>
      </c>
      <c r="B429" t="str">
        <f>VLOOKUP(A429,[1]ListadoFichasDeProduccion!$A$2:$LP$3000,328,FALSE)</f>
        <v>COMPLETADO</v>
      </c>
      <c r="C429" s="11">
        <v>24</v>
      </c>
      <c r="D429" t="s">
        <v>259</v>
      </c>
      <c r="E429" t="s">
        <v>264</v>
      </c>
      <c r="F429" t="s">
        <v>261</v>
      </c>
      <c r="G429" s="9">
        <v>45932</v>
      </c>
      <c r="H429" t="s">
        <v>263</v>
      </c>
      <c r="I429" s="11">
        <v>10</v>
      </c>
      <c r="J429" t="str">
        <f>IF(I429="","",IFERROR(IF(INDEX([1]ListadoFichasDeProduccion!LQ:MB,MATCH(A429,[1]ListadoFichasDeProduccion!A:A,0),K429)=0,"",INDEX([1]ListadoFichasDeProduccion!LQ:MB,MATCH(A429,[1]ListadoFichasDeProduccion!A:A,0),K429)),""))</f>
        <v/>
      </c>
      <c r="K429" s="11">
        <v>2</v>
      </c>
    </row>
    <row r="430" spans="1:11" hidden="1" x14ac:dyDescent="0.3">
      <c r="A430" s="11">
        <v>1796</v>
      </c>
      <c r="B430" s="8" t="str">
        <f>VLOOKUP(A430,[1]ListadoFichasDeProduccion!$A$2:$LP$3000,328,FALSE)</f>
        <v>COMPLETADO</v>
      </c>
      <c r="C430" s="11">
        <v>50</v>
      </c>
      <c r="D430" t="s">
        <v>33</v>
      </c>
      <c r="E430" t="s">
        <v>215</v>
      </c>
      <c r="G430" s="9">
        <v>45804</v>
      </c>
      <c r="H430" t="s">
        <v>214</v>
      </c>
      <c r="I430" s="11">
        <v>5</v>
      </c>
      <c r="J430" t="str">
        <f>IF(I430="","",IFERROR(IF(INDEX([1]ListadoFichasDeProduccion!LQ:MB,MATCH(A430,[1]ListadoFichasDeProduccion!A:A,0),K430)=0,"",INDEX([1]ListadoFichasDeProduccion!LQ:MB,MATCH(A430,[1]ListadoFichasDeProduccion!A:A,0),K430)),""))</f>
        <v xml:space="preserve"> FRENTE Y REVES EN GAMUZA - TALLE S/M</v>
      </c>
      <c r="K430" s="11">
        <v>1</v>
      </c>
    </row>
    <row r="431" spans="1:11" hidden="1" x14ac:dyDescent="0.3">
      <c r="A431" s="11">
        <v>1796</v>
      </c>
      <c r="B431" s="8" t="str">
        <f>VLOOKUP(A431,[1]ListadoFichasDeProduccion!$A$2:$LP$3000,328,FALSE)</f>
        <v>COMPLETADO</v>
      </c>
      <c r="C431" s="11">
        <v>50</v>
      </c>
      <c r="D431" t="s">
        <v>33</v>
      </c>
      <c r="E431" t="s">
        <v>215</v>
      </c>
      <c r="G431" s="9">
        <v>45804</v>
      </c>
      <c r="H431" t="s">
        <v>214</v>
      </c>
      <c r="I431" s="11">
        <v>5</v>
      </c>
      <c r="J431" t="str">
        <f>IF(I431="","",IFERROR(IF(INDEX([1]ListadoFichasDeProduccion!LQ:MB,MATCH(A431,[1]ListadoFichasDeProduccion!A:A,0),K431)=0,"",INDEX([1]ListadoFichasDeProduccion!LQ:MB,MATCH(A431,[1]ListadoFichasDeProduccion!A:A,0),K431)),""))</f>
        <v xml:space="preserve"> FRENTE Y REVES EN GAMUZA - TALLE M/L</v>
      </c>
      <c r="K431" s="11">
        <v>2</v>
      </c>
    </row>
    <row r="432" spans="1:11" hidden="1" x14ac:dyDescent="0.3">
      <c r="A432" s="11">
        <v>1796</v>
      </c>
      <c r="B432" s="8" t="str">
        <f>VLOOKUP(A432,[1]ListadoFichasDeProduccion!$A$2:$LP$3000,328,FALSE)</f>
        <v>COMPLETADO</v>
      </c>
      <c r="C432" s="11">
        <v>50</v>
      </c>
      <c r="D432" t="s">
        <v>33</v>
      </c>
      <c r="E432" t="s">
        <v>215</v>
      </c>
      <c r="G432" s="9">
        <v>45804</v>
      </c>
      <c r="H432" t="s">
        <v>213</v>
      </c>
      <c r="I432" s="11">
        <v>5</v>
      </c>
      <c r="J432" t="str">
        <f>IF(I432="","",IFERROR(IF(INDEX([1]ListadoFichasDeProduccion!LQ:MB,MATCH(A432,[1]ListadoFichasDeProduccion!A:A,0),K432)=0,"",INDEX([1]ListadoFichasDeProduccion!LQ:MB,MATCH(A432,[1]ListadoFichasDeProduccion!A:A,0),K432)),""))</f>
        <v xml:space="preserve"> FRENTE Y REVES EN GAMUZA - TALLE S/M</v>
      </c>
      <c r="K432" s="11">
        <v>3</v>
      </c>
    </row>
    <row r="433" spans="1:11" hidden="1" x14ac:dyDescent="0.3">
      <c r="A433" s="11">
        <v>1796</v>
      </c>
      <c r="B433" s="8" t="str">
        <f>VLOOKUP(A433,[1]ListadoFichasDeProduccion!$A$2:$LP$3000,328,FALSE)</f>
        <v>COMPLETADO</v>
      </c>
      <c r="C433" s="11">
        <v>50</v>
      </c>
      <c r="D433" t="s">
        <v>33</v>
      </c>
      <c r="E433" t="s">
        <v>215</v>
      </c>
      <c r="G433" s="9">
        <v>45804</v>
      </c>
      <c r="H433" t="s">
        <v>213</v>
      </c>
      <c r="I433" s="11">
        <v>5</v>
      </c>
      <c r="J433" t="str">
        <f>IF(I433="","",IFERROR(IF(INDEX([1]ListadoFichasDeProduccion!LQ:MB,MATCH(A433,[1]ListadoFichasDeProduccion!A:A,0),K433)=0,"",INDEX([1]ListadoFichasDeProduccion!LQ:MB,MATCH(A433,[1]ListadoFichasDeProduccion!A:A,0),K433)),""))</f>
        <v xml:space="preserve"> FRENTE Y REVES EN GAMUZA - TALLE M/L</v>
      </c>
      <c r="K433" s="11">
        <v>4</v>
      </c>
    </row>
    <row r="434" spans="1:11" hidden="1" x14ac:dyDescent="0.3">
      <c r="A434" s="11">
        <v>1796</v>
      </c>
      <c r="B434" s="8" t="str">
        <f>VLOOKUP(A434,[1]ListadoFichasDeProduccion!$A$2:$LP$3000,328,FALSE)</f>
        <v>COMPLETADO</v>
      </c>
      <c r="C434" s="11">
        <v>50</v>
      </c>
      <c r="D434" t="s">
        <v>33</v>
      </c>
      <c r="E434" t="s">
        <v>215</v>
      </c>
      <c r="G434" s="9">
        <v>45804</v>
      </c>
      <c r="H434" t="s">
        <v>216</v>
      </c>
      <c r="I434" s="11">
        <v>5</v>
      </c>
      <c r="J434" t="str">
        <f>IF(I434="","",IFERROR(IF(INDEX([1]ListadoFichasDeProduccion!LQ:MB,MATCH(A434,[1]ListadoFichasDeProduccion!A:A,0),K434)=0,"",INDEX([1]ListadoFichasDeProduccion!LQ:MB,MATCH(A434,[1]ListadoFichasDeProduccion!A:A,0),K434)),""))</f>
        <v xml:space="preserve"> FRENTE Y REVES EN GAMUZA - TALLE S/M</v>
      </c>
      <c r="K434" s="11">
        <v>5</v>
      </c>
    </row>
    <row r="435" spans="1:11" hidden="1" x14ac:dyDescent="0.3">
      <c r="A435" s="11">
        <v>1796</v>
      </c>
      <c r="B435" s="8" t="str">
        <f>VLOOKUP(A435,[1]ListadoFichasDeProduccion!$A$2:$LP$3000,328,FALSE)</f>
        <v>COMPLETADO</v>
      </c>
      <c r="C435" s="11">
        <v>50</v>
      </c>
      <c r="D435" t="s">
        <v>33</v>
      </c>
      <c r="E435" t="s">
        <v>215</v>
      </c>
      <c r="G435" s="9">
        <v>45804</v>
      </c>
      <c r="H435" t="s">
        <v>217</v>
      </c>
      <c r="I435" s="11">
        <v>5</v>
      </c>
      <c r="J435" t="str">
        <f>IF(I435="","",IFERROR(IF(INDEX([1]ListadoFichasDeProduccion!LQ:MB,MATCH(A435,[1]ListadoFichasDeProduccion!A:A,0),K435)=0,"",INDEX([1]ListadoFichasDeProduccion!LQ:MB,MATCH(A435,[1]ListadoFichasDeProduccion!A:A,0),K435)),""))</f>
        <v xml:space="preserve"> FRENTE Y REVES EN GAMUZA - TALLE M/L</v>
      </c>
      <c r="K435" s="11">
        <v>6</v>
      </c>
    </row>
    <row r="436" spans="1:11" hidden="1" x14ac:dyDescent="0.3">
      <c r="A436" s="11">
        <v>1796</v>
      </c>
      <c r="B436" s="8" t="str">
        <f>VLOOKUP(A436,[1]ListadoFichasDeProduccion!$A$2:$LP$3000,328,FALSE)</f>
        <v>COMPLETADO</v>
      </c>
      <c r="C436" s="11">
        <v>50</v>
      </c>
      <c r="D436" t="s">
        <v>33</v>
      </c>
      <c r="E436" t="s">
        <v>215</v>
      </c>
      <c r="G436" s="9">
        <v>45804</v>
      </c>
      <c r="H436" t="s">
        <v>218</v>
      </c>
      <c r="I436" s="11">
        <v>5</v>
      </c>
      <c r="J436" t="str">
        <f>IF(I436="","",IFERROR(IF(INDEX([1]ListadoFichasDeProduccion!LQ:MB,MATCH(A436,[1]ListadoFichasDeProduccion!A:A,0),K436)=0,"",INDEX([1]ListadoFichasDeProduccion!LQ:MB,MATCH(A436,[1]ListadoFichasDeProduccion!A:A,0),K436)),""))</f>
        <v xml:space="preserve"> FRENTE Y REVES EN GAMUZA - TALLE S/M</v>
      </c>
      <c r="K436" s="11">
        <v>7</v>
      </c>
    </row>
    <row r="437" spans="1:11" hidden="1" x14ac:dyDescent="0.3">
      <c r="A437" s="11">
        <v>1796</v>
      </c>
      <c r="B437" s="8" t="str">
        <f>VLOOKUP(A437,[1]ListadoFichasDeProduccion!$A$2:$LP$3000,328,FALSE)</f>
        <v>COMPLETADO</v>
      </c>
      <c r="C437" s="11">
        <v>50</v>
      </c>
      <c r="D437" t="s">
        <v>33</v>
      </c>
      <c r="E437" t="s">
        <v>215</v>
      </c>
      <c r="G437" s="9">
        <v>45804</v>
      </c>
      <c r="H437" t="s">
        <v>218</v>
      </c>
      <c r="I437" s="11">
        <v>5</v>
      </c>
      <c r="J437" t="str">
        <f>IF(I437="","",IFERROR(IF(INDEX([1]ListadoFichasDeProduccion!LQ:MB,MATCH(A437,[1]ListadoFichasDeProduccion!A:A,0),K437)=0,"",INDEX([1]ListadoFichasDeProduccion!LQ:MB,MATCH(A437,[1]ListadoFichasDeProduccion!A:A,0),K437)),""))</f>
        <v xml:space="preserve"> FRENTE Y REVES EN GAMUZA - TALLE M/L</v>
      </c>
      <c r="K437" s="11">
        <v>8</v>
      </c>
    </row>
    <row r="438" spans="1:11" hidden="1" x14ac:dyDescent="0.3">
      <c r="A438" s="11">
        <v>1796</v>
      </c>
      <c r="B438" s="8" t="str">
        <f>VLOOKUP(A438,[1]ListadoFichasDeProduccion!$A$2:$LP$3000,328,FALSE)</f>
        <v>COMPLETADO</v>
      </c>
      <c r="C438" s="11">
        <v>50</v>
      </c>
      <c r="D438" t="s">
        <v>33</v>
      </c>
      <c r="E438" t="s">
        <v>215</v>
      </c>
      <c r="G438" s="9">
        <v>45804</v>
      </c>
      <c r="H438" t="s">
        <v>219</v>
      </c>
      <c r="I438" s="11">
        <v>5</v>
      </c>
      <c r="J438" t="str">
        <f>IF(I438="","",IFERROR(IF(INDEX([1]ListadoFichasDeProduccion!LQ:MB,MATCH(A438,[1]ListadoFichasDeProduccion!A:A,0),K438)=0,"",INDEX([1]ListadoFichasDeProduccion!LQ:MB,MATCH(A438,[1]ListadoFichasDeProduccion!A:A,0),K438)),""))</f>
        <v xml:space="preserve"> FRENTE Y REVES EN GAMUZA - TALLE S/M</v>
      </c>
      <c r="K438" s="11">
        <v>9</v>
      </c>
    </row>
    <row r="439" spans="1:11" hidden="1" x14ac:dyDescent="0.3">
      <c r="A439" s="11">
        <v>1796</v>
      </c>
      <c r="B439" s="8" t="str">
        <f>VLOOKUP(A439,[1]ListadoFichasDeProduccion!$A$2:$LP$3000,328,FALSE)</f>
        <v>COMPLETADO</v>
      </c>
      <c r="C439" s="11">
        <v>50</v>
      </c>
      <c r="D439" t="s">
        <v>33</v>
      </c>
      <c r="E439" t="s">
        <v>215</v>
      </c>
      <c r="G439" s="9">
        <v>45804</v>
      </c>
      <c r="H439" t="s">
        <v>219</v>
      </c>
      <c r="I439" s="11">
        <v>5</v>
      </c>
      <c r="J439" t="str">
        <f>IF(I439="","",IFERROR(IF(INDEX([1]ListadoFichasDeProduccion!LQ:MB,MATCH(A439,[1]ListadoFichasDeProduccion!A:A,0),K439)=0,"",INDEX([1]ListadoFichasDeProduccion!LQ:MB,MATCH(A439,[1]ListadoFichasDeProduccion!A:A,0),K439)),""))</f>
        <v xml:space="preserve"> FRENTE Y REVES EN GAMUZA - TALLE M/L</v>
      </c>
      <c r="K439" s="11">
        <v>10</v>
      </c>
    </row>
    <row r="440" spans="1:11" hidden="1" x14ac:dyDescent="0.3">
      <c r="A440" s="11">
        <v>1911</v>
      </c>
      <c r="B440" s="8" t="str">
        <f>VLOOKUP(A440,[1]ListadoFichasDeProduccion!$A$2:$LP$3000,328,FALSE)</f>
        <v>COMPLETADO</v>
      </c>
      <c r="C440" s="11">
        <v>6</v>
      </c>
      <c r="D440" t="s">
        <v>33</v>
      </c>
      <c r="E440" t="s">
        <v>215</v>
      </c>
      <c r="G440" s="9">
        <v>45869</v>
      </c>
      <c r="H440" t="s">
        <v>216</v>
      </c>
      <c r="I440" s="11">
        <v>2</v>
      </c>
      <c r="J440" t="str">
        <f>IF(I440="","",IFERROR(IF(INDEX([1]ListadoFichasDeProduccion!LQ:MB,MATCH(A440,[1]ListadoFichasDeProduccion!A:A,0),K440)=0,"",INDEX([1]ListadoFichasDeProduccion!LQ:MB,MATCH(A440,[1]ListadoFichasDeProduccion!A:A,0),K440)),""))</f>
        <v>TALLE S/M //  FRENTE Y REVES EN GAMUZA // NO HAY GAMUZA CHOCO IDEM PRIMER CORTE  USAR NOBUCK DEL LADO DEL DESCARNE</v>
      </c>
      <c r="K440" s="11">
        <v>1</v>
      </c>
    </row>
    <row r="441" spans="1:11" hidden="1" x14ac:dyDescent="0.3">
      <c r="A441" s="11">
        <v>1911</v>
      </c>
      <c r="B441" s="8" t="str">
        <f>VLOOKUP(A441,[1]ListadoFichasDeProduccion!$A$2:$LP$3000,328,FALSE)</f>
        <v>COMPLETADO</v>
      </c>
      <c r="C441" s="11">
        <v>6</v>
      </c>
      <c r="D441" t="s">
        <v>33</v>
      </c>
      <c r="E441" t="s">
        <v>215</v>
      </c>
      <c r="G441" s="9">
        <v>45869</v>
      </c>
      <c r="H441" t="s">
        <v>216</v>
      </c>
      <c r="I441" s="11">
        <v>2</v>
      </c>
      <c r="J441" t="str">
        <f>IF(I441="","",IFERROR(IF(INDEX([1]ListadoFichasDeProduccion!LQ:MB,MATCH(A441,[1]ListadoFichasDeProduccion!A:A,0),K441)=0,"",INDEX([1]ListadoFichasDeProduccion!LQ:MB,MATCH(A441,[1]ListadoFichasDeProduccion!A:A,0),K441)),""))</f>
        <v>TALLE M/L //  FRENTE Y REVES EN GAMUZA // NO HAY GAMUZA CHOCO IDEM PRIMER CORTE  USAR NOBUCK DEL LADO DEL DESCARNE</v>
      </c>
      <c r="K441" s="11">
        <v>2</v>
      </c>
    </row>
    <row r="442" spans="1:11" hidden="1" x14ac:dyDescent="0.3">
      <c r="A442" s="11">
        <v>1911</v>
      </c>
      <c r="B442" s="8" t="str">
        <f>VLOOKUP(A442,[1]ListadoFichasDeProduccion!$A$2:$LP$3000,328,FALSE)</f>
        <v>COMPLETADO</v>
      </c>
      <c r="C442" s="11">
        <v>6</v>
      </c>
      <c r="D442" t="s">
        <v>33</v>
      </c>
      <c r="E442" t="s">
        <v>215</v>
      </c>
      <c r="G442" s="9">
        <v>45869</v>
      </c>
      <c r="H442" t="s">
        <v>265</v>
      </c>
      <c r="I442" s="11">
        <v>2</v>
      </c>
      <c r="J442" t="str">
        <f>IF(I442="","",IFERROR(IF(INDEX([1]ListadoFichasDeProduccion!LQ:MB,MATCH(A442,[1]ListadoFichasDeProduccion!A:A,0),K442)=0,"",INDEX([1]ListadoFichasDeProduccion!LQ:MB,MATCH(A442,[1]ListadoFichasDeProduccion!A:A,0),K442)),""))</f>
        <v>TALLE S/M //  FRENTE Y REVES EN GAMUZA // NO HAY GAMUZA CHOCO IDEM PRIMER CORTE  USAR NOBUCK DEL LADO DEL DESCARNE</v>
      </c>
      <c r="K442" s="11">
        <v>3</v>
      </c>
    </row>
    <row r="443" spans="1:11" hidden="1" x14ac:dyDescent="0.3">
      <c r="A443" s="11" t="s">
        <v>291</v>
      </c>
      <c r="B443" t="str">
        <f>VLOOKUP(A443,[1]ListadoFichasDeProduccion!$A$2:$LP$3000,328,FALSE)</f>
        <v>COMPLETADO</v>
      </c>
      <c r="C443" s="11">
        <v>5</v>
      </c>
      <c r="D443" t="s">
        <v>33</v>
      </c>
      <c r="E443" t="s">
        <v>215</v>
      </c>
      <c r="G443" s="9">
        <v>45911</v>
      </c>
      <c r="H443" t="s">
        <v>214</v>
      </c>
      <c r="I443" s="11">
        <v>2</v>
      </c>
      <c r="J443" t="str">
        <f>IF(I443="","",IFERROR(IF(INDEX([1]ListadoFichasDeProduccion!LQ:MB,MATCH(A443,[1]ListadoFichasDeProduccion!A:A,0),K443)=0,"",INDEX([1]ListadoFichasDeProduccion!LQ:MB,MATCH(A443,[1]ListadoFichasDeProduccion!A:A,0),K443)),""))</f>
        <v>TALLE S/M - FRENTE Y REVES EN GAMUZA - USAR NOBUCK DEL LADO DEL DESCARNE</v>
      </c>
      <c r="K443" s="11">
        <v>1</v>
      </c>
    </row>
    <row r="444" spans="1:11" hidden="1" x14ac:dyDescent="0.3">
      <c r="A444" s="11" t="s">
        <v>291</v>
      </c>
      <c r="B444" t="str">
        <f>VLOOKUP(A444,[1]ListadoFichasDeProduccion!$A$2:$LP$3000,328,FALSE)</f>
        <v>COMPLETADO</v>
      </c>
      <c r="C444" s="11">
        <v>5</v>
      </c>
      <c r="D444" t="s">
        <v>33</v>
      </c>
      <c r="E444" t="s">
        <v>215</v>
      </c>
      <c r="G444" s="9">
        <v>45911</v>
      </c>
      <c r="H444" t="s">
        <v>214</v>
      </c>
      <c r="I444" s="11">
        <v>3</v>
      </c>
      <c r="J444" t="str">
        <f>IF(I444="","",IFERROR(IF(INDEX([1]ListadoFichasDeProduccion!LQ:MB,MATCH(A444,[1]ListadoFichasDeProduccion!A:A,0),K444)=0,"",INDEX([1]ListadoFichasDeProduccion!LQ:MB,MATCH(A444,[1]ListadoFichasDeProduccion!A:A,0),K444)),""))</f>
        <v>TALLE M/L - FRENTE Y REVES EN GAMUZA - USAR NOBUCK DEL LADO DEL DESCARNE</v>
      </c>
      <c r="K444" s="11">
        <v>2</v>
      </c>
    </row>
    <row r="445" spans="1:11" hidden="1" x14ac:dyDescent="0.3">
      <c r="A445" s="11" t="s">
        <v>427</v>
      </c>
      <c r="B445" t="str">
        <f>VLOOKUP(A445,[1]ListadoFichasDeProduccion!$A$2:$LP$3000,328,FALSE)</f>
        <v>COMPLETADO</v>
      </c>
      <c r="C445" s="11">
        <v>4</v>
      </c>
      <c r="D445" t="s">
        <v>33</v>
      </c>
      <c r="E445" t="s">
        <v>215</v>
      </c>
      <c r="G445" s="9">
        <v>45957</v>
      </c>
      <c r="H445" t="s">
        <v>428</v>
      </c>
      <c r="I445" s="11">
        <v>2</v>
      </c>
      <c r="J445" t="str">
        <f>IF(I445="","",IFERROR(IF(INDEX([1]ListadoFichasDeProduccion!LQ:MB,MATCH(A445,[1]ListadoFichasDeProduccion!A:A,0),K445)=0,"",INDEX([1]ListadoFichasDeProduccion!LQ:MB,MATCH(A445,[1]ListadoFichasDeProduccion!A:A,0),K445)),""))</f>
        <v xml:space="preserve"> TALLE S/M - FRENTE Y REVES EN GAMUZA -  NO HAY GAMUZA CHOCO IDEM PRIMER CORTE - USAR NOBUCK DEL LADO DEL DESCARNE</v>
      </c>
      <c r="K445" s="11">
        <v>1</v>
      </c>
    </row>
    <row r="446" spans="1:11" hidden="1" x14ac:dyDescent="0.3">
      <c r="A446" s="11" t="s">
        <v>427</v>
      </c>
      <c r="B446" t="str">
        <f>VLOOKUP(A446,[1]ListadoFichasDeProduccion!$A$2:$LP$3000,328,FALSE)</f>
        <v>COMPLETADO</v>
      </c>
      <c r="C446" s="11">
        <v>4</v>
      </c>
      <c r="D446" t="s">
        <v>33</v>
      </c>
      <c r="E446" t="s">
        <v>215</v>
      </c>
      <c r="G446" s="9">
        <v>45957</v>
      </c>
      <c r="H446" t="s">
        <v>428</v>
      </c>
      <c r="I446" s="11">
        <v>2</v>
      </c>
      <c r="J446" t="str">
        <f>IF(I446="","",IFERROR(IF(INDEX([1]ListadoFichasDeProduccion!LQ:MB,MATCH(A446,[1]ListadoFichasDeProduccion!A:A,0),K446)=0,"",INDEX([1]ListadoFichasDeProduccion!LQ:MB,MATCH(A446,[1]ListadoFichasDeProduccion!A:A,0),K446)),""))</f>
        <v xml:space="preserve"> TALLE M/L - FRENTE Y REVES EN GAMUZA -  NO HAY GAMUZA CHOCO IDEM PRIMER CORTE - USAR NOBUCK DEL LADO DEL DESCARNE</v>
      </c>
      <c r="K446" s="11">
        <v>2</v>
      </c>
    </row>
    <row r="447" spans="1:11" hidden="1" x14ac:dyDescent="0.3">
      <c r="A447" s="11">
        <v>1797</v>
      </c>
      <c r="B447" s="8" t="str">
        <f>VLOOKUP(A447,[1]ListadoFichasDeProduccion!$A$2:$LP$3000,328,FALSE)</f>
        <v>COMPLETADO</v>
      </c>
      <c r="C447" s="11">
        <v>50</v>
      </c>
      <c r="D447" t="s">
        <v>33</v>
      </c>
      <c r="E447" t="s">
        <v>191</v>
      </c>
      <c r="F447" t="s">
        <v>166</v>
      </c>
      <c r="G447" s="9">
        <v>45804</v>
      </c>
      <c r="H447" t="s">
        <v>192</v>
      </c>
      <c r="I447" s="11">
        <v>5</v>
      </c>
      <c r="J447" t="str">
        <f>IF(I447="","",IFERROR(IF(INDEX([1]ListadoFichasDeProduccion!LQ:MB,MATCH(A447,[1]ListadoFichasDeProduccion!A:A,0),K447)=0,"",INDEX([1]ListadoFichasDeProduccion!LQ:MB,MATCH(A447,[1]ListadoFichasDeProduccion!A:A,0),K447)),""))</f>
        <v>TALLE S/M</v>
      </c>
      <c r="K447" s="11">
        <v>1</v>
      </c>
    </row>
    <row r="448" spans="1:11" hidden="1" x14ac:dyDescent="0.3">
      <c r="A448" s="11">
        <v>1797</v>
      </c>
      <c r="B448" s="8" t="str">
        <f>VLOOKUP(A448,[1]ListadoFichasDeProduccion!$A$2:$LP$3000,328,FALSE)</f>
        <v>COMPLETADO</v>
      </c>
      <c r="C448" s="11">
        <v>50</v>
      </c>
      <c r="D448" t="s">
        <v>33</v>
      </c>
      <c r="E448" t="s">
        <v>191</v>
      </c>
      <c r="F448" t="s">
        <v>166</v>
      </c>
      <c r="G448" s="9">
        <v>45804</v>
      </c>
      <c r="H448" t="s">
        <v>192</v>
      </c>
      <c r="I448" s="11">
        <v>5</v>
      </c>
      <c r="J448" t="str">
        <f>IF(I448="","",IFERROR(IF(INDEX([1]ListadoFichasDeProduccion!LQ:MB,MATCH(A448,[1]ListadoFichasDeProduccion!A:A,0),K448)=0,"",INDEX([1]ListadoFichasDeProduccion!LQ:MB,MATCH(A448,[1]ListadoFichasDeProduccion!A:A,0),K448)),""))</f>
        <v>TALLE M/L</v>
      </c>
      <c r="K448" s="11">
        <v>2</v>
      </c>
    </row>
    <row r="449" spans="1:11" hidden="1" x14ac:dyDescent="0.3">
      <c r="A449" s="11">
        <v>1797</v>
      </c>
      <c r="B449" s="8" t="str">
        <f>VLOOKUP(A449,[1]ListadoFichasDeProduccion!$A$2:$LP$3000,328,FALSE)</f>
        <v>COMPLETADO</v>
      </c>
      <c r="C449" s="11">
        <v>50</v>
      </c>
      <c r="D449" t="s">
        <v>33</v>
      </c>
      <c r="E449" t="s">
        <v>191</v>
      </c>
      <c r="F449" t="s">
        <v>166</v>
      </c>
      <c r="G449" s="9">
        <v>45804</v>
      </c>
      <c r="H449" t="s">
        <v>193</v>
      </c>
      <c r="I449" s="11">
        <v>5</v>
      </c>
      <c r="J449" t="str">
        <f>IF(I449="","",IFERROR(IF(INDEX([1]ListadoFichasDeProduccion!LQ:MB,MATCH(A449,[1]ListadoFichasDeProduccion!A:A,0),K449)=0,"",INDEX([1]ListadoFichasDeProduccion!LQ:MB,MATCH(A449,[1]ListadoFichasDeProduccion!A:A,0),K449)),""))</f>
        <v>TALLE S/M</v>
      </c>
      <c r="K449" s="11">
        <v>3</v>
      </c>
    </row>
    <row r="450" spans="1:11" hidden="1" x14ac:dyDescent="0.3">
      <c r="A450" s="11">
        <v>1797</v>
      </c>
      <c r="B450" s="8" t="str">
        <f>VLOOKUP(A450,[1]ListadoFichasDeProduccion!$A$2:$LP$3000,328,FALSE)</f>
        <v>COMPLETADO</v>
      </c>
      <c r="C450" s="11">
        <v>50</v>
      </c>
      <c r="D450" t="s">
        <v>33</v>
      </c>
      <c r="E450" t="s">
        <v>191</v>
      </c>
      <c r="F450" t="s">
        <v>166</v>
      </c>
      <c r="G450" s="9">
        <v>45804</v>
      </c>
      <c r="H450" t="s">
        <v>193</v>
      </c>
      <c r="I450" s="11">
        <v>5</v>
      </c>
      <c r="J450" t="str">
        <f>IF(I450="","",IFERROR(IF(INDEX([1]ListadoFichasDeProduccion!LQ:MB,MATCH(A450,[1]ListadoFichasDeProduccion!A:A,0),K450)=0,"",INDEX([1]ListadoFichasDeProduccion!LQ:MB,MATCH(A450,[1]ListadoFichasDeProduccion!A:A,0),K450)),""))</f>
        <v xml:space="preserve"> TALLE M/L</v>
      </c>
      <c r="K450" s="11">
        <v>4</v>
      </c>
    </row>
    <row r="451" spans="1:11" hidden="1" x14ac:dyDescent="0.3">
      <c r="A451" s="11">
        <v>1797</v>
      </c>
      <c r="B451" s="8" t="str">
        <f>VLOOKUP(A451,[1]ListadoFichasDeProduccion!$A$2:$LP$3000,328,FALSE)</f>
        <v>COMPLETADO</v>
      </c>
      <c r="C451" s="11">
        <v>50</v>
      </c>
      <c r="D451" t="s">
        <v>33</v>
      </c>
      <c r="E451" t="s">
        <v>191</v>
      </c>
      <c r="F451" t="s">
        <v>166</v>
      </c>
      <c r="G451" s="9">
        <v>45804</v>
      </c>
      <c r="H451" t="s">
        <v>194</v>
      </c>
      <c r="I451" s="11">
        <v>5</v>
      </c>
      <c r="J451" t="str">
        <f>IF(I451="","",IFERROR(IF(INDEX([1]ListadoFichasDeProduccion!LQ:MB,MATCH(A451,[1]ListadoFichasDeProduccion!A:A,0),K451)=0,"",INDEX([1]ListadoFichasDeProduccion!LQ:MB,MATCH(A451,[1]ListadoFichasDeProduccion!A:A,0),K451)),""))</f>
        <v>TALLE S/M</v>
      </c>
      <c r="K451" s="11">
        <v>5</v>
      </c>
    </row>
    <row r="452" spans="1:11" hidden="1" x14ac:dyDescent="0.3">
      <c r="A452" s="11">
        <v>1797</v>
      </c>
      <c r="B452" s="8" t="str">
        <f>VLOOKUP(A452,[1]ListadoFichasDeProduccion!$A$2:$LP$3000,328,FALSE)</f>
        <v>COMPLETADO</v>
      </c>
      <c r="C452" s="11">
        <v>50</v>
      </c>
      <c r="D452" t="s">
        <v>33</v>
      </c>
      <c r="E452" t="s">
        <v>191</v>
      </c>
      <c r="F452" t="s">
        <v>166</v>
      </c>
      <c r="G452" s="9">
        <v>45804</v>
      </c>
      <c r="H452" t="s">
        <v>195</v>
      </c>
      <c r="I452" s="11">
        <v>5</v>
      </c>
      <c r="J452" t="str">
        <f>IF(I452="","",IFERROR(IF(INDEX([1]ListadoFichasDeProduccion!LQ:MB,MATCH(A452,[1]ListadoFichasDeProduccion!A:A,0),K452)=0,"",INDEX([1]ListadoFichasDeProduccion!LQ:MB,MATCH(A452,[1]ListadoFichasDeProduccion!A:A,0),K452)),""))</f>
        <v xml:space="preserve"> TALLE M/L</v>
      </c>
      <c r="K452" s="11">
        <v>6</v>
      </c>
    </row>
    <row r="453" spans="1:11" hidden="1" x14ac:dyDescent="0.3">
      <c r="A453" s="11">
        <v>1797</v>
      </c>
      <c r="B453" s="8" t="str">
        <f>VLOOKUP(A453,[1]ListadoFichasDeProduccion!$A$2:$LP$3000,328,FALSE)</f>
        <v>COMPLETADO</v>
      </c>
      <c r="C453" s="11">
        <v>50</v>
      </c>
      <c r="D453" t="s">
        <v>33</v>
      </c>
      <c r="E453" t="s">
        <v>191</v>
      </c>
      <c r="F453" t="s">
        <v>166</v>
      </c>
      <c r="G453" s="9">
        <v>45804</v>
      </c>
      <c r="H453" t="s">
        <v>196</v>
      </c>
      <c r="I453" s="11">
        <v>5</v>
      </c>
      <c r="J453" t="str">
        <f>IF(I453="","",IFERROR(IF(INDEX([1]ListadoFichasDeProduccion!LQ:MB,MATCH(A453,[1]ListadoFichasDeProduccion!A:A,0),K453)=0,"",INDEX([1]ListadoFichasDeProduccion!LQ:MB,MATCH(A453,[1]ListadoFichasDeProduccion!A:A,0),K453)),""))</f>
        <v>TALLE S/M</v>
      </c>
      <c r="K453" s="11">
        <v>7</v>
      </c>
    </row>
    <row r="454" spans="1:11" hidden="1" x14ac:dyDescent="0.3">
      <c r="A454" s="11">
        <v>1797</v>
      </c>
      <c r="B454" s="8" t="str">
        <f>VLOOKUP(A454,[1]ListadoFichasDeProduccion!$A$2:$LP$3000,328,FALSE)</f>
        <v>COMPLETADO</v>
      </c>
      <c r="C454" s="11">
        <v>50</v>
      </c>
      <c r="D454" t="s">
        <v>33</v>
      </c>
      <c r="E454" t="s">
        <v>191</v>
      </c>
      <c r="F454" t="s">
        <v>166</v>
      </c>
      <c r="G454" s="9">
        <v>45804</v>
      </c>
      <c r="H454" t="s">
        <v>196</v>
      </c>
      <c r="I454" s="11">
        <v>5</v>
      </c>
      <c r="J454" t="str">
        <f>IF(I454="","",IFERROR(IF(INDEX([1]ListadoFichasDeProduccion!LQ:MB,MATCH(A454,[1]ListadoFichasDeProduccion!A:A,0),K454)=0,"",INDEX([1]ListadoFichasDeProduccion!LQ:MB,MATCH(A454,[1]ListadoFichasDeProduccion!A:A,0),K454)),""))</f>
        <v xml:space="preserve"> TALLE M/L</v>
      </c>
      <c r="K454" s="11">
        <v>8</v>
      </c>
    </row>
    <row r="455" spans="1:11" hidden="1" x14ac:dyDescent="0.3">
      <c r="A455" s="11">
        <v>1797</v>
      </c>
      <c r="B455" s="8" t="str">
        <f>VLOOKUP(A455,[1]ListadoFichasDeProduccion!$A$2:$LP$3000,328,FALSE)</f>
        <v>COMPLETADO</v>
      </c>
      <c r="C455" s="11">
        <v>50</v>
      </c>
      <c r="D455" t="s">
        <v>33</v>
      </c>
      <c r="E455" t="s">
        <v>191</v>
      </c>
      <c r="F455" t="s">
        <v>166</v>
      </c>
      <c r="G455" s="9">
        <v>45804</v>
      </c>
      <c r="H455" t="s">
        <v>197</v>
      </c>
      <c r="I455" s="11">
        <v>5</v>
      </c>
      <c r="J455" t="str">
        <f>IF(I455="","",IFERROR(IF(INDEX([1]ListadoFichasDeProduccion!LQ:MB,MATCH(A455,[1]ListadoFichasDeProduccion!A:A,0),K455)=0,"",INDEX([1]ListadoFichasDeProduccion!LQ:MB,MATCH(A455,[1]ListadoFichasDeProduccion!A:A,0),K455)),""))</f>
        <v>TALLE S/M</v>
      </c>
      <c r="K455" s="11">
        <v>9</v>
      </c>
    </row>
    <row r="456" spans="1:11" hidden="1" x14ac:dyDescent="0.3">
      <c r="A456" s="11">
        <v>1797</v>
      </c>
      <c r="B456" s="8" t="str">
        <f>VLOOKUP(A456,[1]ListadoFichasDeProduccion!$A$2:$LP$3000,328,FALSE)</f>
        <v>COMPLETADO</v>
      </c>
      <c r="C456" s="11">
        <v>50</v>
      </c>
      <c r="D456" t="s">
        <v>33</v>
      </c>
      <c r="E456" t="s">
        <v>191</v>
      </c>
      <c r="F456" t="s">
        <v>166</v>
      </c>
      <c r="G456" s="9">
        <v>45804</v>
      </c>
      <c r="H456" t="s">
        <v>197</v>
      </c>
      <c r="I456" s="11">
        <v>5</v>
      </c>
      <c r="J456" t="str">
        <f>IF(I456="","",IFERROR(IF(INDEX([1]ListadoFichasDeProduccion!LQ:MB,MATCH(A456,[1]ListadoFichasDeProduccion!A:A,0),K456)=0,"",INDEX([1]ListadoFichasDeProduccion!LQ:MB,MATCH(A456,[1]ListadoFichasDeProduccion!A:A,0),K456)),""))</f>
        <v xml:space="preserve"> TALLE M/L</v>
      </c>
      <c r="K456" s="11">
        <v>10</v>
      </c>
    </row>
    <row r="457" spans="1:11" hidden="1" x14ac:dyDescent="0.3">
      <c r="A457" s="11">
        <v>1912</v>
      </c>
      <c r="B457" s="8" t="str">
        <f>VLOOKUP(A457,[1]ListadoFichasDeProduccion!$A$2:$LP$3000,328,FALSE)</f>
        <v>COMPLETADO</v>
      </c>
      <c r="C457" s="11">
        <v>9</v>
      </c>
      <c r="D457" t="s">
        <v>33</v>
      </c>
      <c r="E457" t="s">
        <v>191</v>
      </c>
      <c r="F457" t="s">
        <v>166</v>
      </c>
      <c r="G457" s="9">
        <v>45869</v>
      </c>
      <c r="H457" t="s">
        <v>266</v>
      </c>
      <c r="I457" s="11">
        <v>1</v>
      </c>
      <c r="J457" t="str">
        <f>IF(I457="","",IFERROR(IF(INDEX([1]ListadoFichasDeProduccion!LQ:MB,MATCH(A457,[1]ListadoFichasDeProduccion!A:A,0),K457)=0,"",INDEX([1]ListadoFichasDeProduccion!LQ:MB,MATCH(A457,[1]ListadoFichasDeProduccion!A:A,0),K457)),""))</f>
        <v>TALLE M/L</v>
      </c>
      <c r="K457" s="11">
        <v>1</v>
      </c>
    </row>
    <row r="458" spans="1:11" hidden="1" x14ac:dyDescent="0.3">
      <c r="A458" s="11">
        <v>1912</v>
      </c>
      <c r="B458" s="8" t="str">
        <f>VLOOKUP(A458,[1]ListadoFichasDeProduccion!$A$2:$LP$3000,328,FALSE)</f>
        <v>COMPLETADO</v>
      </c>
      <c r="C458" s="11">
        <v>9</v>
      </c>
      <c r="D458" t="s">
        <v>33</v>
      </c>
      <c r="E458" t="s">
        <v>191</v>
      </c>
      <c r="F458" t="s">
        <v>166</v>
      </c>
      <c r="G458" s="9">
        <v>45869</v>
      </c>
      <c r="H458" t="s">
        <v>192</v>
      </c>
      <c r="I458" s="11">
        <v>2</v>
      </c>
      <c r="J458" t="str">
        <f>IF(I458="","",IFERROR(IF(INDEX([1]ListadoFichasDeProduccion!LQ:MB,MATCH(A458,[1]ListadoFichasDeProduccion!A:A,0),K458)=0,"",INDEX([1]ListadoFichasDeProduccion!LQ:MB,MATCH(A458,[1]ListadoFichasDeProduccion!A:A,0),K458)),""))</f>
        <v>TALLE S/M</v>
      </c>
      <c r="K458" s="11">
        <v>2</v>
      </c>
    </row>
    <row r="459" spans="1:11" hidden="1" x14ac:dyDescent="0.3">
      <c r="A459" s="11">
        <v>1912</v>
      </c>
      <c r="B459" s="8" t="str">
        <f>VLOOKUP(A459,[1]ListadoFichasDeProduccion!$A$2:$LP$3000,328,FALSE)</f>
        <v>COMPLETADO</v>
      </c>
      <c r="C459" s="11">
        <v>9</v>
      </c>
      <c r="D459" t="s">
        <v>33</v>
      </c>
      <c r="E459" t="s">
        <v>191</v>
      </c>
      <c r="F459" t="s">
        <v>166</v>
      </c>
      <c r="G459" s="9">
        <v>45869</v>
      </c>
      <c r="H459" t="s">
        <v>192</v>
      </c>
      <c r="I459" s="11">
        <v>4</v>
      </c>
      <c r="J459" t="str">
        <f>IF(I459="","",IFERROR(IF(INDEX([1]ListadoFichasDeProduccion!LQ:MB,MATCH(A459,[1]ListadoFichasDeProduccion!A:A,0),K459)=0,"",INDEX([1]ListadoFichasDeProduccion!LQ:MB,MATCH(A459,[1]ListadoFichasDeProduccion!A:A,0),K459)),""))</f>
        <v xml:space="preserve"> TALLE M/L</v>
      </c>
      <c r="K459" s="11">
        <v>3</v>
      </c>
    </row>
    <row r="460" spans="1:11" hidden="1" x14ac:dyDescent="0.3">
      <c r="A460" s="11">
        <v>1912</v>
      </c>
      <c r="B460" s="8" t="str">
        <f>VLOOKUP(A460,[1]ListadoFichasDeProduccion!$A$2:$LP$3000,328,FALSE)</f>
        <v>COMPLETADO</v>
      </c>
      <c r="C460" s="11">
        <v>9</v>
      </c>
      <c r="D460" t="s">
        <v>33</v>
      </c>
      <c r="E460" t="s">
        <v>191</v>
      </c>
      <c r="F460" t="s">
        <v>166</v>
      </c>
      <c r="G460" s="9">
        <v>45869</v>
      </c>
      <c r="H460" t="s">
        <v>267</v>
      </c>
      <c r="I460" s="11">
        <v>2</v>
      </c>
      <c r="J460" t="str">
        <f>IF(I460="","",IFERROR(IF(INDEX([1]ListadoFichasDeProduccion!LQ:MB,MATCH(A460,[1]ListadoFichasDeProduccion!A:A,0),K460)=0,"",INDEX([1]ListadoFichasDeProduccion!LQ:MB,MATCH(A460,[1]ListadoFichasDeProduccion!A:A,0),K460)),""))</f>
        <v>TALLE S/M</v>
      </c>
      <c r="K460" s="11">
        <v>4</v>
      </c>
    </row>
    <row r="461" spans="1:11" hidden="1" x14ac:dyDescent="0.3">
      <c r="A461" s="11">
        <v>1912</v>
      </c>
      <c r="B461" s="8" t="str">
        <f>VLOOKUP(A461,[1]ListadoFichasDeProduccion!$A$2:$LP$3000,328,FALSE)</f>
        <v>COMPLETADO</v>
      </c>
      <c r="C461" s="11">
        <v>9</v>
      </c>
      <c r="D461" t="s">
        <v>33</v>
      </c>
      <c r="E461" t="s">
        <v>191</v>
      </c>
      <c r="F461" t="s">
        <v>166</v>
      </c>
      <c r="G461" s="9">
        <v>45869</v>
      </c>
      <c r="H461" t="s">
        <v>267</v>
      </c>
      <c r="I461" s="11">
        <v>0</v>
      </c>
      <c r="J461" t="str">
        <f>IF(I461="","",IFERROR(IF(INDEX([1]ListadoFichasDeProduccion!LQ:MB,MATCH(A461,[1]ListadoFichasDeProduccion!A:A,0),K461)=0,"",INDEX([1]ListadoFichasDeProduccion!LQ:MB,MATCH(A461,[1]ListadoFichasDeProduccion!A:A,0),K461)),""))</f>
        <v/>
      </c>
      <c r="K461" s="11">
        <v>5</v>
      </c>
    </row>
    <row r="462" spans="1:11" hidden="1" x14ac:dyDescent="0.3">
      <c r="A462" s="11" t="s">
        <v>363</v>
      </c>
      <c r="B462" t="str">
        <f>VLOOKUP(A462,[1]ListadoFichasDeProduccion!$A$2:$LP$3000,328,FALSE)</f>
        <v>COMPLETADO</v>
      </c>
      <c r="C462" s="11">
        <v>17</v>
      </c>
      <c r="D462" t="s">
        <v>33</v>
      </c>
      <c r="E462" t="s">
        <v>191</v>
      </c>
      <c r="F462" t="s">
        <v>166</v>
      </c>
      <c r="G462" s="9">
        <v>45911</v>
      </c>
      <c r="H462" t="s">
        <v>192</v>
      </c>
      <c r="I462" s="11">
        <v>6</v>
      </c>
      <c r="J462" t="str">
        <f>IF(I462="","",IFERROR(IF(INDEX([1]ListadoFichasDeProduccion!LQ:MB,MATCH(A462,[1]ListadoFichasDeProduccion!A:A,0),K462)=0,"",INDEX([1]ListadoFichasDeProduccion!LQ:MB,MATCH(A462,[1]ListadoFichasDeProduccion!A:A,0),K462)),""))</f>
        <v>TALLE S/M</v>
      </c>
      <c r="K462" s="11">
        <v>1</v>
      </c>
    </row>
    <row r="463" spans="1:11" hidden="1" x14ac:dyDescent="0.3">
      <c r="A463" s="11" t="s">
        <v>363</v>
      </c>
      <c r="B463" t="str">
        <f>VLOOKUP(A463,[1]ListadoFichasDeProduccion!$A$2:$LP$3000,328,FALSE)</f>
        <v>COMPLETADO</v>
      </c>
      <c r="C463" s="11">
        <v>17</v>
      </c>
      <c r="D463" t="s">
        <v>33</v>
      </c>
      <c r="E463" t="s">
        <v>191</v>
      </c>
      <c r="F463" t="s">
        <v>166</v>
      </c>
      <c r="G463" s="9">
        <v>45911</v>
      </c>
      <c r="H463" t="s">
        <v>192</v>
      </c>
      <c r="I463" s="11">
        <v>2</v>
      </c>
      <c r="J463" t="str">
        <f>IF(I463="","",IFERROR(IF(INDEX([1]ListadoFichasDeProduccion!LQ:MB,MATCH(A463,[1]ListadoFichasDeProduccion!A:A,0),K463)=0,"",INDEX([1]ListadoFichasDeProduccion!LQ:MB,MATCH(A463,[1]ListadoFichasDeProduccion!A:A,0),K463)),""))</f>
        <v>TALLE M/L</v>
      </c>
      <c r="K463" s="11">
        <v>2</v>
      </c>
    </row>
    <row r="464" spans="1:11" hidden="1" x14ac:dyDescent="0.3">
      <c r="A464" s="11" t="s">
        <v>363</v>
      </c>
      <c r="B464" t="str">
        <f>VLOOKUP(A464,[1]ListadoFichasDeProduccion!$A$2:$LP$3000,328,FALSE)</f>
        <v>COMPLETADO</v>
      </c>
      <c r="C464" s="11">
        <v>17</v>
      </c>
      <c r="D464" t="s">
        <v>33</v>
      </c>
      <c r="E464" t="s">
        <v>191</v>
      </c>
      <c r="F464" t="s">
        <v>166</v>
      </c>
      <c r="G464" s="9">
        <v>45911</v>
      </c>
      <c r="H464" t="s">
        <v>194</v>
      </c>
      <c r="I464" s="11">
        <v>6</v>
      </c>
      <c r="J464" t="str">
        <f>IF(I464="","",IFERROR(IF(INDEX([1]ListadoFichasDeProduccion!LQ:MB,MATCH(A464,[1]ListadoFichasDeProduccion!A:A,0),K464)=0,"",INDEX([1]ListadoFichasDeProduccion!LQ:MB,MATCH(A464,[1]ListadoFichasDeProduccion!A:A,0),K464)),""))</f>
        <v>TALLE S/M</v>
      </c>
      <c r="K464" s="11">
        <v>3</v>
      </c>
    </row>
    <row r="465" spans="1:11" hidden="1" x14ac:dyDescent="0.3">
      <c r="A465" s="11" t="s">
        <v>363</v>
      </c>
      <c r="B465" t="str">
        <f>VLOOKUP(A465,[1]ListadoFichasDeProduccion!$A$2:$LP$3000,328,FALSE)</f>
        <v>COMPLETADO</v>
      </c>
      <c r="C465" s="11">
        <v>17</v>
      </c>
      <c r="D465" t="s">
        <v>33</v>
      </c>
      <c r="E465" t="s">
        <v>191</v>
      </c>
      <c r="F465" t="s">
        <v>166</v>
      </c>
      <c r="G465" s="9">
        <v>45911</v>
      </c>
      <c r="H465" t="s">
        <v>194</v>
      </c>
      <c r="I465" s="11">
        <v>3</v>
      </c>
      <c r="J465" t="str">
        <f>IF(I465="","",IFERROR(IF(INDEX([1]ListadoFichasDeProduccion!LQ:MB,MATCH(A465,[1]ListadoFichasDeProduccion!A:A,0),K465)=0,"",INDEX([1]ListadoFichasDeProduccion!LQ:MB,MATCH(A465,[1]ListadoFichasDeProduccion!A:A,0),K465)),""))</f>
        <v>TALLE M/L</v>
      </c>
      <c r="K465" s="11">
        <v>4</v>
      </c>
    </row>
    <row r="466" spans="1:11" hidden="1" x14ac:dyDescent="0.3">
      <c r="A466" s="11" t="s">
        <v>429</v>
      </c>
      <c r="B466" t="str">
        <f>VLOOKUP(A466,[1]ListadoFichasDeProduccion!$A$2:$LP$3000,328,FALSE)</f>
        <v>COMPLETADO</v>
      </c>
      <c r="C466" s="11">
        <v>5</v>
      </c>
      <c r="D466" t="s">
        <v>33</v>
      </c>
      <c r="E466" t="s">
        <v>191</v>
      </c>
      <c r="F466" t="s">
        <v>166</v>
      </c>
      <c r="G466" s="9">
        <v>45957</v>
      </c>
      <c r="H466" t="s">
        <v>267</v>
      </c>
      <c r="I466" s="11">
        <v>4</v>
      </c>
      <c r="J466" s="9" t="str">
        <f>IF(I466="","",IFERROR(IF(INDEX([1]ListadoFichasDeProduccion!LQ:MB,MATCH(A466,[1]ListadoFichasDeProduccion!A:A,0),K466)=0,"",INDEX([1]ListadoFichasDeProduccion!LQ:MB,MATCH(A466,[1]ListadoFichasDeProduccion!A:A,0),K466)),""))</f>
        <v>TALLE S/M</v>
      </c>
      <c r="K466" s="11">
        <v>1</v>
      </c>
    </row>
    <row r="467" spans="1:11" hidden="1" x14ac:dyDescent="0.3">
      <c r="A467" s="11" t="s">
        <v>429</v>
      </c>
      <c r="B467" t="str">
        <f>VLOOKUP(A467,[1]ListadoFichasDeProduccion!$A$2:$LP$3000,328,FALSE)</f>
        <v>COMPLETADO</v>
      </c>
      <c r="C467" s="11">
        <v>5</v>
      </c>
      <c r="D467" t="s">
        <v>33</v>
      </c>
      <c r="E467" t="s">
        <v>191</v>
      </c>
      <c r="F467" t="s">
        <v>166</v>
      </c>
      <c r="G467" s="9">
        <v>45957</v>
      </c>
      <c r="H467" t="s">
        <v>267</v>
      </c>
      <c r="I467" s="11">
        <v>1</v>
      </c>
      <c r="J467" t="str">
        <f>IF(I467="","",IFERROR(IF(INDEX([1]ListadoFichasDeProduccion!LQ:MB,MATCH(A467,[1]ListadoFichasDeProduccion!A:A,0),K467)=0,"",INDEX([1]ListadoFichasDeProduccion!LQ:MB,MATCH(A467,[1]ListadoFichasDeProduccion!A:A,0),K467)),""))</f>
        <v>TALLE M/L</v>
      </c>
      <c r="K467" s="11">
        <v>2</v>
      </c>
    </row>
    <row r="468" spans="1:11" hidden="1" x14ac:dyDescent="0.3">
      <c r="A468" s="11">
        <v>1759</v>
      </c>
      <c r="B468" s="8" t="str">
        <f>VLOOKUP(A468,[1]ListadoFichasDeProduccion!$A$2:$LP$3000,328,FALSE)</f>
        <v>COMPLETADO</v>
      </c>
      <c r="C468" s="11">
        <v>24</v>
      </c>
      <c r="D468" t="s">
        <v>33</v>
      </c>
      <c r="E468" t="s">
        <v>165</v>
      </c>
      <c r="F468" t="s">
        <v>166</v>
      </c>
      <c r="G468" s="9">
        <v>45770</v>
      </c>
      <c r="H468" t="s">
        <v>144</v>
      </c>
      <c r="I468" s="11">
        <v>6</v>
      </c>
      <c r="J468" t="str">
        <f>IF(I468="","",IFERROR(IF(INDEX([1]ListadoFichasDeProduccion!LQ:MB,MATCH(A468,[1]ListadoFichasDeProduccion!A:A,0),K468)=0,"",INDEX([1]ListadoFichasDeProduccion!LQ:MB,MATCH(A468,[1]ListadoFichasDeProduccion!A:A,0),K468)),""))</f>
        <v/>
      </c>
      <c r="K468" s="11">
        <v>1</v>
      </c>
    </row>
    <row r="469" spans="1:11" hidden="1" x14ac:dyDescent="0.3">
      <c r="A469" s="11">
        <v>1759</v>
      </c>
      <c r="B469" s="8" t="str">
        <f>VLOOKUP(A469,[1]ListadoFichasDeProduccion!$A$2:$LP$3000,328,FALSE)</f>
        <v>COMPLETADO</v>
      </c>
      <c r="C469" s="11">
        <v>24</v>
      </c>
      <c r="D469" t="s">
        <v>33</v>
      </c>
      <c r="E469" t="s">
        <v>165</v>
      </c>
      <c r="F469" t="s">
        <v>166</v>
      </c>
      <c r="G469" s="9">
        <v>45770</v>
      </c>
      <c r="H469" t="s">
        <v>144</v>
      </c>
      <c r="I469" s="11">
        <v>6</v>
      </c>
      <c r="J469" t="str">
        <f>IF(I469="","",IFERROR(IF(INDEX([1]ListadoFichasDeProduccion!LQ:MB,MATCH(A469,[1]ListadoFichasDeProduccion!A:A,0),K469)=0,"",INDEX([1]ListadoFichasDeProduccion!LQ:MB,MATCH(A469,[1]ListadoFichasDeProduccion!A:A,0),K469)),""))</f>
        <v/>
      </c>
      <c r="K469" s="11">
        <v>2</v>
      </c>
    </row>
    <row r="470" spans="1:11" hidden="1" x14ac:dyDescent="0.3">
      <c r="A470" s="11">
        <v>1759</v>
      </c>
      <c r="B470" s="8" t="str">
        <f>VLOOKUP(A470,[1]ListadoFichasDeProduccion!$A$2:$LP$3000,328,FALSE)</f>
        <v>COMPLETADO</v>
      </c>
      <c r="C470" s="11">
        <v>24</v>
      </c>
      <c r="D470" t="s">
        <v>33</v>
      </c>
      <c r="E470" t="s">
        <v>165</v>
      </c>
      <c r="F470" t="s">
        <v>166</v>
      </c>
      <c r="G470" s="9">
        <v>45770</v>
      </c>
      <c r="H470" t="s">
        <v>18</v>
      </c>
      <c r="I470" s="11">
        <v>6</v>
      </c>
      <c r="J470" t="str">
        <f>IF(I470="","",IFERROR(IF(INDEX([1]ListadoFichasDeProduccion!LQ:MB,MATCH(A470,[1]ListadoFichasDeProduccion!A:A,0),K470)=0,"",INDEX([1]ListadoFichasDeProduccion!LQ:MB,MATCH(A470,[1]ListadoFichasDeProduccion!A:A,0),K470)),""))</f>
        <v/>
      </c>
      <c r="K470" s="11">
        <v>3</v>
      </c>
    </row>
    <row r="471" spans="1:11" hidden="1" x14ac:dyDescent="0.3">
      <c r="A471" s="11">
        <v>1759</v>
      </c>
      <c r="B471" s="8" t="str">
        <f>VLOOKUP(A471,[1]ListadoFichasDeProduccion!$A$2:$LP$3000,328,FALSE)</f>
        <v>COMPLETADO</v>
      </c>
      <c r="C471" s="11">
        <v>24</v>
      </c>
      <c r="D471" t="s">
        <v>33</v>
      </c>
      <c r="E471" t="s">
        <v>165</v>
      </c>
      <c r="F471" t="s">
        <v>166</v>
      </c>
      <c r="G471" s="9">
        <v>45770</v>
      </c>
      <c r="H471" t="s">
        <v>18</v>
      </c>
      <c r="I471" s="11">
        <v>6</v>
      </c>
      <c r="J471" t="str">
        <f>IF(I471="","",IFERROR(IF(INDEX([1]ListadoFichasDeProduccion!LQ:MB,MATCH(A471,[1]ListadoFichasDeProduccion!A:A,0),K471)=0,"",INDEX([1]ListadoFichasDeProduccion!LQ:MB,MATCH(A471,[1]ListadoFichasDeProduccion!A:A,0),K471)),""))</f>
        <v/>
      </c>
      <c r="K471" s="11">
        <v>4</v>
      </c>
    </row>
    <row r="472" spans="1:11" hidden="1" x14ac:dyDescent="0.3">
      <c r="A472" s="11">
        <v>1852</v>
      </c>
      <c r="B472" s="8" t="str">
        <f>VLOOKUP(A472,[1]ListadoFichasDeProduccion!$A$2:$LP$3000,328,FALSE)</f>
        <v>COMPLETADO</v>
      </c>
      <c r="C472" s="11">
        <v>12</v>
      </c>
      <c r="D472" t="s">
        <v>33</v>
      </c>
      <c r="E472" t="s">
        <v>165</v>
      </c>
      <c r="F472" t="s">
        <v>166</v>
      </c>
      <c r="G472" s="9">
        <v>45856</v>
      </c>
      <c r="H472" t="s">
        <v>144</v>
      </c>
      <c r="I472" s="11">
        <v>4</v>
      </c>
      <c r="J472" t="str">
        <f>IF(I472="","",IFERROR(IF(INDEX([1]ListadoFichasDeProduccion!LQ:MB,MATCH(A472,[1]ListadoFichasDeProduccion!A:A,0),K472)=0,"",INDEX([1]ListadoFichasDeProduccion!LQ:MB,MATCH(A472,[1]ListadoFichasDeProduccion!A:A,0),K472)),""))</f>
        <v>TALLE S/M</v>
      </c>
      <c r="K472" s="11">
        <v>1</v>
      </c>
    </row>
    <row r="473" spans="1:11" hidden="1" x14ac:dyDescent="0.3">
      <c r="A473" s="11">
        <v>1852</v>
      </c>
      <c r="B473" s="8" t="str">
        <f>VLOOKUP(A473,[1]ListadoFichasDeProduccion!$A$2:$LP$3000,328,FALSE)</f>
        <v>COMPLETADO</v>
      </c>
      <c r="C473" s="11">
        <v>12</v>
      </c>
      <c r="D473" t="s">
        <v>33</v>
      </c>
      <c r="E473" t="s">
        <v>165</v>
      </c>
      <c r="F473" t="s">
        <v>166</v>
      </c>
      <c r="G473" s="9">
        <v>45856</v>
      </c>
      <c r="H473" t="s">
        <v>144</v>
      </c>
      <c r="I473" s="11">
        <v>2</v>
      </c>
      <c r="J473" t="str">
        <f>IF(I473="","",IFERROR(IF(INDEX([1]ListadoFichasDeProduccion!LQ:MB,MATCH(A473,[1]ListadoFichasDeProduccion!A:A,0),K473)=0,"",INDEX([1]ListadoFichasDeProduccion!LQ:MB,MATCH(A473,[1]ListadoFichasDeProduccion!A:A,0),K473)),""))</f>
        <v>TALLE M/L</v>
      </c>
      <c r="K473" s="11">
        <v>2</v>
      </c>
    </row>
    <row r="474" spans="1:11" hidden="1" x14ac:dyDescent="0.3">
      <c r="A474" s="11">
        <v>1852</v>
      </c>
      <c r="B474" s="8" t="str">
        <f>VLOOKUP(A474,[1]ListadoFichasDeProduccion!$A$2:$LP$3000,328,FALSE)</f>
        <v>COMPLETADO</v>
      </c>
      <c r="C474" s="11">
        <v>12</v>
      </c>
      <c r="D474" t="s">
        <v>33</v>
      </c>
      <c r="E474" t="s">
        <v>165</v>
      </c>
      <c r="F474" t="s">
        <v>166</v>
      </c>
      <c r="G474" s="9">
        <v>45856</v>
      </c>
      <c r="H474" t="s">
        <v>18</v>
      </c>
      <c r="I474" s="11">
        <v>4</v>
      </c>
      <c r="J474" t="str">
        <f>IF(I474="","",IFERROR(IF(INDEX([1]ListadoFichasDeProduccion!LQ:MB,MATCH(A474,[1]ListadoFichasDeProduccion!A:A,0),K474)=0,"",INDEX([1]ListadoFichasDeProduccion!LQ:MB,MATCH(A474,[1]ListadoFichasDeProduccion!A:A,0),K474)),""))</f>
        <v/>
      </c>
      <c r="K474" s="11">
        <v>3</v>
      </c>
    </row>
    <row r="475" spans="1:11" hidden="1" x14ac:dyDescent="0.3">
      <c r="A475" s="11">
        <v>1852</v>
      </c>
      <c r="B475" s="8" t="str">
        <f>VLOOKUP(A475,[1]ListadoFichasDeProduccion!$A$2:$LP$3000,328,FALSE)</f>
        <v>COMPLETADO</v>
      </c>
      <c r="C475" s="11">
        <v>12</v>
      </c>
      <c r="D475" t="s">
        <v>33</v>
      </c>
      <c r="E475" t="s">
        <v>165</v>
      </c>
      <c r="F475" t="s">
        <v>166</v>
      </c>
      <c r="G475" s="9">
        <v>45856</v>
      </c>
      <c r="H475" t="s">
        <v>18</v>
      </c>
      <c r="I475" s="11">
        <v>2</v>
      </c>
      <c r="J475" t="str">
        <f>IF(I475="","",IFERROR(IF(INDEX([1]ListadoFichasDeProduccion!LQ:MB,MATCH(A475,[1]ListadoFichasDeProduccion!A:A,0),K475)=0,"",INDEX([1]ListadoFichasDeProduccion!LQ:MB,MATCH(A475,[1]ListadoFichasDeProduccion!A:A,0),K475)),""))</f>
        <v/>
      </c>
      <c r="K475" s="11">
        <v>4</v>
      </c>
    </row>
    <row r="476" spans="1:11" hidden="1" x14ac:dyDescent="0.3">
      <c r="A476" s="11" t="s">
        <v>377</v>
      </c>
      <c r="B476" t="str">
        <f>VLOOKUP(A476,[1]ListadoFichasDeProduccion!$A$2:$LP$3000,328,FALSE)</f>
        <v>COMPLETADO</v>
      </c>
      <c r="C476" s="11">
        <v>31</v>
      </c>
      <c r="D476" t="s">
        <v>33</v>
      </c>
      <c r="E476" t="s">
        <v>378</v>
      </c>
      <c r="F476" t="s">
        <v>166</v>
      </c>
      <c r="G476" s="9">
        <v>45939</v>
      </c>
      <c r="H476" t="s">
        <v>144</v>
      </c>
      <c r="I476" s="11">
        <v>4</v>
      </c>
      <c r="J476" t="str">
        <f>IF(I476="","",IFERROR(IF(INDEX([1]ListadoFichasDeProduccion!LQ:MB,MATCH(A476,[1]ListadoFichasDeProduccion!A:A,0),K476)=0,"",INDEX([1]ListadoFichasDeProduccion!LQ:MB,MATCH(A476,[1]ListadoFichasDeProduccion!A:A,0),K476)),""))</f>
        <v>TALLE S/M</v>
      </c>
      <c r="K476" s="11">
        <v>1</v>
      </c>
    </row>
    <row r="477" spans="1:11" hidden="1" x14ac:dyDescent="0.3">
      <c r="A477" s="11" t="s">
        <v>377</v>
      </c>
      <c r="B477" t="str">
        <f>VLOOKUP(A477,[1]ListadoFichasDeProduccion!$A$2:$LP$3000,328,FALSE)</f>
        <v>COMPLETADO</v>
      </c>
      <c r="C477" s="11">
        <v>31</v>
      </c>
      <c r="D477" t="s">
        <v>33</v>
      </c>
      <c r="E477" t="s">
        <v>378</v>
      </c>
      <c r="F477" t="s">
        <v>166</v>
      </c>
      <c r="G477" s="9">
        <v>45939</v>
      </c>
      <c r="H477" t="s">
        <v>18</v>
      </c>
      <c r="I477" s="11">
        <v>3</v>
      </c>
      <c r="J477" t="str">
        <f>IF(I477="","",IFERROR(IF(INDEX([1]ListadoFichasDeProduccion!LQ:MB,MATCH(A477,[1]ListadoFichasDeProduccion!A:A,0),K477)=0,"",INDEX([1]ListadoFichasDeProduccion!LQ:MB,MATCH(A477,[1]ListadoFichasDeProduccion!A:A,0),K477)),""))</f>
        <v>TALLE M/L</v>
      </c>
      <c r="K477" s="11">
        <v>2</v>
      </c>
    </row>
    <row r="478" spans="1:11" hidden="1" x14ac:dyDescent="0.3">
      <c r="A478" s="11" t="s">
        <v>377</v>
      </c>
      <c r="B478" t="str">
        <f>VLOOKUP(A478,[1]ListadoFichasDeProduccion!$A$2:$LP$3000,328,FALSE)</f>
        <v>COMPLETADO</v>
      </c>
      <c r="C478" s="11">
        <v>31</v>
      </c>
      <c r="D478" t="s">
        <v>33</v>
      </c>
      <c r="E478" t="s">
        <v>378</v>
      </c>
      <c r="F478" t="s">
        <v>166</v>
      </c>
      <c r="G478" s="9">
        <v>45939</v>
      </c>
      <c r="H478" t="s">
        <v>19</v>
      </c>
      <c r="I478" s="11">
        <v>12</v>
      </c>
      <c r="J478" t="str">
        <f>IF(I478="","",IFERROR(IF(INDEX([1]ListadoFichasDeProduccion!LQ:MB,MATCH(A478,[1]ListadoFichasDeProduccion!A:A,0),K478)=0,"",INDEX([1]ListadoFichasDeProduccion!LQ:MB,MATCH(A478,[1]ListadoFichasDeProduccion!A:A,0),K478)),""))</f>
        <v>TALLE S/M - SE TIENE QUE VER EN EL LARGO DEL CINTO PARTES BLANCAS Y PARTES NEGRAS SINO SALE ASI CANCELAR</v>
      </c>
      <c r="K478" s="11">
        <v>3</v>
      </c>
    </row>
    <row r="479" spans="1:11" hidden="1" x14ac:dyDescent="0.3">
      <c r="A479" s="11" t="s">
        <v>377</v>
      </c>
      <c r="B479" t="str">
        <f>VLOOKUP(A479,[1]ListadoFichasDeProduccion!$A$2:$LP$3000,328,FALSE)</f>
        <v>COMPLETADO</v>
      </c>
      <c r="C479" s="11">
        <v>31</v>
      </c>
      <c r="D479" t="s">
        <v>33</v>
      </c>
      <c r="E479" t="s">
        <v>378</v>
      </c>
      <c r="F479" t="s">
        <v>166</v>
      </c>
      <c r="G479" s="9">
        <v>45939</v>
      </c>
      <c r="H479" t="s">
        <v>19</v>
      </c>
      <c r="I479" s="11">
        <v>12</v>
      </c>
      <c r="J479" t="str">
        <f>IF(I479="","",IFERROR(IF(INDEX([1]ListadoFichasDeProduccion!LQ:MB,MATCH(A479,[1]ListadoFichasDeProduccion!A:A,0),K479)=0,"",INDEX([1]ListadoFichasDeProduccion!LQ:MB,MATCH(A479,[1]ListadoFichasDeProduccion!A:A,0),K479)),""))</f>
        <v>TALLE M/L - SE TIENE QUE VER EN EL LARGO DEL CINTO PARTES BLANCAS Y PARTES NEGRAS SINO SALE ASI CANCELAR</v>
      </c>
      <c r="K479" s="11">
        <v>4</v>
      </c>
    </row>
    <row r="480" spans="1:11" hidden="1" x14ac:dyDescent="0.3">
      <c r="A480" s="11" t="s">
        <v>343</v>
      </c>
      <c r="B480" t="str">
        <f>VLOOKUP(A480,[1]ListadoFichasDeProduccion!$A$2:$LP$3000,328,FALSE)</f>
        <v>COMPLETADO</v>
      </c>
      <c r="C480" s="11">
        <v>40</v>
      </c>
      <c r="D480" t="s">
        <v>33</v>
      </c>
      <c r="E480" t="s">
        <v>344</v>
      </c>
      <c r="G480" s="9">
        <v>45922</v>
      </c>
      <c r="H480" t="s">
        <v>345</v>
      </c>
      <c r="I480" s="11">
        <v>20</v>
      </c>
      <c r="J480" t="str">
        <f>IF(I480="","",IFERROR(IF(INDEX([1]ListadoFichasDeProduccion!LQ:MB,MATCH(A480,[1]ListadoFichasDeProduccion!A:A,0),K480)=0,"",INDEX([1]ListadoFichasDeProduccion!LQ:MB,MATCH(A480,[1]ListadoFichasDeProduccion!A:A,0),K480)),""))</f>
        <v/>
      </c>
      <c r="K480" s="11">
        <v>1</v>
      </c>
    </row>
    <row r="481" spans="1:11" hidden="1" x14ac:dyDescent="0.3">
      <c r="A481" s="11" t="s">
        <v>343</v>
      </c>
      <c r="B481" t="str">
        <f>VLOOKUP(A481,[1]ListadoFichasDeProduccion!$A$2:$LP$3000,328,FALSE)</f>
        <v>COMPLETADO</v>
      </c>
      <c r="C481" s="11">
        <v>40</v>
      </c>
      <c r="D481" t="s">
        <v>33</v>
      </c>
      <c r="E481" t="s">
        <v>344</v>
      </c>
      <c r="G481" s="9">
        <v>45922</v>
      </c>
      <c r="H481" t="s">
        <v>346</v>
      </c>
      <c r="I481" s="11">
        <v>20</v>
      </c>
      <c r="J481" t="str">
        <f>IF(I481="","",IFERROR(IF(INDEX([1]ListadoFichasDeProduccion!LQ:MB,MATCH(A481,[1]ListadoFichasDeProduccion!A:A,0),K481)=0,"",INDEX([1]ListadoFichasDeProduccion!LQ:MB,MATCH(A481,[1]ListadoFichasDeProduccion!A:A,0),K481)),""))</f>
        <v/>
      </c>
      <c r="K481" s="11">
        <v>2</v>
      </c>
    </row>
    <row r="482" spans="1:11" hidden="1" x14ac:dyDescent="0.3">
      <c r="A482" s="11" t="s">
        <v>347</v>
      </c>
      <c r="B482" t="str">
        <f>VLOOKUP(A482,[1]ListadoFichasDeProduccion!$A$2:$LP$3000,328,FALSE)</f>
        <v>COMPLETADO</v>
      </c>
      <c r="C482" s="11">
        <v>80</v>
      </c>
      <c r="D482" t="s">
        <v>33</v>
      </c>
      <c r="E482" t="s">
        <v>348</v>
      </c>
      <c r="G482" s="9">
        <v>45922</v>
      </c>
      <c r="H482" t="s">
        <v>345</v>
      </c>
      <c r="I482" s="11">
        <v>40</v>
      </c>
      <c r="J482" t="str">
        <f>IF(I482="","",IFERROR(IF(INDEX([1]ListadoFichasDeProduccion!LQ:MB,MATCH(A482,[1]ListadoFichasDeProduccion!A:A,0),K482)=0,"",INDEX([1]ListadoFichasDeProduccion!LQ:MB,MATCH(A482,[1]ListadoFichasDeProduccion!A:A,0),K482)),""))</f>
        <v/>
      </c>
      <c r="K482" s="11">
        <v>1</v>
      </c>
    </row>
    <row r="483" spans="1:11" hidden="1" x14ac:dyDescent="0.3">
      <c r="A483" s="11" t="s">
        <v>347</v>
      </c>
      <c r="B483" t="str">
        <f>VLOOKUP(A483,[1]ListadoFichasDeProduccion!$A$2:$LP$3000,328,FALSE)</f>
        <v>COMPLETADO</v>
      </c>
      <c r="C483" s="11">
        <v>80</v>
      </c>
      <c r="D483" t="s">
        <v>33</v>
      </c>
      <c r="E483" t="s">
        <v>348</v>
      </c>
      <c r="G483" s="9">
        <v>45922</v>
      </c>
      <c r="H483" t="s">
        <v>346</v>
      </c>
      <c r="I483" s="11">
        <v>40</v>
      </c>
      <c r="J483" t="str">
        <f>IF(I483="","",IFERROR(IF(INDEX([1]ListadoFichasDeProduccion!LQ:MB,MATCH(A483,[1]ListadoFichasDeProduccion!A:A,0),K483)=0,"",INDEX([1]ListadoFichasDeProduccion!LQ:MB,MATCH(A483,[1]ListadoFichasDeProduccion!A:A,0),K483)),""))</f>
        <v/>
      </c>
      <c r="K483" s="11">
        <v>2</v>
      </c>
    </row>
    <row r="484" spans="1:11" hidden="1" x14ac:dyDescent="0.3">
      <c r="A484" s="11" t="s">
        <v>349</v>
      </c>
      <c r="B484" t="str">
        <f>VLOOKUP(A484,[1]ListadoFichasDeProduccion!$A$2:$LP$3000,328,FALSE)</f>
        <v>COMPLETADO</v>
      </c>
      <c r="C484" s="11">
        <v>120</v>
      </c>
      <c r="D484" t="s">
        <v>33</v>
      </c>
      <c r="E484" t="s">
        <v>350</v>
      </c>
      <c r="G484" s="9">
        <v>45922</v>
      </c>
      <c r="H484" t="s">
        <v>345</v>
      </c>
      <c r="I484" s="11">
        <v>60</v>
      </c>
      <c r="J484" t="str">
        <f>IF(I484="","",IFERROR(IF(INDEX([1]ListadoFichasDeProduccion!LQ:MB,MATCH(A484,[1]ListadoFichasDeProduccion!A:A,0),K484)=0,"",INDEX([1]ListadoFichasDeProduccion!LQ:MB,MATCH(A484,[1]ListadoFichasDeProduccion!A:A,0),K484)),""))</f>
        <v/>
      </c>
      <c r="K484" s="11">
        <v>1</v>
      </c>
    </row>
    <row r="485" spans="1:11" hidden="1" x14ac:dyDescent="0.3">
      <c r="A485" s="11" t="s">
        <v>349</v>
      </c>
      <c r="B485" t="str">
        <f>VLOOKUP(A485,[1]ListadoFichasDeProduccion!$A$2:$LP$3000,328,FALSE)</f>
        <v>COMPLETADO</v>
      </c>
      <c r="C485" s="11">
        <v>120</v>
      </c>
      <c r="D485" t="s">
        <v>33</v>
      </c>
      <c r="E485" t="s">
        <v>350</v>
      </c>
      <c r="G485" s="9">
        <v>45922</v>
      </c>
      <c r="H485" t="s">
        <v>346</v>
      </c>
      <c r="I485" s="11">
        <v>60</v>
      </c>
      <c r="J485" t="str">
        <f>IF(I485="","",IFERROR(IF(INDEX([1]ListadoFichasDeProduccion!LQ:MB,MATCH(A485,[1]ListadoFichasDeProduccion!A:A,0),K485)=0,"",INDEX([1]ListadoFichasDeProduccion!LQ:MB,MATCH(A485,[1]ListadoFichasDeProduccion!A:A,0),K485)),""))</f>
        <v/>
      </c>
      <c r="K485" s="11">
        <v>2</v>
      </c>
    </row>
    <row r="486" spans="1:11" x14ac:dyDescent="0.3">
      <c r="A486" s="11" t="s">
        <v>354</v>
      </c>
      <c r="B486" t="str">
        <f>VLOOKUP(A486,[1]ListadoFichasDeProduccion!$A$2:$LP$3000,328,FALSE)</f>
        <v>NO COMENZADO</v>
      </c>
      <c r="C486" s="11">
        <v>80</v>
      </c>
      <c r="D486" t="s">
        <v>33</v>
      </c>
      <c r="E486" t="s">
        <v>355</v>
      </c>
      <c r="H486" t="s">
        <v>345</v>
      </c>
      <c r="I486" s="11">
        <v>40</v>
      </c>
      <c r="J486" t="str">
        <f>IF(I486="","",IFERROR(IF(INDEX([1]ListadoFichasDeProduccion!LQ:MB,MATCH(A486,[1]ListadoFichasDeProduccion!A:A,0),K486)=0,"",INDEX([1]ListadoFichasDeProduccion!LQ:MB,MATCH(A486,[1]ListadoFichasDeProduccion!A:A,0),K486)),""))</f>
        <v/>
      </c>
      <c r="K486" s="11">
        <v>1</v>
      </c>
    </row>
    <row r="487" spans="1:11" x14ac:dyDescent="0.3">
      <c r="A487" s="11" t="s">
        <v>354</v>
      </c>
      <c r="B487" t="str">
        <f>VLOOKUP(A487,[1]ListadoFichasDeProduccion!$A$2:$LP$3000,328,FALSE)</f>
        <v>NO COMENZADO</v>
      </c>
      <c r="C487" s="11">
        <v>80</v>
      </c>
      <c r="D487" t="s">
        <v>33</v>
      </c>
      <c r="E487" t="s">
        <v>355</v>
      </c>
      <c r="H487" t="s">
        <v>346</v>
      </c>
      <c r="I487" s="11">
        <v>40</v>
      </c>
      <c r="J487" t="str">
        <f>IF(I487="","",IFERROR(IF(INDEX([1]ListadoFichasDeProduccion!LQ:MB,MATCH(A487,[1]ListadoFichasDeProduccion!A:A,0),K487)=0,"",INDEX([1]ListadoFichasDeProduccion!LQ:MB,MATCH(A487,[1]ListadoFichasDeProduccion!A:A,0),K487)),""))</f>
        <v/>
      </c>
      <c r="K487" s="11">
        <v>2</v>
      </c>
    </row>
    <row r="488" spans="1:11" hidden="1" x14ac:dyDescent="0.3">
      <c r="A488" s="11" t="s">
        <v>356</v>
      </c>
      <c r="B488" t="str">
        <f>VLOOKUP(A488,[1]ListadoFichasDeProduccion!$A$2:$LP$3000,328,FALSE)</f>
        <v>COMPLETADO</v>
      </c>
      <c r="C488" s="11">
        <v>20</v>
      </c>
      <c r="D488" t="s">
        <v>33</v>
      </c>
      <c r="E488" t="s">
        <v>357</v>
      </c>
      <c r="G488" s="9">
        <v>45922</v>
      </c>
      <c r="H488" t="s">
        <v>345</v>
      </c>
      <c r="I488" s="11">
        <v>10</v>
      </c>
      <c r="J488" t="str">
        <f>IF(I488="","",IFERROR(IF(INDEX([1]ListadoFichasDeProduccion!LQ:MB,MATCH(A488,[1]ListadoFichasDeProduccion!A:A,0),K488)=0,"",INDEX([1]ListadoFichasDeProduccion!LQ:MB,MATCH(A488,[1]ListadoFichasDeProduccion!A:A,0),K488)),""))</f>
        <v/>
      </c>
      <c r="K488" s="11">
        <v>1</v>
      </c>
    </row>
    <row r="489" spans="1:11" hidden="1" x14ac:dyDescent="0.3">
      <c r="A489" s="11" t="s">
        <v>356</v>
      </c>
      <c r="B489" t="str">
        <f>VLOOKUP(A489,[1]ListadoFichasDeProduccion!$A$2:$LP$3000,328,FALSE)</f>
        <v>COMPLETADO</v>
      </c>
      <c r="C489" s="11">
        <v>20</v>
      </c>
      <c r="D489" t="s">
        <v>33</v>
      </c>
      <c r="E489" t="s">
        <v>357</v>
      </c>
      <c r="G489" s="9">
        <v>45922</v>
      </c>
      <c r="H489" t="s">
        <v>346</v>
      </c>
      <c r="I489" s="11">
        <v>10</v>
      </c>
      <c r="J489" t="str">
        <f>IF(I489="","",IFERROR(IF(INDEX([1]ListadoFichasDeProduccion!LQ:MB,MATCH(A489,[1]ListadoFichasDeProduccion!A:A,0),K489)=0,"",INDEX([1]ListadoFichasDeProduccion!LQ:MB,MATCH(A489,[1]ListadoFichasDeProduccion!A:A,0),K489)),""))</f>
        <v/>
      </c>
      <c r="K489" s="11">
        <v>2</v>
      </c>
    </row>
    <row r="490" spans="1:11" hidden="1" x14ac:dyDescent="0.3">
      <c r="A490" s="11" t="s">
        <v>358</v>
      </c>
      <c r="B490" t="str">
        <f>VLOOKUP(A490,[1]ListadoFichasDeProduccion!$A$2:$LP$3000,328,FALSE)</f>
        <v>COMPLETADO</v>
      </c>
      <c r="C490" s="11">
        <v>120</v>
      </c>
      <c r="D490" t="s">
        <v>33</v>
      </c>
      <c r="E490" t="s">
        <v>359</v>
      </c>
      <c r="G490" s="9">
        <v>45922</v>
      </c>
      <c r="H490" t="s">
        <v>345</v>
      </c>
      <c r="I490" s="11">
        <v>60</v>
      </c>
      <c r="J490" t="str">
        <f>IF(I490="","",IFERROR(IF(INDEX([1]ListadoFichasDeProduccion!LQ:MB,MATCH(A490,[1]ListadoFichasDeProduccion!A:A,0),K490)=0,"",INDEX([1]ListadoFichasDeProduccion!LQ:MB,MATCH(A490,[1]ListadoFichasDeProduccion!A:A,0),K490)),""))</f>
        <v/>
      </c>
      <c r="K490" s="11">
        <v>1</v>
      </c>
    </row>
    <row r="491" spans="1:11" hidden="1" x14ac:dyDescent="0.3">
      <c r="A491" s="11" t="s">
        <v>358</v>
      </c>
      <c r="B491" t="str">
        <f>VLOOKUP(A491,[1]ListadoFichasDeProduccion!$A$2:$LP$3000,328,FALSE)</f>
        <v>COMPLETADO</v>
      </c>
      <c r="C491" s="11">
        <v>120</v>
      </c>
      <c r="D491" t="s">
        <v>33</v>
      </c>
      <c r="E491" t="s">
        <v>359</v>
      </c>
      <c r="G491" s="9">
        <v>45922</v>
      </c>
      <c r="H491" t="s">
        <v>346</v>
      </c>
      <c r="I491" s="11">
        <v>60</v>
      </c>
      <c r="J491" t="str">
        <f>IF(I491="","",IFERROR(IF(INDEX([1]ListadoFichasDeProduccion!LQ:MB,MATCH(A491,[1]ListadoFichasDeProduccion!A:A,0),K491)=0,"",INDEX([1]ListadoFichasDeProduccion!LQ:MB,MATCH(A491,[1]ListadoFichasDeProduccion!A:A,0),K491)),""))</f>
        <v/>
      </c>
      <c r="K491" s="11">
        <v>2</v>
      </c>
    </row>
    <row r="492" spans="1:11" hidden="1" x14ac:dyDescent="0.3">
      <c r="A492" s="11" t="s">
        <v>360</v>
      </c>
      <c r="B492" t="str">
        <f>VLOOKUP(A492,[1]ListadoFichasDeProduccion!$A$2:$LP$3000,328,FALSE)</f>
        <v>COMPLETADO</v>
      </c>
      <c r="C492" s="11">
        <v>40</v>
      </c>
      <c r="D492" t="s">
        <v>33</v>
      </c>
      <c r="E492" t="s">
        <v>361</v>
      </c>
      <c r="G492" s="9">
        <v>45922</v>
      </c>
      <c r="H492" t="s">
        <v>345</v>
      </c>
      <c r="I492" s="11">
        <v>20</v>
      </c>
      <c r="J492" t="str">
        <f>IF(I492="","",IFERROR(IF(INDEX([1]ListadoFichasDeProduccion!LQ:MB,MATCH(A492,[1]ListadoFichasDeProduccion!A:A,0),K492)=0,"",INDEX([1]ListadoFichasDeProduccion!LQ:MB,MATCH(A492,[1]ListadoFichasDeProduccion!A:A,0),K492)),""))</f>
        <v/>
      </c>
      <c r="K492" s="11">
        <v>1</v>
      </c>
    </row>
    <row r="493" spans="1:11" hidden="1" x14ac:dyDescent="0.3">
      <c r="A493" s="11" t="s">
        <v>360</v>
      </c>
      <c r="B493" t="str">
        <f>VLOOKUP(A493,[1]ListadoFichasDeProduccion!$A$2:$LP$3000,328,FALSE)</f>
        <v>COMPLETADO</v>
      </c>
      <c r="C493" s="11">
        <v>40</v>
      </c>
      <c r="D493" t="s">
        <v>33</v>
      </c>
      <c r="E493" t="s">
        <v>361</v>
      </c>
      <c r="G493" s="9">
        <v>45922</v>
      </c>
      <c r="H493" t="s">
        <v>346</v>
      </c>
      <c r="I493" s="11">
        <v>20</v>
      </c>
      <c r="J493" t="str">
        <f>IF(I493="","",IFERROR(IF(INDEX([1]ListadoFichasDeProduccion!LQ:MB,MATCH(A493,[1]ListadoFichasDeProduccion!A:A,0),K493)=0,"",INDEX([1]ListadoFichasDeProduccion!LQ:MB,MATCH(A493,[1]ListadoFichasDeProduccion!A:A,0),K493)),""))</f>
        <v/>
      </c>
      <c r="K493" s="11">
        <v>2</v>
      </c>
    </row>
    <row r="494" spans="1:11" hidden="1" x14ac:dyDescent="0.3">
      <c r="A494" s="11" t="s">
        <v>372</v>
      </c>
      <c r="B494" t="str">
        <f>VLOOKUP(A494,[1]ListadoFichasDeProduccion!$A$2:$LP$3000,328,FALSE)</f>
        <v>COMPLETADO</v>
      </c>
      <c r="C494" s="11">
        <v>80</v>
      </c>
      <c r="D494" t="s">
        <v>33</v>
      </c>
      <c r="E494" t="s">
        <v>373</v>
      </c>
      <c r="G494" s="9">
        <v>45922</v>
      </c>
      <c r="H494" t="s">
        <v>345</v>
      </c>
      <c r="I494" s="11">
        <v>40</v>
      </c>
      <c r="J494" t="str">
        <f>IF(I494="","",IFERROR(IF(INDEX([1]ListadoFichasDeProduccion!LQ:MB,MATCH(A494,[1]ListadoFichasDeProduccion!A:A,0),K494)=0,"",INDEX([1]ListadoFichasDeProduccion!LQ:MB,MATCH(A494,[1]ListadoFichasDeProduccion!A:A,0),K494)),""))</f>
        <v/>
      </c>
      <c r="K494" s="11">
        <v>1</v>
      </c>
    </row>
    <row r="495" spans="1:11" hidden="1" x14ac:dyDescent="0.3">
      <c r="A495" s="11" t="s">
        <v>372</v>
      </c>
      <c r="B495" t="str">
        <f>VLOOKUP(A495,[1]ListadoFichasDeProduccion!$A$2:$LP$3000,328,FALSE)</f>
        <v>COMPLETADO</v>
      </c>
      <c r="C495" s="11">
        <v>80</v>
      </c>
      <c r="D495" t="s">
        <v>33</v>
      </c>
      <c r="E495" t="s">
        <v>373</v>
      </c>
      <c r="G495" s="9">
        <v>45922</v>
      </c>
      <c r="H495" t="s">
        <v>346</v>
      </c>
      <c r="I495" s="11">
        <v>40</v>
      </c>
      <c r="J495" t="str">
        <f>IF(I495="","",IFERROR(IF(INDEX([1]ListadoFichasDeProduccion!LQ:MB,MATCH(A495,[1]ListadoFichasDeProduccion!A:A,0),K495)=0,"",INDEX([1]ListadoFichasDeProduccion!LQ:MB,MATCH(A495,[1]ListadoFichasDeProduccion!A:A,0),K495)),""))</f>
        <v/>
      </c>
      <c r="K495" s="11">
        <v>2</v>
      </c>
    </row>
    <row r="496" spans="1:11" hidden="1" x14ac:dyDescent="0.3">
      <c r="A496" s="11" t="s">
        <v>418</v>
      </c>
      <c r="B496" t="str">
        <f>VLOOKUP(A496,[1]ListadoFichasDeProduccion!$A$2:$LP$3000,328,FALSE)</f>
        <v>COMPLETADO</v>
      </c>
      <c r="C496" s="11">
        <v>10</v>
      </c>
      <c r="D496" t="s">
        <v>33</v>
      </c>
      <c r="E496" t="s">
        <v>419</v>
      </c>
      <c r="G496" s="9">
        <v>45952</v>
      </c>
      <c r="H496" t="s">
        <v>346</v>
      </c>
      <c r="I496" s="11">
        <v>10</v>
      </c>
      <c r="J496" t="str">
        <f>IF(I496="","",IFERROR(IF(INDEX([1]ListadoFichasDeProduccion!LQ:MB,MATCH(A496,[1]ListadoFichasDeProduccion!A:A,0),K496)=0,"",INDEX([1]ListadoFichasDeProduccion!LQ:MB,MATCH(A496,[1]ListadoFichasDeProduccion!A:A,0),K496)),""))</f>
        <v/>
      </c>
      <c r="K496" s="11">
        <v>1</v>
      </c>
    </row>
    <row r="497" spans="1:11" hidden="1" x14ac:dyDescent="0.3">
      <c r="A497" s="11">
        <v>1853</v>
      </c>
      <c r="B497" t="str">
        <f>VLOOKUP(A497,[1]ListadoFichasDeProduccion!$A$2:$LP$3000,328,FALSE)</f>
        <v>COMPLETADO</v>
      </c>
      <c r="C497" s="11">
        <v>3</v>
      </c>
      <c r="D497" t="s">
        <v>33</v>
      </c>
      <c r="E497" t="s">
        <v>275</v>
      </c>
      <c r="G497" s="9">
        <v>45894</v>
      </c>
      <c r="H497" t="s">
        <v>26</v>
      </c>
      <c r="I497" s="11">
        <v>3</v>
      </c>
      <c r="J497" t="str">
        <f>IF(I497="","",IFERROR(IF(INDEX([1]ListadoFichasDeProduccion!LQ:MB,MATCH(A497,[1]ListadoFichasDeProduccion!A:A,0),K497)=0,"",INDEX([1]ListadoFichasDeProduccion!LQ:MB,MATCH(A497,[1]ListadoFichasDeProduccion!A:A,0),K497)),""))</f>
        <v/>
      </c>
      <c r="K497" s="11">
        <v>1</v>
      </c>
    </row>
    <row r="498" spans="1:11" hidden="1" x14ac:dyDescent="0.3">
      <c r="A498" s="11">
        <v>1713</v>
      </c>
      <c r="B498" s="8" t="str">
        <f>VLOOKUP(A498,[1]ListadoFichasDeProduccion!$A$2:$LP$3000,328,FALSE)</f>
        <v>COMPLETADO</v>
      </c>
      <c r="C498" s="11">
        <v>16</v>
      </c>
      <c r="D498" t="s">
        <v>33</v>
      </c>
      <c r="E498" t="s">
        <v>133</v>
      </c>
      <c r="F498" t="s">
        <v>134</v>
      </c>
      <c r="G498" s="9">
        <v>45742</v>
      </c>
      <c r="H498" t="s">
        <v>26</v>
      </c>
      <c r="I498" s="11">
        <v>10</v>
      </c>
      <c r="J498" t="str">
        <f>IF(I498="","",IFERROR(IF(INDEX([1]ListadoFichasDeProduccion!LQ:MB,MATCH(A498,[1]ListadoFichasDeProduccion!A:A,0),K498)=0,"",INDEX([1]ListadoFichasDeProduccion!LQ:MB,MATCH(A498,[1]ListadoFichasDeProduccion!A:A,0),K498)),""))</f>
        <v/>
      </c>
      <c r="K498" s="11">
        <v>1</v>
      </c>
    </row>
    <row r="499" spans="1:11" hidden="1" x14ac:dyDescent="0.3">
      <c r="A499" s="11">
        <v>1713</v>
      </c>
      <c r="B499" s="8" t="str">
        <f>VLOOKUP(A499,[1]ListadoFichasDeProduccion!$A$2:$LP$3000,328,FALSE)</f>
        <v>COMPLETADO</v>
      </c>
      <c r="C499" s="11">
        <v>16</v>
      </c>
      <c r="D499" t="s">
        <v>33</v>
      </c>
      <c r="E499" t="s">
        <v>133</v>
      </c>
      <c r="F499" t="s">
        <v>134</v>
      </c>
      <c r="G499" s="9">
        <v>45742</v>
      </c>
      <c r="H499" t="s">
        <v>135</v>
      </c>
      <c r="I499" s="11">
        <v>6</v>
      </c>
      <c r="J499" t="str">
        <f>IF(I499="","",IFERROR(IF(INDEX([1]ListadoFichasDeProduccion!LQ:MB,MATCH(A499,[1]ListadoFichasDeProduccion!A:A,0),K499)=0,"",INDEX([1]ListadoFichasDeProduccion!LQ:MB,MATCH(A499,[1]ListadoFichasDeProduccion!A:A,0),K499)),""))</f>
        <v/>
      </c>
      <c r="K499" s="11">
        <v>2</v>
      </c>
    </row>
    <row r="500" spans="1:11" hidden="1" x14ac:dyDescent="0.3">
      <c r="A500" s="11">
        <v>1714</v>
      </c>
      <c r="B500" s="8" t="str">
        <f>VLOOKUP(A500,[1]ListadoFichasDeProduccion!$A$2:$LP$3000,328,FALSE)</f>
        <v>COMPLETADO</v>
      </c>
      <c r="C500" s="11">
        <v>14</v>
      </c>
      <c r="D500" t="s">
        <v>33</v>
      </c>
      <c r="E500" t="s">
        <v>136</v>
      </c>
      <c r="F500" t="s">
        <v>134</v>
      </c>
      <c r="G500" s="9">
        <v>45742</v>
      </c>
      <c r="H500" s="12" t="s">
        <v>135</v>
      </c>
      <c r="I500" s="11">
        <v>4</v>
      </c>
      <c r="J500" t="str">
        <f>IF(I500="","",IFERROR(IF(INDEX([1]ListadoFichasDeProduccion!LQ:MB,MATCH(A500,[1]ListadoFichasDeProduccion!A:A,0),K500)=0,"",INDEX([1]ListadoFichasDeProduccion!LQ:MB,MATCH(A500,[1]ListadoFichasDeProduccion!A:A,0),K500)),""))</f>
        <v/>
      </c>
      <c r="K500" s="11">
        <v>1</v>
      </c>
    </row>
    <row r="501" spans="1:11" hidden="1" x14ac:dyDescent="0.3">
      <c r="A501" s="11">
        <v>1714</v>
      </c>
      <c r="B501" s="8" t="str">
        <f>VLOOKUP(A501,[1]ListadoFichasDeProduccion!$A$2:$LP$3000,328,FALSE)</f>
        <v>COMPLETADO</v>
      </c>
      <c r="C501" s="11">
        <v>14</v>
      </c>
      <c r="D501" t="s">
        <v>33</v>
      </c>
      <c r="E501" t="s">
        <v>136</v>
      </c>
      <c r="F501" t="s">
        <v>134</v>
      </c>
      <c r="G501" s="9">
        <v>45742</v>
      </c>
      <c r="H501" t="s">
        <v>26</v>
      </c>
      <c r="I501" s="11">
        <v>4</v>
      </c>
      <c r="J501" t="str">
        <f>IF(I501="","",IFERROR(IF(INDEX([1]ListadoFichasDeProduccion!LQ:MB,MATCH(A501,[1]ListadoFichasDeProduccion!A:A,0),K501)=0,"",INDEX([1]ListadoFichasDeProduccion!LQ:MB,MATCH(A501,[1]ListadoFichasDeProduccion!A:A,0),K501)),""))</f>
        <v/>
      </c>
      <c r="K501" s="11">
        <v>2</v>
      </c>
    </row>
    <row r="502" spans="1:11" hidden="1" x14ac:dyDescent="0.3">
      <c r="A502" s="11">
        <v>1714</v>
      </c>
      <c r="B502" s="8" t="str">
        <f>VLOOKUP(A502,[1]ListadoFichasDeProduccion!$A$2:$LP$3000,328,FALSE)</f>
        <v>COMPLETADO</v>
      </c>
      <c r="C502" s="11">
        <v>14</v>
      </c>
      <c r="D502" t="s">
        <v>33</v>
      </c>
      <c r="E502" t="s">
        <v>136</v>
      </c>
      <c r="F502" t="s">
        <v>134</v>
      </c>
      <c r="G502" s="9">
        <v>45742</v>
      </c>
      <c r="H502" t="s">
        <v>27</v>
      </c>
      <c r="I502" s="11">
        <v>6</v>
      </c>
      <c r="J502" t="str">
        <f>IF(I502="","",IFERROR(IF(INDEX([1]ListadoFichasDeProduccion!LQ:MB,MATCH(A502,[1]ListadoFichasDeProduccion!A:A,0),K502)=0,"",INDEX([1]ListadoFichasDeProduccion!LQ:MB,MATCH(A502,[1]ListadoFichasDeProduccion!A:A,0),K502)),""))</f>
        <v/>
      </c>
      <c r="K502" s="11">
        <v>3</v>
      </c>
    </row>
    <row r="503" spans="1:11" hidden="1" x14ac:dyDescent="0.3">
      <c r="A503" s="11">
        <v>1854</v>
      </c>
      <c r="B503" t="str">
        <f>VLOOKUP(A503,[1]ListadoFichasDeProduccion!$A$2:$LP$3000,328,FALSE)</f>
        <v>COMPLETADO</v>
      </c>
      <c r="C503" s="11">
        <v>4</v>
      </c>
      <c r="D503" t="s">
        <v>33</v>
      </c>
      <c r="E503" t="s">
        <v>136</v>
      </c>
      <c r="F503" t="s">
        <v>134</v>
      </c>
      <c r="G503" s="9">
        <v>45894</v>
      </c>
      <c r="H503" t="s">
        <v>26</v>
      </c>
      <c r="I503" s="11">
        <v>4</v>
      </c>
      <c r="J503" t="str">
        <f>IF(I503="","",IFERROR(IF(INDEX([1]ListadoFichasDeProduccion!LQ:MB,MATCH(A503,[1]ListadoFichasDeProduccion!A:A,0),K503)=0,"",INDEX([1]ListadoFichasDeProduccion!LQ:MB,MATCH(A503,[1]ListadoFichasDeProduccion!A:A,0),K503)),""))</f>
        <v/>
      </c>
      <c r="K503" s="11">
        <v>1</v>
      </c>
    </row>
    <row r="504" spans="1:11" hidden="1" x14ac:dyDescent="0.3">
      <c r="A504" s="11">
        <v>1664</v>
      </c>
      <c r="B504" s="8" t="str">
        <f>VLOOKUP(A504,[1]ListadoFichasDeProduccion!$A$2:$LP$3000,328,FALSE)</f>
        <v>COMPLETADO</v>
      </c>
      <c r="C504" s="11">
        <v>23</v>
      </c>
      <c r="D504" t="s">
        <v>33</v>
      </c>
      <c r="E504" t="s">
        <v>111</v>
      </c>
      <c r="G504" s="9">
        <v>45712</v>
      </c>
      <c r="H504" t="s">
        <v>51</v>
      </c>
      <c r="I504" s="11">
        <v>6</v>
      </c>
      <c r="J504" t="str">
        <f>IF(I504="","",IFERROR(IF(INDEX([1]ListadoFichasDeProduccion!LQ:MB,MATCH(A504,[1]ListadoFichasDeProduccion!A:A,0),K504)=0,"",INDEX([1]ListadoFichasDeProduccion!LQ:MB,MATCH(A504,[1]ListadoFichasDeProduccion!A:A,0),K504)),""))</f>
        <v/>
      </c>
      <c r="K504" s="11">
        <v>1</v>
      </c>
    </row>
    <row r="505" spans="1:11" hidden="1" x14ac:dyDescent="0.3">
      <c r="A505" s="11">
        <v>1664</v>
      </c>
      <c r="B505" s="8" t="str">
        <f>VLOOKUP(A505,[1]ListadoFichasDeProduccion!$A$2:$LP$3000,328,FALSE)</f>
        <v>COMPLETADO</v>
      </c>
      <c r="C505" s="11">
        <v>23</v>
      </c>
      <c r="D505" t="s">
        <v>33</v>
      </c>
      <c r="E505" t="s">
        <v>111</v>
      </c>
      <c r="G505" s="9">
        <v>45712</v>
      </c>
      <c r="H505" t="s">
        <v>31</v>
      </c>
      <c r="I505" s="11">
        <v>9</v>
      </c>
      <c r="J505" t="str">
        <f>IF(I505="","",IFERROR(IF(INDEX([1]ListadoFichasDeProduccion!LQ:MB,MATCH(A505,[1]ListadoFichasDeProduccion!A:A,0),K505)=0,"",INDEX([1]ListadoFichasDeProduccion!LQ:MB,MATCH(A505,[1]ListadoFichasDeProduccion!A:A,0),K505)),""))</f>
        <v/>
      </c>
      <c r="K505" s="11">
        <v>2</v>
      </c>
    </row>
    <row r="506" spans="1:11" hidden="1" x14ac:dyDescent="0.3">
      <c r="A506" s="11">
        <v>1664</v>
      </c>
      <c r="B506" s="8" t="str">
        <f>VLOOKUP(A506,[1]ListadoFichasDeProduccion!$A$2:$LP$3000,328,FALSE)</f>
        <v>COMPLETADO</v>
      </c>
      <c r="C506" s="11">
        <v>23</v>
      </c>
      <c r="D506" t="s">
        <v>33</v>
      </c>
      <c r="E506" t="s">
        <v>111</v>
      </c>
      <c r="G506" s="9">
        <v>45712</v>
      </c>
      <c r="H506" t="s">
        <v>44</v>
      </c>
      <c r="I506" s="11">
        <v>4</v>
      </c>
      <c r="J506" t="str">
        <f>IF(I506="","",IFERROR(IF(INDEX([1]ListadoFichasDeProduccion!LQ:MB,MATCH(A506,[1]ListadoFichasDeProduccion!A:A,0),K506)=0,"",INDEX([1]ListadoFichasDeProduccion!LQ:MB,MATCH(A506,[1]ListadoFichasDeProduccion!A:A,0),K506)),""))</f>
        <v/>
      </c>
      <c r="K506" s="11">
        <v>3</v>
      </c>
    </row>
    <row r="507" spans="1:11" hidden="1" x14ac:dyDescent="0.3">
      <c r="A507" s="11">
        <v>1664</v>
      </c>
      <c r="B507" s="8" t="str">
        <f>VLOOKUP(A507,[1]ListadoFichasDeProduccion!$A$2:$LP$3000,328,FALSE)</f>
        <v>COMPLETADO</v>
      </c>
      <c r="C507" s="11">
        <v>23</v>
      </c>
      <c r="D507" t="s">
        <v>33</v>
      </c>
      <c r="E507" t="s">
        <v>111</v>
      </c>
      <c r="G507" s="9">
        <v>45712</v>
      </c>
      <c r="H507" t="s">
        <v>39</v>
      </c>
      <c r="I507" s="11">
        <v>4</v>
      </c>
      <c r="J507" t="str">
        <f>IF(I507="","",IFERROR(IF(INDEX([1]ListadoFichasDeProduccion!LQ:MB,MATCH(A507,[1]ListadoFichasDeProduccion!A:A,0),K507)=0,"",INDEX([1]ListadoFichasDeProduccion!LQ:MB,MATCH(A507,[1]ListadoFichasDeProduccion!A:A,0),K507)),""))</f>
        <v/>
      </c>
      <c r="K507" s="11">
        <v>4</v>
      </c>
    </row>
    <row r="508" spans="1:11" hidden="1" x14ac:dyDescent="0.3">
      <c r="A508" s="11">
        <v>1828</v>
      </c>
      <c r="B508" s="8" t="str">
        <f>VLOOKUP(A508,[1]ListadoFichasDeProduccion!$A$2:$LP$3000,328,FALSE)</f>
        <v>COMPLETADO</v>
      </c>
      <c r="C508" s="11">
        <v>4</v>
      </c>
      <c r="D508" t="s">
        <v>33</v>
      </c>
      <c r="E508" t="s">
        <v>111</v>
      </c>
      <c r="G508" s="9">
        <v>45834</v>
      </c>
      <c r="H508" t="s">
        <v>35</v>
      </c>
      <c r="I508" s="11">
        <v>4</v>
      </c>
      <c r="J508" t="str">
        <f>IF(I508="","",IFERROR(IF(INDEX([1]ListadoFichasDeProduccion!LQ:MB,MATCH(A508,[1]ListadoFichasDeProduccion!A:A,0),K508)=0,"",INDEX([1]ListadoFichasDeProduccion!LQ:MB,MATCH(A508,[1]ListadoFichasDeProduccion!A:A,0),K508)),""))</f>
        <v/>
      </c>
      <c r="K508" s="11">
        <v>1</v>
      </c>
    </row>
    <row r="509" spans="1:11" hidden="1" x14ac:dyDescent="0.3">
      <c r="A509" s="11" t="s">
        <v>463</v>
      </c>
      <c r="B509" t="str">
        <f>VLOOKUP(A509,[1]ListadoFichasDeProduccion!$A$2:$LP$3000,328,FALSE)</f>
        <v>COMPLETADO</v>
      </c>
      <c r="C509" s="11">
        <v>5</v>
      </c>
      <c r="D509" t="s">
        <v>33</v>
      </c>
      <c r="E509" t="s">
        <v>111</v>
      </c>
      <c r="G509" s="9">
        <v>45966</v>
      </c>
      <c r="H509" t="s">
        <v>24</v>
      </c>
      <c r="I509" s="11">
        <v>2</v>
      </c>
      <c r="J509" t="str">
        <f>IF(I509="","",IFERROR(IF(INDEX([1]ListadoFichasDeProduccion!LQ:MB,MATCH(A509,[1]ListadoFichasDeProduccion!A:A,0),K509)=0,"",INDEX([1]ListadoFichasDeProduccion!LQ:MB,MATCH(A509,[1]ListadoFichasDeProduccion!A:A,0),K509)),""))</f>
        <v/>
      </c>
      <c r="K509" s="11">
        <v>1</v>
      </c>
    </row>
    <row r="510" spans="1:11" hidden="1" x14ac:dyDescent="0.3">
      <c r="A510" s="11" t="s">
        <v>463</v>
      </c>
      <c r="B510" t="str">
        <f>VLOOKUP(A510,[1]ListadoFichasDeProduccion!$A$2:$LP$3000,328,FALSE)</f>
        <v>COMPLETADO</v>
      </c>
      <c r="C510" s="11">
        <v>5</v>
      </c>
      <c r="D510" t="s">
        <v>33</v>
      </c>
      <c r="E510" t="s">
        <v>111</v>
      </c>
      <c r="G510" s="9">
        <v>45966</v>
      </c>
      <c r="H510" t="s">
        <v>35</v>
      </c>
      <c r="I510" s="11">
        <v>3</v>
      </c>
      <c r="J510" t="str">
        <f>IF(I510="","",IFERROR(IF(INDEX([1]ListadoFichasDeProduccion!LQ:MB,MATCH(A510,[1]ListadoFichasDeProduccion!A:A,0),K510)=0,"",INDEX([1]ListadoFichasDeProduccion!LQ:MB,MATCH(A510,[1]ListadoFichasDeProduccion!A:A,0),K510)),""))</f>
        <v/>
      </c>
      <c r="K510" s="11">
        <v>2</v>
      </c>
    </row>
    <row r="511" spans="1:11" hidden="1" x14ac:dyDescent="0.3">
      <c r="A511" s="11">
        <v>1665</v>
      </c>
      <c r="B511" s="8" t="str">
        <f>VLOOKUP(A511,[1]ListadoFichasDeProduccion!$A$2:$LP$3000,328,FALSE)</f>
        <v>COMPLETADO</v>
      </c>
      <c r="C511" s="11">
        <v>14</v>
      </c>
      <c r="D511" t="s">
        <v>33</v>
      </c>
      <c r="E511" t="s">
        <v>112</v>
      </c>
      <c r="G511" s="9">
        <v>45726</v>
      </c>
      <c r="H511" t="s">
        <v>24</v>
      </c>
      <c r="I511" s="11">
        <v>4</v>
      </c>
      <c r="J511" t="str">
        <f>IF(I511="","",IFERROR(IF(INDEX([1]ListadoFichasDeProduccion!LQ:MB,MATCH(A511,[1]ListadoFichasDeProduccion!A:A,0),K511)=0,"",INDEX([1]ListadoFichasDeProduccion!LQ:MB,MATCH(A511,[1]ListadoFichasDeProduccion!A:A,0),K511)),""))</f>
        <v/>
      </c>
      <c r="K511" s="11">
        <v>1</v>
      </c>
    </row>
    <row r="512" spans="1:11" hidden="1" x14ac:dyDescent="0.3">
      <c r="A512" s="11">
        <v>1665</v>
      </c>
      <c r="B512" s="8" t="str">
        <f>VLOOKUP(A512,[1]ListadoFichasDeProduccion!$A$2:$LP$3000,328,FALSE)</f>
        <v>COMPLETADO</v>
      </c>
      <c r="C512" s="11">
        <v>14</v>
      </c>
      <c r="D512" t="s">
        <v>33</v>
      </c>
      <c r="E512" t="s">
        <v>112</v>
      </c>
      <c r="G512" s="9">
        <v>45726</v>
      </c>
      <c r="H512" t="s">
        <v>44</v>
      </c>
      <c r="I512" s="11">
        <v>6</v>
      </c>
      <c r="J512" t="str">
        <f>IF(I512="","",IFERROR(IF(INDEX([1]ListadoFichasDeProduccion!LQ:MB,MATCH(A512,[1]ListadoFichasDeProduccion!A:A,0),K512)=0,"",INDEX([1]ListadoFichasDeProduccion!LQ:MB,MATCH(A512,[1]ListadoFichasDeProduccion!A:A,0),K512)),""))</f>
        <v/>
      </c>
      <c r="K512" s="11">
        <v>2</v>
      </c>
    </row>
    <row r="513" spans="1:11" hidden="1" x14ac:dyDescent="0.3">
      <c r="A513" s="11">
        <v>1665</v>
      </c>
      <c r="B513" s="8" t="str">
        <f>VLOOKUP(A513,[1]ListadoFichasDeProduccion!$A$2:$LP$3000,328,FALSE)</f>
        <v>COMPLETADO</v>
      </c>
      <c r="C513" s="11">
        <v>14</v>
      </c>
      <c r="D513" t="s">
        <v>33</v>
      </c>
      <c r="E513" t="s">
        <v>112</v>
      </c>
      <c r="G513" s="9">
        <v>45726</v>
      </c>
      <c r="H513" t="s">
        <v>39</v>
      </c>
      <c r="I513" s="11">
        <v>4</v>
      </c>
      <c r="J513" t="str">
        <f>IF(I513="","",IFERROR(IF(INDEX([1]ListadoFichasDeProduccion!LQ:MB,MATCH(A513,[1]ListadoFichasDeProduccion!A:A,0),K513)=0,"",INDEX([1]ListadoFichasDeProduccion!LQ:MB,MATCH(A513,[1]ListadoFichasDeProduccion!A:A,0),K513)),""))</f>
        <v/>
      </c>
      <c r="K513" s="11">
        <v>3</v>
      </c>
    </row>
    <row r="514" spans="1:11" x14ac:dyDescent="0.3">
      <c r="A514" s="11">
        <v>1925</v>
      </c>
      <c r="B514" t="str">
        <f>VLOOKUP(A514,[1]ListadoFichasDeProduccion!$A$2:$LP$3000,328,FALSE)</f>
        <v>NO COMENZADO</v>
      </c>
      <c r="C514" s="11">
        <v>4</v>
      </c>
      <c r="D514" t="s">
        <v>33</v>
      </c>
      <c r="E514" t="s">
        <v>112</v>
      </c>
      <c r="G514" s="9"/>
      <c r="H514" t="s">
        <v>44</v>
      </c>
      <c r="I514" s="11">
        <v>4</v>
      </c>
      <c r="J514" t="str">
        <f>IF(I514="","",IFERROR(IF(INDEX([1]ListadoFichasDeProduccion!LQ:MB,MATCH(A514,[1]ListadoFichasDeProduccion!A:A,0),K514)=0,"",INDEX([1]ListadoFichasDeProduccion!LQ:MB,MATCH(A514,[1]ListadoFichasDeProduccion!A:A,0),K514)),""))</f>
        <v/>
      </c>
      <c r="K514" s="11">
        <v>1</v>
      </c>
    </row>
    <row r="515" spans="1:11" hidden="1" x14ac:dyDescent="0.3">
      <c r="A515" s="11" t="s">
        <v>464</v>
      </c>
      <c r="B515" t="str">
        <f>VLOOKUP(A515,[1]ListadoFichasDeProduccion!$A$2:$LP$3000,328,FALSE)</f>
        <v>COMPLETADO</v>
      </c>
      <c r="C515" s="11">
        <v>21</v>
      </c>
      <c r="D515" t="s">
        <v>33</v>
      </c>
      <c r="E515" t="s">
        <v>112</v>
      </c>
      <c r="G515" s="9">
        <v>45966</v>
      </c>
      <c r="H515" t="s">
        <v>50</v>
      </c>
      <c r="I515" s="11">
        <v>2</v>
      </c>
      <c r="J515" t="str">
        <f>IF(I515="","",IFERROR(IF(INDEX([1]ListadoFichasDeProduccion!LQ:MB,MATCH(A515,[1]ListadoFichasDeProduccion!A:A,0),K515)=0,"",INDEX([1]ListadoFichasDeProduccion!LQ:MB,MATCH(A515,[1]ListadoFichasDeProduccion!A:A,0),K515)),""))</f>
        <v/>
      </c>
      <c r="K515" s="11">
        <v>1</v>
      </c>
    </row>
    <row r="516" spans="1:11" hidden="1" x14ac:dyDescent="0.3">
      <c r="A516" s="11" t="s">
        <v>464</v>
      </c>
      <c r="B516" t="str">
        <f>VLOOKUP(A516,[1]ListadoFichasDeProduccion!$A$2:$LP$3000,328,FALSE)</f>
        <v>COMPLETADO</v>
      </c>
      <c r="C516" s="11">
        <v>21</v>
      </c>
      <c r="D516" t="s">
        <v>33</v>
      </c>
      <c r="E516" t="s">
        <v>112</v>
      </c>
      <c r="G516" s="9">
        <v>45966</v>
      </c>
      <c r="H516" t="s">
        <v>44</v>
      </c>
      <c r="I516" s="11">
        <v>6</v>
      </c>
      <c r="J516" t="str">
        <f>IF(I516="","",IFERROR(IF(INDEX([1]ListadoFichasDeProduccion!LQ:MB,MATCH(A516,[1]ListadoFichasDeProduccion!A:A,0),K516)=0,"",INDEX([1]ListadoFichasDeProduccion!LQ:MB,MATCH(A516,[1]ListadoFichasDeProduccion!A:A,0),K516)),""))</f>
        <v/>
      </c>
      <c r="K516" s="11">
        <v>2</v>
      </c>
    </row>
    <row r="517" spans="1:11" hidden="1" x14ac:dyDescent="0.3">
      <c r="A517" s="11" t="s">
        <v>464</v>
      </c>
      <c r="B517" t="str">
        <f>VLOOKUP(A517,[1]ListadoFichasDeProduccion!$A$2:$LP$3000,328,FALSE)</f>
        <v>COMPLETADO</v>
      </c>
      <c r="C517" s="11">
        <v>21</v>
      </c>
      <c r="D517" t="s">
        <v>33</v>
      </c>
      <c r="E517" t="s">
        <v>112</v>
      </c>
      <c r="G517" s="9">
        <v>45966</v>
      </c>
      <c r="H517" t="s">
        <v>31</v>
      </c>
      <c r="I517" s="11">
        <v>4</v>
      </c>
      <c r="J517" t="str">
        <f>IF(I517="","",IFERROR(IF(INDEX([1]ListadoFichasDeProduccion!LQ:MB,MATCH(A517,[1]ListadoFichasDeProduccion!A:A,0),K517)=0,"",INDEX([1]ListadoFichasDeProduccion!LQ:MB,MATCH(A517,[1]ListadoFichasDeProduccion!A:A,0),K517)),""))</f>
        <v/>
      </c>
      <c r="K517" s="11">
        <v>3</v>
      </c>
    </row>
    <row r="518" spans="1:11" hidden="1" x14ac:dyDescent="0.3">
      <c r="A518" s="11" t="s">
        <v>464</v>
      </c>
      <c r="B518" t="str">
        <f>VLOOKUP(A518,[1]ListadoFichasDeProduccion!$A$2:$LP$3000,328,FALSE)</f>
        <v>COMPLETADO</v>
      </c>
      <c r="C518" s="11">
        <v>21</v>
      </c>
      <c r="D518" t="s">
        <v>33</v>
      </c>
      <c r="E518" t="s">
        <v>112</v>
      </c>
      <c r="G518" s="9">
        <v>45966</v>
      </c>
      <c r="H518" t="s">
        <v>39</v>
      </c>
      <c r="I518" s="11">
        <v>3</v>
      </c>
      <c r="J518" t="str">
        <f>IF(I518="","",IFERROR(IF(INDEX([1]ListadoFichasDeProduccion!LQ:MB,MATCH(A518,[1]ListadoFichasDeProduccion!A:A,0),K518)=0,"",INDEX([1]ListadoFichasDeProduccion!LQ:MB,MATCH(A518,[1]ListadoFichasDeProduccion!A:A,0),K518)),""))</f>
        <v/>
      </c>
      <c r="K518" s="11">
        <v>4</v>
      </c>
    </row>
    <row r="519" spans="1:11" hidden="1" x14ac:dyDescent="0.3">
      <c r="A519" s="11" t="s">
        <v>464</v>
      </c>
      <c r="B519" t="str">
        <f>VLOOKUP(A519,[1]ListadoFichasDeProduccion!$A$2:$LP$3000,328,FALSE)</f>
        <v>COMPLETADO</v>
      </c>
      <c r="C519" s="11">
        <v>21</v>
      </c>
      <c r="D519" t="s">
        <v>33</v>
      </c>
      <c r="E519" t="s">
        <v>112</v>
      </c>
      <c r="G519" s="9">
        <v>45966</v>
      </c>
      <c r="H519" t="s">
        <v>24</v>
      </c>
      <c r="I519" s="11">
        <v>2</v>
      </c>
      <c r="J519" t="str">
        <f>IF(I519="","",IFERROR(IF(INDEX([1]ListadoFichasDeProduccion!LQ:MB,MATCH(A519,[1]ListadoFichasDeProduccion!A:A,0),K519)=0,"",INDEX([1]ListadoFichasDeProduccion!LQ:MB,MATCH(A519,[1]ListadoFichasDeProduccion!A:A,0),K519)),""))</f>
        <v/>
      </c>
      <c r="K519" s="11">
        <v>5</v>
      </c>
    </row>
    <row r="520" spans="1:11" hidden="1" x14ac:dyDescent="0.3">
      <c r="A520" s="11" t="s">
        <v>464</v>
      </c>
      <c r="B520" t="str">
        <f>VLOOKUP(A520,[1]ListadoFichasDeProduccion!$A$2:$LP$3000,328,FALSE)</f>
        <v>COMPLETADO</v>
      </c>
      <c r="C520" s="11">
        <v>21</v>
      </c>
      <c r="D520" t="s">
        <v>33</v>
      </c>
      <c r="E520" t="s">
        <v>112</v>
      </c>
      <c r="G520" s="9">
        <v>45966</v>
      </c>
      <c r="H520" t="s">
        <v>149</v>
      </c>
      <c r="I520" s="11">
        <v>4</v>
      </c>
      <c r="J520" t="str">
        <f>IF(I520="","",IFERROR(IF(INDEX([1]ListadoFichasDeProduccion!LQ:MB,MATCH(A520,[1]ListadoFichasDeProduccion!A:A,0),K520)=0,"",INDEX([1]ListadoFichasDeProduccion!LQ:MB,MATCH(A520,[1]ListadoFichasDeProduccion!A:A,0),K520)),""))</f>
        <v/>
      </c>
      <c r="K520" s="11">
        <v>6</v>
      </c>
    </row>
    <row r="521" spans="1:11" hidden="1" x14ac:dyDescent="0.3">
      <c r="A521" s="11" t="s">
        <v>480</v>
      </c>
      <c r="B521" t="str">
        <f>VLOOKUP(A521,[1]ListadoFichasDeProduccion!$A$2:$LP$3000,328,FALSE)</f>
        <v>COMPLETADO</v>
      </c>
      <c r="C521" s="11">
        <v>13</v>
      </c>
      <c r="D521" t="s">
        <v>33</v>
      </c>
      <c r="E521" t="s">
        <v>112</v>
      </c>
      <c r="G521" s="9">
        <v>45919</v>
      </c>
      <c r="H521" t="s">
        <v>50</v>
      </c>
      <c r="I521" s="11">
        <v>3</v>
      </c>
      <c r="J521" t="str">
        <f>IF(I521="","",IFERROR(IF(INDEX([1]ListadoFichasDeProduccion!LQ:MB,MATCH(A521,[1]ListadoFichasDeProduccion!A:A,0),K521)=0,"",INDEX([1]ListadoFichasDeProduccion!LQ:MB,MATCH(A521,[1]ListadoFichasDeProduccion!A:A,0),K521)),""))</f>
        <v/>
      </c>
      <c r="K521" s="11">
        <v>1</v>
      </c>
    </row>
    <row r="522" spans="1:11" hidden="1" x14ac:dyDescent="0.3">
      <c r="A522" s="11" t="s">
        <v>480</v>
      </c>
      <c r="B522" t="str">
        <f>VLOOKUP(A522,[1]ListadoFichasDeProduccion!$A$2:$LP$3000,328,FALSE)</f>
        <v>COMPLETADO</v>
      </c>
      <c r="C522" s="11">
        <v>13</v>
      </c>
      <c r="D522" t="s">
        <v>33</v>
      </c>
      <c r="E522" t="s">
        <v>112</v>
      </c>
      <c r="G522" s="9">
        <v>45919</v>
      </c>
      <c r="H522" t="s">
        <v>39</v>
      </c>
      <c r="I522" s="11">
        <v>10</v>
      </c>
      <c r="J522" t="str">
        <f>IF(I522="","",IFERROR(IF(INDEX([1]ListadoFichasDeProduccion!LQ:MB,MATCH(A522,[1]ListadoFichasDeProduccion!A:A,0),K522)=0,"",INDEX([1]ListadoFichasDeProduccion!LQ:MB,MATCH(A522,[1]ListadoFichasDeProduccion!A:A,0),K522)),""))</f>
        <v/>
      </c>
      <c r="K522" s="11">
        <v>2</v>
      </c>
    </row>
    <row r="523" spans="1:11" x14ac:dyDescent="0.3">
      <c r="A523" s="11" t="s">
        <v>481</v>
      </c>
      <c r="B523" t="str">
        <f>VLOOKUP(A523,[1]ListadoFichasDeProduccion!$A$2:$LP$3000,328,FALSE)</f>
        <v>NO COMENZADO</v>
      </c>
      <c r="C523" s="11">
        <v>10</v>
      </c>
      <c r="D523" t="s">
        <v>33</v>
      </c>
      <c r="E523" t="s">
        <v>112</v>
      </c>
      <c r="H523" t="s">
        <v>31</v>
      </c>
      <c r="I523" s="11">
        <v>10</v>
      </c>
      <c r="J523" t="str">
        <f>IF(I523="","",IFERROR(IF(INDEX([1]ListadoFichasDeProduccion!LQ:MB,MATCH(A523,[1]ListadoFichasDeProduccion!A:A,0),K523)=0,"",INDEX([1]ListadoFichasDeProduccion!LQ:MB,MATCH(A523,[1]ListadoFichasDeProduccion!A:A,0),K523)),""))</f>
        <v/>
      </c>
      <c r="K523" s="11">
        <v>1</v>
      </c>
    </row>
    <row r="524" spans="1:11" hidden="1" x14ac:dyDescent="0.3">
      <c r="A524" s="11">
        <v>1757</v>
      </c>
      <c r="B524" s="8" t="str">
        <f>VLOOKUP(A524,[1]ListadoFichasDeProduccion!$A$2:$LP$3000,328,FALSE)</f>
        <v>COMPLETADO</v>
      </c>
      <c r="C524" s="11">
        <v>12</v>
      </c>
      <c r="D524" t="s">
        <v>33</v>
      </c>
      <c r="E524" t="s">
        <v>162</v>
      </c>
      <c r="F524" t="s">
        <v>163</v>
      </c>
      <c r="G524" s="9">
        <v>45770</v>
      </c>
      <c r="H524" t="s">
        <v>123</v>
      </c>
      <c r="I524" s="11">
        <v>6</v>
      </c>
      <c r="J524" t="str">
        <f>IF(I524="","",IFERROR(IF(INDEX([1]ListadoFichasDeProduccion!LQ:MB,MATCH(A524,[1]ListadoFichasDeProduccion!A:A,0),K524)=0,"",INDEX([1]ListadoFichasDeProduccion!LQ:MB,MATCH(A524,[1]ListadoFichasDeProduccion!A:A,0),K524)),""))</f>
        <v/>
      </c>
      <c r="K524" s="11">
        <v>1</v>
      </c>
    </row>
    <row r="525" spans="1:11" hidden="1" x14ac:dyDescent="0.3">
      <c r="A525" s="11">
        <v>1757</v>
      </c>
      <c r="B525" s="8" t="str">
        <f>VLOOKUP(A525,[1]ListadoFichasDeProduccion!$A$2:$LP$3000,328,FALSE)</f>
        <v>COMPLETADO</v>
      </c>
      <c r="C525" s="11">
        <v>12</v>
      </c>
      <c r="D525" t="s">
        <v>33</v>
      </c>
      <c r="E525" t="s">
        <v>162</v>
      </c>
      <c r="F525" t="s">
        <v>163</v>
      </c>
      <c r="G525" s="9">
        <v>45770</v>
      </c>
      <c r="H525" t="s">
        <v>19</v>
      </c>
      <c r="I525" s="11">
        <v>6</v>
      </c>
      <c r="J525" t="str">
        <f>IF(I525="","",IFERROR(IF(INDEX([1]ListadoFichasDeProduccion!LQ:MB,MATCH(A525,[1]ListadoFichasDeProduccion!A:A,0),K525)=0,"",INDEX([1]ListadoFichasDeProduccion!LQ:MB,MATCH(A525,[1]ListadoFichasDeProduccion!A:A,0),K525)),""))</f>
        <v/>
      </c>
      <c r="K525" s="11">
        <v>2</v>
      </c>
    </row>
    <row r="526" spans="1:11" hidden="1" x14ac:dyDescent="0.3">
      <c r="A526" s="11">
        <v>1646</v>
      </c>
      <c r="B526" s="8" t="str">
        <f>VLOOKUP(A526,[1]ListadoFichasDeProduccion!$A$2:$LP$3000,328,FALSE)</f>
        <v>COMPLETADO</v>
      </c>
      <c r="C526" s="11">
        <v>16</v>
      </c>
      <c r="D526" t="s">
        <v>33</v>
      </c>
      <c r="E526" t="s">
        <v>92</v>
      </c>
      <c r="F526" s="9"/>
      <c r="G526" s="9">
        <v>45714</v>
      </c>
      <c r="H526" t="s">
        <v>27</v>
      </c>
      <c r="I526" s="11">
        <v>6</v>
      </c>
      <c r="J526" t="str">
        <f>IF(I526="","",IFERROR(IF(INDEX([1]ListadoFichasDeProduccion!LQ:MB,MATCH(A526,[1]ListadoFichasDeProduccion!A:A,0),K526)=0,"",INDEX([1]ListadoFichasDeProduccion!LQ:MB,MATCH(A526,[1]ListadoFichasDeProduccion!A:A,0),K526)),""))</f>
        <v/>
      </c>
      <c r="K526" s="11">
        <v>1</v>
      </c>
    </row>
    <row r="527" spans="1:11" hidden="1" x14ac:dyDescent="0.3">
      <c r="A527" s="11">
        <v>1646</v>
      </c>
      <c r="B527" s="8" t="str">
        <f>VLOOKUP(A527,[1]ListadoFichasDeProduccion!$A$2:$LP$3000,328,FALSE)</f>
        <v>COMPLETADO</v>
      </c>
      <c r="C527" s="11">
        <v>16</v>
      </c>
      <c r="D527" t="s">
        <v>33</v>
      </c>
      <c r="E527" t="s">
        <v>92</v>
      </c>
      <c r="F527" s="9"/>
      <c r="G527" s="9">
        <v>45714</v>
      </c>
      <c r="H527" t="s">
        <v>44</v>
      </c>
      <c r="I527" s="11">
        <v>4</v>
      </c>
      <c r="J527" t="str">
        <f>IF(I527="","",IFERROR(IF(INDEX([1]ListadoFichasDeProduccion!LQ:MB,MATCH(A527,[1]ListadoFichasDeProduccion!A:A,0),K527)=0,"",INDEX([1]ListadoFichasDeProduccion!LQ:MB,MATCH(A527,[1]ListadoFichasDeProduccion!A:A,0),K527)),""))</f>
        <v/>
      </c>
      <c r="K527" s="11">
        <v>2</v>
      </c>
    </row>
    <row r="528" spans="1:11" hidden="1" x14ac:dyDescent="0.3">
      <c r="A528" s="11">
        <v>1646</v>
      </c>
      <c r="B528" s="8" t="str">
        <f>VLOOKUP(A528,[1]ListadoFichasDeProduccion!$A$2:$LP$3000,328,FALSE)</f>
        <v>COMPLETADO</v>
      </c>
      <c r="C528" s="11">
        <v>16</v>
      </c>
      <c r="D528" t="s">
        <v>33</v>
      </c>
      <c r="E528" t="s">
        <v>92</v>
      </c>
      <c r="F528" s="9"/>
      <c r="G528" s="9">
        <v>45714</v>
      </c>
      <c r="H528" t="s">
        <v>51</v>
      </c>
      <c r="I528" s="11">
        <v>3</v>
      </c>
      <c r="J528" t="str">
        <f>IF(I528="","",IFERROR(IF(INDEX([1]ListadoFichasDeProduccion!LQ:MB,MATCH(A528,[1]ListadoFichasDeProduccion!A:A,0),K528)=0,"",INDEX([1]ListadoFichasDeProduccion!LQ:MB,MATCH(A528,[1]ListadoFichasDeProduccion!A:A,0),K528)),""))</f>
        <v/>
      </c>
      <c r="K528" s="11">
        <v>3</v>
      </c>
    </row>
    <row r="529" spans="1:11" hidden="1" x14ac:dyDescent="0.3">
      <c r="A529" s="11">
        <v>1646</v>
      </c>
      <c r="B529" s="8" t="str">
        <f>VLOOKUP(A529,[1]ListadoFichasDeProduccion!$A$2:$LP$3000,328,FALSE)</f>
        <v>COMPLETADO</v>
      </c>
      <c r="C529" s="11">
        <v>16</v>
      </c>
      <c r="D529" t="s">
        <v>33</v>
      </c>
      <c r="E529" t="s">
        <v>92</v>
      </c>
      <c r="F529" s="9"/>
      <c r="G529" s="9">
        <v>45714</v>
      </c>
      <c r="H529" t="s">
        <v>50</v>
      </c>
      <c r="I529" s="11">
        <v>3</v>
      </c>
      <c r="J529" t="str">
        <f>IF(I529="","",IFERROR(IF(INDEX([1]ListadoFichasDeProduccion!LQ:MB,MATCH(A529,[1]ListadoFichasDeProduccion!A:A,0),K529)=0,"",INDEX([1]ListadoFichasDeProduccion!LQ:MB,MATCH(A529,[1]ListadoFichasDeProduccion!A:A,0),K529)),""))</f>
        <v/>
      </c>
      <c r="K529" s="11">
        <v>4</v>
      </c>
    </row>
    <row r="530" spans="1:11" hidden="1" x14ac:dyDescent="0.3">
      <c r="A530" s="11">
        <v>1898</v>
      </c>
      <c r="B530" s="8" t="str">
        <f>VLOOKUP(A530,[1]ListadoFichasDeProduccion!$A$2:$LP$3000,328,FALSE)</f>
        <v>COMPLETADO</v>
      </c>
      <c r="C530" s="11">
        <v>26</v>
      </c>
      <c r="D530" t="s">
        <v>33</v>
      </c>
      <c r="E530" t="s">
        <v>92</v>
      </c>
      <c r="G530" s="9">
        <v>45848</v>
      </c>
      <c r="H530" t="s">
        <v>27</v>
      </c>
      <c r="I530" s="11">
        <v>10</v>
      </c>
      <c r="J530" t="str">
        <f>IF(I530="","",IFERROR(IF(INDEX([1]ListadoFichasDeProduccion!LQ:MB,MATCH(A530,[1]ListadoFichasDeProduccion!A:A,0),K530)=0,"",INDEX([1]ListadoFichasDeProduccion!LQ:MB,MATCH(A530,[1]ListadoFichasDeProduccion!A:A,0),K530)),""))</f>
        <v/>
      </c>
      <c r="K530" s="11">
        <v>1</v>
      </c>
    </row>
    <row r="531" spans="1:11" hidden="1" x14ac:dyDescent="0.3">
      <c r="A531" s="11">
        <v>1898</v>
      </c>
      <c r="B531" s="8" t="str">
        <f>VLOOKUP(A531,[1]ListadoFichasDeProduccion!$A$2:$LP$3000,328,FALSE)</f>
        <v>COMPLETADO</v>
      </c>
      <c r="C531" s="11">
        <v>26</v>
      </c>
      <c r="D531" t="s">
        <v>33</v>
      </c>
      <c r="E531" t="s">
        <v>92</v>
      </c>
      <c r="G531" s="9">
        <v>45848</v>
      </c>
      <c r="H531" t="s">
        <v>44</v>
      </c>
      <c r="I531" s="11">
        <v>8</v>
      </c>
      <c r="J531" t="str">
        <f>IF(I531="","",IFERROR(IF(INDEX([1]ListadoFichasDeProduccion!LQ:MB,MATCH(A531,[1]ListadoFichasDeProduccion!A:A,0),K531)=0,"",INDEX([1]ListadoFichasDeProduccion!LQ:MB,MATCH(A531,[1]ListadoFichasDeProduccion!A:A,0),K531)),""))</f>
        <v/>
      </c>
      <c r="K531" s="11">
        <v>2</v>
      </c>
    </row>
    <row r="532" spans="1:11" hidden="1" x14ac:dyDescent="0.3">
      <c r="A532" s="11">
        <v>1898</v>
      </c>
      <c r="B532" s="8" t="str">
        <f>VLOOKUP(A532,[1]ListadoFichasDeProduccion!$A$2:$LP$3000,328,FALSE)</f>
        <v>COMPLETADO</v>
      </c>
      <c r="C532" s="11">
        <v>26</v>
      </c>
      <c r="D532" t="s">
        <v>33</v>
      </c>
      <c r="E532" t="s">
        <v>92</v>
      </c>
      <c r="G532" s="9">
        <v>45848</v>
      </c>
      <c r="H532" t="s">
        <v>51</v>
      </c>
      <c r="I532" s="11">
        <v>3</v>
      </c>
      <c r="J532" t="str">
        <f>IF(I532="","",IFERROR(IF(INDEX([1]ListadoFichasDeProduccion!LQ:MB,MATCH(A532,[1]ListadoFichasDeProduccion!A:A,0),K532)=0,"",INDEX([1]ListadoFichasDeProduccion!LQ:MB,MATCH(A532,[1]ListadoFichasDeProduccion!A:A,0),K532)),""))</f>
        <v/>
      </c>
      <c r="K532" s="11">
        <v>3</v>
      </c>
    </row>
    <row r="533" spans="1:11" hidden="1" x14ac:dyDescent="0.3">
      <c r="A533" s="11">
        <v>1898</v>
      </c>
      <c r="B533" s="8" t="str">
        <f>VLOOKUP(A533,[1]ListadoFichasDeProduccion!$A$2:$LP$3000,328,FALSE)</f>
        <v>COMPLETADO</v>
      </c>
      <c r="C533" s="11">
        <v>26</v>
      </c>
      <c r="D533" t="s">
        <v>33</v>
      </c>
      <c r="E533" t="s">
        <v>92</v>
      </c>
      <c r="G533" s="9">
        <v>45848</v>
      </c>
      <c r="H533" t="s">
        <v>50</v>
      </c>
      <c r="I533" s="11">
        <v>1</v>
      </c>
      <c r="J533" t="str">
        <f>IF(I533="","",IFERROR(IF(INDEX([1]ListadoFichasDeProduccion!LQ:MB,MATCH(A533,[1]ListadoFichasDeProduccion!A:A,0),K533)=0,"",INDEX([1]ListadoFichasDeProduccion!LQ:MB,MATCH(A533,[1]ListadoFichasDeProduccion!A:A,0),K533)),""))</f>
        <v/>
      </c>
      <c r="K533" s="11">
        <v>4</v>
      </c>
    </row>
    <row r="534" spans="1:11" hidden="1" x14ac:dyDescent="0.3">
      <c r="A534" s="11">
        <v>1898</v>
      </c>
      <c r="B534" s="8" t="str">
        <f>VLOOKUP(A534,[1]ListadoFichasDeProduccion!$A$2:$LP$3000,328,FALSE)</f>
        <v>COMPLETADO</v>
      </c>
      <c r="C534" s="11">
        <v>26</v>
      </c>
      <c r="D534" t="s">
        <v>33</v>
      </c>
      <c r="E534" t="s">
        <v>92</v>
      </c>
      <c r="G534" s="9">
        <v>45848</v>
      </c>
      <c r="H534" t="s">
        <v>31</v>
      </c>
      <c r="I534" s="11">
        <v>4</v>
      </c>
      <c r="J534" t="str">
        <f>IF(I534="","",IFERROR(IF(INDEX([1]ListadoFichasDeProduccion!LQ:MB,MATCH(A534,[1]ListadoFichasDeProduccion!A:A,0),K534)=0,"",INDEX([1]ListadoFichasDeProduccion!LQ:MB,MATCH(A534,[1]ListadoFichasDeProduccion!A:A,0),K534)),""))</f>
        <v/>
      </c>
      <c r="K534" s="11">
        <v>5</v>
      </c>
    </row>
    <row r="535" spans="1:11" hidden="1" x14ac:dyDescent="0.3">
      <c r="A535" s="11" t="s">
        <v>453</v>
      </c>
      <c r="B535" t="str">
        <f>VLOOKUP(A535,[1]ListadoFichasDeProduccion!$A$2:$LP$3000,328,FALSE)</f>
        <v>COMPLETADO</v>
      </c>
      <c r="C535" s="11">
        <v>18</v>
      </c>
      <c r="D535" t="s">
        <v>33</v>
      </c>
      <c r="E535" t="s">
        <v>92</v>
      </c>
      <c r="G535" s="9">
        <v>45964</v>
      </c>
      <c r="H535" t="s">
        <v>27</v>
      </c>
      <c r="I535" s="11">
        <v>6</v>
      </c>
      <c r="J535" t="str">
        <f>IF(I535="","",IFERROR(IF(INDEX([1]ListadoFichasDeProduccion!LQ:MB,MATCH(A535,[1]ListadoFichasDeProduccion!A:A,0),K535)=0,"",INDEX([1]ListadoFichasDeProduccion!LQ:MB,MATCH(A535,[1]ListadoFichasDeProduccion!A:A,0),K535)),""))</f>
        <v/>
      </c>
      <c r="K535" s="11">
        <v>1</v>
      </c>
    </row>
    <row r="536" spans="1:11" hidden="1" x14ac:dyDescent="0.3">
      <c r="A536" s="11" t="s">
        <v>453</v>
      </c>
      <c r="B536" t="str">
        <f>VLOOKUP(A536,[1]ListadoFichasDeProduccion!$A$2:$LP$3000,328,FALSE)</f>
        <v>COMPLETADO</v>
      </c>
      <c r="C536" s="11">
        <v>18</v>
      </c>
      <c r="D536" t="s">
        <v>33</v>
      </c>
      <c r="E536" t="s">
        <v>92</v>
      </c>
      <c r="G536" s="9">
        <v>45964</v>
      </c>
      <c r="H536" t="s">
        <v>44</v>
      </c>
      <c r="I536" s="11">
        <v>12</v>
      </c>
      <c r="J536" t="str">
        <f>IF(I536="","",IFERROR(IF(INDEX([1]ListadoFichasDeProduccion!LQ:MB,MATCH(A536,[1]ListadoFichasDeProduccion!A:A,0),K536)=0,"",INDEX([1]ListadoFichasDeProduccion!LQ:MB,MATCH(A536,[1]ListadoFichasDeProduccion!A:A,0),K536)),""))</f>
        <v/>
      </c>
      <c r="K536" s="11">
        <v>2</v>
      </c>
    </row>
    <row r="537" spans="1:11" hidden="1" x14ac:dyDescent="0.3">
      <c r="A537" s="11">
        <v>1693</v>
      </c>
      <c r="B537" s="8" t="str">
        <f>VLOOKUP(A537,[1]ListadoFichasDeProduccion!$A$2:$LP$3000,328,FALSE)</f>
        <v>COMPLETADO</v>
      </c>
      <c r="C537" s="11">
        <v>36</v>
      </c>
      <c r="D537" t="s">
        <v>33</v>
      </c>
      <c r="E537" t="s">
        <v>125</v>
      </c>
      <c r="F537" t="s">
        <v>126</v>
      </c>
      <c r="G537" s="9">
        <v>45728</v>
      </c>
      <c r="H537" t="s">
        <v>127</v>
      </c>
      <c r="I537" s="11">
        <v>6</v>
      </c>
      <c r="J537" t="str">
        <f>IF(I537="","",IFERROR(IF(INDEX([1]ListadoFichasDeProduccion!LQ:MB,MATCH(A537,[1]ListadoFichasDeProduccion!A:A,0),K537)=0,"",INDEX([1]ListadoFichasDeProduccion!LQ:MB,MATCH(A537,[1]ListadoFichasDeProduccion!A:A,0),K537)),""))</f>
        <v/>
      </c>
      <c r="K537" s="11">
        <v>1</v>
      </c>
    </row>
    <row r="538" spans="1:11" hidden="1" x14ac:dyDescent="0.3">
      <c r="A538" s="11">
        <v>1693</v>
      </c>
      <c r="B538" s="8" t="str">
        <f>VLOOKUP(A538,[1]ListadoFichasDeProduccion!$A$2:$LP$3000,328,FALSE)</f>
        <v>COMPLETADO</v>
      </c>
      <c r="C538" s="11">
        <v>36</v>
      </c>
      <c r="D538" t="s">
        <v>33</v>
      </c>
      <c r="E538" t="s">
        <v>125</v>
      </c>
      <c r="F538" t="s">
        <v>126</v>
      </c>
      <c r="G538" s="9">
        <v>45728</v>
      </c>
      <c r="H538" t="s">
        <v>127</v>
      </c>
      <c r="I538" s="11">
        <v>8</v>
      </c>
      <c r="J538" t="str">
        <f>IF(I538="","",IFERROR(IF(INDEX([1]ListadoFichasDeProduccion!LQ:MB,MATCH(A538,[1]ListadoFichasDeProduccion!A:A,0),K538)=0,"",INDEX([1]ListadoFichasDeProduccion!LQ:MB,MATCH(A538,[1]ListadoFichasDeProduccion!A:A,0),K538)),""))</f>
        <v/>
      </c>
      <c r="K538" s="11">
        <v>2</v>
      </c>
    </row>
    <row r="539" spans="1:11" hidden="1" x14ac:dyDescent="0.3">
      <c r="A539" s="11">
        <v>1693</v>
      </c>
      <c r="B539" s="8" t="str">
        <f>VLOOKUP(A539,[1]ListadoFichasDeProduccion!$A$2:$LP$3000,328,FALSE)</f>
        <v>COMPLETADO</v>
      </c>
      <c r="C539" s="11">
        <v>36</v>
      </c>
      <c r="D539" t="s">
        <v>33</v>
      </c>
      <c r="E539" t="s">
        <v>125</v>
      </c>
      <c r="F539" t="s">
        <v>126</v>
      </c>
      <c r="G539" s="9">
        <v>45728</v>
      </c>
      <c r="H539" t="s">
        <v>128</v>
      </c>
      <c r="I539" s="11">
        <v>10</v>
      </c>
      <c r="J539" t="str">
        <f>IF(I539="","",IFERROR(IF(INDEX([1]ListadoFichasDeProduccion!LQ:MB,MATCH(A539,[1]ListadoFichasDeProduccion!A:A,0),K539)=0,"",INDEX([1]ListadoFichasDeProduccion!LQ:MB,MATCH(A539,[1]ListadoFichasDeProduccion!A:A,0),K539)),""))</f>
        <v/>
      </c>
      <c r="K539" s="11">
        <v>3</v>
      </c>
    </row>
    <row r="540" spans="1:11" hidden="1" x14ac:dyDescent="0.3">
      <c r="A540" s="11">
        <v>1693</v>
      </c>
      <c r="B540" s="8" t="str">
        <f>VLOOKUP(A540,[1]ListadoFichasDeProduccion!$A$2:$LP$3000,328,FALSE)</f>
        <v>COMPLETADO</v>
      </c>
      <c r="C540" s="11">
        <v>36</v>
      </c>
      <c r="D540" t="s">
        <v>33</v>
      </c>
      <c r="E540" t="s">
        <v>125</v>
      </c>
      <c r="F540" t="s">
        <v>126</v>
      </c>
      <c r="G540" s="9">
        <v>45728</v>
      </c>
      <c r="H540" t="s">
        <v>129</v>
      </c>
      <c r="I540" s="11">
        <v>6</v>
      </c>
      <c r="J540" t="str">
        <f>IF(I540="","",IFERROR(IF(INDEX([1]ListadoFichasDeProduccion!LQ:MB,MATCH(A540,[1]ListadoFichasDeProduccion!A:A,0),K540)=0,"",INDEX([1]ListadoFichasDeProduccion!LQ:MB,MATCH(A540,[1]ListadoFichasDeProduccion!A:A,0),K540)),""))</f>
        <v/>
      </c>
      <c r="K540" s="11">
        <v>4</v>
      </c>
    </row>
    <row r="541" spans="1:11" hidden="1" x14ac:dyDescent="0.3">
      <c r="A541" s="11">
        <v>1693</v>
      </c>
      <c r="B541" s="8" t="str">
        <f>VLOOKUP(A541,[1]ListadoFichasDeProduccion!$A$2:$LP$3000,328,FALSE)</f>
        <v>COMPLETADO</v>
      </c>
      <c r="C541" s="11">
        <v>36</v>
      </c>
      <c r="D541" t="s">
        <v>33</v>
      </c>
      <c r="E541" t="s">
        <v>125</v>
      </c>
      <c r="F541" t="s">
        <v>126</v>
      </c>
      <c r="G541" s="9">
        <v>45728</v>
      </c>
      <c r="H541" t="s">
        <v>128</v>
      </c>
      <c r="I541" s="11">
        <v>6</v>
      </c>
      <c r="J541" t="str">
        <f>IF(I541="","",IFERROR(IF(INDEX([1]ListadoFichasDeProduccion!LQ:MB,MATCH(A541,[1]ListadoFichasDeProduccion!A:A,0),K541)=0,"",INDEX([1]ListadoFichasDeProduccion!LQ:MB,MATCH(A541,[1]ListadoFichasDeProduccion!A:A,0),K541)),""))</f>
        <v/>
      </c>
      <c r="K541" s="11">
        <v>5</v>
      </c>
    </row>
    <row r="542" spans="1:11" hidden="1" x14ac:dyDescent="0.3">
      <c r="A542" s="11">
        <v>1761</v>
      </c>
      <c r="B542" s="8" t="str">
        <f>VLOOKUP(A542,[1]ListadoFichasDeProduccion!$A$2:$LP$3000,328,FALSE)</f>
        <v>COMPLETADO</v>
      </c>
      <c r="C542" s="11">
        <v>52</v>
      </c>
      <c r="D542" t="s">
        <v>33</v>
      </c>
      <c r="E542" t="s">
        <v>125</v>
      </c>
      <c r="F542" t="s">
        <v>126</v>
      </c>
      <c r="G542" s="9">
        <v>45770</v>
      </c>
      <c r="H542" t="s">
        <v>127</v>
      </c>
      <c r="I542" s="11">
        <v>4</v>
      </c>
      <c r="J542" t="str">
        <f>IF(I542="","",IFERROR(IF(INDEX([1]ListadoFichasDeProduccion!LQ:MB,MATCH(A542,[1]ListadoFichasDeProduccion!A:A,0),K542)=0,"",INDEX([1]ListadoFichasDeProduccion!LQ:MB,MATCH(A542,[1]ListadoFichasDeProduccion!A:A,0),K542)),""))</f>
        <v>LETRA B</v>
      </c>
      <c r="K542" s="11">
        <v>1</v>
      </c>
    </row>
    <row r="543" spans="1:11" hidden="1" x14ac:dyDescent="0.3">
      <c r="A543" s="11">
        <v>1761</v>
      </c>
      <c r="B543" s="8" t="str">
        <f>VLOOKUP(A543,[1]ListadoFichasDeProduccion!$A$2:$LP$3000,328,FALSE)</f>
        <v>COMPLETADO</v>
      </c>
      <c r="C543" s="11">
        <v>52</v>
      </c>
      <c r="D543" t="s">
        <v>33</v>
      </c>
      <c r="E543" t="s">
        <v>125</v>
      </c>
      <c r="F543" t="s">
        <v>126</v>
      </c>
      <c r="G543" s="9">
        <v>45770</v>
      </c>
      <c r="H543" t="s">
        <v>128</v>
      </c>
      <c r="I543" s="11">
        <v>4</v>
      </c>
      <c r="J543" t="str">
        <f>IF(I543="","",IFERROR(IF(INDEX([1]ListadoFichasDeProduccion!LQ:MB,MATCH(A543,[1]ListadoFichasDeProduccion!A:A,0),K543)=0,"",INDEX([1]ListadoFichasDeProduccion!LQ:MB,MATCH(A543,[1]ListadoFichasDeProduccion!A:A,0),K543)),""))</f>
        <v>LETRA B</v>
      </c>
      <c r="K543" s="11">
        <v>2</v>
      </c>
    </row>
    <row r="544" spans="1:11" hidden="1" x14ac:dyDescent="0.3">
      <c r="A544" s="11">
        <v>1761</v>
      </c>
      <c r="B544" s="8" t="str">
        <f>VLOOKUP(A544,[1]ListadoFichasDeProduccion!$A$2:$LP$3000,328,FALSE)</f>
        <v>COMPLETADO</v>
      </c>
      <c r="C544" s="11">
        <v>52</v>
      </c>
      <c r="D544" t="s">
        <v>33</v>
      </c>
      <c r="E544" t="s">
        <v>125</v>
      </c>
      <c r="F544" t="s">
        <v>126</v>
      </c>
      <c r="G544" s="9">
        <v>45770</v>
      </c>
      <c r="H544" t="s">
        <v>169</v>
      </c>
      <c r="I544" s="11">
        <v>6</v>
      </c>
      <c r="J544" t="str">
        <f>IF(I544="","",IFERROR(IF(INDEX([1]ListadoFichasDeProduccion!LQ:MB,MATCH(A544,[1]ListadoFichasDeProduccion!A:A,0),K544)=0,"",INDEX([1]ListadoFichasDeProduccion!LQ:MB,MATCH(A544,[1]ListadoFichasDeProduccion!A:A,0),K544)),""))</f>
        <v>LETRA C</v>
      </c>
      <c r="K544" s="11">
        <v>3</v>
      </c>
    </row>
    <row r="545" spans="1:11" hidden="1" x14ac:dyDescent="0.3">
      <c r="A545" s="11">
        <v>1761</v>
      </c>
      <c r="B545" s="8" t="str">
        <f>VLOOKUP(A545,[1]ListadoFichasDeProduccion!$A$2:$LP$3000,328,FALSE)</f>
        <v>COMPLETADO</v>
      </c>
      <c r="C545" s="11">
        <v>52</v>
      </c>
      <c r="D545" t="s">
        <v>33</v>
      </c>
      <c r="E545" t="s">
        <v>125</v>
      </c>
      <c r="F545" t="s">
        <v>126</v>
      </c>
      <c r="G545" s="9">
        <v>45770</v>
      </c>
      <c r="H545" t="s">
        <v>128</v>
      </c>
      <c r="I545" s="11">
        <v>4</v>
      </c>
      <c r="J545" t="str">
        <f>IF(I545="","",IFERROR(IF(INDEX([1]ListadoFichasDeProduccion!LQ:MB,MATCH(A545,[1]ListadoFichasDeProduccion!A:A,0),K545)=0,"",INDEX([1]ListadoFichasDeProduccion!LQ:MB,MATCH(A545,[1]ListadoFichasDeProduccion!A:A,0),K545)),""))</f>
        <v>LETRA J</v>
      </c>
      <c r="K545" s="11">
        <v>4</v>
      </c>
    </row>
    <row r="546" spans="1:11" hidden="1" x14ac:dyDescent="0.3">
      <c r="A546" s="11">
        <v>1761</v>
      </c>
      <c r="B546" s="8" t="str">
        <f>VLOOKUP(A546,[1]ListadoFichasDeProduccion!$A$2:$LP$3000,328,FALSE)</f>
        <v>COMPLETADO</v>
      </c>
      <c r="C546" s="11">
        <v>52</v>
      </c>
      <c r="D546" t="s">
        <v>33</v>
      </c>
      <c r="E546" t="s">
        <v>125</v>
      </c>
      <c r="F546" t="s">
        <v>126</v>
      </c>
      <c r="G546" s="9">
        <v>45770</v>
      </c>
      <c r="H546" t="s">
        <v>169</v>
      </c>
      <c r="I546" s="11">
        <v>2</v>
      </c>
      <c r="J546" t="str">
        <f>IF(I546="","",IFERROR(IF(INDEX([1]ListadoFichasDeProduccion!LQ:MB,MATCH(A546,[1]ListadoFichasDeProduccion!A:A,0),K546)=0,"",INDEX([1]ListadoFichasDeProduccion!LQ:MB,MATCH(A546,[1]ListadoFichasDeProduccion!A:A,0),K546)),""))</f>
        <v>LETRA J</v>
      </c>
      <c r="K546" s="11">
        <v>5</v>
      </c>
    </row>
    <row r="547" spans="1:11" hidden="1" x14ac:dyDescent="0.3">
      <c r="A547" s="11">
        <v>1761</v>
      </c>
      <c r="B547" s="8" t="str">
        <f>VLOOKUP(A547,[1]ListadoFichasDeProduccion!$A$2:$LP$3000,328,FALSE)</f>
        <v>COMPLETADO</v>
      </c>
      <c r="C547" s="11">
        <v>52</v>
      </c>
      <c r="D547" t="s">
        <v>33</v>
      </c>
      <c r="E547" t="s">
        <v>125</v>
      </c>
      <c r="F547" t="s">
        <v>126</v>
      </c>
      <c r="G547" s="9">
        <v>45770</v>
      </c>
      <c r="H547" t="s">
        <v>170</v>
      </c>
      <c r="I547" s="11">
        <v>4</v>
      </c>
      <c r="J547" t="str">
        <f>IF(I547="","",IFERROR(IF(INDEX([1]ListadoFichasDeProduccion!LQ:MB,MATCH(A547,[1]ListadoFichasDeProduccion!A:A,0),K547)=0,"",INDEX([1]ListadoFichasDeProduccion!LQ:MB,MATCH(A547,[1]ListadoFichasDeProduccion!A:A,0),K547)),""))</f>
        <v>LETRA R</v>
      </c>
      <c r="K547" s="11">
        <v>6</v>
      </c>
    </row>
    <row r="548" spans="1:11" hidden="1" x14ac:dyDescent="0.3">
      <c r="A548" s="11">
        <v>1761</v>
      </c>
      <c r="B548" s="8" t="str">
        <f>VLOOKUP(A548,[1]ListadoFichasDeProduccion!$A$2:$LP$3000,328,FALSE)</f>
        <v>COMPLETADO</v>
      </c>
      <c r="C548" s="11">
        <v>52</v>
      </c>
      <c r="D548" t="s">
        <v>33</v>
      </c>
      <c r="E548" t="s">
        <v>125</v>
      </c>
      <c r="F548" t="s">
        <v>126</v>
      </c>
      <c r="G548" s="9">
        <v>45770</v>
      </c>
      <c r="H548" t="s">
        <v>171</v>
      </c>
      <c r="I548" s="11">
        <v>4</v>
      </c>
      <c r="J548" t="str">
        <f>IF(I548="","",IFERROR(IF(INDEX([1]ListadoFichasDeProduccion!LQ:MB,MATCH(A548,[1]ListadoFichasDeProduccion!A:A,0),K548)=0,"",INDEX([1]ListadoFichasDeProduccion!LQ:MB,MATCH(A548,[1]ListadoFichasDeProduccion!A:A,0),K548)),""))</f>
        <v>LETRA D</v>
      </c>
      <c r="K548" s="11">
        <v>7</v>
      </c>
    </row>
    <row r="549" spans="1:11" hidden="1" x14ac:dyDescent="0.3">
      <c r="A549" s="11">
        <v>1761</v>
      </c>
      <c r="B549" s="8" t="str">
        <f>VLOOKUP(A549,[1]ListadoFichasDeProduccion!$A$2:$LP$3000,328,FALSE)</f>
        <v>COMPLETADO</v>
      </c>
      <c r="C549" s="11">
        <v>52</v>
      </c>
      <c r="D549" t="s">
        <v>33</v>
      </c>
      <c r="E549" t="s">
        <v>125</v>
      </c>
      <c r="F549" t="s">
        <v>126</v>
      </c>
      <c r="G549" s="9">
        <v>45770</v>
      </c>
      <c r="H549" t="s">
        <v>172</v>
      </c>
      <c r="I549" s="11">
        <v>6</v>
      </c>
      <c r="J549" t="str">
        <f>IF(I549="","",IFERROR(IF(INDEX([1]ListadoFichasDeProduccion!LQ:MB,MATCH(A549,[1]ListadoFichasDeProduccion!A:A,0),K549)=0,"",INDEX([1]ListadoFichasDeProduccion!LQ:MB,MATCH(A549,[1]ListadoFichasDeProduccion!A:A,0),K549)),""))</f>
        <v>LETRA G</v>
      </c>
      <c r="K549" s="11">
        <v>8</v>
      </c>
    </row>
    <row r="550" spans="1:11" hidden="1" x14ac:dyDescent="0.3">
      <c r="A550" s="11">
        <v>1761</v>
      </c>
      <c r="B550" s="8" t="str">
        <f>VLOOKUP(A550,[1]ListadoFichasDeProduccion!$A$2:$LP$3000,328,FALSE)</f>
        <v>COMPLETADO</v>
      </c>
      <c r="C550" s="11">
        <v>52</v>
      </c>
      <c r="D550" t="s">
        <v>33</v>
      </c>
      <c r="E550" t="s">
        <v>125</v>
      </c>
      <c r="F550" t="s">
        <v>126</v>
      </c>
      <c r="G550" s="9">
        <v>45770</v>
      </c>
      <c r="H550" t="s">
        <v>171</v>
      </c>
      <c r="I550" s="11">
        <v>2</v>
      </c>
      <c r="J550" t="str">
        <f>IF(I550="","",IFERROR(IF(INDEX([1]ListadoFichasDeProduccion!LQ:MB,MATCH(A550,[1]ListadoFichasDeProduccion!A:A,0),K550)=0,"",INDEX([1]ListadoFichasDeProduccion!LQ:MB,MATCH(A550,[1]ListadoFichasDeProduccion!A:A,0),K550)),""))</f>
        <v>LETRA G</v>
      </c>
      <c r="K550" s="11">
        <v>9</v>
      </c>
    </row>
    <row r="551" spans="1:11" hidden="1" x14ac:dyDescent="0.3">
      <c r="A551" s="11">
        <v>1761</v>
      </c>
      <c r="B551" s="8" t="str">
        <f>VLOOKUP(A551,[1]ListadoFichasDeProduccion!$A$2:$LP$3000,328,FALSE)</f>
        <v>COMPLETADO</v>
      </c>
      <c r="C551" s="11">
        <v>52</v>
      </c>
      <c r="D551" t="s">
        <v>33</v>
      </c>
      <c r="E551" t="s">
        <v>125</v>
      </c>
      <c r="F551" t="s">
        <v>126</v>
      </c>
      <c r="G551" s="9">
        <v>45770</v>
      </c>
      <c r="H551" t="s">
        <v>171</v>
      </c>
      <c r="I551" s="11">
        <v>6</v>
      </c>
      <c r="J551" t="str">
        <f>IF(I551="","",IFERROR(IF(INDEX([1]ListadoFichasDeProduccion!LQ:MB,MATCH(A551,[1]ListadoFichasDeProduccion!A:A,0),K551)=0,"",INDEX([1]ListadoFichasDeProduccion!LQ:MB,MATCH(A551,[1]ListadoFichasDeProduccion!A:A,0),K551)),""))</f>
        <v>LETRA K</v>
      </c>
      <c r="K551" s="11">
        <v>10</v>
      </c>
    </row>
    <row r="552" spans="1:11" hidden="1" x14ac:dyDescent="0.3">
      <c r="A552" s="11">
        <v>1761</v>
      </c>
      <c r="B552" s="8" t="str">
        <f>VLOOKUP(A552,[1]ListadoFichasDeProduccion!$A$2:$LP$3000,328,FALSE)</f>
        <v>COMPLETADO</v>
      </c>
      <c r="C552" s="11">
        <v>52</v>
      </c>
      <c r="D552" t="s">
        <v>33</v>
      </c>
      <c r="E552" t="s">
        <v>125</v>
      </c>
      <c r="F552" t="s">
        <v>126</v>
      </c>
      <c r="G552" s="9">
        <v>45770</v>
      </c>
      <c r="H552" t="s">
        <v>170</v>
      </c>
      <c r="J552" t="str">
        <f>IF(I552="","",IFERROR(IF(INDEX([1]ListadoFichasDeProduccion!LQ:MB,MATCH(A552,[1]ListadoFichasDeProduccion!A:A,0),K552)=0,"",INDEX([1]ListadoFichasDeProduccion!LQ:MB,MATCH(A552,[1]ListadoFichasDeProduccion!A:A,0),K552)),""))</f>
        <v/>
      </c>
      <c r="K552" s="11">
        <v>11</v>
      </c>
    </row>
    <row r="553" spans="1:11" hidden="1" x14ac:dyDescent="0.3">
      <c r="A553" s="11">
        <v>1761</v>
      </c>
      <c r="B553" s="8" t="str">
        <f>VLOOKUP(A553,[1]ListadoFichasDeProduccion!$A$2:$LP$3000,328,FALSE)</f>
        <v>COMPLETADO</v>
      </c>
      <c r="C553" s="11">
        <v>52</v>
      </c>
      <c r="D553" t="s">
        <v>33</v>
      </c>
      <c r="E553" t="s">
        <v>125</v>
      </c>
      <c r="F553" t="s">
        <v>126</v>
      </c>
      <c r="G553" s="9">
        <v>45770</v>
      </c>
      <c r="H553" t="s">
        <v>171</v>
      </c>
      <c r="J553" t="str">
        <f>IF(I553="","",IFERROR(IF(INDEX([1]ListadoFichasDeProduccion!LQ:MB,MATCH(A553,[1]ListadoFichasDeProduccion!A:A,0),K553)=0,"",INDEX([1]ListadoFichasDeProduccion!LQ:MB,MATCH(A553,[1]ListadoFichasDeProduccion!A:A,0),K553)),""))</f>
        <v/>
      </c>
      <c r="K553" s="11">
        <v>12</v>
      </c>
    </row>
    <row r="554" spans="1:11" hidden="1" x14ac:dyDescent="0.3">
      <c r="A554" s="11">
        <v>17612</v>
      </c>
      <c r="B554" s="8" t="str">
        <f>VLOOKUP(A554,[1]ListadoFichasDeProduccion!$A$2:$LP$3000,328,FALSE)</f>
        <v>COMPLETADO</v>
      </c>
      <c r="C554" s="11">
        <v>22</v>
      </c>
      <c r="D554" t="s">
        <v>33</v>
      </c>
      <c r="E554" t="s">
        <v>125</v>
      </c>
      <c r="F554" t="s">
        <v>126</v>
      </c>
      <c r="G554" s="9">
        <v>45770</v>
      </c>
      <c r="H554" t="s">
        <v>129</v>
      </c>
      <c r="I554" s="11">
        <v>6</v>
      </c>
      <c r="J554" t="str">
        <f>IF(I554="","",IFERROR(IF(INDEX([1]ListadoFichasDeProduccion!LQ:MB,MATCH(A554,[1]ListadoFichasDeProduccion!A:A,0),K554)=0,"",INDEX([1]ListadoFichasDeProduccion!LQ:MB,MATCH(A554,[1]ListadoFichasDeProduccion!A:A,0),K554)),""))</f>
        <v>LETRA S</v>
      </c>
      <c r="K554" s="11">
        <v>1</v>
      </c>
    </row>
    <row r="555" spans="1:11" hidden="1" x14ac:dyDescent="0.3">
      <c r="A555" s="11">
        <v>17612</v>
      </c>
      <c r="B555" s="8" t="str">
        <f>VLOOKUP(A555,[1]ListadoFichasDeProduccion!$A$2:$LP$3000,328,FALSE)</f>
        <v>COMPLETADO</v>
      </c>
      <c r="C555" s="11">
        <v>22</v>
      </c>
      <c r="D555" t="s">
        <v>33</v>
      </c>
      <c r="E555" t="s">
        <v>125</v>
      </c>
      <c r="F555" t="s">
        <v>126</v>
      </c>
      <c r="G555" s="9">
        <v>45770</v>
      </c>
      <c r="H555" t="s">
        <v>128</v>
      </c>
      <c r="I555" s="11">
        <v>4</v>
      </c>
      <c r="J555" t="str">
        <f>IF(I555="","",IFERROR(IF(INDEX([1]ListadoFichasDeProduccion!LQ:MB,MATCH(A555,[1]ListadoFichasDeProduccion!A:A,0),K555)=0,"",INDEX([1]ListadoFichasDeProduccion!LQ:MB,MATCH(A555,[1]ListadoFichasDeProduccion!A:A,0),K555)),""))</f>
        <v>LETRA M</v>
      </c>
      <c r="K555" s="11">
        <v>2</v>
      </c>
    </row>
    <row r="556" spans="1:11" hidden="1" x14ac:dyDescent="0.3">
      <c r="A556" s="11">
        <v>17612</v>
      </c>
      <c r="B556" s="8" t="str">
        <f>VLOOKUP(A556,[1]ListadoFichasDeProduccion!$A$2:$LP$3000,328,FALSE)</f>
        <v>COMPLETADO</v>
      </c>
      <c r="C556" s="11">
        <v>22</v>
      </c>
      <c r="D556" t="s">
        <v>33</v>
      </c>
      <c r="E556" t="s">
        <v>125</v>
      </c>
      <c r="F556" t="s">
        <v>126</v>
      </c>
      <c r="G556" s="9">
        <v>45770</v>
      </c>
      <c r="H556" t="s">
        <v>129</v>
      </c>
      <c r="I556" s="11">
        <v>3</v>
      </c>
      <c r="J556" t="str">
        <f>IF(I556="","",IFERROR(IF(INDEX([1]ListadoFichasDeProduccion!LQ:MB,MATCH(A556,[1]ListadoFichasDeProduccion!A:A,0),K556)=0,"",INDEX([1]ListadoFichasDeProduccion!LQ:MB,MATCH(A556,[1]ListadoFichasDeProduccion!A:A,0),K556)),""))</f>
        <v>LETRA M</v>
      </c>
      <c r="K556" s="11">
        <v>3</v>
      </c>
    </row>
    <row r="557" spans="1:11" hidden="1" x14ac:dyDescent="0.3">
      <c r="A557" s="11">
        <v>17612</v>
      </c>
      <c r="B557" s="8" t="str">
        <f>VLOOKUP(A557,[1]ListadoFichasDeProduccion!$A$2:$LP$3000,328,FALSE)</f>
        <v>COMPLETADO</v>
      </c>
      <c r="C557" s="11">
        <v>22</v>
      </c>
      <c r="D557" t="s">
        <v>33</v>
      </c>
      <c r="E557" t="s">
        <v>125</v>
      </c>
      <c r="F557" t="s">
        <v>126</v>
      </c>
      <c r="G557" s="9">
        <v>45770</v>
      </c>
      <c r="H557" t="s">
        <v>169</v>
      </c>
      <c r="I557" s="11">
        <v>3</v>
      </c>
      <c r="J557" t="str">
        <f>IF(I557="","",IFERROR(IF(INDEX([1]ListadoFichasDeProduccion!LQ:MB,MATCH(A557,[1]ListadoFichasDeProduccion!A:A,0),K557)=0,"",INDEX([1]ListadoFichasDeProduccion!LQ:MB,MATCH(A557,[1]ListadoFichasDeProduccion!A:A,0),K557)),""))</f>
        <v>LETRA P</v>
      </c>
      <c r="K557" s="11">
        <v>4</v>
      </c>
    </row>
    <row r="558" spans="1:11" hidden="1" x14ac:dyDescent="0.3">
      <c r="A558" s="11">
        <v>17612</v>
      </c>
      <c r="B558" s="8" t="str">
        <f>VLOOKUP(A558,[1]ListadoFichasDeProduccion!$A$2:$LP$3000,328,FALSE)</f>
        <v>COMPLETADO</v>
      </c>
      <c r="C558" s="11">
        <v>22</v>
      </c>
      <c r="D558" t="s">
        <v>33</v>
      </c>
      <c r="E558" t="s">
        <v>125</v>
      </c>
      <c r="F558" t="s">
        <v>126</v>
      </c>
      <c r="G558" s="9">
        <v>45770</v>
      </c>
      <c r="H558" t="s">
        <v>127</v>
      </c>
      <c r="I558" s="11">
        <v>6</v>
      </c>
      <c r="J558" t="str">
        <f>IF(I558="","",IFERROR(IF(INDEX([1]ListadoFichasDeProduccion!LQ:MB,MATCH(A558,[1]ListadoFichasDeProduccion!A:A,0),K558)=0,"",INDEX([1]ListadoFichasDeProduccion!LQ:MB,MATCH(A558,[1]ListadoFichasDeProduccion!A:A,0),K558)),""))</f>
        <v>LETRA P</v>
      </c>
      <c r="K558" s="11">
        <v>5</v>
      </c>
    </row>
    <row r="559" spans="1:11" hidden="1" x14ac:dyDescent="0.3">
      <c r="A559" s="11">
        <v>1833</v>
      </c>
      <c r="B559" s="8" t="str">
        <f>VLOOKUP(A559,[1]ListadoFichasDeProduccion!$A$2:$LP$3000,328,FALSE)</f>
        <v>COMPLETADO</v>
      </c>
      <c r="C559" s="11">
        <v>41</v>
      </c>
      <c r="D559" t="s">
        <v>33</v>
      </c>
      <c r="E559" t="s">
        <v>125</v>
      </c>
      <c r="F559" t="s">
        <v>126</v>
      </c>
      <c r="G559" s="9">
        <v>45814</v>
      </c>
      <c r="H559" t="s">
        <v>127</v>
      </c>
      <c r="I559" s="11">
        <v>6</v>
      </c>
      <c r="J559" t="str">
        <f>IF(I559="","",IFERROR(IF(INDEX([1]ListadoFichasDeProduccion!LQ:MB,MATCH(A559,[1]ListadoFichasDeProduccion!A:A,0),K559)=0,"",INDEX([1]ListadoFichasDeProduccion!LQ:MB,MATCH(A559,[1]ListadoFichasDeProduccion!A:A,0),K559)),""))</f>
        <v>LETRA A</v>
      </c>
      <c r="K559" s="11">
        <v>1</v>
      </c>
    </row>
    <row r="560" spans="1:11" hidden="1" x14ac:dyDescent="0.3">
      <c r="A560" s="11">
        <v>1833</v>
      </c>
      <c r="B560" s="8" t="str">
        <f>VLOOKUP(A560,[1]ListadoFichasDeProduccion!$A$2:$LP$3000,328,FALSE)</f>
        <v>COMPLETADO</v>
      </c>
      <c r="C560" s="11">
        <v>41</v>
      </c>
      <c r="D560" t="s">
        <v>33</v>
      </c>
      <c r="E560" t="s">
        <v>125</v>
      </c>
      <c r="F560" t="s">
        <v>126</v>
      </c>
      <c r="G560" s="9">
        <v>45814</v>
      </c>
      <c r="H560" t="s">
        <v>223</v>
      </c>
      <c r="I560" s="11">
        <v>6</v>
      </c>
      <c r="J560" t="str">
        <f>IF(I560="","",IFERROR(IF(INDEX([1]ListadoFichasDeProduccion!LQ:MB,MATCH(A560,[1]ListadoFichasDeProduccion!A:A,0),K560)=0,"",INDEX([1]ListadoFichasDeProduccion!LQ:MB,MATCH(A560,[1]ListadoFichasDeProduccion!A:A,0),K560)),""))</f>
        <v>LETRA A</v>
      </c>
      <c r="K560" s="11">
        <v>2</v>
      </c>
    </row>
    <row r="561" spans="1:11" hidden="1" x14ac:dyDescent="0.3">
      <c r="A561" s="11">
        <v>1833</v>
      </c>
      <c r="B561" s="8" t="str">
        <f>VLOOKUP(A561,[1]ListadoFichasDeProduccion!$A$2:$LP$3000,328,FALSE)</f>
        <v>COMPLETADO</v>
      </c>
      <c r="C561" s="11">
        <v>41</v>
      </c>
      <c r="D561" t="s">
        <v>33</v>
      </c>
      <c r="E561" t="s">
        <v>125</v>
      </c>
      <c r="F561" t="s">
        <v>126</v>
      </c>
      <c r="G561" s="9">
        <v>45814</v>
      </c>
      <c r="H561" t="s">
        <v>169</v>
      </c>
      <c r="I561" s="11">
        <v>4</v>
      </c>
      <c r="J561" t="str">
        <f>IF(I561="","",IFERROR(IF(INDEX([1]ListadoFichasDeProduccion!LQ:MB,MATCH(A561,[1]ListadoFichasDeProduccion!A:A,0),K561)=0,"",INDEX([1]ListadoFichasDeProduccion!LQ:MB,MATCH(A561,[1]ListadoFichasDeProduccion!A:A,0),K561)),""))</f>
        <v>LETRA B</v>
      </c>
      <c r="K561" s="11">
        <v>3</v>
      </c>
    </row>
    <row r="562" spans="1:11" hidden="1" x14ac:dyDescent="0.3">
      <c r="A562" s="11">
        <v>1833</v>
      </c>
      <c r="B562" s="8" t="str">
        <f>VLOOKUP(A562,[1]ListadoFichasDeProduccion!$A$2:$LP$3000,328,FALSE)</f>
        <v>COMPLETADO</v>
      </c>
      <c r="C562" s="11">
        <v>41</v>
      </c>
      <c r="D562" t="s">
        <v>33</v>
      </c>
      <c r="E562" t="s">
        <v>125</v>
      </c>
      <c r="F562" t="s">
        <v>126</v>
      </c>
      <c r="G562" s="9">
        <v>45814</v>
      </c>
      <c r="H562" t="s">
        <v>127</v>
      </c>
      <c r="I562" s="11">
        <v>6</v>
      </c>
      <c r="J562" t="str">
        <f>IF(I562="","",IFERROR(IF(INDEX([1]ListadoFichasDeProduccion!LQ:MB,MATCH(A562,[1]ListadoFichasDeProduccion!A:A,0),K562)=0,"",INDEX([1]ListadoFichasDeProduccion!LQ:MB,MATCH(A562,[1]ListadoFichasDeProduccion!A:A,0),K562)),""))</f>
        <v>LETRA D</v>
      </c>
      <c r="K562" s="11">
        <v>4</v>
      </c>
    </row>
    <row r="563" spans="1:11" hidden="1" x14ac:dyDescent="0.3">
      <c r="A563" s="11">
        <v>1833</v>
      </c>
      <c r="B563" s="8" t="str">
        <f>VLOOKUP(A563,[1]ListadoFichasDeProduccion!$A$2:$LP$3000,328,FALSE)</f>
        <v>COMPLETADO</v>
      </c>
      <c r="C563" s="11">
        <v>41</v>
      </c>
      <c r="D563" t="s">
        <v>33</v>
      </c>
      <c r="E563" t="s">
        <v>125</v>
      </c>
      <c r="F563" t="s">
        <v>126</v>
      </c>
      <c r="G563" s="9">
        <v>45814</v>
      </c>
      <c r="H563" t="s">
        <v>169</v>
      </c>
      <c r="I563" s="11">
        <v>2</v>
      </c>
      <c r="J563" t="str">
        <f>IF(I563="","",IFERROR(IF(INDEX([1]ListadoFichasDeProduccion!LQ:MB,MATCH(A563,[1]ListadoFichasDeProduccion!A:A,0),K563)=0,"",INDEX([1]ListadoFichasDeProduccion!LQ:MB,MATCH(A563,[1]ListadoFichasDeProduccion!A:A,0),K563)),""))</f>
        <v>LETRA D</v>
      </c>
      <c r="K563" s="11">
        <v>5</v>
      </c>
    </row>
    <row r="564" spans="1:11" hidden="1" x14ac:dyDescent="0.3">
      <c r="A564" s="11">
        <v>1833</v>
      </c>
      <c r="B564" s="8" t="str">
        <f>VLOOKUP(A564,[1]ListadoFichasDeProduccion!$A$2:$LP$3000,328,FALSE)</f>
        <v>COMPLETADO</v>
      </c>
      <c r="C564" s="11">
        <v>41</v>
      </c>
      <c r="D564" t="s">
        <v>33</v>
      </c>
      <c r="E564" t="s">
        <v>125</v>
      </c>
      <c r="F564" t="s">
        <v>126</v>
      </c>
      <c r="G564" s="9">
        <v>45814</v>
      </c>
      <c r="H564" t="s">
        <v>224</v>
      </c>
      <c r="I564" s="11">
        <v>6</v>
      </c>
      <c r="J564" t="str">
        <f>IF(I564="","",IFERROR(IF(INDEX([1]ListadoFichasDeProduccion!LQ:MB,MATCH(A564,[1]ListadoFichasDeProduccion!A:A,0),K564)=0,"",INDEX([1]ListadoFichasDeProduccion!LQ:MB,MATCH(A564,[1]ListadoFichasDeProduccion!A:A,0),K564)),""))</f>
        <v>LETRA C</v>
      </c>
      <c r="K564" s="11">
        <v>6</v>
      </c>
    </row>
    <row r="565" spans="1:11" hidden="1" x14ac:dyDescent="0.3">
      <c r="A565" s="11">
        <v>1833</v>
      </c>
      <c r="B565" s="8" t="str">
        <f>VLOOKUP(A565,[1]ListadoFichasDeProduccion!$A$2:$LP$3000,328,FALSE)</f>
        <v>COMPLETADO</v>
      </c>
      <c r="C565" s="11">
        <v>41</v>
      </c>
      <c r="D565" t="s">
        <v>33</v>
      </c>
      <c r="E565" t="s">
        <v>125</v>
      </c>
      <c r="F565" t="s">
        <v>126</v>
      </c>
      <c r="G565" s="9">
        <v>45814</v>
      </c>
      <c r="H565" t="s">
        <v>224</v>
      </c>
      <c r="I565" s="11">
        <v>2</v>
      </c>
      <c r="J565" t="str">
        <f>IF(I565="","",IFERROR(IF(INDEX([1]ListadoFichasDeProduccion!LQ:MB,MATCH(A565,[1]ListadoFichasDeProduccion!A:A,0),K565)=0,"",INDEX([1]ListadoFichasDeProduccion!LQ:MB,MATCH(A565,[1]ListadoFichasDeProduccion!A:A,0),K565)),""))</f>
        <v>LETRA H</v>
      </c>
      <c r="K565" s="11">
        <v>7</v>
      </c>
    </row>
    <row r="566" spans="1:11" hidden="1" x14ac:dyDescent="0.3">
      <c r="A566" s="11">
        <v>1833</v>
      </c>
      <c r="B566" s="8" t="str">
        <f>VLOOKUP(A566,[1]ListadoFichasDeProduccion!$A$2:$LP$3000,328,FALSE)</f>
        <v>COMPLETADO</v>
      </c>
      <c r="C566" s="11">
        <v>41</v>
      </c>
      <c r="D566" t="s">
        <v>33</v>
      </c>
      <c r="E566" t="s">
        <v>125</v>
      </c>
      <c r="F566" t="s">
        <v>126</v>
      </c>
      <c r="G566" s="9">
        <v>45814</v>
      </c>
      <c r="H566" t="s">
        <v>225</v>
      </c>
      <c r="I566" s="11">
        <v>6</v>
      </c>
      <c r="J566" t="str">
        <f>IF(I566="","",IFERROR(IF(INDEX([1]ListadoFichasDeProduccion!LQ:MB,MATCH(A566,[1]ListadoFichasDeProduccion!A:A,0),K566)=0,"",INDEX([1]ListadoFichasDeProduccion!LQ:MB,MATCH(A566,[1]ListadoFichasDeProduccion!A:A,0),K566)),""))</f>
        <v>LETRA M</v>
      </c>
      <c r="K566" s="11">
        <v>8</v>
      </c>
    </row>
    <row r="567" spans="1:11" hidden="1" x14ac:dyDescent="0.3">
      <c r="A567" s="11">
        <v>1833</v>
      </c>
      <c r="B567" s="8" t="str">
        <f>VLOOKUP(A567,[1]ListadoFichasDeProduccion!$A$2:$LP$3000,328,FALSE)</f>
        <v>COMPLETADO</v>
      </c>
      <c r="C567" s="11">
        <v>41</v>
      </c>
      <c r="D567" t="s">
        <v>33</v>
      </c>
      <c r="E567" t="s">
        <v>125</v>
      </c>
      <c r="F567" t="s">
        <v>126</v>
      </c>
      <c r="G567" s="9">
        <v>45814</v>
      </c>
      <c r="H567" t="s">
        <v>224</v>
      </c>
      <c r="I567" s="11">
        <v>3</v>
      </c>
      <c r="J567" t="str">
        <f>IF(I567="","",IFERROR(IF(INDEX([1]ListadoFichasDeProduccion!LQ:MB,MATCH(A567,[1]ListadoFichasDeProduccion!A:A,0),K567)=0,"",INDEX([1]ListadoFichasDeProduccion!LQ:MB,MATCH(A567,[1]ListadoFichasDeProduccion!A:A,0),K567)),""))</f>
        <v>LETRA N</v>
      </c>
      <c r="K567" s="11">
        <v>9</v>
      </c>
    </row>
    <row r="568" spans="1:11" hidden="1" x14ac:dyDescent="0.3">
      <c r="A568" s="11">
        <v>18332</v>
      </c>
      <c r="B568" s="8" t="str">
        <f>VLOOKUP(A568,[1]ListadoFichasDeProduccion!$A$2:$LP$3000,328,FALSE)</f>
        <v>COMPLETADO</v>
      </c>
      <c r="C568" s="11">
        <v>39</v>
      </c>
      <c r="D568" t="s">
        <v>33</v>
      </c>
      <c r="E568" t="s">
        <v>125</v>
      </c>
      <c r="F568" t="s">
        <v>126</v>
      </c>
      <c r="G568" s="9">
        <v>45814</v>
      </c>
      <c r="H568" t="s">
        <v>127</v>
      </c>
      <c r="I568" s="11">
        <v>6</v>
      </c>
      <c r="J568" t="str">
        <f>IF(I568="","",IFERROR(IF(INDEX([1]ListadoFichasDeProduccion!LQ:MB,MATCH(A568,[1]ListadoFichasDeProduccion!A:A,0),K568)=0,"",INDEX([1]ListadoFichasDeProduccion!LQ:MB,MATCH(A568,[1]ListadoFichasDeProduccion!A:A,0),K568)),""))</f>
        <v>LETRA P</v>
      </c>
      <c r="K568" s="11">
        <v>1</v>
      </c>
    </row>
    <row r="569" spans="1:11" hidden="1" x14ac:dyDescent="0.3">
      <c r="A569" s="11">
        <v>18332</v>
      </c>
      <c r="B569" s="8" t="str">
        <f>VLOOKUP(A569,[1]ListadoFichasDeProduccion!$A$2:$LP$3000,328,FALSE)</f>
        <v>COMPLETADO</v>
      </c>
      <c r="C569" s="11">
        <v>39</v>
      </c>
      <c r="D569" t="s">
        <v>33</v>
      </c>
      <c r="E569" t="s">
        <v>125</v>
      </c>
      <c r="F569" t="s">
        <v>126</v>
      </c>
      <c r="G569" s="9">
        <v>45814</v>
      </c>
      <c r="H569" t="s">
        <v>223</v>
      </c>
      <c r="I569" s="11">
        <v>2</v>
      </c>
      <c r="J569" t="str">
        <f>IF(I569="","",IFERROR(IF(INDEX([1]ListadoFichasDeProduccion!LQ:MB,MATCH(A569,[1]ListadoFichasDeProduccion!A:A,0),K569)=0,"",INDEX([1]ListadoFichasDeProduccion!LQ:MB,MATCH(A569,[1]ListadoFichasDeProduccion!A:A,0),K569)),""))</f>
        <v>LETRA R</v>
      </c>
      <c r="K569" s="11">
        <v>2</v>
      </c>
    </row>
    <row r="570" spans="1:11" hidden="1" x14ac:dyDescent="0.3">
      <c r="A570" s="11">
        <v>18332</v>
      </c>
      <c r="B570" s="8" t="str">
        <f>VLOOKUP(A570,[1]ListadoFichasDeProduccion!$A$2:$LP$3000,328,FALSE)</f>
        <v>COMPLETADO</v>
      </c>
      <c r="C570" s="11">
        <v>39</v>
      </c>
      <c r="D570" t="s">
        <v>33</v>
      </c>
      <c r="E570" t="s">
        <v>125</v>
      </c>
      <c r="F570" t="s">
        <v>126</v>
      </c>
      <c r="G570" s="9">
        <v>45814</v>
      </c>
      <c r="H570" t="s">
        <v>129</v>
      </c>
      <c r="I570" s="11">
        <v>2</v>
      </c>
      <c r="J570" t="str">
        <f>IF(I570="","",IFERROR(IF(INDEX([1]ListadoFichasDeProduccion!LQ:MB,MATCH(A570,[1]ListadoFichasDeProduccion!A:A,0),K570)=0,"",INDEX([1]ListadoFichasDeProduccion!LQ:MB,MATCH(A570,[1]ListadoFichasDeProduccion!A:A,0),K570)),""))</f>
        <v>LETRA T</v>
      </c>
      <c r="K570" s="11">
        <v>3</v>
      </c>
    </row>
    <row r="571" spans="1:11" hidden="1" x14ac:dyDescent="0.3">
      <c r="A571" s="11">
        <v>18332</v>
      </c>
      <c r="B571" s="8" t="str">
        <f>VLOOKUP(A571,[1]ListadoFichasDeProduccion!$A$2:$LP$3000,328,FALSE)</f>
        <v>COMPLETADO</v>
      </c>
      <c r="C571" s="11">
        <v>39</v>
      </c>
      <c r="D571" t="s">
        <v>33</v>
      </c>
      <c r="E571" t="s">
        <v>125</v>
      </c>
      <c r="F571" t="s">
        <v>126</v>
      </c>
      <c r="G571" s="9">
        <v>45814</v>
      </c>
      <c r="H571" t="s">
        <v>223</v>
      </c>
      <c r="I571" s="11">
        <v>3</v>
      </c>
      <c r="J571" t="str">
        <f>IF(I571="","",IFERROR(IF(INDEX([1]ListadoFichasDeProduccion!LQ:MB,MATCH(A571,[1]ListadoFichasDeProduccion!A:A,0),K571)=0,"",INDEX([1]ListadoFichasDeProduccion!LQ:MB,MATCH(A571,[1]ListadoFichasDeProduccion!A:A,0),K571)),""))</f>
        <v>LETRA V</v>
      </c>
      <c r="K571" s="11">
        <v>4</v>
      </c>
    </row>
    <row r="572" spans="1:11" hidden="1" x14ac:dyDescent="0.3">
      <c r="A572" s="11">
        <v>18332</v>
      </c>
      <c r="B572" s="8" t="str">
        <f>VLOOKUP(A572,[1]ListadoFichasDeProduccion!$A$2:$LP$3000,328,FALSE)</f>
        <v>COMPLETADO</v>
      </c>
      <c r="C572" s="11">
        <v>39</v>
      </c>
      <c r="D572" t="s">
        <v>33</v>
      </c>
      <c r="E572" t="s">
        <v>125</v>
      </c>
      <c r="F572" t="s">
        <v>126</v>
      </c>
      <c r="G572" s="9">
        <v>45814</v>
      </c>
      <c r="H572" t="s">
        <v>169</v>
      </c>
      <c r="I572" s="11">
        <v>4</v>
      </c>
      <c r="J572" t="str">
        <f>IF(I572="","",IFERROR(IF(INDEX([1]ListadoFichasDeProduccion!LQ:MB,MATCH(A572,[1]ListadoFichasDeProduccion!A:A,0),K572)=0,"",INDEX([1]ListadoFichasDeProduccion!LQ:MB,MATCH(A572,[1]ListadoFichasDeProduccion!A:A,0),K572)),""))</f>
        <v>LETRA G</v>
      </c>
      <c r="K572" s="11">
        <v>5</v>
      </c>
    </row>
    <row r="573" spans="1:11" hidden="1" x14ac:dyDescent="0.3">
      <c r="A573" s="11">
        <v>18332</v>
      </c>
      <c r="B573" s="8" t="str">
        <f>VLOOKUP(A573,[1]ListadoFichasDeProduccion!$A$2:$LP$3000,328,FALSE)</f>
        <v>COMPLETADO</v>
      </c>
      <c r="C573" s="11">
        <v>39</v>
      </c>
      <c r="D573" t="s">
        <v>33</v>
      </c>
      <c r="E573" t="s">
        <v>125</v>
      </c>
      <c r="F573" t="s">
        <v>126</v>
      </c>
      <c r="G573" s="9">
        <v>45814</v>
      </c>
      <c r="H573" t="s">
        <v>224</v>
      </c>
      <c r="I573" s="11">
        <v>3</v>
      </c>
      <c r="J573" t="str">
        <f>IF(I573="","",IFERROR(IF(INDEX([1]ListadoFichasDeProduccion!LQ:MB,MATCH(A573,[1]ListadoFichasDeProduccion!A:A,0),K573)=0,"",INDEX([1]ListadoFichasDeProduccion!LQ:MB,MATCH(A573,[1]ListadoFichasDeProduccion!A:A,0),K573)),""))</f>
        <v>LETRA G</v>
      </c>
      <c r="K573" s="11">
        <v>6</v>
      </c>
    </row>
    <row r="574" spans="1:11" hidden="1" x14ac:dyDescent="0.3">
      <c r="A574" s="11">
        <v>18332</v>
      </c>
      <c r="B574" s="8" t="str">
        <f>VLOOKUP(A574,[1]ListadoFichasDeProduccion!$A$2:$LP$3000,328,FALSE)</f>
        <v>COMPLETADO</v>
      </c>
      <c r="C574" s="11">
        <v>39</v>
      </c>
      <c r="D574" t="s">
        <v>33</v>
      </c>
      <c r="E574" t="s">
        <v>125</v>
      </c>
      <c r="F574" t="s">
        <v>126</v>
      </c>
      <c r="G574" s="9">
        <v>45814</v>
      </c>
      <c r="H574" t="s">
        <v>171</v>
      </c>
      <c r="I574" s="11">
        <v>6</v>
      </c>
      <c r="J574" t="str">
        <f>IF(I574="","",IFERROR(IF(INDEX([1]ListadoFichasDeProduccion!LQ:MB,MATCH(A574,[1]ListadoFichasDeProduccion!A:A,0),K574)=0,"",INDEX([1]ListadoFichasDeProduccion!LQ:MB,MATCH(A574,[1]ListadoFichasDeProduccion!A:A,0),K574)),""))</f>
        <v>LETRA G</v>
      </c>
      <c r="K574" s="11">
        <v>7</v>
      </c>
    </row>
    <row r="575" spans="1:11" hidden="1" x14ac:dyDescent="0.3">
      <c r="A575" s="11">
        <v>18332</v>
      </c>
      <c r="B575" s="8" t="str">
        <f>VLOOKUP(A575,[1]ListadoFichasDeProduccion!$A$2:$LP$3000,328,FALSE)</f>
        <v>COMPLETADO</v>
      </c>
      <c r="C575" s="11">
        <v>39</v>
      </c>
      <c r="D575" t="s">
        <v>33</v>
      </c>
      <c r="E575" t="s">
        <v>125</v>
      </c>
      <c r="F575" t="s">
        <v>126</v>
      </c>
      <c r="G575" s="9">
        <v>45814</v>
      </c>
      <c r="H575" t="s">
        <v>170</v>
      </c>
      <c r="I575" s="11">
        <v>6</v>
      </c>
      <c r="J575" t="str">
        <f>IF(I575="","",IFERROR(IF(INDEX([1]ListadoFichasDeProduccion!LQ:MB,MATCH(A575,[1]ListadoFichasDeProduccion!A:A,0),K575)=0,"",INDEX([1]ListadoFichasDeProduccion!LQ:MB,MATCH(A575,[1]ListadoFichasDeProduccion!A:A,0),K575)),""))</f>
        <v>LETRA J</v>
      </c>
      <c r="K575" s="11">
        <v>8</v>
      </c>
    </row>
    <row r="576" spans="1:11" hidden="1" x14ac:dyDescent="0.3">
      <c r="A576" s="11">
        <v>18332</v>
      </c>
      <c r="B576" s="8" t="str">
        <f>VLOOKUP(A576,[1]ListadoFichasDeProduccion!$A$2:$LP$3000,328,FALSE)</f>
        <v>COMPLETADO</v>
      </c>
      <c r="C576" s="11">
        <v>39</v>
      </c>
      <c r="D576" t="s">
        <v>33</v>
      </c>
      <c r="E576" t="s">
        <v>125</v>
      </c>
      <c r="F576" t="s">
        <v>126</v>
      </c>
      <c r="G576" s="9">
        <v>45814</v>
      </c>
      <c r="H576" t="s">
        <v>224</v>
      </c>
      <c r="I576" s="11">
        <v>3</v>
      </c>
      <c r="J576" t="str">
        <f>IF(I576="","",IFERROR(IF(INDEX([1]ListadoFichasDeProduccion!LQ:MB,MATCH(A576,[1]ListadoFichasDeProduccion!A:A,0),K576)=0,"",INDEX([1]ListadoFichasDeProduccion!LQ:MB,MATCH(A576,[1]ListadoFichasDeProduccion!A:A,0),K576)),""))</f>
        <v>LETRA J</v>
      </c>
      <c r="K576" s="11">
        <v>9</v>
      </c>
    </row>
    <row r="577" spans="1:11" hidden="1" x14ac:dyDescent="0.3">
      <c r="A577" s="11">
        <v>18332</v>
      </c>
      <c r="B577" s="8" t="str">
        <f>VLOOKUP(A577,[1]ListadoFichasDeProduccion!$A$2:$LP$3000,328,FALSE)</f>
        <v>COMPLETADO</v>
      </c>
      <c r="C577" s="11">
        <v>39</v>
      </c>
      <c r="D577" t="s">
        <v>33</v>
      </c>
      <c r="E577" t="s">
        <v>125</v>
      </c>
      <c r="F577" t="s">
        <v>126</v>
      </c>
      <c r="G577" s="9">
        <v>45814</v>
      </c>
      <c r="H577" t="s">
        <v>171</v>
      </c>
      <c r="I577" s="11">
        <v>4</v>
      </c>
      <c r="J577" t="str">
        <f>IF(I577="","",IFERROR(IF(INDEX([1]ListadoFichasDeProduccion!LQ:MB,MATCH(A577,[1]ListadoFichasDeProduccion!A:A,0),K577)=0,"",INDEX([1]ListadoFichasDeProduccion!LQ:MB,MATCH(A577,[1]ListadoFichasDeProduccion!A:A,0),K577)),""))</f>
        <v>LETRA J</v>
      </c>
      <c r="K577" s="11">
        <v>10</v>
      </c>
    </row>
    <row r="578" spans="1:11" hidden="1" x14ac:dyDescent="0.3">
      <c r="A578" s="11" t="s">
        <v>325</v>
      </c>
      <c r="B578" t="str">
        <f>VLOOKUP(A578,[1]ListadoFichasDeProduccion!$A$2:$LP$3000,328,FALSE)</f>
        <v>COMPLETADO</v>
      </c>
      <c r="C578" s="11">
        <v>101</v>
      </c>
      <c r="D578" t="s">
        <v>33</v>
      </c>
      <c r="E578" t="s">
        <v>125</v>
      </c>
      <c r="F578" t="s">
        <v>126</v>
      </c>
      <c r="G578" s="9">
        <v>45916</v>
      </c>
      <c r="H578" t="s">
        <v>127</v>
      </c>
      <c r="I578" s="11">
        <v>14</v>
      </c>
      <c r="J578" t="str">
        <f>IF(I578="","",IFERROR(IF(INDEX([1]ListadoFichasDeProduccion!LQ:MB,MATCH(A578,[1]ListadoFichasDeProduccion!A:A,0),K578)=0,"",INDEX([1]ListadoFichasDeProduccion!LQ:MB,MATCH(A578,[1]ListadoFichasDeProduccion!A:A,0),K578)),""))</f>
        <v>LETRA A</v>
      </c>
      <c r="K578" s="11">
        <v>1</v>
      </c>
    </row>
    <row r="579" spans="1:11" hidden="1" x14ac:dyDescent="0.3">
      <c r="A579" s="11" t="s">
        <v>325</v>
      </c>
      <c r="B579" t="str">
        <f>VLOOKUP(A579,[1]ListadoFichasDeProduccion!$A$2:$LP$3000,328,FALSE)</f>
        <v>COMPLETADO</v>
      </c>
      <c r="C579" s="11">
        <v>101</v>
      </c>
      <c r="D579" t="s">
        <v>33</v>
      </c>
      <c r="E579" t="s">
        <v>125</v>
      </c>
      <c r="F579" t="s">
        <v>126</v>
      </c>
      <c r="G579" s="9">
        <v>45916</v>
      </c>
      <c r="H579" t="s">
        <v>223</v>
      </c>
      <c r="I579" s="11">
        <v>12</v>
      </c>
      <c r="J579" t="str">
        <f>IF(I579="","",IFERROR(IF(INDEX([1]ListadoFichasDeProduccion!LQ:MB,MATCH(A579,[1]ListadoFichasDeProduccion!A:A,0),K579)=0,"",INDEX([1]ListadoFichasDeProduccion!LQ:MB,MATCH(A579,[1]ListadoFichasDeProduccion!A:A,0),K579)),""))</f>
        <v>LETRA A</v>
      </c>
      <c r="K579" s="11">
        <v>2</v>
      </c>
    </row>
    <row r="580" spans="1:11" hidden="1" x14ac:dyDescent="0.3">
      <c r="A580" s="11" t="s">
        <v>325</v>
      </c>
      <c r="B580" t="str">
        <f>VLOOKUP(A580,[1]ListadoFichasDeProduccion!$A$2:$LP$3000,328,FALSE)</f>
        <v>COMPLETADO</v>
      </c>
      <c r="C580" s="11">
        <v>101</v>
      </c>
      <c r="D580" t="s">
        <v>33</v>
      </c>
      <c r="E580" t="s">
        <v>125</v>
      </c>
      <c r="F580" t="s">
        <v>126</v>
      </c>
      <c r="G580" s="9">
        <v>45916</v>
      </c>
      <c r="H580" t="s">
        <v>169</v>
      </c>
      <c r="I580" s="11">
        <v>12</v>
      </c>
      <c r="J580" t="str">
        <f>IF(I580="","",IFERROR(IF(INDEX([1]ListadoFichasDeProduccion!LQ:MB,MATCH(A580,[1]ListadoFichasDeProduccion!A:A,0),K580)=0,"",INDEX([1]ListadoFichasDeProduccion!LQ:MB,MATCH(A580,[1]ListadoFichasDeProduccion!A:A,0),K580)),""))</f>
        <v>LETRA A</v>
      </c>
      <c r="K580" s="11">
        <v>3</v>
      </c>
    </row>
    <row r="581" spans="1:11" hidden="1" x14ac:dyDescent="0.3">
      <c r="A581" s="11" t="s">
        <v>325</v>
      </c>
      <c r="B581" t="str">
        <f>VLOOKUP(A581,[1]ListadoFichasDeProduccion!$A$2:$LP$3000,328,FALSE)</f>
        <v>COMPLETADO</v>
      </c>
      <c r="C581" s="11">
        <v>101</v>
      </c>
      <c r="D581" t="s">
        <v>33</v>
      </c>
      <c r="E581" t="s">
        <v>125</v>
      </c>
      <c r="F581" t="s">
        <v>126</v>
      </c>
      <c r="G581" s="9">
        <v>45916</v>
      </c>
      <c r="H581" t="s">
        <v>127</v>
      </c>
      <c r="I581" s="11">
        <v>12</v>
      </c>
      <c r="J581" t="str">
        <f>IF(I581="","",IFERROR(IF(INDEX([1]ListadoFichasDeProduccion!LQ:MB,MATCH(A581,[1]ListadoFichasDeProduccion!A:A,0),K581)=0,"",INDEX([1]ListadoFichasDeProduccion!LQ:MB,MATCH(A581,[1]ListadoFichasDeProduccion!A:A,0),K581)),""))</f>
        <v>LETRA B</v>
      </c>
      <c r="K581" s="11">
        <v>4</v>
      </c>
    </row>
    <row r="582" spans="1:11" hidden="1" x14ac:dyDescent="0.3">
      <c r="A582" s="11" t="s">
        <v>325</v>
      </c>
      <c r="B582" t="str">
        <f>VLOOKUP(A582,[1]ListadoFichasDeProduccion!$A$2:$LP$3000,328,FALSE)</f>
        <v>COMPLETADO</v>
      </c>
      <c r="C582" s="11">
        <v>101</v>
      </c>
      <c r="D582" t="s">
        <v>33</v>
      </c>
      <c r="E582" t="s">
        <v>125</v>
      </c>
      <c r="F582" t="s">
        <v>126</v>
      </c>
      <c r="G582" s="9">
        <v>45916</v>
      </c>
      <c r="H582" t="s">
        <v>223</v>
      </c>
      <c r="I582" s="11">
        <v>6</v>
      </c>
      <c r="J582" t="str">
        <f>IF(I582="","",IFERROR(IF(INDEX([1]ListadoFichasDeProduccion!LQ:MB,MATCH(A582,[1]ListadoFichasDeProduccion!A:A,0),K582)=0,"",INDEX([1]ListadoFichasDeProduccion!LQ:MB,MATCH(A582,[1]ListadoFichasDeProduccion!A:A,0),K582)),""))</f>
        <v>LETRA B</v>
      </c>
      <c r="K582" s="11">
        <v>5</v>
      </c>
    </row>
    <row r="583" spans="1:11" hidden="1" x14ac:dyDescent="0.3">
      <c r="A583" s="11" t="s">
        <v>325</v>
      </c>
      <c r="B583" t="str">
        <f>VLOOKUP(A583,[1]ListadoFichasDeProduccion!$A$2:$LP$3000,328,FALSE)</f>
        <v>COMPLETADO</v>
      </c>
      <c r="C583" s="11">
        <v>101</v>
      </c>
      <c r="D583" t="s">
        <v>33</v>
      </c>
      <c r="E583" t="s">
        <v>125</v>
      </c>
      <c r="F583" t="s">
        <v>126</v>
      </c>
      <c r="G583" s="9">
        <v>45916</v>
      </c>
      <c r="H583" t="s">
        <v>172</v>
      </c>
      <c r="I583" s="11">
        <v>12</v>
      </c>
      <c r="J583" t="str">
        <f>IF(I583="","",IFERROR(IF(INDEX([1]ListadoFichasDeProduccion!LQ:MB,MATCH(A583,[1]ListadoFichasDeProduccion!A:A,0),K583)=0,"",INDEX([1]ListadoFichasDeProduccion!LQ:MB,MATCH(A583,[1]ListadoFichasDeProduccion!A:A,0),K583)),""))</f>
        <v>LETRA B</v>
      </c>
      <c r="K583" s="11">
        <v>6</v>
      </c>
    </row>
    <row r="584" spans="1:11" hidden="1" x14ac:dyDescent="0.3">
      <c r="A584" s="11" t="s">
        <v>325</v>
      </c>
      <c r="B584" t="str">
        <f>VLOOKUP(A584,[1]ListadoFichasDeProduccion!$A$2:$LP$3000,328,FALSE)</f>
        <v>COMPLETADO</v>
      </c>
      <c r="C584" s="11">
        <v>101</v>
      </c>
      <c r="D584" t="s">
        <v>33</v>
      </c>
      <c r="E584" t="s">
        <v>125</v>
      </c>
      <c r="F584" t="s">
        <v>126</v>
      </c>
      <c r="G584" s="9">
        <v>45916</v>
      </c>
      <c r="H584" t="s">
        <v>172</v>
      </c>
      <c r="I584" s="11">
        <v>9</v>
      </c>
      <c r="J584" t="str">
        <f>IF(I584="","",IFERROR(IF(INDEX([1]ListadoFichasDeProduccion!LQ:MB,MATCH(A584,[1]ListadoFichasDeProduccion!A:A,0),K584)=0,"",INDEX([1]ListadoFichasDeProduccion!LQ:MB,MATCH(A584,[1]ListadoFichasDeProduccion!A:A,0),K584)),""))</f>
        <v>LETRA C</v>
      </c>
      <c r="K584" s="11">
        <v>7</v>
      </c>
    </row>
    <row r="585" spans="1:11" hidden="1" x14ac:dyDescent="0.3">
      <c r="A585" s="11" t="s">
        <v>325</v>
      </c>
      <c r="B585" t="str">
        <f>VLOOKUP(A585,[1]ListadoFichasDeProduccion!$A$2:$LP$3000,328,FALSE)</f>
        <v>COMPLETADO</v>
      </c>
      <c r="C585" s="11">
        <v>101</v>
      </c>
      <c r="D585" t="s">
        <v>33</v>
      </c>
      <c r="E585" t="s">
        <v>125</v>
      </c>
      <c r="F585" t="s">
        <v>126</v>
      </c>
      <c r="G585" s="9">
        <v>45916</v>
      </c>
      <c r="H585" t="s">
        <v>224</v>
      </c>
      <c r="I585" s="11">
        <v>9</v>
      </c>
      <c r="J585" t="str">
        <f>IF(I585="","",IFERROR(IF(INDEX([1]ListadoFichasDeProduccion!LQ:MB,MATCH(A585,[1]ListadoFichasDeProduccion!A:A,0),K585)=0,"",INDEX([1]ListadoFichasDeProduccion!LQ:MB,MATCH(A585,[1]ListadoFichasDeProduccion!A:A,0),K585)),""))</f>
        <v>LETRA D</v>
      </c>
      <c r="K585" s="11">
        <v>8</v>
      </c>
    </row>
    <row r="586" spans="1:11" hidden="1" x14ac:dyDescent="0.3">
      <c r="A586" s="11" t="s">
        <v>325</v>
      </c>
      <c r="B586" t="str">
        <f>VLOOKUP(A586,[1]ListadoFichasDeProduccion!$A$2:$LP$3000,328,FALSE)</f>
        <v>COMPLETADO</v>
      </c>
      <c r="C586" s="11">
        <v>101</v>
      </c>
      <c r="D586" t="s">
        <v>33</v>
      </c>
      <c r="E586" t="s">
        <v>125</v>
      </c>
      <c r="F586" t="s">
        <v>126</v>
      </c>
      <c r="G586" s="9">
        <v>45916</v>
      </c>
      <c r="H586" t="s">
        <v>172</v>
      </c>
      <c r="I586" s="11">
        <v>9</v>
      </c>
      <c r="J586" t="str">
        <f>IF(I586="","",IFERROR(IF(INDEX([1]ListadoFichasDeProduccion!LQ:MB,MATCH(A586,[1]ListadoFichasDeProduccion!A:A,0),K586)=0,"",INDEX([1]ListadoFichasDeProduccion!LQ:MB,MATCH(A586,[1]ListadoFichasDeProduccion!A:A,0),K586)),""))</f>
        <v>LETRA D</v>
      </c>
      <c r="K586" s="11">
        <v>9</v>
      </c>
    </row>
    <row r="587" spans="1:11" hidden="1" x14ac:dyDescent="0.3">
      <c r="A587" s="11" t="s">
        <v>325</v>
      </c>
      <c r="B587" t="str">
        <f>VLOOKUP(A587,[1]ListadoFichasDeProduccion!$A$2:$LP$3000,328,FALSE)</f>
        <v>COMPLETADO</v>
      </c>
      <c r="C587" s="11">
        <v>101</v>
      </c>
      <c r="D587" t="s">
        <v>33</v>
      </c>
      <c r="E587" t="s">
        <v>125</v>
      </c>
      <c r="F587" t="s">
        <v>126</v>
      </c>
      <c r="G587" s="9">
        <v>45916</v>
      </c>
      <c r="H587" t="s">
        <v>172</v>
      </c>
      <c r="I587" s="11">
        <v>6</v>
      </c>
      <c r="J587" t="str">
        <f>IF(I587="","",IFERROR(IF(INDEX([1]ListadoFichasDeProduccion!LQ:MB,MATCH(A587,[1]ListadoFichasDeProduccion!A:A,0),K587)=0,"",INDEX([1]ListadoFichasDeProduccion!LQ:MB,MATCH(A587,[1]ListadoFichasDeProduccion!A:A,0),K587)),""))</f>
        <v>LETRA F</v>
      </c>
      <c r="K587" s="11">
        <v>10</v>
      </c>
    </row>
    <row r="588" spans="1:11" hidden="1" x14ac:dyDescent="0.3">
      <c r="A588" s="11" t="s">
        <v>326</v>
      </c>
      <c r="B588" t="str">
        <f>VLOOKUP(A588,[1]ListadoFichasDeProduccion!$A$2:$LP$3000,328,FALSE)</f>
        <v>COMPLETADO</v>
      </c>
      <c r="C588" s="11">
        <v>49</v>
      </c>
      <c r="D588" t="s">
        <v>33</v>
      </c>
      <c r="E588" t="s">
        <v>125</v>
      </c>
      <c r="F588" t="s">
        <v>126</v>
      </c>
      <c r="G588" s="9">
        <v>45916</v>
      </c>
      <c r="H588" t="s">
        <v>127</v>
      </c>
      <c r="I588" s="11">
        <v>6</v>
      </c>
      <c r="J588" t="str">
        <f>IF(I588="","",IFERROR(IF(INDEX([1]ListadoFichasDeProduccion!LQ:MB,MATCH(A588,[1]ListadoFichasDeProduccion!A:A,0),K588)=0,"",INDEX([1]ListadoFichasDeProduccion!LQ:MB,MATCH(A588,[1]ListadoFichasDeProduccion!A:A,0),K588)),""))</f>
        <v>LETRA H</v>
      </c>
      <c r="K588" s="11">
        <v>1</v>
      </c>
    </row>
    <row r="589" spans="1:11" hidden="1" x14ac:dyDescent="0.3">
      <c r="A589" s="11" t="s">
        <v>326</v>
      </c>
      <c r="B589" t="str">
        <f>VLOOKUP(A589,[1]ListadoFichasDeProduccion!$A$2:$LP$3000,328,FALSE)</f>
        <v>COMPLETADO</v>
      </c>
      <c r="C589" s="11">
        <v>49</v>
      </c>
      <c r="D589" t="s">
        <v>33</v>
      </c>
      <c r="E589" t="s">
        <v>125</v>
      </c>
      <c r="F589" t="s">
        <v>126</v>
      </c>
      <c r="G589" s="9">
        <v>45916</v>
      </c>
      <c r="H589" t="s">
        <v>327</v>
      </c>
      <c r="I589" s="11">
        <v>4</v>
      </c>
      <c r="J589" t="str">
        <f>IF(I589="","",IFERROR(IF(INDEX([1]ListadoFichasDeProduccion!LQ:MB,MATCH(A589,[1]ListadoFichasDeProduccion!A:A,0),K589)=0,"",INDEX([1]ListadoFichasDeProduccion!LQ:MB,MATCH(A589,[1]ListadoFichasDeProduccion!A:A,0),K589)),""))</f>
        <v>LETRA J</v>
      </c>
      <c r="K589" s="11">
        <v>2</v>
      </c>
    </row>
    <row r="590" spans="1:11" hidden="1" x14ac:dyDescent="0.3">
      <c r="A590" s="11" t="s">
        <v>326</v>
      </c>
      <c r="B590" t="str">
        <f>VLOOKUP(A590,[1]ListadoFichasDeProduccion!$A$2:$LP$3000,328,FALSE)</f>
        <v>COMPLETADO</v>
      </c>
      <c r="C590" s="11">
        <v>49</v>
      </c>
      <c r="D590" t="s">
        <v>33</v>
      </c>
      <c r="E590" t="s">
        <v>125</v>
      </c>
      <c r="F590" t="s">
        <v>126</v>
      </c>
      <c r="G590" s="9">
        <v>45916</v>
      </c>
      <c r="H590" t="s">
        <v>169</v>
      </c>
      <c r="I590" s="11">
        <v>6</v>
      </c>
      <c r="J590" t="str">
        <f>IF(I590="","",IFERROR(IF(INDEX([1]ListadoFichasDeProduccion!LQ:MB,MATCH(A590,[1]ListadoFichasDeProduccion!A:A,0),K590)=0,"",INDEX([1]ListadoFichasDeProduccion!LQ:MB,MATCH(A590,[1]ListadoFichasDeProduccion!A:A,0),K590)),""))</f>
        <v>LETRA J</v>
      </c>
      <c r="K590" s="11">
        <v>3</v>
      </c>
    </row>
    <row r="591" spans="1:11" hidden="1" x14ac:dyDescent="0.3">
      <c r="A591" s="11" t="s">
        <v>326</v>
      </c>
      <c r="B591" t="str">
        <f>VLOOKUP(A591,[1]ListadoFichasDeProduccion!$A$2:$LP$3000,328,FALSE)</f>
        <v>COMPLETADO</v>
      </c>
      <c r="C591" s="11">
        <v>49</v>
      </c>
      <c r="D591" t="s">
        <v>33</v>
      </c>
      <c r="E591" t="s">
        <v>125</v>
      </c>
      <c r="F591" t="s">
        <v>126</v>
      </c>
      <c r="G591" s="9">
        <v>45916</v>
      </c>
      <c r="H591" t="s">
        <v>223</v>
      </c>
      <c r="I591" s="11">
        <v>6</v>
      </c>
      <c r="J591" t="str">
        <f>IF(I591="","",IFERROR(IF(INDEX([1]ListadoFichasDeProduccion!LQ:MB,MATCH(A591,[1]ListadoFichasDeProduccion!A:A,0),K591)=0,"",INDEX([1]ListadoFichasDeProduccion!LQ:MB,MATCH(A591,[1]ListadoFichasDeProduccion!A:A,0),K591)),""))</f>
        <v>LETRA L</v>
      </c>
      <c r="K591" s="11">
        <v>4</v>
      </c>
    </row>
    <row r="592" spans="1:11" hidden="1" x14ac:dyDescent="0.3">
      <c r="A592" s="11" t="s">
        <v>326</v>
      </c>
      <c r="B592" t="str">
        <f>VLOOKUP(A592,[1]ListadoFichasDeProduccion!$A$2:$LP$3000,328,FALSE)</f>
        <v>COMPLETADO</v>
      </c>
      <c r="C592" s="11">
        <v>49</v>
      </c>
      <c r="D592" t="s">
        <v>33</v>
      </c>
      <c r="E592" t="s">
        <v>125</v>
      </c>
      <c r="F592" t="s">
        <v>126</v>
      </c>
      <c r="G592" s="9">
        <v>45916</v>
      </c>
      <c r="H592" t="s">
        <v>328</v>
      </c>
      <c r="I592" s="11">
        <v>6</v>
      </c>
      <c r="J592" t="str">
        <f>IF(I592="","",IFERROR(IF(INDEX([1]ListadoFichasDeProduccion!LQ:MB,MATCH(A592,[1]ListadoFichasDeProduccion!A:A,0),K592)=0,"",INDEX([1]ListadoFichasDeProduccion!LQ:MB,MATCH(A592,[1]ListadoFichasDeProduccion!A:A,0),K592)),""))</f>
        <v>LETRA L</v>
      </c>
      <c r="K592" s="11">
        <v>5</v>
      </c>
    </row>
    <row r="593" spans="1:11" hidden="1" x14ac:dyDescent="0.3">
      <c r="A593" s="11" t="s">
        <v>326</v>
      </c>
      <c r="B593" t="str">
        <f>VLOOKUP(A593,[1]ListadoFichasDeProduccion!$A$2:$LP$3000,328,FALSE)</f>
        <v>COMPLETADO</v>
      </c>
      <c r="C593" s="11">
        <v>49</v>
      </c>
      <c r="D593" t="s">
        <v>33</v>
      </c>
      <c r="E593" t="s">
        <v>125</v>
      </c>
      <c r="F593" t="s">
        <v>126</v>
      </c>
      <c r="G593" s="9">
        <v>45916</v>
      </c>
      <c r="H593" t="s">
        <v>224</v>
      </c>
      <c r="I593" s="11">
        <v>9</v>
      </c>
      <c r="J593" t="str">
        <f>IF(I593="","",IFERROR(IF(INDEX([1]ListadoFichasDeProduccion!LQ:MB,MATCH(A593,[1]ListadoFichasDeProduccion!A:A,0),K593)=0,"",INDEX([1]ListadoFichasDeProduccion!LQ:MB,MATCH(A593,[1]ListadoFichasDeProduccion!A:A,0),K593)),""))</f>
        <v>LETRA K</v>
      </c>
      <c r="K593" s="11">
        <v>6</v>
      </c>
    </row>
    <row r="594" spans="1:11" hidden="1" x14ac:dyDescent="0.3">
      <c r="A594" s="11" t="s">
        <v>326</v>
      </c>
      <c r="B594" t="str">
        <f>VLOOKUP(A594,[1]ListadoFichasDeProduccion!$A$2:$LP$3000,328,FALSE)</f>
        <v>COMPLETADO</v>
      </c>
      <c r="C594" s="11">
        <v>49</v>
      </c>
      <c r="D594" t="s">
        <v>33</v>
      </c>
      <c r="E594" t="s">
        <v>125</v>
      </c>
      <c r="F594" t="s">
        <v>126</v>
      </c>
      <c r="G594" s="9">
        <v>45916</v>
      </c>
      <c r="H594" t="s">
        <v>171</v>
      </c>
      <c r="I594" s="11">
        <v>6</v>
      </c>
      <c r="J594" t="str">
        <f>IF(I594="","",IFERROR(IF(INDEX([1]ListadoFichasDeProduccion!LQ:MB,MATCH(A594,[1]ListadoFichasDeProduccion!A:A,0),K594)=0,"",INDEX([1]ListadoFichasDeProduccion!LQ:MB,MATCH(A594,[1]ListadoFichasDeProduccion!A:A,0),K594)),""))</f>
        <v>LETRA N</v>
      </c>
      <c r="K594" s="11">
        <v>7</v>
      </c>
    </row>
    <row r="595" spans="1:11" hidden="1" x14ac:dyDescent="0.3">
      <c r="A595" s="11" t="s">
        <v>326</v>
      </c>
      <c r="B595" t="str">
        <f>VLOOKUP(A595,[1]ListadoFichasDeProduccion!$A$2:$LP$3000,328,FALSE)</f>
        <v>COMPLETADO</v>
      </c>
      <c r="C595" s="11">
        <v>49</v>
      </c>
      <c r="D595" t="s">
        <v>33</v>
      </c>
      <c r="E595" t="s">
        <v>125</v>
      </c>
      <c r="F595" t="s">
        <v>126</v>
      </c>
      <c r="G595" s="9">
        <v>45916</v>
      </c>
      <c r="H595" t="s">
        <v>224</v>
      </c>
      <c r="I595" s="11">
        <v>6</v>
      </c>
      <c r="J595" t="str">
        <f>IF(I595="","",IFERROR(IF(INDEX([1]ListadoFichasDeProduccion!LQ:MB,MATCH(A595,[1]ListadoFichasDeProduccion!A:A,0),K595)=0,"",INDEX([1]ListadoFichasDeProduccion!LQ:MB,MATCH(A595,[1]ListadoFichasDeProduccion!A:A,0),K595)),""))</f>
        <v>LETRA R</v>
      </c>
      <c r="K595" s="11">
        <v>8</v>
      </c>
    </row>
    <row r="596" spans="1:11" hidden="1" x14ac:dyDescent="0.3">
      <c r="A596" s="11" t="s">
        <v>329</v>
      </c>
      <c r="B596" t="str">
        <f>VLOOKUP(A596,[1]ListadoFichasDeProduccion!$A$2:$LP$3000,328,FALSE)</f>
        <v>COMPLETADO</v>
      </c>
      <c r="C596" s="11">
        <v>48</v>
      </c>
      <c r="D596" t="s">
        <v>33</v>
      </c>
      <c r="E596" t="s">
        <v>125</v>
      </c>
      <c r="F596" t="s">
        <v>126</v>
      </c>
      <c r="G596" s="9">
        <v>45916</v>
      </c>
      <c r="H596" t="s">
        <v>127</v>
      </c>
      <c r="I596" s="11">
        <v>6</v>
      </c>
      <c r="J596" t="str">
        <f>IF(I596="","",IFERROR(IF(INDEX([1]ListadoFichasDeProduccion!LQ:MB,MATCH(A596,[1]ListadoFichasDeProduccion!A:A,0),K596)=0,"",INDEX([1]ListadoFichasDeProduccion!LQ:MB,MATCH(A596,[1]ListadoFichasDeProduccion!A:A,0),K596)),""))</f>
        <v>LETRA S</v>
      </c>
      <c r="K596" s="11">
        <v>1</v>
      </c>
    </row>
    <row r="597" spans="1:11" hidden="1" x14ac:dyDescent="0.3">
      <c r="A597" s="11" t="s">
        <v>329</v>
      </c>
      <c r="B597" t="str">
        <f>VLOOKUP(A597,[1]ListadoFichasDeProduccion!$A$2:$LP$3000,328,FALSE)</f>
        <v>COMPLETADO</v>
      </c>
      <c r="C597" s="11">
        <v>48</v>
      </c>
      <c r="D597" t="s">
        <v>33</v>
      </c>
      <c r="E597" t="s">
        <v>125</v>
      </c>
      <c r="F597" t="s">
        <v>126</v>
      </c>
      <c r="G597" s="9">
        <v>45916</v>
      </c>
      <c r="H597" t="s">
        <v>129</v>
      </c>
      <c r="I597" s="11">
        <v>6</v>
      </c>
      <c r="J597" t="str">
        <f>IF(I597="","",IFERROR(IF(INDEX([1]ListadoFichasDeProduccion!LQ:MB,MATCH(A597,[1]ListadoFichasDeProduccion!A:A,0),K597)=0,"",INDEX([1]ListadoFichasDeProduccion!LQ:MB,MATCH(A597,[1]ListadoFichasDeProduccion!A:A,0),K597)),""))</f>
        <v>LETRA S</v>
      </c>
      <c r="K597" s="11">
        <v>2</v>
      </c>
    </row>
    <row r="598" spans="1:11" hidden="1" x14ac:dyDescent="0.3">
      <c r="A598" s="11" t="s">
        <v>329</v>
      </c>
      <c r="B598" t="str">
        <f>VLOOKUP(A598,[1]ListadoFichasDeProduccion!$A$2:$LP$3000,328,FALSE)</f>
        <v>COMPLETADO</v>
      </c>
      <c r="C598" s="11">
        <v>48</v>
      </c>
      <c r="D598" t="s">
        <v>33</v>
      </c>
      <c r="E598" t="s">
        <v>125</v>
      </c>
      <c r="F598" t="s">
        <v>126</v>
      </c>
      <c r="G598" s="9">
        <v>45916</v>
      </c>
      <c r="H598" t="s">
        <v>129</v>
      </c>
      <c r="I598" s="11">
        <v>6</v>
      </c>
      <c r="J598" t="str">
        <f>IF(I598="","",IFERROR(IF(INDEX([1]ListadoFichasDeProduccion!LQ:MB,MATCH(A598,[1]ListadoFichasDeProduccion!A:A,0),K598)=0,"",INDEX([1]ListadoFichasDeProduccion!LQ:MB,MATCH(A598,[1]ListadoFichasDeProduccion!A:A,0),K598)),""))</f>
        <v>LETRA V</v>
      </c>
      <c r="K598" s="11">
        <v>3</v>
      </c>
    </row>
    <row r="599" spans="1:11" hidden="1" x14ac:dyDescent="0.3">
      <c r="A599" s="11" t="s">
        <v>329</v>
      </c>
      <c r="B599" t="str">
        <f>VLOOKUP(A599,[1]ListadoFichasDeProduccion!$A$2:$LP$3000,328,FALSE)</f>
        <v>COMPLETADO</v>
      </c>
      <c r="C599" s="11">
        <v>48</v>
      </c>
      <c r="D599" t="s">
        <v>33</v>
      </c>
      <c r="E599" t="s">
        <v>125</v>
      </c>
      <c r="F599" t="s">
        <v>126</v>
      </c>
      <c r="G599" s="9">
        <v>45916</v>
      </c>
      <c r="H599" t="s">
        <v>127</v>
      </c>
      <c r="I599" s="11">
        <v>9</v>
      </c>
      <c r="J599" t="str">
        <f>IF(I599="","",IFERROR(IF(INDEX([1]ListadoFichasDeProduccion!LQ:MB,MATCH(A599,[1]ListadoFichasDeProduccion!A:A,0),K599)=0,"",INDEX([1]ListadoFichasDeProduccion!LQ:MB,MATCH(A599,[1]ListadoFichasDeProduccion!A:A,0),K599)),""))</f>
        <v>LETRA T</v>
      </c>
      <c r="K599" s="11">
        <v>4</v>
      </c>
    </row>
    <row r="600" spans="1:11" hidden="1" x14ac:dyDescent="0.3">
      <c r="A600" s="11" t="s">
        <v>329</v>
      </c>
      <c r="B600" t="str">
        <f>VLOOKUP(A600,[1]ListadoFichasDeProduccion!$A$2:$LP$3000,328,FALSE)</f>
        <v>COMPLETADO</v>
      </c>
      <c r="C600" s="11">
        <v>48</v>
      </c>
      <c r="D600" t="s">
        <v>33</v>
      </c>
      <c r="E600" t="s">
        <v>125</v>
      </c>
      <c r="F600" t="s">
        <v>126</v>
      </c>
      <c r="G600" s="9">
        <v>45916</v>
      </c>
      <c r="H600" t="s">
        <v>129</v>
      </c>
      <c r="I600" s="11">
        <v>9</v>
      </c>
      <c r="J600" t="str">
        <f>IF(I600="","",IFERROR(IF(INDEX([1]ListadoFichasDeProduccion!LQ:MB,MATCH(A600,[1]ListadoFichasDeProduccion!A:A,0),K600)=0,"",INDEX([1]ListadoFichasDeProduccion!LQ:MB,MATCH(A600,[1]ListadoFichasDeProduccion!A:A,0),K600)),""))</f>
        <v>LETRA T</v>
      </c>
      <c r="K600" s="11">
        <v>5</v>
      </c>
    </row>
    <row r="601" spans="1:11" hidden="1" x14ac:dyDescent="0.3">
      <c r="A601" s="11" t="s">
        <v>329</v>
      </c>
      <c r="B601" t="str">
        <f>VLOOKUP(A601,[1]ListadoFichasDeProduccion!$A$2:$LP$3000,328,FALSE)</f>
        <v>COMPLETADO</v>
      </c>
      <c r="C601" s="11">
        <v>48</v>
      </c>
      <c r="D601" t="s">
        <v>33</v>
      </c>
      <c r="E601" t="s">
        <v>125</v>
      </c>
      <c r="F601" t="s">
        <v>126</v>
      </c>
      <c r="G601" s="9">
        <v>45916</v>
      </c>
      <c r="H601" t="s">
        <v>171</v>
      </c>
      <c r="I601" s="11">
        <v>6</v>
      </c>
      <c r="J601" t="str">
        <f>IF(I601="","",IFERROR(IF(INDEX([1]ListadoFichasDeProduccion!LQ:MB,MATCH(A601,[1]ListadoFichasDeProduccion!A:A,0),K601)=0,"",INDEX([1]ListadoFichasDeProduccion!LQ:MB,MATCH(A601,[1]ListadoFichasDeProduccion!A:A,0),K601)),""))</f>
        <v>LETRA M</v>
      </c>
      <c r="K601" s="11">
        <v>6</v>
      </c>
    </row>
    <row r="602" spans="1:11" hidden="1" x14ac:dyDescent="0.3">
      <c r="A602" s="11" t="s">
        <v>329</v>
      </c>
      <c r="B602" t="str">
        <f>VLOOKUP(A602,[1]ListadoFichasDeProduccion!$A$2:$LP$3000,328,FALSE)</f>
        <v>COMPLETADO</v>
      </c>
      <c r="C602" s="11">
        <v>48</v>
      </c>
      <c r="D602" t="s">
        <v>33</v>
      </c>
      <c r="E602" t="s">
        <v>125</v>
      </c>
      <c r="F602" t="s">
        <v>126</v>
      </c>
      <c r="G602" s="9">
        <v>45916</v>
      </c>
      <c r="H602" t="s">
        <v>224</v>
      </c>
      <c r="I602" s="11">
        <v>6</v>
      </c>
      <c r="J602" t="str">
        <f>IF(I602="","",IFERROR(IF(INDEX([1]ListadoFichasDeProduccion!LQ:MB,MATCH(A602,[1]ListadoFichasDeProduccion!A:A,0),K602)=0,"",INDEX([1]ListadoFichasDeProduccion!LQ:MB,MATCH(A602,[1]ListadoFichasDeProduccion!A:A,0),K602)),""))</f>
        <v/>
      </c>
      <c r="K602" s="11">
        <v>7</v>
      </c>
    </row>
    <row r="603" spans="1:11" hidden="1" x14ac:dyDescent="0.3">
      <c r="A603" s="11">
        <v>940</v>
      </c>
      <c r="B603" s="8" t="str">
        <f>VLOOKUP(A603,[1]ListadoFichasDeProduccion!$A$2:$LP$3000,328,FALSE)</f>
        <v>COMPLETADO</v>
      </c>
      <c r="C603" s="11">
        <v>120</v>
      </c>
      <c r="D603" t="s">
        <v>33</v>
      </c>
      <c r="E603" t="s">
        <v>189</v>
      </c>
      <c r="G603" s="9">
        <v>45786</v>
      </c>
      <c r="H603" t="s">
        <v>65</v>
      </c>
      <c r="I603" s="11">
        <v>20</v>
      </c>
      <c r="J603" t="str">
        <f>IF(I603="","",IFERROR(IF(INDEX([1]ListadoFichasDeProduccion!LQ:MB,MATCH(A603,[1]ListadoFichasDeProduccion!A:A,0),K603)=0,"",INDEX([1]ListadoFichasDeProduccion!LQ:MB,MATCH(A603,[1]ListadoFichasDeProduccion!A:A,0),K603)),""))</f>
        <v/>
      </c>
      <c r="K603" s="11">
        <v>1</v>
      </c>
    </row>
    <row r="604" spans="1:11" hidden="1" x14ac:dyDescent="0.3">
      <c r="A604" s="11">
        <v>940</v>
      </c>
      <c r="B604" s="8" t="str">
        <f>VLOOKUP(A604,[1]ListadoFichasDeProduccion!$A$2:$LP$3000,328,FALSE)</f>
        <v>COMPLETADO</v>
      </c>
      <c r="C604" s="11">
        <v>120</v>
      </c>
      <c r="D604" t="s">
        <v>33</v>
      </c>
      <c r="E604" t="s">
        <v>189</v>
      </c>
      <c r="G604" s="9">
        <v>45786</v>
      </c>
      <c r="H604" t="s">
        <v>64</v>
      </c>
      <c r="I604" s="11">
        <v>20</v>
      </c>
      <c r="J604" t="str">
        <f>IF(I604="","",IFERROR(IF(INDEX([1]ListadoFichasDeProduccion!LQ:MB,MATCH(A604,[1]ListadoFichasDeProduccion!A:A,0),K604)=0,"",INDEX([1]ListadoFichasDeProduccion!LQ:MB,MATCH(A604,[1]ListadoFichasDeProduccion!A:A,0),K604)),""))</f>
        <v/>
      </c>
      <c r="K604" s="11">
        <v>2</v>
      </c>
    </row>
    <row r="605" spans="1:11" hidden="1" x14ac:dyDescent="0.3">
      <c r="A605" s="11">
        <v>940</v>
      </c>
      <c r="B605" s="8" t="str">
        <f>VLOOKUP(A605,[1]ListadoFichasDeProduccion!$A$2:$LP$3000,328,FALSE)</f>
        <v>COMPLETADO</v>
      </c>
      <c r="C605" s="11">
        <v>120</v>
      </c>
      <c r="D605" t="s">
        <v>33</v>
      </c>
      <c r="E605" t="s">
        <v>189</v>
      </c>
      <c r="G605" s="9">
        <v>45786</v>
      </c>
      <c r="H605" t="s">
        <v>24</v>
      </c>
      <c r="I605" s="11">
        <v>20</v>
      </c>
      <c r="J605" t="str">
        <f>IF(I605="","",IFERROR(IF(INDEX([1]ListadoFichasDeProduccion!LQ:MB,MATCH(A605,[1]ListadoFichasDeProduccion!A:A,0),K605)=0,"",INDEX([1]ListadoFichasDeProduccion!LQ:MB,MATCH(A605,[1]ListadoFichasDeProduccion!A:A,0),K605)),""))</f>
        <v/>
      </c>
      <c r="K605" s="11">
        <v>3</v>
      </c>
    </row>
    <row r="606" spans="1:11" hidden="1" x14ac:dyDescent="0.3">
      <c r="A606" s="11">
        <v>940</v>
      </c>
      <c r="B606" s="8" t="str">
        <f>VLOOKUP(A606,[1]ListadoFichasDeProduccion!$A$2:$LP$3000,328,FALSE)</f>
        <v>COMPLETADO</v>
      </c>
      <c r="C606" s="11">
        <v>120</v>
      </c>
      <c r="D606" t="s">
        <v>33</v>
      </c>
      <c r="E606" t="s">
        <v>189</v>
      </c>
      <c r="G606" s="9">
        <v>45786</v>
      </c>
      <c r="H606" t="s">
        <v>40</v>
      </c>
      <c r="I606" s="11">
        <v>20</v>
      </c>
      <c r="J606" t="str">
        <f>IF(I606="","",IFERROR(IF(INDEX([1]ListadoFichasDeProduccion!LQ:MB,MATCH(A606,[1]ListadoFichasDeProduccion!A:A,0),K606)=0,"",INDEX([1]ListadoFichasDeProduccion!LQ:MB,MATCH(A606,[1]ListadoFichasDeProduccion!A:A,0),K606)),""))</f>
        <v/>
      </c>
      <c r="K606" s="11">
        <v>4</v>
      </c>
    </row>
    <row r="607" spans="1:11" hidden="1" x14ac:dyDescent="0.3">
      <c r="A607" s="11">
        <v>940</v>
      </c>
      <c r="B607" s="8" t="str">
        <f>VLOOKUP(A607,[1]ListadoFichasDeProduccion!$A$2:$LP$3000,328,FALSE)</f>
        <v>COMPLETADO</v>
      </c>
      <c r="C607" s="11">
        <v>120</v>
      </c>
      <c r="D607" t="s">
        <v>33</v>
      </c>
      <c r="E607" t="s">
        <v>189</v>
      </c>
      <c r="G607" s="9">
        <v>45786</v>
      </c>
      <c r="H607" t="s">
        <v>35</v>
      </c>
      <c r="I607" s="11">
        <v>20</v>
      </c>
      <c r="J607" t="str">
        <f>IF(I607="","",IFERROR(IF(INDEX([1]ListadoFichasDeProduccion!LQ:MB,MATCH(A607,[1]ListadoFichasDeProduccion!A:A,0),K607)=0,"",INDEX([1]ListadoFichasDeProduccion!LQ:MB,MATCH(A607,[1]ListadoFichasDeProduccion!A:A,0),K607)),""))</f>
        <v/>
      </c>
      <c r="K607" s="11">
        <v>5</v>
      </c>
    </row>
    <row r="608" spans="1:11" hidden="1" x14ac:dyDescent="0.3">
      <c r="A608" s="11">
        <v>940</v>
      </c>
      <c r="B608" s="8" t="str">
        <f>VLOOKUP(A608,[1]ListadoFichasDeProduccion!$A$2:$LP$3000,328,FALSE)</f>
        <v>COMPLETADO</v>
      </c>
      <c r="C608" s="11">
        <v>120</v>
      </c>
      <c r="D608" t="s">
        <v>33</v>
      </c>
      <c r="E608" t="s">
        <v>189</v>
      </c>
      <c r="G608" s="9">
        <v>45786</v>
      </c>
      <c r="H608" t="s">
        <v>131</v>
      </c>
      <c r="I608" s="11">
        <v>20</v>
      </c>
      <c r="J608" t="str">
        <f>IF(I608="","",IFERROR(IF(INDEX([1]ListadoFichasDeProduccion!LQ:MB,MATCH(A608,[1]ListadoFichasDeProduccion!A:A,0),K608)=0,"",INDEX([1]ListadoFichasDeProduccion!LQ:MB,MATCH(A608,[1]ListadoFichasDeProduccion!A:A,0),K608)),""))</f>
        <v/>
      </c>
      <c r="K608" s="11">
        <v>6</v>
      </c>
    </row>
    <row r="609" spans="1:11" hidden="1" x14ac:dyDescent="0.3">
      <c r="A609" s="11" t="s">
        <v>459</v>
      </c>
      <c r="B609" t="str">
        <f>VLOOKUP(A609,[1]ListadoFichasDeProduccion!$A$2:$LP$3000,328,FALSE)</f>
        <v>COMPLETADO</v>
      </c>
      <c r="C609" s="11">
        <v>10</v>
      </c>
      <c r="D609" t="s">
        <v>33</v>
      </c>
      <c r="E609" t="s">
        <v>189</v>
      </c>
      <c r="G609" s="9">
        <v>45964</v>
      </c>
      <c r="H609" t="s">
        <v>24</v>
      </c>
      <c r="I609" s="11">
        <v>6</v>
      </c>
      <c r="J609" t="str">
        <f>IF(I609="","",IFERROR(IF(INDEX([1]ListadoFichasDeProduccion!LQ:MB,MATCH(A609,[1]ListadoFichasDeProduccion!A:A,0),K609)=0,"",INDEX([1]ListadoFichasDeProduccion!LQ:MB,MATCH(A609,[1]ListadoFichasDeProduccion!A:A,0),K609)),""))</f>
        <v/>
      </c>
      <c r="K609" s="11">
        <v>1</v>
      </c>
    </row>
    <row r="610" spans="1:11" hidden="1" x14ac:dyDescent="0.3">
      <c r="A610" s="11" t="s">
        <v>459</v>
      </c>
      <c r="B610" t="str">
        <f>VLOOKUP(A610,[1]ListadoFichasDeProduccion!$A$2:$LP$3000,328,FALSE)</f>
        <v>COMPLETADO</v>
      </c>
      <c r="C610" s="11">
        <v>10</v>
      </c>
      <c r="D610" t="s">
        <v>33</v>
      </c>
      <c r="E610" t="s">
        <v>189</v>
      </c>
      <c r="G610" s="9">
        <v>45964</v>
      </c>
      <c r="H610" t="s">
        <v>40</v>
      </c>
      <c r="I610" s="11">
        <v>4</v>
      </c>
      <c r="J610" t="str">
        <f>IF(I610="","",IFERROR(IF(INDEX([1]ListadoFichasDeProduccion!LQ:MB,MATCH(A610,[1]ListadoFichasDeProduccion!A:A,0),K610)=0,"",INDEX([1]ListadoFichasDeProduccion!LQ:MB,MATCH(A610,[1]ListadoFichasDeProduccion!A:A,0),K610)),""))</f>
        <v/>
      </c>
      <c r="K610" s="11">
        <v>2</v>
      </c>
    </row>
    <row r="611" spans="1:11" hidden="1" x14ac:dyDescent="0.3">
      <c r="A611" s="11">
        <v>1904</v>
      </c>
      <c r="B611" s="8" t="str">
        <f>VLOOKUP(A611,[1]ListadoFichasDeProduccion!$A$2:$LP$3000,328,FALSE)</f>
        <v>COMPLETADO</v>
      </c>
      <c r="C611" s="11">
        <v>12</v>
      </c>
      <c r="D611" t="s">
        <v>11</v>
      </c>
      <c r="E611" t="s">
        <v>254</v>
      </c>
      <c r="G611" s="9">
        <v>45861</v>
      </c>
      <c r="H611" t="s">
        <v>187</v>
      </c>
      <c r="I611" s="11">
        <v>6</v>
      </c>
      <c r="J611" t="str">
        <f>IF(I611="","",IFERROR(IF(INDEX([1]ListadoFichasDeProduccion!LQ:MB,MATCH(A611,[1]ListadoFichasDeProduccion!A:A,0),K611)=0,"",INDEX([1]ListadoFichasDeProduccion!LQ:MB,MATCH(A611,[1]ListadoFichasDeProduccion!A:A,0),K611)),""))</f>
        <v/>
      </c>
      <c r="K611" s="11">
        <v>1</v>
      </c>
    </row>
    <row r="612" spans="1:11" hidden="1" x14ac:dyDescent="0.3">
      <c r="A612" s="11">
        <v>1904</v>
      </c>
      <c r="B612" s="8" t="str">
        <f>VLOOKUP(A612,[1]ListadoFichasDeProduccion!$A$2:$LP$3000,328,FALSE)</f>
        <v>COMPLETADO</v>
      </c>
      <c r="C612" s="11">
        <v>12</v>
      </c>
      <c r="D612" t="s">
        <v>11</v>
      </c>
      <c r="E612" t="s">
        <v>254</v>
      </c>
      <c r="G612" s="9">
        <v>45861</v>
      </c>
      <c r="H612" t="s">
        <v>252</v>
      </c>
      <c r="I612" s="11">
        <v>6</v>
      </c>
      <c r="J612" t="str">
        <f>IF(I612="","",IFERROR(IF(INDEX([1]ListadoFichasDeProduccion!LQ:MB,MATCH(A612,[1]ListadoFichasDeProduccion!A:A,0),K612)=0,"",INDEX([1]ListadoFichasDeProduccion!LQ:MB,MATCH(A612,[1]ListadoFichasDeProduccion!A:A,0),K612)),""))</f>
        <v/>
      </c>
      <c r="K612" s="11">
        <v>2</v>
      </c>
    </row>
    <row r="613" spans="1:11" hidden="1" x14ac:dyDescent="0.3">
      <c r="A613" s="11" t="s">
        <v>315</v>
      </c>
      <c r="B613" t="str">
        <f>VLOOKUP(A613,[1]ListadoFichasDeProduccion!$A$2:$LP$3000,328,FALSE)</f>
        <v>COMPLETADO</v>
      </c>
      <c r="C613" s="11">
        <v>12</v>
      </c>
      <c r="D613" t="s">
        <v>11</v>
      </c>
      <c r="E613" t="s">
        <v>254</v>
      </c>
      <c r="G613" s="9">
        <v>45917</v>
      </c>
      <c r="H613" t="s">
        <v>252</v>
      </c>
      <c r="I613" s="11">
        <v>12</v>
      </c>
      <c r="J613" t="str">
        <f>IF(I613="","",IFERROR(IF(INDEX([1]ListadoFichasDeProduccion!LQ:MB,MATCH(A613,[1]ListadoFichasDeProduccion!A:A,0),K613)=0,"",INDEX([1]ListadoFichasDeProduccion!LQ:MB,MATCH(A613,[1]ListadoFichasDeProduccion!A:A,0),K613)),""))</f>
        <v/>
      </c>
      <c r="K613" s="11">
        <v>1</v>
      </c>
    </row>
    <row r="614" spans="1:11" x14ac:dyDescent="0.3">
      <c r="A614" s="11" t="s">
        <v>511</v>
      </c>
      <c r="B614" t="str">
        <f>VLOOKUP(A614,[1]ListadoFichasDeProduccion!$A$2:$LP$3000,328,FALSE)</f>
        <v>NO COMENZADO</v>
      </c>
      <c r="C614" s="11">
        <v>10</v>
      </c>
      <c r="D614" t="s">
        <v>11</v>
      </c>
      <c r="E614" t="s">
        <v>254</v>
      </c>
      <c r="H614" t="s">
        <v>252</v>
      </c>
      <c r="I614" s="11">
        <v>10</v>
      </c>
      <c r="J614" t="str">
        <f>IF(I614="","",IFERROR(IF(INDEX([1]ListadoFichasDeProduccion!LQ:MB,MATCH(A614,[1]ListadoFichasDeProduccion!A:A,0),K614)=0,"",INDEX([1]ListadoFichasDeProduccion!LQ:MB,MATCH(A614,[1]ListadoFichasDeProduccion!A:A,0),K614)),""))</f>
        <v/>
      </c>
      <c r="K614" s="11">
        <v>1</v>
      </c>
    </row>
    <row r="615" spans="1:11" hidden="1" x14ac:dyDescent="0.3">
      <c r="A615" s="11">
        <v>1903</v>
      </c>
      <c r="B615" s="8" t="str">
        <f>VLOOKUP(A615,[1]ListadoFichasDeProduccion!$A$2:$LP$3000,328,FALSE)</f>
        <v>COMPLETADO</v>
      </c>
      <c r="C615" s="11">
        <v>12</v>
      </c>
      <c r="D615" t="s">
        <v>11</v>
      </c>
      <c r="E615" t="s">
        <v>253</v>
      </c>
      <c r="G615" s="9">
        <v>45861</v>
      </c>
      <c r="H615" t="s">
        <v>187</v>
      </c>
      <c r="I615" s="11">
        <v>6</v>
      </c>
      <c r="J615" t="str">
        <f>IF(I615="","",IFERROR(IF(INDEX([1]ListadoFichasDeProduccion!LQ:MB,MATCH(A615,[1]ListadoFichasDeProduccion!A:A,0),K615)=0,"",INDEX([1]ListadoFichasDeProduccion!LQ:MB,MATCH(A615,[1]ListadoFichasDeProduccion!A:A,0),K615)),""))</f>
        <v/>
      </c>
      <c r="K615" s="11">
        <v>1</v>
      </c>
    </row>
    <row r="616" spans="1:11" hidden="1" x14ac:dyDescent="0.3">
      <c r="A616" s="11">
        <v>1903</v>
      </c>
      <c r="B616" s="8" t="str">
        <f>VLOOKUP(A616,[1]ListadoFichasDeProduccion!$A$2:$LP$3000,328,FALSE)</f>
        <v>COMPLETADO</v>
      </c>
      <c r="C616" s="11">
        <v>12</v>
      </c>
      <c r="D616" t="s">
        <v>11</v>
      </c>
      <c r="E616" t="s">
        <v>253</v>
      </c>
      <c r="G616" s="9">
        <v>45861</v>
      </c>
      <c r="H616" t="s">
        <v>252</v>
      </c>
      <c r="I616" s="11">
        <v>6</v>
      </c>
      <c r="J616" t="str">
        <f>IF(I616="","",IFERROR(IF(INDEX([1]ListadoFichasDeProduccion!LQ:MB,MATCH(A616,[1]ListadoFichasDeProduccion!A:A,0),K616)=0,"",INDEX([1]ListadoFichasDeProduccion!LQ:MB,MATCH(A616,[1]ListadoFichasDeProduccion!A:A,0),K616)),""))</f>
        <v/>
      </c>
      <c r="K616" s="11">
        <v>2</v>
      </c>
    </row>
    <row r="617" spans="1:11" hidden="1" x14ac:dyDescent="0.3">
      <c r="A617" s="11" t="s">
        <v>316</v>
      </c>
      <c r="B617" t="str">
        <f>VLOOKUP(A617,[1]ListadoFichasDeProduccion!$A$2:$LP$3000,328,FALSE)</f>
        <v>COMPLETADO</v>
      </c>
      <c r="C617" s="11">
        <v>12</v>
      </c>
      <c r="D617" t="s">
        <v>11</v>
      </c>
      <c r="E617" t="s">
        <v>253</v>
      </c>
      <c r="G617" s="9">
        <v>45917</v>
      </c>
      <c r="H617" t="s">
        <v>252</v>
      </c>
      <c r="I617" s="11">
        <v>12</v>
      </c>
      <c r="J617" t="str">
        <f>IF(I617="","",IFERROR(IF(INDEX([1]ListadoFichasDeProduccion!LQ:MB,MATCH(A617,[1]ListadoFichasDeProduccion!A:A,0),K617)=0,"",INDEX([1]ListadoFichasDeProduccion!LQ:MB,MATCH(A617,[1]ListadoFichasDeProduccion!A:A,0),K617)),""))</f>
        <v/>
      </c>
      <c r="K617" s="11">
        <v>1</v>
      </c>
    </row>
    <row r="618" spans="1:11" x14ac:dyDescent="0.3">
      <c r="A618" s="11" t="s">
        <v>487</v>
      </c>
      <c r="B618" t="str">
        <f>VLOOKUP(A618,[1]ListadoFichasDeProduccion!$A$2:$LP$3000,328,FALSE)</f>
        <v>NO COMENZADO</v>
      </c>
      <c r="C618" s="11">
        <v>9</v>
      </c>
      <c r="D618" t="s">
        <v>11</v>
      </c>
      <c r="E618" t="s">
        <v>253</v>
      </c>
      <c r="H618" t="s">
        <v>252</v>
      </c>
      <c r="I618" s="11">
        <v>9</v>
      </c>
      <c r="J618" t="str">
        <f>IF(I618="","",IFERROR(IF(INDEX([1]ListadoFichasDeProduccion!LQ:MB,MATCH(A618,[1]ListadoFichasDeProduccion!A:A,0),K618)=0,"",INDEX([1]ListadoFichasDeProduccion!LQ:MB,MATCH(A618,[1]ListadoFichasDeProduccion!A:A,0),K618)),""))</f>
        <v/>
      </c>
      <c r="K618" s="11">
        <v>1</v>
      </c>
    </row>
    <row r="619" spans="1:11" hidden="1" x14ac:dyDescent="0.3">
      <c r="A619" s="11">
        <v>1657</v>
      </c>
      <c r="B619" s="8" t="str">
        <f>VLOOKUP(A619,[1]ListadoFichasDeProduccion!$A$2:$LP$3000,328,FALSE)</f>
        <v>COMPLETADO</v>
      </c>
      <c r="C619" s="11">
        <v>12</v>
      </c>
      <c r="D619" t="s">
        <v>33</v>
      </c>
      <c r="E619" t="s">
        <v>106</v>
      </c>
      <c r="G619" s="9">
        <v>45706</v>
      </c>
      <c r="H619" t="s">
        <v>40</v>
      </c>
      <c r="I619" s="11">
        <v>6</v>
      </c>
      <c r="J619" t="str">
        <f>IF(I619="","",IFERROR(IF(INDEX([1]ListadoFichasDeProduccion!LQ:MB,MATCH(A619,[1]ListadoFichasDeProduccion!A:A,0),K619)=0,"",INDEX([1]ListadoFichasDeProduccion!LQ:MB,MATCH(A619,[1]ListadoFichasDeProduccion!A:A,0),K619)),""))</f>
        <v/>
      </c>
      <c r="K619" s="11">
        <v>1</v>
      </c>
    </row>
    <row r="620" spans="1:11" hidden="1" x14ac:dyDescent="0.3">
      <c r="A620" s="11">
        <v>1657</v>
      </c>
      <c r="B620" s="8" t="str">
        <f>VLOOKUP(A620,[1]ListadoFichasDeProduccion!$A$2:$LP$3000,328,FALSE)</f>
        <v>COMPLETADO</v>
      </c>
      <c r="C620" s="11">
        <v>12</v>
      </c>
      <c r="D620" t="s">
        <v>33</v>
      </c>
      <c r="E620" t="s">
        <v>106</v>
      </c>
      <c r="G620" s="9">
        <v>45706</v>
      </c>
      <c r="H620" t="s">
        <v>22</v>
      </c>
      <c r="I620" s="11">
        <v>6</v>
      </c>
      <c r="J620" t="str">
        <f>IF(I620="","",IFERROR(IF(INDEX([1]ListadoFichasDeProduccion!LQ:MB,MATCH(A620,[1]ListadoFichasDeProduccion!A:A,0),K620)=0,"",INDEX([1]ListadoFichasDeProduccion!LQ:MB,MATCH(A620,[1]ListadoFichasDeProduccion!A:A,0),K620)),""))</f>
        <v/>
      </c>
      <c r="K620" s="11">
        <v>2</v>
      </c>
    </row>
    <row r="621" spans="1:11" hidden="1" x14ac:dyDescent="0.3">
      <c r="A621" s="11">
        <v>1768</v>
      </c>
      <c r="B621" s="8" t="str">
        <f>VLOOKUP(A621,[1]ListadoFichasDeProduccion!$A$2:$LP$3000,328,FALSE)</f>
        <v>COMPLETADO</v>
      </c>
      <c r="C621" s="11">
        <v>8</v>
      </c>
      <c r="D621" t="s">
        <v>33</v>
      </c>
      <c r="E621" t="s">
        <v>106</v>
      </c>
      <c r="G621" s="9">
        <v>45779</v>
      </c>
      <c r="H621" t="s">
        <v>39</v>
      </c>
      <c r="I621" s="11">
        <v>6</v>
      </c>
      <c r="J621" t="str">
        <f>IF(I621="","",IFERROR(IF(INDEX([1]ListadoFichasDeProduccion!LQ:MB,MATCH(A621,[1]ListadoFichasDeProduccion!A:A,0),K621)=0,"",INDEX([1]ListadoFichasDeProduccion!LQ:MB,MATCH(A621,[1]ListadoFichasDeProduccion!A:A,0),K621)),""))</f>
        <v/>
      </c>
      <c r="K621" s="11">
        <v>1</v>
      </c>
    </row>
    <row r="622" spans="1:11" hidden="1" x14ac:dyDescent="0.3">
      <c r="A622" s="11">
        <v>1768</v>
      </c>
      <c r="B622" s="8" t="str">
        <f>VLOOKUP(A622,[1]ListadoFichasDeProduccion!$A$2:$LP$3000,328,FALSE)</f>
        <v>COMPLETADO</v>
      </c>
      <c r="C622" s="11">
        <v>8</v>
      </c>
      <c r="D622" t="s">
        <v>33</v>
      </c>
      <c r="E622" t="s">
        <v>106</v>
      </c>
      <c r="G622" s="9">
        <v>45779</v>
      </c>
      <c r="H622" t="s">
        <v>24</v>
      </c>
      <c r="I622" s="11">
        <v>2</v>
      </c>
      <c r="J622" t="str">
        <f>IF(I622="","",IFERROR(IF(INDEX([1]ListadoFichasDeProduccion!LQ:MB,MATCH(A622,[1]ListadoFichasDeProduccion!A:A,0),K622)=0,"",INDEX([1]ListadoFichasDeProduccion!LQ:MB,MATCH(A622,[1]ListadoFichasDeProduccion!A:A,0),K622)),""))</f>
        <v/>
      </c>
      <c r="K622" s="11">
        <v>2</v>
      </c>
    </row>
    <row r="623" spans="1:11" hidden="1" x14ac:dyDescent="0.3">
      <c r="A623" s="11">
        <v>1933</v>
      </c>
      <c r="B623" t="str">
        <f>VLOOKUP(A623,[1]ListadoFichasDeProduccion!$A$2:$LP$3000,328,FALSE)</f>
        <v>COMPLETADO</v>
      </c>
      <c r="C623" s="11">
        <v>16</v>
      </c>
      <c r="D623" t="s">
        <v>11</v>
      </c>
      <c r="E623" t="s">
        <v>106</v>
      </c>
      <c r="G623" s="9">
        <v>45877</v>
      </c>
      <c r="H623" t="s">
        <v>123</v>
      </c>
      <c r="I623" s="11">
        <v>6</v>
      </c>
      <c r="J623" t="str">
        <f>IF(I623="","",IFERROR(IF(INDEX([1]ListadoFichasDeProduccion!LQ:MB,MATCH(A623,[1]ListadoFichasDeProduccion!A:A,0),K623)=0,"",INDEX([1]ListadoFichasDeProduccion!LQ:MB,MATCH(A623,[1]ListadoFichasDeProduccion!A:A,0),K623)),""))</f>
        <v/>
      </c>
      <c r="K623" s="11">
        <v>1</v>
      </c>
    </row>
    <row r="624" spans="1:11" hidden="1" x14ac:dyDescent="0.3">
      <c r="A624" s="11">
        <v>1933</v>
      </c>
      <c r="B624" t="str">
        <f>VLOOKUP(A624,[1]ListadoFichasDeProduccion!$A$2:$LP$3000,328,FALSE)</f>
        <v>COMPLETADO</v>
      </c>
      <c r="C624" s="11">
        <v>16</v>
      </c>
      <c r="D624" t="s">
        <v>11</v>
      </c>
      <c r="E624" t="s">
        <v>106</v>
      </c>
      <c r="G624" s="9">
        <v>45877</v>
      </c>
      <c r="H624" t="s">
        <v>22</v>
      </c>
      <c r="I624" s="11">
        <v>6</v>
      </c>
      <c r="J624" t="str">
        <f>IF(I624="","",IFERROR(IF(INDEX([1]ListadoFichasDeProduccion!LQ:MB,MATCH(A624,[1]ListadoFichasDeProduccion!A:A,0),K624)=0,"",INDEX([1]ListadoFichasDeProduccion!LQ:MB,MATCH(A624,[1]ListadoFichasDeProduccion!A:A,0),K624)),""))</f>
        <v/>
      </c>
      <c r="K624" s="11">
        <v>2</v>
      </c>
    </row>
    <row r="625" spans="1:11" hidden="1" x14ac:dyDescent="0.3">
      <c r="A625" s="11">
        <v>1933</v>
      </c>
      <c r="B625" t="str">
        <f>VLOOKUP(A625,[1]ListadoFichasDeProduccion!$A$2:$LP$3000,328,FALSE)</f>
        <v>COMPLETADO</v>
      </c>
      <c r="C625" s="11">
        <v>16</v>
      </c>
      <c r="D625" t="s">
        <v>11</v>
      </c>
      <c r="E625" t="s">
        <v>106</v>
      </c>
      <c r="G625" s="9">
        <v>45877</v>
      </c>
      <c r="H625" t="s">
        <v>40</v>
      </c>
      <c r="I625" s="11">
        <v>4</v>
      </c>
      <c r="J625" t="str">
        <f>IF(I625="","",IFERROR(IF(INDEX([1]ListadoFichasDeProduccion!LQ:MB,MATCH(A625,[1]ListadoFichasDeProduccion!A:A,0),K625)=0,"",INDEX([1]ListadoFichasDeProduccion!LQ:MB,MATCH(A625,[1]ListadoFichasDeProduccion!A:A,0),K625)),""))</f>
        <v/>
      </c>
      <c r="K625" s="11">
        <v>3</v>
      </c>
    </row>
    <row r="626" spans="1:11" hidden="1" x14ac:dyDescent="0.3">
      <c r="A626" s="11">
        <v>19332</v>
      </c>
      <c r="B626" t="str">
        <f>VLOOKUP(A626,[1]ListadoFichasDeProduccion!$A$2:$LP$3000,328,FALSE)</f>
        <v>COMPLETADO</v>
      </c>
      <c r="C626" s="11">
        <v>6</v>
      </c>
      <c r="D626" t="s">
        <v>11</v>
      </c>
      <c r="E626" t="s">
        <v>106</v>
      </c>
      <c r="G626" s="9">
        <v>45877</v>
      </c>
      <c r="H626" t="s">
        <v>19</v>
      </c>
      <c r="I626" s="11">
        <v>6</v>
      </c>
      <c r="J626" t="str">
        <f>IF(I626="","",IFERROR(IF(INDEX([1]ListadoFichasDeProduccion!LQ:MB,MATCH(A626,[1]ListadoFichasDeProduccion!A:A,0),K626)=0,"",INDEX([1]ListadoFichasDeProduccion!LQ:MB,MATCH(A626,[1]ListadoFichasDeProduccion!A:A,0),K626)),""))</f>
        <v/>
      </c>
      <c r="K626" s="11">
        <v>1</v>
      </c>
    </row>
    <row r="627" spans="1:11" hidden="1" x14ac:dyDescent="0.3">
      <c r="A627" s="11" t="s">
        <v>317</v>
      </c>
      <c r="B627" t="str">
        <f>VLOOKUP(A627,[1]ListadoFichasDeProduccion!$A$2:$LP$3000,328,FALSE)</f>
        <v>COMPLETADO</v>
      </c>
      <c r="C627" s="11">
        <v>9</v>
      </c>
      <c r="D627" t="s">
        <v>11</v>
      </c>
      <c r="E627" t="s">
        <v>106</v>
      </c>
      <c r="G627" s="9">
        <v>45917</v>
      </c>
      <c r="H627" t="s">
        <v>39</v>
      </c>
      <c r="I627" s="11">
        <v>3</v>
      </c>
      <c r="J627" t="str">
        <f>IF(I627="","",IFERROR(IF(INDEX([1]ListadoFichasDeProduccion!LQ:MB,MATCH(A627,[1]ListadoFichasDeProduccion!A:A,0),K627)=0,"",INDEX([1]ListadoFichasDeProduccion!LQ:MB,MATCH(A627,[1]ListadoFichasDeProduccion!A:A,0),K627)),""))</f>
        <v/>
      </c>
      <c r="K627" s="11">
        <v>1</v>
      </c>
    </row>
    <row r="628" spans="1:11" hidden="1" x14ac:dyDescent="0.3">
      <c r="A628" s="11" t="s">
        <v>317</v>
      </c>
      <c r="B628" t="str">
        <f>VLOOKUP(A628,[1]ListadoFichasDeProduccion!$A$2:$LP$3000,328,FALSE)</f>
        <v>COMPLETADO</v>
      </c>
      <c r="C628" s="11">
        <v>9</v>
      </c>
      <c r="D628" t="s">
        <v>11</v>
      </c>
      <c r="E628" t="s">
        <v>106</v>
      </c>
      <c r="G628" s="9">
        <v>45917</v>
      </c>
      <c r="H628" t="s">
        <v>19</v>
      </c>
      <c r="I628" s="11">
        <v>6</v>
      </c>
      <c r="J628" t="str">
        <f>IF(I628="","",IFERROR(IF(INDEX([1]ListadoFichasDeProduccion!LQ:MB,MATCH(A628,[1]ListadoFichasDeProduccion!A:A,0),K628)=0,"",INDEX([1]ListadoFichasDeProduccion!LQ:MB,MATCH(A628,[1]ListadoFichasDeProduccion!A:A,0),K628)),""))</f>
        <v/>
      </c>
      <c r="K628" s="11">
        <v>2</v>
      </c>
    </row>
    <row r="629" spans="1:11" hidden="1" x14ac:dyDescent="0.3">
      <c r="A629" s="11" t="s">
        <v>406</v>
      </c>
      <c r="B629" t="str">
        <f>VLOOKUP(A629,[1]ListadoFichasDeProduccion!$A$2:$LP$3000,328,FALSE)</f>
        <v>COMPLETADO</v>
      </c>
      <c r="C629" s="11">
        <v>10</v>
      </c>
      <c r="D629" t="s">
        <v>11</v>
      </c>
      <c r="E629" t="s">
        <v>106</v>
      </c>
      <c r="G629" s="9">
        <v>45951</v>
      </c>
      <c r="H629" t="s">
        <v>123</v>
      </c>
      <c r="I629" s="11">
        <v>10</v>
      </c>
      <c r="J629" t="str">
        <f>IF(I629="","",IFERROR(IF(INDEX([1]ListadoFichasDeProduccion!LQ:MB,MATCH(A629,[1]ListadoFichasDeProduccion!A:A,0),K629)=0,"",INDEX([1]ListadoFichasDeProduccion!LQ:MB,MATCH(A629,[1]ListadoFichasDeProduccion!A:A,0),K629)),""))</f>
        <v/>
      </c>
      <c r="K629" s="11">
        <v>1</v>
      </c>
    </row>
    <row r="630" spans="1:11" hidden="1" x14ac:dyDescent="0.3">
      <c r="A630" s="11">
        <v>1906</v>
      </c>
      <c r="B630" s="8" t="str">
        <f>VLOOKUP(A630,[1]ListadoFichasDeProduccion!$A$2:$LP$3000,328,FALSE)</f>
        <v>COMPLETADO</v>
      </c>
      <c r="C630" s="11">
        <v>15</v>
      </c>
      <c r="D630" t="s">
        <v>11</v>
      </c>
      <c r="E630" t="s">
        <v>256</v>
      </c>
      <c r="F630" t="s">
        <v>257</v>
      </c>
      <c r="G630" s="9">
        <v>45859</v>
      </c>
      <c r="H630" t="s">
        <v>24</v>
      </c>
      <c r="I630" s="11">
        <v>6</v>
      </c>
      <c r="J630" t="str">
        <f>IF(I630="","",IFERROR(IF(INDEX([1]ListadoFichasDeProduccion!LQ:MB,MATCH(A630,[1]ListadoFichasDeProduccion!A:A,0),K630)=0,"",INDEX([1]ListadoFichasDeProduccion!LQ:MB,MATCH(A630,[1]ListadoFichasDeProduccion!A:A,0),K630)),""))</f>
        <v/>
      </c>
      <c r="K630" s="11">
        <v>1</v>
      </c>
    </row>
    <row r="631" spans="1:11" hidden="1" x14ac:dyDescent="0.3">
      <c r="A631" s="11">
        <v>1906</v>
      </c>
      <c r="B631" s="8" t="str">
        <f>VLOOKUP(A631,[1]ListadoFichasDeProduccion!$A$2:$LP$3000,328,FALSE)</f>
        <v>COMPLETADO</v>
      </c>
      <c r="C631" s="11">
        <v>15</v>
      </c>
      <c r="D631" t="s">
        <v>11</v>
      </c>
      <c r="E631" t="s">
        <v>256</v>
      </c>
      <c r="F631" t="s">
        <v>257</v>
      </c>
      <c r="G631" s="9">
        <v>45859</v>
      </c>
      <c r="H631" t="s">
        <v>35</v>
      </c>
      <c r="I631" s="11">
        <v>6</v>
      </c>
      <c r="J631" t="str">
        <f>IF(I631="","",IFERROR(IF(INDEX([1]ListadoFichasDeProduccion!LQ:MB,MATCH(A631,[1]ListadoFichasDeProduccion!A:A,0),K631)=0,"",INDEX([1]ListadoFichasDeProduccion!LQ:MB,MATCH(A631,[1]ListadoFichasDeProduccion!A:A,0),K631)),""))</f>
        <v/>
      </c>
      <c r="K631" s="11">
        <v>2</v>
      </c>
    </row>
    <row r="632" spans="1:11" hidden="1" x14ac:dyDescent="0.3">
      <c r="A632" s="11">
        <v>1906</v>
      </c>
      <c r="B632" s="8" t="str">
        <f>VLOOKUP(A632,[1]ListadoFichasDeProduccion!$A$2:$LP$3000,328,FALSE)</f>
        <v>COMPLETADO</v>
      </c>
      <c r="C632" s="11">
        <v>15</v>
      </c>
      <c r="D632" t="s">
        <v>11</v>
      </c>
      <c r="E632" t="s">
        <v>256</v>
      </c>
      <c r="F632" t="s">
        <v>257</v>
      </c>
      <c r="G632" s="9">
        <v>45859</v>
      </c>
      <c r="H632" t="s">
        <v>22</v>
      </c>
      <c r="I632" s="11">
        <v>3</v>
      </c>
      <c r="J632" t="str">
        <f>IF(I632="","",IFERROR(IF(INDEX([1]ListadoFichasDeProduccion!LQ:MB,MATCH(A632,[1]ListadoFichasDeProduccion!A:A,0),K632)=0,"",INDEX([1]ListadoFichasDeProduccion!LQ:MB,MATCH(A632,[1]ListadoFichasDeProduccion!A:A,0),K632)),""))</f>
        <v/>
      </c>
      <c r="K632" s="11">
        <v>3</v>
      </c>
    </row>
    <row r="633" spans="1:11" hidden="1" x14ac:dyDescent="0.3">
      <c r="A633" s="11" t="s">
        <v>322</v>
      </c>
      <c r="B633" t="str">
        <f>VLOOKUP(A633,[1]ListadoFichasDeProduccion!$A$2:$LP$3000,328,FALSE)</f>
        <v>COMPLETADO</v>
      </c>
      <c r="C633" s="11">
        <v>6</v>
      </c>
      <c r="D633" t="s">
        <v>11</v>
      </c>
      <c r="E633" t="s">
        <v>256</v>
      </c>
      <c r="F633" t="s">
        <v>257</v>
      </c>
      <c r="G633" s="9">
        <v>45918</v>
      </c>
      <c r="H633" t="s">
        <v>24</v>
      </c>
      <c r="I633" s="11">
        <v>2</v>
      </c>
      <c r="J633" t="str">
        <f>IF(I633="","",IFERROR(IF(INDEX([1]ListadoFichasDeProduccion!LQ:MB,MATCH(A633,[1]ListadoFichasDeProduccion!A:A,0),K633)=0,"",INDEX([1]ListadoFichasDeProduccion!LQ:MB,MATCH(A633,[1]ListadoFichasDeProduccion!A:A,0),K633)),""))</f>
        <v/>
      </c>
      <c r="K633" s="11">
        <v>1</v>
      </c>
    </row>
    <row r="634" spans="1:11" hidden="1" x14ac:dyDescent="0.3">
      <c r="A634" s="11" t="s">
        <v>322</v>
      </c>
      <c r="B634" t="str">
        <f>VLOOKUP(A634,[1]ListadoFichasDeProduccion!$A$2:$LP$3000,328,FALSE)</f>
        <v>COMPLETADO</v>
      </c>
      <c r="C634" s="11">
        <v>6</v>
      </c>
      <c r="D634" t="s">
        <v>11</v>
      </c>
      <c r="E634" t="s">
        <v>256</v>
      </c>
      <c r="F634" t="s">
        <v>257</v>
      </c>
      <c r="G634" s="9">
        <v>45918</v>
      </c>
      <c r="H634" t="s">
        <v>35</v>
      </c>
      <c r="I634" s="11">
        <v>2</v>
      </c>
      <c r="J634" t="str">
        <f>IF(I634="","",IFERROR(IF(INDEX([1]ListadoFichasDeProduccion!LQ:MB,MATCH(A634,[1]ListadoFichasDeProduccion!A:A,0),K634)=0,"",INDEX([1]ListadoFichasDeProduccion!LQ:MB,MATCH(A634,[1]ListadoFichasDeProduccion!A:A,0),K634)),""))</f>
        <v/>
      </c>
      <c r="K634" s="11">
        <v>2</v>
      </c>
    </row>
    <row r="635" spans="1:11" hidden="1" x14ac:dyDescent="0.3">
      <c r="A635" s="11" t="s">
        <v>322</v>
      </c>
      <c r="B635" t="str">
        <f>VLOOKUP(A635,[1]ListadoFichasDeProduccion!$A$2:$LP$3000,328,FALSE)</f>
        <v>COMPLETADO</v>
      </c>
      <c r="C635" s="11">
        <v>6</v>
      </c>
      <c r="D635" t="s">
        <v>11</v>
      </c>
      <c r="E635" t="s">
        <v>256</v>
      </c>
      <c r="F635" t="s">
        <v>257</v>
      </c>
      <c r="G635" s="9">
        <v>45918</v>
      </c>
      <c r="H635" t="s">
        <v>22</v>
      </c>
      <c r="I635" s="11">
        <v>2</v>
      </c>
      <c r="J635" t="str">
        <f>IF(I635="","",IFERROR(IF(INDEX([1]ListadoFichasDeProduccion!LQ:MB,MATCH(A635,[1]ListadoFichasDeProduccion!A:A,0),K635)=0,"",INDEX([1]ListadoFichasDeProduccion!LQ:MB,MATCH(A635,[1]ListadoFichasDeProduccion!A:A,0),K635)),""))</f>
        <v/>
      </c>
      <c r="K635" s="11">
        <v>3</v>
      </c>
    </row>
    <row r="636" spans="1:11" hidden="1" x14ac:dyDescent="0.3">
      <c r="A636" s="11">
        <v>1658</v>
      </c>
      <c r="B636" s="8" t="str">
        <f>VLOOKUP(A636,[1]ListadoFichasDeProduccion!$A$2:$LP$3000,328,FALSE)</f>
        <v>COMPLETADO</v>
      </c>
      <c r="C636" s="11">
        <v>8</v>
      </c>
      <c r="D636" t="s">
        <v>11</v>
      </c>
      <c r="E636" t="s">
        <v>107</v>
      </c>
      <c r="G636" s="9">
        <v>45713</v>
      </c>
      <c r="H636" t="s">
        <v>24</v>
      </c>
      <c r="I636" s="11">
        <v>8</v>
      </c>
      <c r="J636" t="str">
        <f>IF(I636="","",IFERROR(IF(INDEX([1]ListadoFichasDeProduccion!LQ:MB,MATCH(A636,[1]ListadoFichasDeProduccion!A:A,0),K636)=0,"",INDEX([1]ListadoFichasDeProduccion!LQ:MB,MATCH(A636,[1]ListadoFichasDeProduccion!A:A,0),K636)),""))</f>
        <v/>
      </c>
      <c r="K636" s="11">
        <v>1</v>
      </c>
    </row>
    <row r="637" spans="1:11" x14ac:dyDescent="0.3">
      <c r="A637" s="11">
        <v>1659</v>
      </c>
      <c r="B637" s="8" t="str">
        <f>VLOOKUP(A637,[1]ListadoFichasDeProduccion!$A$2:$LP$3000,328,FALSE)</f>
        <v>EN PRODUCCION</v>
      </c>
      <c r="C637" s="11">
        <v>1</v>
      </c>
      <c r="D637" t="s">
        <v>11</v>
      </c>
      <c r="E637" t="s">
        <v>108</v>
      </c>
      <c r="G637" s="9">
        <v>45706</v>
      </c>
      <c r="H637" s="12" t="s">
        <v>24</v>
      </c>
      <c r="I637" s="11">
        <v>1</v>
      </c>
      <c r="J637" t="str">
        <f>IF(I637="","",IFERROR(IF(INDEX([1]ListadoFichasDeProduccion!LQ:MB,MATCH(A637,[1]ListadoFichasDeProduccion!A:A,0),K637)=0,"",INDEX([1]ListadoFichasDeProduccion!LQ:MB,MATCH(A637,[1]ListadoFichasDeProduccion!A:A,0),K637)),""))</f>
        <v/>
      </c>
      <c r="K637" s="11">
        <v>1</v>
      </c>
    </row>
    <row r="638" spans="1:11" hidden="1" x14ac:dyDescent="0.3">
      <c r="A638" s="11">
        <v>1769</v>
      </c>
      <c r="B638" s="8" t="str">
        <f>VLOOKUP(A638,[1]ListadoFichasDeProduccion!$A$2:$LP$3000,328,FALSE)</f>
        <v>COMPLETADO</v>
      </c>
      <c r="C638" s="11">
        <v>4</v>
      </c>
      <c r="D638" t="s">
        <v>11</v>
      </c>
      <c r="E638" t="s">
        <v>174</v>
      </c>
      <c r="G638" s="9">
        <v>45779</v>
      </c>
      <c r="H638" t="s">
        <v>50</v>
      </c>
      <c r="I638" s="11">
        <v>3</v>
      </c>
      <c r="J638" t="str">
        <f>IF(I638="","",IFERROR(IF(INDEX([1]ListadoFichasDeProduccion!LQ:MB,MATCH(A638,[1]ListadoFichasDeProduccion!A:A,0),K638)=0,"",INDEX([1]ListadoFichasDeProduccion!LQ:MB,MATCH(A638,[1]ListadoFichasDeProduccion!A:A,0),K638)),""))</f>
        <v/>
      </c>
      <c r="K638" s="11">
        <v>1</v>
      </c>
    </row>
    <row r="639" spans="1:11" hidden="1" x14ac:dyDescent="0.3">
      <c r="A639" s="11">
        <v>1769</v>
      </c>
      <c r="B639" s="8" t="str">
        <f>VLOOKUP(A639,[1]ListadoFichasDeProduccion!$A$2:$LP$3000,328,FALSE)</f>
        <v>COMPLETADO</v>
      </c>
      <c r="C639" s="11">
        <v>4</v>
      </c>
      <c r="D639" t="s">
        <v>11</v>
      </c>
      <c r="E639" t="s">
        <v>174</v>
      </c>
      <c r="G639" s="9">
        <v>45779</v>
      </c>
      <c r="H639" t="s">
        <v>31</v>
      </c>
      <c r="I639" s="11">
        <v>1</v>
      </c>
      <c r="J639" t="str">
        <f>IF(I639="","",IFERROR(IF(INDEX([1]ListadoFichasDeProduccion!LQ:MB,MATCH(A639,[1]ListadoFichasDeProduccion!A:A,0),K639)=0,"",INDEX([1]ListadoFichasDeProduccion!LQ:MB,MATCH(A639,[1]ListadoFichasDeProduccion!A:A,0),K639)),""))</f>
        <v/>
      </c>
      <c r="K639" s="11">
        <v>2</v>
      </c>
    </row>
    <row r="640" spans="1:11" hidden="1" x14ac:dyDescent="0.3">
      <c r="A640" s="11">
        <v>1937</v>
      </c>
      <c r="B640" t="str">
        <f>VLOOKUP(A640,[1]ListadoFichasDeProduccion!$A$2:$LP$3000,328,FALSE)</f>
        <v>COMPLETADO</v>
      </c>
      <c r="C640" s="11">
        <v>21</v>
      </c>
      <c r="D640" t="s">
        <v>11</v>
      </c>
      <c r="E640" t="s">
        <v>174</v>
      </c>
      <c r="G640" s="9">
        <v>45884</v>
      </c>
      <c r="H640" t="s">
        <v>28</v>
      </c>
      <c r="I640" s="11">
        <v>9</v>
      </c>
      <c r="J640" t="str">
        <f>IF(I640="","",IFERROR(IF(INDEX([1]ListadoFichasDeProduccion!LQ:MB,MATCH(A640,[1]ListadoFichasDeProduccion!A:A,0),K640)=0,"",INDEX([1]ListadoFichasDeProduccion!LQ:MB,MATCH(A640,[1]ListadoFichasDeProduccion!A:A,0),K640)),""))</f>
        <v/>
      </c>
      <c r="K640" s="11">
        <v>1</v>
      </c>
    </row>
    <row r="641" spans="1:11" hidden="1" x14ac:dyDescent="0.3">
      <c r="A641" s="11">
        <v>1937</v>
      </c>
      <c r="B641" t="str">
        <f>VLOOKUP(A641,[1]ListadoFichasDeProduccion!$A$2:$LP$3000,328,FALSE)</f>
        <v>COMPLETADO</v>
      </c>
      <c r="C641" s="11">
        <v>21</v>
      </c>
      <c r="D641" t="s">
        <v>11</v>
      </c>
      <c r="E641" t="s">
        <v>174</v>
      </c>
      <c r="G641" s="9">
        <v>45884</v>
      </c>
      <c r="H641" t="s">
        <v>31</v>
      </c>
      <c r="I641" s="11">
        <v>6</v>
      </c>
      <c r="J641" t="str">
        <f>IF(I641="","",IFERROR(IF(INDEX([1]ListadoFichasDeProduccion!LQ:MB,MATCH(A641,[1]ListadoFichasDeProduccion!A:A,0),K641)=0,"",INDEX([1]ListadoFichasDeProduccion!LQ:MB,MATCH(A641,[1]ListadoFichasDeProduccion!A:A,0),K641)),""))</f>
        <v/>
      </c>
      <c r="K641" s="11">
        <v>2</v>
      </c>
    </row>
    <row r="642" spans="1:11" hidden="1" x14ac:dyDescent="0.3">
      <c r="A642" s="11">
        <v>1937</v>
      </c>
      <c r="B642" t="str">
        <f>VLOOKUP(A642,[1]ListadoFichasDeProduccion!$A$2:$LP$3000,328,FALSE)</f>
        <v>COMPLETADO</v>
      </c>
      <c r="C642" s="11">
        <v>21</v>
      </c>
      <c r="D642" t="s">
        <v>11</v>
      </c>
      <c r="E642" t="s">
        <v>174</v>
      </c>
      <c r="G642" s="9">
        <v>45884</v>
      </c>
      <c r="H642" t="s">
        <v>27</v>
      </c>
      <c r="I642" s="11">
        <v>6</v>
      </c>
      <c r="J642" t="str">
        <f>IF(I642="","",IFERROR(IF(INDEX([1]ListadoFichasDeProduccion!LQ:MB,MATCH(A642,[1]ListadoFichasDeProduccion!A:A,0),K642)=0,"",INDEX([1]ListadoFichasDeProduccion!LQ:MB,MATCH(A642,[1]ListadoFichasDeProduccion!A:A,0),K642)),""))</f>
        <v/>
      </c>
      <c r="K642" s="11">
        <v>3</v>
      </c>
    </row>
    <row r="643" spans="1:11" hidden="1" x14ac:dyDescent="0.3">
      <c r="A643" s="11">
        <v>1801</v>
      </c>
      <c r="B643" s="8" t="str">
        <f>VLOOKUP(A643,[1]ListadoFichasDeProduccion!$A$2:$LP$3000,328,FALSE)</f>
        <v>COMPLETADO</v>
      </c>
      <c r="C643" s="11">
        <v>18</v>
      </c>
      <c r="D643" t="s">
        <v>11</v>
      </c>
      <c r="E643" t="s">
        <v>202</v>
      </c>
      <c r="G643" s="9">
        <v>45806</v>
      </c>
      <c r="H643" t="s">
        <v>51</v>
      </c>
      <c r="I643" s="11">
        <v>6</v>
      </c>
      <c r="J643" t="str">
        <f>IF(I643="","",IFERROR(IF(INDEX([1]ListadoFichasDeProduccion!LQ:MB,MATCH(A643,[1]ListadoFichasDeProduccion!A:A,0),K643)=0,"",INDEX([1]ListadoFichasDeProduccion!LQ:MB,MATCH(A643,[1]ListadoFichasDeProduccion!A:A,0),K643)),""))</f>
        <v/>
      </c>
      <c r="K643" s="11">
        <v>1</v>
      </c>
    </row>
    <row r="644" spans="1:11" hidden="1" x14ac:dyDescent="0.3">
      <c r="A644" s="11">
        <v>1801</v>
      </c>
      <c r="B644" s="8" t="str">
        <f>VLOOKUP(A644,[1]ListadoFichasDeProduccion!$A$2:$LP$3000,328,FALSE)</f>
        <v>COMPLETADO</v>
      </c>
      <c r="C644" s="11">
        <v>18</v>
      </c>
      <c r="D644" t="s">
        <v>11</v>
      </c>
      <c r="E644" t="s">
        <v>202</v>
      </c>
      <c r="G644" s="9">
        <v>45806</v>
      </c>
      <c r="H644" t="s">
        <v>28</v>
      </c>
      <c r="I644" s="11">
        <v>6</v>
      </c>
      <c r="J644" t="str">
        <f>IF(I644="","",IFERROR(IF(INDEX([1]ListadoFichasDeProduccion!LQ:MB,MATCH(A644,[1]ListadoFichasDeProduccion!A:A,0),K644)=0,"",INDEX([1]ListadoFichasDeProduccion!LQ:MB,MATCH(A644,[1]ListadoFichasDeProduccion!A:A,0),K644)),""))</f>
        <v/>
      </c>
      <c r="K644" s="11">
        <v>2</v>
      </c>
    </row>
    <row r="645" spans="1:11" hidden="1" x14ac:dyDescent="0.3">
      <c r="A645" s="11">
        <v>1801</v>
      </c>
      <c r="B645" s="8" t="str">
        <f>VLOOKUP(A645,[1]ListadoFichasDeProduccion!$A$2:$LP$3000,328,FALSE)</f>
        <v>COMPLETADO</v>
      </c>
      <c r="C645" s="11">
        <v>18</v>
      </c>
      <c r="D645" t="s">
        <v>11</v>
      </c>
      <c r="E645" t="s">
        <v>202</v>
      </c>
      <c r="G645" s="9">
        <v>45806</v>
      </c>
      <c r="H645" t="s">
        <v>50</v>
      </c>
      <c r="I645" s="11">
        <v>6</v>
      </c>
      <c r="J645" t="str">
        <f>IF(I645="","",IFERROR(IF(INDEX([1]ListadoFichasDeProduccion!LQ:MB,MATCH(A645,[1]ListadoFichasDeProduccion!A:A,0),K645)=0,"",INDEX([1]ListadoFichasDeProduccion!LQ:MB,MATCH(A645,[1]ListadoFichasDeProduccion!A:A,0),K645)),""))</f>
        <v/>
      </c>
      <c r="K645" s="11">
        <v>3</v>
      </c>
    </row>
    <row r="646" spans="1:11" hidden="1" x14ac:dyDescent="0.3">
      <c r="A646" s="11">
        <v>1855</v>
      </c>
      <c r="B646" s="8" t="str">
        <f>VLOOKUP(A646,[1]ListadoFichasDeProduccion!$A$2:$LP$3000,328,FALSE)</f>
        <v>COMPLETADO</v>
      </c>
      <c r="C646" s="11">
        <v>34</v>
      </c>
      <c r="D646" t="s">
        <v>11</v>
      </c>
      <c r="E646" t="s">
        <v>236</v>
      </c>
      <c r="G646" s="9">
        <v>45840</v>
      </c>
      <c r="H646" t="s">
        <v>19</v>
      </c>
      <c r="I646" s="11">
        <v>4</v>
      </c>
      <c r="J646" t="str">
        <f>IF(I646="","",IFERROR(IF(INDEX([1]ListadoFichasDeProduccion!LQ:MB,MATCH(A646,[1]ListadoFichasDeProduccion!A:A,0),K646)=0,"",INDEX([1]ListadoFichasDeProduccion!LQ:MB,MATCH(A646,[1]ListadoFichasDeProduccion!A:A,0),K646)),""))</f>
        <v/>
      </c>
      <c r="K646" s="11">
        <v>1</v>
      </c>
    </row>
    <row r="647" spans="1:11" hidden="1" x14ac:dyDescent="0.3">
      <c r="A647" s="11">
        <v>1855</v>
      </c>
      <c r="B647" s="8" t="str">
        <f>VLOOKUP(A647,[1]ListadoFichasDeProduccion!$A$2:$LP$3000,328,FALSE)</f>
        <v>COMPLETADO</v>
      </c>
      <c r="C647" s="11">
        <v>34</v>
      </c>
      <c r="D647" t="s">
        <v>11</v>
      </c>
      <c r="E647" t="s">
        <v>236</v>
      </c>
      <c r="G647" s="9">
        <v>45840</v>
      </c>
      <c r="H647" t="s">
        <v>123</v>
      </c>
      <c r="I647" s="11">
        <v>4</v>
      </c>
      <c r="J647" t="str">
        <f>IF(I647="","",IFERROR(IF(INDEX([1]ListadoFichasDeProduccion!LQ:MB,MATCH(A647,[1]ListadoFichasDeProduccion!A:A,0),K647)=0,"",INDEX([1]ListadoFichasDeProduccion!LQ:MB,MATCH(A647,[1]ListadoFichasDeProduccion!A:A,0),K647)),""))</f>
        <v/>
      </c>
      <c r="K647" s="11">
        <v>2</v>
      </c>
    </row>
    <row r="648" spans="1:11" hidden="1" x14ac:dyDescent="0.3">
      <c r="A648" s="11">
        <v>1855</v>
      </c>
      <c r="B648" s="8" t="str">
        <f>VLOOKUP(A648,[1]ListadoFichasDeProduccion!$A$2:$LP$3000,328,FALSE)</f>
        <v>COMPLETADO</v>
      </c>
      <c r="C648" s="11">
        <v>34</v>
      </c>
      <c r="D648" t="s">
        <v>11</v>
      </c>
      <c r="E648" t="s">
        <v>236</v>
      </c>
      <c r="G648" s="9">
        <v>45840</v>
      </c>
      <c r="H648" t="s">
        <v>31</v>
      </c>
      <c r="I648" s="11">
        <v>2</v>
      </c>
      <c r="J648" t="str">
        <f>IF(I648="","",IFERROR(IF(INDEX([1]ListadoFichasDeProduccion!LQ:MB,MATCH(A648,[1]ListadoFichasDeProduccion!A:A,0),K648)=0,"",INDEX([1]ListadoFichasDeProduccion!LQ:MB,MATCH(A648,[1]ListadoFichasDeProduccion!A:A,0),K648)),""))</f>
        <v/>
      </c>
      <c r="K648" s="11">
        <v>3</v>
      </c>
    </row>
    <row r="649" spans="1:11" hidden="1" x14ac:dyDescent="0.3">
      <c r="A649" s="11">
        <v>1855</v>
      </c>
      <c r="B649" s="8" t="str">
        <f>VLOOKUP(A649,[1]ListadoFichasDeProduccion!$A$2:$LP$3000,328,FALSE)</f>
        <v>COMPLETADO</v>
      </c>
      <c r="C649" s="11">
        <v>34</v>
      </c>
      <c r="D649" t="s">
        <v>11</v>
      </c>
      <c r="E649" t="s">
        <v>236</v>
      </c>
      <c r="G649" s="9">
        <v>45840</v>
      </c>
      <c r="H649" t="s">
        <v>46</v>
      </c>
      <c r="I649" s="11">
        <v>8</v>
      </c>
      <c r="J649" t="str">
        <f>IF(I649="","",IFERROR(IF(INDEX([1]ListadoFichasDeProduccion!LQ:MB,MATCH(A649,[1]ListadoFichasDeProduccion!A:A,0),K649)=0,"",INDEX([1]ListadoFichasDeProduccion!LQ:MB,MATCH(A649,[1]ListadoFichasDeProduccion!A:A,0),K649)),""))</f>
        <v/>
      </c>
      <c r="K649" s="11">
        <v>4</v>
      </c>
    </row>
    <row r="650" spans="1:11" hidden="1" x14ac:dyDescent="0.3">
      <c r="A650" s="11">
        <v>1855</v>
      </c>
      <c r="B650" s="8" t="str">
        <f>VLOOKUP(A650,[1]ListadoFichasDeProduccion!$A$2:$LP$3000,328,FALSE)</f>
        <v>COMPLETADO</v>
      </c>
      <c r="C650" s="11">
        <v>34</v>
      </c>
      <c r="D650" t="s">
        <v>11</v>
      </c>
      <c r="E650" t="s">
        <v>236</v>
      </c>
      <c r="G650" s="9">
        <v>45840</v>
      </c>
      <c r="H650" t="s">
        <v>237</v>
      </c>
      <c r="I650" s="11">
        <v>8</v>
      </c>
      <c r="J650" t="str">
        <f>IF(I650="","",IFERROR(IF(INDEX([1]ListadoFichasDeProduccion!LQ:MB,MATCH(A650,[1]ListadoFichasDeProduccion!A:A,0),K650)=0,"",INDEX([1]ListadoFichasDeProduccion!LQ:MB,MATCH(A650,[1]ListadoFichasDeProduccion!A:A,0),K650)),""))</f>
        <v/>
      </c>
      <c r="K650" s="11">
        <v>5</v>
      </c>
    </row>
    <row r="651" spans="1:11" hidden="1" x14ac:dyDescent="0.3">
      <c r="A651" s="11">
        <v>1855</v>
      </c>
      <c r="B651" s="8" t="str">
        <f>VLOOKUP(A651,[1]ListadoFichasDeProduccion!$A$2:$LP$3000,328,FALSE)</f>
        <v>COMPLETADO</v>
      </c>
      <c r="C651" s="11">
        <v>34</v>
      </c>
      <c r="D651" t="s">
        <v>11</v>
      </c>
      <c r="E651" t="s">
        <v>236</v>
      </c>
      <c r="G651" s="9">
        <v>45840</v>
      </c>
      <c r="H651" t="s">
        <v>238</v>
      </c>
      <c r="I651" s="11">
        <v>8</v>
      </c>
      <c r="J651" t="str">
        <f>IF(I651="","",IFERROR(IF(INDEX([1]ListadoFichasDeProduccion!LQ:MB,MATCH(A651,[1]ListadoFichasDeProduccion!A:A,0),K651)=0,"",INDEX([1]ListadoFichasDeProduccion!LQ:MB,MATCH(A651,[1]ListadoFichasDeProduccion!A:A,0),K651)),""))</f>
        <v/>
      </c>
      <c r="K651" s="11">
        <v>6</v>
      </c>
    </row>
    <row r="652" spans="1:11" hidden="1" x14ac:dyDescent="0.3">
      <c r="A652" s="11">
        <v>1660</v>
      </c>
      <c r="B652" s="8" t="str">
        <f>VLOOKUP(A652,[1]ListadoFichasDeProduccion!$A$2:$LP$3000,328,FALSE)</f>
        <v>COMPLETADO</v>
      </c>
      <c r="C652" s="11">
        <v>7</v>
      </c>
      <c r="D652" t="s">
        <v>11</v>
      </c>
      <c r="E652" t="s">
        <v>109</v>
      </c>
      <c r="G652" s="9">
        <v>45713</v>
      </c>
      <c r="H652" s="12" t="s">
        <v>56</v>
      </c>
      <c r="I652" s="11">
        <v>2</v>
      </c>
      <c r="J652" t="str">
        <f>IF(I652="","",IFERROR(IF(INDEX([1]ListadoFichasDeProduccion!LQ:MB,MATCH(A652,[1]ListadoFichasDeProduccion!A:A,0),K652)=0,"",INDEX([1]ListadoFichasDeProduccion!LQ:MB,MATCH(A652,[1]ListadoFichasDeProduccion!A:A,0),K652)),""))</f>
        <v/>
      </c>
      <c r="K652" s="11">
        <v>1</v>
      </c>
    </row>
    <row r="653" spans="1:11" hidden="1" x14ac:dyDescent="0.3">
      <c r="A653" s="11">
        <v>1660</v>
      </c>
      <c r="B653" s="8" t="str">
        <f>VLOOKUP(A653,[1]ListadoFichasDeProduccion!$A$2:$LP$3000,328,FALSE)</f>
        <v>COMPLETADO</v>
      </c>
      <c r="C653" s="11">
        <v>7</v>
      </c>
      <c r="D653" t="s">
        <v>11</v>
      </c>
      <c r="E653" t="s">
        <v>109</v>
      </c>
      <c r="G653" s="9">
        <v>45713</v>
      </c>
      <c r="H653" t="s">
        <v>26</v>
      </c>
      <c r="I653" s="11">
        <v>2</v>
      </c>
      <c r="J653" t="str">
        <f>IF(I653="","",IFERROR(IF(INDEX([1]ListadoFichasDeProduccion!LQ:MB,MATCH(A653,[1]ListadoFichasDeProduccion!A:A,0),K653)=0,"",INDEX([1]ListadoFichasDeProduccion!LQ:MB,MATCH(A653,[1]ListadoFichasDeProduccion!A:A,0),K653)),""))</f>
        <v/>
      </c>
      <c r="K653" s="11">
        <v>2</v>
      </c>
    </row>
    <row r="654" spans="1:11" hidden="1" x14ac:dyDescent="0.3">
      <c r="A654" s="11">
        <v>1660</v>
      </c>
      <c r="B654" s="8" t="str">
        <f>VLOOKUP(A654,[1]ListadoFichasDeProduccion!$A$2:$LP$3000,328,FALSE)</f>
        <v>COMPLETADO</v>
      </c>
      <c r="C654" s="11">
        <v>7</v>
      </c>
      <c r="D654" t="s">
        <v>11</v>
      </c>
      <c r="E654" t="s">
        <v>109</v>
      </c>
      <c r="G654" s="9">
        <v>45713</v>
      </c>
      <c r="H654" t="s">
        <v>31</v>
      </c>
      <c r="I654" s="11">
        <v>3</v>
      </c>
      <c r="J654" t="str">
        <f>IF(I654="","",IFERROR(IF(INDEX([1]ListadoFichasDeProduccion!LQ:MB,MATCH(A654,[1]ListadoFichasDeProduccion!A:A,0),K654)=0,"",INDEX([1]ListadoFichasDeProduccion!LQ:MB,MATCH(A654,[1]ListadoFichasDeProduccion!A:A,0),K654)),""))</f>
        <v/>
      </c>
      <c r="K654" s="11">
        <v>3</v>
      </c>
    </row>
    <row r="655" spans="1:11" hidden="1" x14ac:dyDescent="0.3">
      <c r="A655" s="11">
        <v>1661</v>
      </c>
      <c r="B655" s="8" t="str">
        <f>VLOOKUP(A655,[1]ListadoFichasDeProduccion!$A$2:$LP$3000,328,FALSE)</f>
        <v>COMPLETADO</v>
      </c>
      <c r="C655" s="11">
        <v>7</v>
      </c>
      <c r="D655" t="s">
        <v>11</v>
      </c>
      <c r="E655" t="s">
        <v>109</v>
      </c>
      <c r="G655" s="9">
        <v>45690</v>
      </c>
      <c r="H655" t="s">
        <v>56</v>
      </c>
      <c r="I655" s="11">
        <v>2</v>
      </c>
      <c r="J655" t="str">
        <f>IF(I655="","",IFERROR(IF(INDEX([1]ListadoFichasDeProduccion!LQ:MB,MATCH(A655,[1]ListadoFichasDeProduccion!A:A,0),K655)=0,"",INDEX([1]ListadoFichasDeProduccion!LQ:MB,MATCH(A655,[1]ListadoFichasDeProduccion!A:A,0),K655)),""))</f>
        <v/>
      </c>
      <c r="K655" s="11">
        <v>1</v>
      </c>
    </row>
    <row r="656" spans="1:11" hidden="1" x14ac:dyDescent="0.3">
      <c r="A656" s="11">
        <v>1661</v>
      </c>
      <c r="B656" s="8" t="str">
        <f>VLOOKUP(A656,[1]ListadoFichasDeProduccion!$A$2:$LP$3000,328,FALSE)</f>
        <v>COMPLETADO</v>
      </c>
      <c r="C656" s="11">
        <v>7</v>
      </c>
      <c r="D656" t="s">
        <v>11</v>
      </c>
      <c r="E656" t="s">
        <v>109</v>
      </c>
      <c r="G656" s="9">
        <v>45690</v>
      </c>
      <c r="H656" t="s">
        <v>26</v>
      </c>
      <c r="I656" s="11">
        <v>2</v>
      </c>
      <c r="J656" t="str">
        <f>IF(I656="","",IFERROR(IF(INDEX([1]ListadoFichasDeProduccion!LQ:MB,MATCH(A656,[1]ListadoFichasDeProduccion!A:A,0),K656)=0,"",INDEX([1]ListadoFichasDeProduccion!LQ:MB,MATCH(A656,[1]ListadoFichasDeProduccion!A:A,0),K656)),""))</f>
        <v/>
      </c>
      <c r="K656" s="11">
        <v>2</v>
      </c>
    </row>
    <row r="657" spans="1:11" hidden="1" x14ac:dyDescent="0.3">
      <c r="A657" s="11">
        <v>1661</v>
      </c>
      <c r="B657" s="8" t="str">
        <f>VLOOKUP(A657,[1]ListadoFichasDeProduccion!$A$2:$LP$3000,328,FALSE)</f>
        <v>COMPLETADO</v>
      </c>
      <c r="C657" s="11">
        <v>7</v>
      </c>
      <c r="D657" t="s">
        <v>11</v>
      </c>
      <c r="E657" t="s">
        <v>109</v>
      </c>
      <c r="G657" s="9">
        <v>45690</v>
      </c>
      <c r="H657" t="s">
        <v>31</v>
      </c>
      <c r="I657" s="11">
        <v>3</v>
      </c>
      <c r="J657" t="str">
        <f>IF(I657="","",IFERROR(IF(INDEX([1]ListadoFichasDeProduccion!LQ:MB,MATCH(A657,[1]ListadoFichasDeProduccion!A:A,0),K657)=0,"",INDEX([1]ListadoFichasDeProduccion!LQ:MB,MATCH(A657,[1]ListadoFichasDeProduccion!A:A,0),K657)),""))</f>
        <v/>
      </c>
      <c r="K657" s="11">
        <v>3</v>
      </c>
    </row>
    <row r="658" spans="1:11" hidden="1" x14ac:dyDescent="0.3">
      <c r="A658" s="11">
        <v>1765</v>
      </c>
      <c r="B658" s="8" t="str">
        <f>VLOOKUP(A658,[1]ListadoFichasDeProduccion!$A$2:$LP$3000,328,FALSE)</f>
        <v>COMPLETADO</v>
      </c>
      <c r="C658" s="11">
        <v>4</v>
      </c>
      <c r="D658" t="s">
        <v>11</v>
      </c>
      <c r="E658" t="s">
        <v>109</v>
      </c>
      <c r="G658" s="9">
        <v>45777</v>
      </c>
      <c r="H658" t="s">
        <v>31</v>
      </c>
      <c r="I658" s="11">
        <v>1</v>
      </c>
      <c r="J658" t="str">
        <f>IF(I658="","",IFERROR(IF(INDEX([1]ListadoFichasDeProduccion!LQ:MB,MATCH(A658,[1]ListadoFichasDeProduccion!A:A,0),K658)=0,"",INDEX([1]ListadoFichasDeProduccion!LQ:MB,MATCH(A658,[1]ListadoFichasDeProduccion!A:A,0),K658)),""))</f>
        <v/>
      </c>
      <c r="K658" s="11">
        <v>1</v>
      </c>
    </row>
    <row r="659" spans="1:11" hidden="1" x14ac:dyDescent="0.3">
      <c r="A659" s="11">
        <v>1765</v>
      </c>
      <c r="B659" s="8" t="str">
        <f>VLOOKUP(A659,[1]ListadoFichasDeProduccion!$A$2:$LP$3000,328,FALSE)</f>
        <v>COMPLETADO</v>
      </c>
      <c r="C659" s="11">
        <v>4</v>
      </c>
      <c r="D659" t="s">
        <v>11</v>
      </c>
      <c r="E659" t="s">
        <v>109</v>
      </c>
      <c r="G659" s="9">
        <v>45777</v>
      </c>
      <c r="H659" t="s">
        <v>26</v>
      </c>
      <c r="I659" s="11">
        <v>3</v>
      </c>
      <c r="J659" t="str">
        <f>IF(I659="","",IFERROR(IF(INDEX([1]ListadoFichasDeProduccion!LQ:MB,MATCH(A659,[1]ListadoFichasDeProduccion!A:A,0),K659)=0,"",INDEX([1]ListadoFichasDeProduccion!LQ:MB,MATCH(A659,[1]ListadoFichasDeProduccion!A:A,0),K659)),""))</f>
        <v/>
      </c>
      <c r="K659" s="11">
        <v>2</v>
      </c>
    </row>
    <row r="660" spans="1:11" hidden="1" x14ac:dyDescent="0.3">
      <c r="A660" s="11">
        <v>1943</v>
      </c>
      <c r="B660" t="str">
        <f>VLOOKUP(A660,[1]ListadoFichasDeProduccion!$A$2:$LP$3000,328,FALSE)</f>
        <v>COMPLETADO</v>
      </c>
      <c r="C660" s="11">
        <v>4</v>
      </c>
      <c r="D660" t="s">
        <v>11</v>
      </c>
      <c r="E660" t="s">
        <v>109</v>
      </c>
      <c r="G660" s="9">
        <v>45883</v>
      </c>
      <c r="H660" t="s">
        <v>31</v>
      </c>
      <c r="I660" s="11">
        <v>2</v>
      </c>
      <c r="J660" t="str">
        <f>IF(I660="","",IFERROR(IF(INDEX([1]ListadoFichasDeProduccion!LQ:MB,MATCH(A660,[1]ListadoFichasDeProduccion!A:A,0),K660)=0,"",INDEX([1]ListadoFichasDeProduccion!LQ:MB,MATCH(A660,[1]ListadoFichasDeProduccion!A:A,0),K660)),""))</f>
        <v/>
      </c>
      <c r="K660" s="11">
        <v>1</v>
      </c>
    </row>
    <row r="661" spans="1:11" hidden="1" x14ac:dyDescent="0.3">
      <c r="A661" s="11">
        <v>1943</v>
      </c>
      <c r="B661" t="str">
        <f>VLOOKUP(A661,[1]ListadoFichasDeProduccion!$A$2:$LP$3000,328,FALSE)</f>
        <v>COMPLETADO</v>
      </c>
      <c r="C661" s="11">
        <v>4</v>
      </c>
      <c r="D661" t="s">
        <v>11</v>
      </c>
      <c r="E661" t="s">
        <v>109</v>
      </c>
      <c r="G661" s="9">
        <v>45883</v>
      </c>
      <c r="H661" t="s">
        <v>51</v>
      </c>
      <c r="I661" s="11">
        <v>2</v>
      </c>
      <c r="J661" t="str">
        <f>IF(I661="","",IFERROR(IF(INDEX([1]ListadoFichasDeProduccion!LQ:MB,MATCH(A661,[1]ListadoFichasDeProduccion!A:A,0),K661)=0,"",INDEX([1]ListadoFichasDeProduccion!LQ:MB,MATCH(A661,[1]ListadoFichasDeProduccion!A:A,0),K661)),""))</f>
        <v/>
      </c>
      <c r="K661" s="11">
        <v>2</v>
      </c>
    </row>
    <row r="662" spans="1:11" hidden="1" x14ac:dyDescent="0.3">
      <c r="A662" s="11">
        <v>1888</v>
      </c>
      <c r="B662" s="8" t="str">
        <f>VLOOKUP(A662,[1]ListadoFichasDeProduccion!$A$2:$LP$3000,328,FALSE)</f>
        <v>COMPLETADO</v>
      </c>
      <c r="C662" s="11">
        <v>8</v>
      </c>
      <c r="D662" t="s">
        <v>11</v>
      </c>
      <c r="E662" t="s">
        <v>241</v>
      </c>
      <c r="G662" s="9">
        <v>45841</v>
      </c>
      <c r="H662" t="s">
        <v>28</v>
      </c>
      <c r="I662" s="11">
        <v>5</v>
      </c>
      <c r="J662" t="str">
        <f>IF(I662="","",IFERROR(IF(INDEX([1]ListadoFichasDeProduccion!LQ:MB,MATCH(A662,[1]ListadoFichasDeProduccion!A:A,0),K662)=0,"",INDEX([1]ListadoFichasDeProduccion!LQ:MB,MATCH(A662,[1]ListadoFichasDeProduccion!A:A,0),K662)),""))</f>
        <v/>
      </c>
      <c r="K662" s="11">
        <v>1</v>
      </c>
    </row>
    <row r="663" spans="1:11" hidden="1" x14ac:dyDescent="0.3">
      <c r="A663" s="11">
        <v>1888</v>
      </c>
      <c r="B663" s="8" t="str">
        <f>VLOOKUP(A663,[1]ListadoFichasDeProduccion!$A$2:$LP$3000,328,FALSE)</f>
        <v>COMPLETADO</v>
      </c>
      <c r="C663" s="11">
        <v>8</v>
      </c>
      <c r="D663" t="s">
        <v>11</v>
      </c>
      <c r="E663" t="s">
        <v>241</v>
      </c>
      <c r="G663" s="9">
        <v>45841</v>
      </c>
      <c r="H663" t="s">
        <v>50</v>
      </c>
      <c r="I663" s="11">
        <v>3</v>
      </c>
      <c r="J663" t="str">
        <f>IF(I663="","",IFERROR(IF(INDEX([1]ListadoFichasDeProduccion!LQ:MB,MATCH(A663,[1]ListadoFichasDeProduccion!A:A,0),K663)=0,"",INDEX([1]ListadoFichasDeProduccion!LQ:MB,MATCH(A663,[1]ListadoFichasDeProduccion!A:A,0),K663)),""))</f>
        <v/>
      </c>
      <c r="K663" s="11">
        <v>2</v>
      </c>
    </row>
    <row r="664" spans="1:11" hidden="1" x14ac:dyDescent="0.3">
      <c r="A664" s="11" t="s">
        <v>375</v>
      </c>
      <c r="B664" t="str">
        <f>VLOOKUP(A664,[1]ListadoFichasDeProduccion!$A$2:$LP$3000,328,FALSE)</f>
        <v>COMPLETADO</v>
      </c>
      <c r="C664" s="11">
        <v>4</v>
      </c>
      <c r="D664" t="s">
        <v>11</v>
      </c>
      <c r="E664" t="s">
        <v>241</v>
      </c>
      <c r="G664" s="9">
        <v>45939</v>
      </c>
      <c r="H664" t="s">
        <v>249</v>
      </c>
      <c r="I664" s="11">
        <v>4</v>
      </c>
      <c r="J664" t="str">
        <f>IF(I664="","",IFERROR(IF(INDEX([1]ListadoFichasDeProduccion!LQ:MB,MATCH(A664,[1]ListadoFichasDeProduccion!A:A,0),K664)=0,"",INDEX([1]ListadoFichasDeProduccion!LQ:MB,MATCH(A664,[1]ListadoFichasDeProduccion!A:A,0),K664)),""))</f>
        <v/>
      </c>
      <c r="K664" s="11">
        <v>1</v>
      </c>
    </row>
    <row r="665" spans="1:11" hidden="1" x14ac:dyDescent="0.3">
      <c r="A665" s="11" t="s">
        <v>412</v>
      </c>
      <c r="B665" t="str">
        <f>VLOOKUP(A665,[1]ListadoFichasDeProduccion!$A$2:$LP$3000,328,FALSE)</f>
        <v>COMPLETADO</v>
      </c>
      <c r="C665" s="11">
        <v>6</v>
      </c>
      <c r="D665" t="s">
        <v>11</v>
      </c>
      <c r="E665" t="s">
        <v>241</v>
      </c>
      <c r="G665" s="9">
        <v>45951</v>
      </c>
      <c r="H665" t="s">
        <v>28</v>
      </c>
      <c r="I665" s="11">
        <v>6</v>
      </c>
      <c r="J665" t="str">
        <f>IF(I665="","",IFERROR(IF(INDEX([1]ListadoFichasDeProduccion!LQ:MB,MATCH(A665,[1]ListadoFichasDeProduccion!A:A,0),K665)=0,"",INDEX([1]ListadoFichasDeProduccion!LQ:MB,MATCH(A665,[1]ListadoFichasDeProduccion!A:A,0),K665)),""))</f>
        <v/>
      </c>
      <c r="K665" s="11">
        <v>1</v>
      </c>
    </row>
    <row r="666" spans="1:11" hidden="1" x14ac:dyDescent="0.3">
      <c r="A666" s="11">
        <v>1856</v>
      </c>
      <c r="B666" s="8" t="str">
        <f>VLOOKUP(A666,[1]ListadoFichasDeProduccion!$A$2:$LP$3000,328,FALSE)</f>
        <v>COMPLETADO</v>
      </c>
      <c r="C666" s="11">
        <v>9</v>
      </c>
      <c r="D666" t="s">
        <v>33</v>
      </c>
      <c r="E666" t="s">
        <v>228</v>
      </c>
      <c r="G666" s="9">
        <v>45831</v>
      </c>
      <c r="H666" t="s">
        <v>56</v>
      </c>
      <c r="I666" s="11">
        <v>3</v>
      </c>
      <c r="J666" t="str">
        <f>IF(I666="","",IFERROR(IF(INDEX([1]ListadoFichasDeProduccion!LQ:MB,MATCH(A666,[1]ListadoFichasDeProduccion!A:A,0),K666)=0,"",INDEX([1]ListadoFichasDeProduccion!LQ:MB,MATCH(A666,[1]ListadoFichasDeProduccion!A:A,0),K666)),""))</f>
        <v/>
      </c>
      <c r="K666" s="11">
        <v>1</v>
      </c>
    </row>
    <row r="667" spans="1:11" hidden="1" x14ac:dyDescent="0.3">
      <c r="A667" s="11">
        <v>1856</v>
      </c>
      <c r="B667" s="8" t="str">
        <f>VLOOKUP(A667,[1]ListadoFichasDeProduccion!$A$2:$LP$3000,328,FALSE)</f>
        <v>COMPLETADO</v>
      </c>
      <c r="C667" s="11">
        <v>9</v>
      </c>
      <c r="D667" t="s">
        <v>33</v>
      </c>
      <c r="E667" t="s">
        <v>228</v>
      </c>
      <c r="G667" s="9">
        <v>45831</v>
      </c>
      <c r="H667" t="s">
        <v>229</v>
      </c>
      <c r="I667" s="11">
        <v>3</v>
      </c>
      <c r="J667" t="str">
        <f>IF(I667="","",IFERROR(IF(INDEX([1]ListadoFichasDeProduccion!LQ:MB,MATCH(A667,[1]ListadoFichasDeProduccion!A:A,0),K667)=0,"",INDEX([1]ListadoFichasDeProduccion!LQ:MB,MATCH(A667,[1]ListadoFichasDeProduccion!A:A,0),K667)),""))</f>
        <v/>
      </c>
      <c r="K667" s="11">
        <v>2</v>
      </c>
    </row>
    <row r="668" spans="1:11" hidden="1" x14ac:dyDescent="0.3">
      <c r="A668" s="11">
        <v>1856</v>
      </c>
      <c r="B668" s="8" t="str">
        <f>VLOOKUP(A668,[1]ListadoFichasDeProduccion!$A$2:$LP$3000,328,FALSE)</f>
        <v>COMPLETADO</v>
      </c>
      <c r="C668" s="11">
        <v>9</v>
      </c>
      <c r="D668" t="s">
        <v>33</v>
      </c>
      <c r="E668" t="s">
        <v>228</v>
      </c>
      <c r="G668" s="9">
        <v>45831</v>
      </c>
      <c r="H668" t="s">
        <v>40</v>
      </c>
      <c r="I668" s="11">
        <v>3</v>
      </c>
      <c r="J668" t="str">
        <f>IF(I668="","",IFERROR(IF(INDEX([1]ListadoFichasDeProduccion!LQ:MB,MATCH(A668,[1]ListadoFichasDeProduccion!A:A,0),K668)=0,"",INDEX([1]ListadoFichasDeProduccion!LQ:MB,MATCH(A668,[1]ListadoFichasDeProduccion!A:A,0),K668)),""))</f>
        <v/>
      </c>
      <c r="K668" s="11">
        <v>3</v>
      </c>
    </row>
    <row r="669" spans="1:11" hidden="1" x14ac:dyDescent="0.3">
      <c r="A669" s="11">
        <v>1834</v>
      </c>
      <c r="B669" s="8" t="str">
        <f>VLOOKUP(A669,[1]ListadoFichasDeProduccion!$A$2:$LP$3000,328,FALSE)</f>
        <v>COMPLETADO</v>
      </c>
      <c r="C669" s="11">
        <v>4</v>
      </c>
      <c r="D669" t="s">
        <v>33</v>
      </c>
      <c r="E669" t="s">
        <v>226</v>
      </c>
      <c r="G669" s="9">
        <v>45813</v>
      </c>
      <c r="H669" t="s">
        <v>44</v>
      </c>
      <c r="I669" s="11">
        <v>4</v>
      </c>
      <c r="J669" t="str">
        <f>IF(I669="","",IFERROR(IF(INDEX([1]ListadoFichasDeProduccion!LQ:MB,MATCH(A669,[1]ListadoFichasDeProduccion!A:A,0),K669)=0,"",INDEX([1]ListadoFichasDeProduccion!LQ:MB,MATCH(A669,[1]ListadoFichasDeProduccion!A:A,0),K669)),""))</f>
        <v/>
      </c>
      <c r="K669" s="11">
        <v>1</v>
      </c>
    </row>
    <row r="670" spans="1:11" hidden="1" x14ac:dyDescent="0.3">
      <c r="A670" s="11">
        <v>1857</v>
      </c>
      <c r="B670" s="8" t="str">
        <f>VLOOKUP(A670,[1]ListadoFichasDeProduccion!$A$2:$LP$3000,328,FALSE)</f>
        <v>COMPLETADO</v>
      </c>
      <c r="C670" s="11">
        <v>12</v>
      </c>
      <c r="D670" t="s">
        <v>33</v>
      </c>
      <c r="E670" t="s">
        <v>230</v>
      </c>
      <c r="G670" s="9">
        <v>45831</v>
      </c>
      <c r="H670" t="s">
        <v>44</v>
      </c>
      <c r="I670" s="11">
        <v>6</v>
      </c>
      <c r="J670" t="str">
        <f>IF(I670="","",IFERROR(IF(INDEX([1]ListadoFichasDeProduccion!LQ:MB,MATCH(A670,[1]ListadoFichasDeProduccion!A:A,0),K670)=0,"",INDEX([1]ListadoFichasDeProduccion!LQ:MB,MATCH(A670,[1]ListadoFichasDeProduccion!A:A,0),K670)),""))</f>
        <v/>
      </c>
      <c r="K670" s="11">
        <v>1</v>
      </c>
    </row>
    <row r="671" spans="1:11" hidden="1" x14ac:dyDescent="0.3">
      <c r="A671" s="11">
        <v>1857</v>
      </c>
      <c r="B671" s="8" t="str">
        <f>VLOOKUP(A671,[1]ListadoFichasDeProduccion!$A$2:$LP$3000,328,FALSE)</f>
        <v>COMPLETADO</v>
      </c>
      <c r="C671" s="11">
        <v>12</v>
      </c>
      <c r="D671" t="s">
        <v>33</v>
      </c>
      <c r="E671" t="s">
        <v>230</v>
      </c>
      <c r="G671" s="9">
        <v>45831</v>
      </c>
      <c r="H671" t="s">
        <v>50</v>
      </c>
      <c r="I671" s="11">
        <v>6</v>
      </c>
      <c r="J671" t="str">
        <f>IF(I671="","",IFERROR(IF(INDEX([1]ListadoFichasDeProduccion!LQ:MB,MATCH(A671,[1]ListadoFichasDeProduccion!A:A,0),K671)=0,"",INDEX([1]ListadoFichasDeProduccion!LQ:MB,MATCH(A671,[1]ListadoFichasDeProduccion!A:A,0),K671)),""))</f>
        <v/>
      </c>
      <c r="K671" s="11">
        <v>2</v>
      </c>
    </row>
    <row r="672" spans="1:11" hidden="1" x14ac:dyDescent="0.3">
      <c r="A672" s="11" t="s">
        <v>383</v>
      </c>
      <c r="B672" t="str">
        <f>VLOOKUP(A672,[1]ListadoFichasDeProduccion!$A$2:$LP$3000,328,FALSE)</f>
        <v>COMPLETADO</v>
      </c>
      <c r="C672" s="11">
        <v>21</v>
      </c>
      <c r="D672" t="s">
        <v>33</v>
      </c>
      <c r="E672" t="s">
        <v>230</v>
      </c>
      <c r="G672" s="9">
        <v>45947</v>
      </c>
      <c r="H672" t="s">
        <v>44</v>
      </c>
      <c r="I672" s="11">
        <v>9</v>
      </c>
      <c r="J672" s="9" t="str">
        <f>IF(I672="","",IFERROR(IF(INDEX([1]ListadoFichasDeProduccion!LQ:MB,MATCH(A672,[1]ListadoFichasDeProduccion!A:A,0),K672)=0,"",INDEX([1]ListadoFichasDeProduccion!LQ:MB,MATCH(A672,[1]ListadoFichasDeProduccion!A:A,0),K672)),""))</f>
        <v/>
      </c>
      <c r="K672" s="11">
        <v>1</v>
      </c>
    </row>
    <row r="673" spans="1:11" hidden="1" x14ac:dyDescent="0.3">
      <c r="A673" s="11" t="s">
        <v>383</v>
      </c>
      <c r="B673" t="str">
        <f>VLOOKUP(A673,[1]ListadoFichasDeProduccion!$A$2:$LP$3000,328,FALSE)</f>
        <v>COMPLETADO</v>
      </c>
      <c r="C673" s="11">
        <v>21</v>
      </c>
      <c r="D673" t="s">
        <v>33</v>
      </c>
      <c r="E673" t="s">
        <v>230</v>
      </c>
      <c r="G673" s="9">
        <v>45947</v>
      </c>
      <c r="H673" t="s">
        <v>50</v>
      </c>
      <c r="I673" s="11">
        <v>12</v>
      </c>
      <c r="J673" s="9" t="str">
        <f>IF(I673="","",IFERROR(IF(INDEX([1]ListadoFichasDeProduccion!LQ:MB,MATCH(A673,[1]ListadoFichasDeProduccion!A:A,0),K673)=0,"",INDEX([1]ListadoFichasDeProduccion!LQ:MB,MATCH(A673,[1]ListadoFichasDeProduccion!A:A,0),K673)),""))</f>
        <v/>
      </c>
      <c r="K673" s="11">
        <v>2</v>
      </c>
    </row>
    <row r="674" spans="1:11" hidden="1" x14ac:dyDescent="0.3">
      <c r="A674" s="11" t="s">
        <v>467</v>
      </c>
      <c r="B674" t="str">
        <f>VLOOKUP(A674,[1]ListadoFichasDeProduccion!$A$2:$LP$3000,328,FALSE)</f>
        <v>COMPLETADO</v>
      </c>
      <c r="C674" s="11">
        <v>36</v>
      </c>
      <c r="D674" t="s">
        <v>33</v>
      </c>
      <c r="E674" t="s">
        <v>230</v>
      </c>
      <c r="G674" s="9">
        <v>45966</v>
      </c>
      <c r="H674" t="s">
        <v>50</v>
      </c>
      <c r="I674" s="11">
        <v>10</v>
      </c>
      <c r="J674" t="str">
        <f>IF(I674="","",IFERROR(IF(INDEX([1]ListadoFichasDeProduccion!LQ:MB,MATCH(A674,[1]ListadoFichasDeProduccion!A:A,0),K674)=0,"",INDEX([1]ListadoFichasDeProduccion!LQ:MB,MATCH(A674,[1]ListadoFichasDeProduccion!A:A,0),K674)),""))</f>
        <v/>
      </c>
      <c r="K674" s="11">
        <v>1</v>
      </c>
    </row>
    <row r="675" spans="1:11" hidden="1" x14ac:dyDescent="0.3">
      <c r="A675" s="11" t="s">
        <v>467</v>
      </c>
      <c r="B675" t="str">
        <f>VLOOKUP(A675,[1]ListadoFichasDeProduccion!$A$2:$LP$3000,328,FALSE)</f>
        <v>COMPLETADO</v>
      </c>
      <c r="C675" s="11">
        <v>36</v>
      </c>
      <c r="D675" t="s">
        <v>33</v>
      </c>
      <c r="E675" t="s">
        <v>230</v>
      </c>
      <c r="G675" s="9">
        <v>45966</v>
      </c>
      <c r="H675" t="s">
        <v>27</v>
      </c>
      <c r="I675" s="11">
        <v>4</v>
      </c>
      <c r="J675" t="str">
        <f>IF(I675="","",IFERROR(IF(INDEX([1]ListadoFichasDeProduccion!LQ:MB,MATCH(A675,[1]ListadoFichasDeProduccion!A:A,0),K675)=0,"",INDEX([1]ListadoFichasDeProduccion!LQ:MB,MATCH(A675,[1]ListadoFichasDeProduccion!A:A,0),K675)),""))</f>
        <v/>
      </c>
      <c r="K675" s="11">
        <v>2</v>
      </c>
    </row>
    <row r="676" spans="1:11" hidden="1" x14ac:dyDescent="0.3">
      <c r="A676" s="11" t="s">
        <v>467</v>
      </c>
      <c r="B676" t="str">
        <f>VLOOKUP(A676,[1]ListadoFichasDeProduccion!$A$2:$LP$3000,328,FALSE)</f>
        <v>COMPLETADO</v>
      </c>
      <c r="C676" s="11">
        <v>36</v>
      </c>
      <c r="D676" t="s">
        <v>33</v>
      </c>
      <c r="E676" t="s">
        <v>230</v>
      </c>
      <c r="G676" s="9">
        <v>45966</v>
      </c>
      <c r="H676" t="s">
        <v>44</v>
      </c>
      <c r="I676" s="11">
        <v>12</v>
      </c>
      <c r="J676" t="str">
        <f>IF(I676="","",IFERROR(IF(INDEX([1]ListadoFichasDeProduccion!LQ:MB,MATCH(A676,[1]ListadoFichasDeProduccion!A:A,0),K676)=0,"",INDEX([1]ListadoFichasDeProduccion!LQ:MB,MATCH(A676,[1]ListadoFichasDeProduccion!A:A,0),K676)),""))</f>
        <v/>
      </c>
      <c r="K676" s="11">
        <v>3</v>
      </c>
    </row>
    <row r="677" spans="1:11" hidden="1" x14ac:dyDescent="0.3">
      <c r="A677" s="11" t="s">
        <v>467</v>
      </c>
      <c r="B677" t="str">
        <f>VLOOKUP(A677,[1]ListadoFichasDeProduccion!$A$2:$LP$3000,328,FALSE)</f>
        <v>COMPLETADO</v>
      </c>
      <c r="C677" s="11">
        <v>36</v>
      </c>
      <c r="D677" t="s">
        <v>33</v>
      </c>
      <c r="E677" t="s">
        <v>230</v>
      </c>
      <c r="G677" s="9">
        <v>45966</v>
      </c>
      <c r="H677" t="s">
        <v>137</v>
      </c>
      <c r="I677" s="11">
        <v>4</v>
      </c>
      <c r="J677" t="str">
        <f>IF(I677="","",IFERROR(IF(INDEX([1]ListadoFichasDeProduccion!LQ:MB,MATCH(A677,[1]ListadoFichasDeProduccion!A:A,0),K677)=0,"",INDEX([1]ListadoFichasDeProduccion!LQ:MB,MATCH(A677,[1]ListadoFichasDeProduccion!A:A,0),K677)),""))</f>
        <v/>
      </c>
      <c r="K677" s="11">
        <v>4</v>
      </c>
    </row>
    <row r="678" spans="1:11" hidden="1" x14ac:dyDescent="0.3">
      <c r="A678" s="11" t="s">
        <v>467</v>
      </c>
      <c r="B678" t="str">
        <f>VLOOKUP(A678,[1]ListadoFichasDeProduccion!$A$2:$LP$3000,328,FALSE)</f>
        <v>COMPLETADO</v>
      </c>
      <c r="C678" s="11">
        <v>36</v>
      </c>
      <c r="D678" t="s">
        <v>33</v>
      </c>
      <c r="E678" t="s">
        <v>230</v>
      </c>
      <c r="G678" s="9">
        <v>45966</v>
      </c>
      <c r="H678" t="s">
        <v>138</v>
      </c>
      <c r="I678" s="11">
        <v>6</v>
      </c>
      <c r="J678" t="str">
        <f>IF(I678="","",IFERROR(IF(INDEX([1]ListadoFichasDeProduccion!LQ:MB,MATCH(A678,[1]ListadoFichasDeProduccion!A:A,0),K678)=0,"",INDEX([1]ListadoFichasDeProduccion!LQ:MB,MATCH(A678,[1]ListadoFichasDeProduccion!A:A,0),K678)),""))</f>
        <v/>
      </c>
      <c r="K678" s="11">
        <v>5</v>
      </c>
    </row>
    <row r="679" spans="1:11" hidden="1" x14ac:dyDescent="0.3">
      <c r="A679" s="11">
        <v>1595</v>
      </c>
      <c r="B679" s="8" t="str">
        <f>VLOOKUP(A679,[1]ListadoFichasDeProduccion!$A$2:$LP$3000,328,FALSE)</f>
        <v>COMPLETADO</v>
      </c>
      <c r="C679" s="11">
        <v>8</v>
      </c>
      <c r="D679" t="s">
        <v>33</v>
      </c>
      <c r="E679" t="s">
        <v>43</v>
      </c>
      <c r="F679" s="9"/>
      <c r="G679" s="9">
        <v>45674</v>
      </c>
      <c r="H679" t="s">
        <v>44</v>
      </c>
      <c r="I679" s="11">
        <v>6</v>
      </c>
      <c r="J679" t="str">
        <f>IF(I679="","",IFERROR(IF(INDEX([1]ListadoFichasDeProduccion!LQ:MB,MATCH(A679,[1]ListadoFichasDeProduccion!A:A,0),K679)=0,"",INDEX([1]ListadoFichasDeProduccion!LQ:MB,MATCH(A679,[1]ListadoFichasDeProduccion!A:A,0),K679)),""))</f>
        <v/>
      </c>
      <c r="K679" s="11">
        <v>1</v>
      </c>
    </row>
    <row r="680" spans="1:11" hidden="1" x14ac:dyDescent="0.3">
      <c r="A680" s="11">
        <v>1595</v>
      </c>
      <c r="B680" s="8" t="str">
        <f>VLOOKUP(A680,[1]ListadoFichasDeProduccion!$A$2:$LP$3000,328,FALSE)</f>
        <v>COMPLETADO</v>
      </c>
      <c r="C680" s="11">
        <v>8</v>
      </c>
      <c r="D680" t="s">
        <v>33</v>
      </c>
      <c r="E680" t="s">
        <v>43</v>
      </c>
      <c r="F680" s="9"/>
      <c r="G680" s="9">
        <v>45674</v>
      </c>
      <c r="H680" t="s">
        <v>31</v>
      </c>
      <c r="I680" s="11">
        <v>2</v>
      </c>
      <c r="J680" t="str">
        <f>IF(I680="","",IFERROR(IF(INDEX([1]ListadoFichasDeProduccion!LQ:MB,MATCH(A680,[1]ListadoFichasDeProduccion!A:A,0),K680)=0,"",INDEX([1]ListadoFichasDeProduccion!LQ:MB,MATCH(A680,[1]ListadoFichasDeProduccion!A:A,0),K680)),""))</f>
        <v/>
      </c>
      <c r="K680" s="11">
        <v>2</v>
      </c>
    </row>
    <row r="681" spans="1:11" hidden="1" x14ac:dyDescent="0.3">
      <c r="A681" s="11">
        <v>1628</v>
      </c>
      <c r="B681" s="8" t="str">
        <f>VLOOKUP(A681,[1]ListadoFichasDeProduccion!$A$2:$LP$3000,328,FALSE)</f>
        <v>COMPLETADO</v>
      </c>
      <c r="C681" s="11">
        <v>8</v>
      </c>
      <c r="D681" t="s">
        <v>33</v>
      </c>
      <c r="E681" t="s">
        <v>43</v>
      </c>
      <c r="F681" s="9"/>
      <c r="G681" s="9">
        <v>45705</v>
      </c>
      <c r="H681" t="s">
        <v>27</v>
      </c>
      <c r="I681" s="11">
        <v>8</v>
      </c>
      <c r="J681" t="str">
        <f>IF(I681="","",IFERROR(IF(INDEX([1]ListadoFichasDeProduccion!LQ:MB,MATCH(A681,[1]ListadoFichasDeProduccion!A:A,0),K681)=0,"",INDEX([1]ListadoFichasDeProduccion!LQ:MB,MATCH(A681,[1]ListadoFichasDeProduccion!A:A,0),K681)),""))</f>
        <v/>
      </c>
      <c r="K681" s="11">
        <v>1</v>
      </c>
    </row>
    <row r="682" spans="1:11" hidden="1" x14ac:dyDescent="0.3">
      <c r="A682" s="11">
        <v>1789</v>
      </c>
      <c r="B682" s="8" t="str">
        <f>VLOOKUP(A682,[1]ListadoFichasDeProduccion!$A$2:$LP$3000,328,FALSE)</f>
        <v>COMPLETADO</v>
      </c>
      <c r="C682" s="11">
        <v>17</v>
      </c>
      <c r="D682" t="s">
        <v>33</v>
      </c>
      <c r="E682" t="s">
        <v>43</v>
      </c>
      <c r="G682" s="9">
        <v>45789</v>
      </c>
      <c r="H682" t="s">
        <v>27</v>
      </c>
      <c r="I682" s="11">
        <v>2</v>
      </c>
      <c r="J682" t="str">
        <f>IF(I682="","",IFERROR(IF(INDEX([1]ListadoFichasDeProduccion!LQ:MB,MATCH(A682,[1]ListadoFichasDeProduccion!A:A,0),K682)=0,"",INDEX([1]ListadoFichasDeProduccion!LQ:MB,MATCH(A682,[1]ListadoFichasDeProduccion!A:A,0),K682)),""))</f>
        <v/>
      </c>
      <c r="K682" s="11">
        <v>1</v>
      </c>
    </row>
    <row r="683" spans="1:11" hidden="1" x14ac:dyDescent="0.3">
      <c r="A683" s="11">
        <v>1789</v>
      </c>
      <c r="B683" s="8" t="str">
        <f>VLOOKUP(A683,[1]ListadoFichasDeProduccion!$A$2:$LP$3000,328,FALSE)</f>
        <v>COMPLETADO</v>
      </c>
      <c r="C683" s="11">
        <v>17</v>
      </c>
      <c r="D683" t="s">
        <v>33</v>
      </c>
      <c r="E683" t="s">
        <v>43</v>
      </c>
      <c r="G683" s="9">
        <v>45789</v>
      </c>
      <c r="H683" t="s">
        <v>44</v>
      </c>
      <c r="I683" s="11">
        <v>9</v>
      </c>
      <c r="J683" t="str">
        <f>IF(I683="","",IFERROR(IF(INDEX([1]ListadoFichasDeProduccion!LQ:MB,MATCH(A683,[1]ListadoFichasDeProduccion!A:A,0),K683)=0,"",INDEX([1]ListadoFichasDeProduccion!LQ:MB,MATCH(A683,[1]ListadoFichasDeProduccion!A:A,0),K683)),""))</f>
        <v/>
      </c>
      <c r="K683" s="11">
        <v>2</v>
      </c>
    </row>
    <row r="684" spans="1:11" hidden="1" x14ac:dyDescent="0.3">
      <c r="A684" s="11">
        <v>1789</v>
      </c>
      <c r="B684" s="8" t="str">
        <f>VLOOKUP(A684,[1]ListadoFichasDeProduccion!$A$2:$LP$3000,328,FALSE)</f>
        <v>COMPLETADO</v>
      </c>
      <c r="C684" s="11">
        <v>17</v>
      </c>
      <c r="D684" t="s">
        <v>33</v>
      </c>
      <c r="E684" t="s">
        <v>43</v>
      </c>
      <c r="G684" s="9">
        <v>45789</v>
      </c>
      <c r="H684" t="s">
        <v>31</v>
      </c>
      <c r="I684" s="11">
        <v>2</v>
      </c>
      <c r="J684" t="str">
        <f>IF(I684="","",IFERROR(IF(INDEX([1]ListadoFichasDeProduccion!LQ:MB,MATCH(A684,[1]ListadoFichasDeProduccion!A:A,0),K684)=0,"",INDEX([1]ListadoFichasDeProduccion!LQ:MB,MATCH(A684,[1]ListadoFichasDeProduccion!A:A,0),K684)),""))</f>
        <v/>
      </c>
      <c r="K684" s="11">
        <v>3</v>
      </c>
    </row>
    <row r="685" spans="1:11" hidden="1" x14ac:dyDescent="0.3">
      <c r="A685" s="11">
        <v>1789</v>
      </c>
      <c r="B685" s="8" t="str">
        <f>VLOOKUP(A685,[1]ListadoFichasDeProduccion!$A$2:$LP$3000,328,FALSE)</f>
        <v>COMPLETADO</v>
      </c>
      <c r="C685" s="11">
        <v>17</v>
      </c>
      <c r="D685" t="s">
        <v>33</v>
      </c>
      <c r="E685" t="s">
        <v>43</v>
      </c>
      <c r="G685" s="9">
        <v>45789</v>
      </c>
      <c r="H685" t="s">
        <v>50</v>
      </c>
      <c r="I685" s="11">
        <v>4</v>
      </c>
      <c r="J685" t="str">
        <f>IF(I685="","",IFERROR(IF(INDEX([1]ListadoFichasDeProduccion!LQ:MB,MATCH(A685,[1]ListadoFichasDeProduccion!A:A,0),K685)=0,"",INDEX([1]ListadoFichasDeProduccion!LQ:MB,MATCH(A685,[1]ListadoFichasDeProduccion!A:A,0),K685)),""))</f>
        <v/>
      </c>
      <c r="K685" s="11">
        <v>4</v>
      </c>
    </row>
    <row r="686" spans="1:11" hidden="1" x14ac:dyDescent="0.3">
      <c r="A686" s="11">
        <v>1891</v>
      </c>
      <c r="B686" s="8" t="str">
        <f>VLOOKUP(A686,[1]ListadoFichasDeProduccion!$A$2:$LP$3000,328,FALSE)</f>
        <v>COMPLETADO</v>
      </c>
      <c r="C686" s="11">
        <v>10</v>
      </c>
      <c r="D686" t="s">
        <v>33</v>
      </c>
      <c r="E686" t="s">
        <v>43</v>
      </c>
      <c r="G686" s="9">
        <v>45848</v>
      </c>
      <c r="H686" t="s">
        <v>27</v>
      </c>
      <c r="I686" s="11">
        <v>2</v>
      </c>
      <c r="J686" t="str">
        <f>IF(I686="","",IFERROR(IF(INDEX([1]ListadoFichasDeProduccion!LQ:MB,MATCH(A686,[1]ListadoFichasDeProduccion!A:A,0),K686)=0,"",INDEX([1]ListadoFichasDeProduccion!LQ:MB,MATCH(A686,[1]ListadoFichasDeProduccion!A:A,0),K686)),""))</f>
        <v/>
      </c>
      <c r="K686" s="11">
        <v>1</v>
      </c>
    </row>
    <row r="687" spans="1:11" hidden="1" x14ac:dyDescent="0.3">
      <c r="A687" s="11">
        <v>1891</v>
      </c>
      <c r="B687" s="8" t="str">
        <f>VLOOKUP(A687,[1]ListadoFichasDeProduccion!$A$2:$LP$3000,328,FALSE)</f>
        <v>COMPLETADO</v>
      </c>
      <c r="C687" s="11">
        <v>10</v>
      </c>
      <c r="D687" t="s">
        <v>33</v>
      </c>
      <c r="E687" t="s">
        <v>43</v>
      </c>
      <c r="G687" s="9">
        <v>45848</v>
      </c>
      <c r="H687" t="s">
        <v>44</v>
      </c>
      <c r="I687" s="11">
        <v>6</v>
      </c>
      <c r="J687" t="str">
        <f>IF(I687="","",IFERROR(IF(INDEX([1]ListadoFichasDeProduccion!LQ:MB,MATCH(A687,[1]ListadoFichasDeProduccion!A:A,0),K687)=0,"",INDEX([1]ListadoFichasDeProduccion!LQ:MB,MATCH(A687,[1]ListadoFichasDeProduccion!A:A,0),K687)),""))</f>
        <v/>
      </c>
      <c r="K687" s="11">
        <v>2</v>
      </c>
    </row>
    <row r="688" spans="1:11" hidden="1" x14ac:dyDescent="0.3">
      <c r="A688" s="11">
        <v>1891</v>
      </c>
      <c r="B688" s="8" t="str">
        <f>VLOOKUP(A688,[1]ListadoFichasDeProduccion!$A$2:$LP$3000,328,FALSE)</f>
        <v>COMPLETADO</v>
      </c>
      <c r="C688" s="11">
        <v>10</v>
      </c>
      <c r="D688" t="s">
        <v>33</v>
      </c>
      <c r="E688" t="s">
        <v>43</v>
      </c>
      <c r="G688" s="9">
        <v>45848</v>
      </c>
      <c r="H688" t="s">
        <v>50</v>
      </c>
      <c r="I688" s="11">
        <v>2</v>
      </c>
      <c r="J688" t="str">
        <f>IF(I688="","",IFERROR(IF(INDEX([1]ListadoFichasDeProduccion!LQ:MB,MATCH(A688,[1]ListadoFichasDeProduccion!A:A,0),K688)=0,"",INDEX([1]ListadoFichasDeProduccion!LQ:MB,MATCH(A688,[1]ListadoFichasDeProduccion!A:A,0),K688)),""))</f>
        <v/>
      </c>
      <c r="K688" s="11">
        <v>3</v>
      </c>
    </row>
    <row r="689" spans="1:11" hidden="1" x14ac:dyDescent="0.3">
      <c r="A689" s="11" t="s">
        <v>384</v>
      </c>
      <c r="B689" t="str">
        <f>VLOOKUP(A689,[1]ListadoFichasDeProduccion!$A$2:$LP$3000,328,FALSE)</f>
        <v>COMPLETADO</v>
      </c>
      <c r="C689" s="11">
        <v>26</v>
      </c>
      <c r="D689" t="s">
        <v>33</v>
      </c>
      <c r="E689" t="s">
        <v>43</v>
      </c>
      <c r="G689" s="9">
        <v>45938</v>
      </c>
      <c r="H689" t="s">
        <v>51</v>
      </c>
      <c r="I689" s="11">
        <v>2</v>
      </c>
      <c r="J689" t="str">
        <f>IF(I689="","",IFERROR(IF(INDEX([1]ListadoFichasDeProduccion!LQ:MB,MATCH(A689,[1]ListadoFichasDeProduccion!A:A,0),K689)=0,"",INDEX([1]ListadoFichasDeProduccion!LQ:MB,MATCH(A689,[1]ListadoFichasDeProduccion!A:A,0),K689)),""))</f>
        <v/>
      </c>
      <c r="K689" s="11">
        <v>1</v>
      </c>
    </row>
    <row r="690" spans="1:11" hidden="1" x14ac:dyDescent="0.3">
      <c r="A690" s="11" t="s">
        <v>384</v>
      </c>
      <c r="B690" t="str">
        <f>VLOOKUP(A690,[1]ListadoFichasDeProduccion!$A$2:$LP$3000,328,FALSE)</f>
        <v>COMPLETADO</v>
      </c>
      <c r="C690" s="11">
        <v>26</v>
      </c>
      <c r="D690" t="s">
        <v>33</v>
      </c>
      <c r="E690" t="s">
        <v>43</v>
      </c>
      <c r="G690" s="9">
        <v>45938</v>
      </c>
      <c r="H690" t="s">
        <v>44</v>
      </c>
      <c r="I690" s="11">
        <v>9</v>
      </c>
      <c r="J690" t="str">
        <f>IF(I690="","",IFERROR(IF(INDEX([1]ListadoFichasDeProduccion!LQ:MB,MATCH(A690,[1]ListadoFichasDeProduccion!A:A,0),K690)=0,"",INDEX([1]ListadoFichasDeProduccion!LQ:MB,MATCH(A690,[1]ListadoFichasDeProduccion!A:A,0),K690)),""))</f>
        <v/>
      </c>
      <c r="K690" s="11">
        <v>2</v>
      </c>
    </row>
    <row r="691" spans="1:11" hidden="1" x14ac:dyDescent="0.3">
      <c r="A691" s="11" t="s">
        <v>384</v>
      </c>
      <c r="B691" t="str">
        <f>VLOOKUP(A691,[1]ListadoFichasDeProduccion!$A$2:$LP$3000,328,FALSE)</f>
        <v>COMPLETADO</v>
      </c>
      <c r="C691" s="11">
        <v>26</v>
      </c>
      <c r="D691" t="s">
        <v>33</v>
      </c>
      <c r="E691" t="s">
        <v>43</v>
      </c>
      <c r="G691" s="9">
        <v>45938</v>
      </c>
      <c r="H691" t="s">
        <v>31</v>
      </c>
      <c r="I691" s="11">
        <v>6</v>
      </c>
      <c r="J691" t="str">
        <f>IF(I691="","",IFERROR(IF(INDEX([1]ListadoFichasDeProduccion!LQ:MB,MATCH(A691,[1]ListadoFichasDeProduccion!A:A,0),K691)=0,"",INDEX([1]ListadoFichasDeProduccion!LQ:MB,MATCH(A691,[1]ListadoFichasDeProduccion!A:A,0),K691)),""))</f>
        <v/>
      </c>
      <c r="K691" s="11">
        <v>3</v>
      </c>
    </row>
    <row r="692" spans="1:11" hidden="1" x14ac:dyDescent="0.3">
      <c r="A692" s="11" t="s">
        <v>384</v>
      </c>
      <c r="B692" t="str">
        <f>VLOOKUP(A692,[1]ListadoFichasDeProduccion!$A$2:$LP$3000,328,FALSE)</f>
        <v>COMPLETADO</v>
      </c>
      <c r="C692" s="11">
        <v>26</v>
      </c>
      <c r="D692" t="s">
        <v>33</v>
      </c>
      <c r="E692" t="s">
        <v>43</v>
      </c>
      <c r="G692" s="9">
        <v>45938</v>
      </c>
      <c r="H692" t="s">
        <v>50</v>
      </c>
      <c r="I692" s="11">
        <v>9</v>
      </c>
      <c r="J692" t="str">
        <f>IF(I692="","",IFERROR(IF(INDEX([1]ListadoFichasDeProduccion!LQ:MB,MATCH(A692,[1]ListadoFichasDeProduccion!A:A,0),K692)=0,"",INDEX([1]ListadoFichasDeProduccion!LQ:MB,MATCH(A692,[1]ListadoFichasDeProduccion!A:A,0),K692)),""))</f>
        <v/>
      </c>
      <c r="K692" s="11">
        <v>4</v>
      </c>
    </row>
    <row r="693" spans="1:11" hidden="1" x14ac:dyDescent="0.3">
      <c r="A693" s="11">
        <v>1779</v>
      </c>
      <c r="B693" s="8" t="str">
        <f>VLOOKUP(A693,[1]ListadoFichasDeProduccion!$A$2:$LP$3000,328,FALSE)</f>
        <v>COMPLETADO</v>
      </c>
      <c r="C693" s="11">
        <v>18</v>
      </c>
      <c r="D693" t="s">
        <v>33</v>
      </c>
      <c r="E693" t="s">
        <v>178</v>
      </c>
      <c r="G693" s="9">
        <v>45777</v>
      </c>
      <c r="H693" t="s">
        <v>44</v>
      </c>
      <c r="I693" s="11">
        <v>4</v>
      </c>
      <c r="J693" t="str">
        <f>IF(I693="","",IFERROR(IF(INDEX([1]ListadoFichasDeProduccion!LQ:MB,MATCH(A693,[1]ListadoFichasDeProduccion!A:A,0),K693)=0,"",INDEX([1]ListadoFichasDeProduccion!LQ:MB,MATCH(A693,[1]ListadoFichasDeProduccion!A:A,0),K693)),""))</f>
        <v/>
      </c>
      <c r="K693" s="11">
        <v>1</v>
      </c>
    </row>
    <row r="694" spans="1:11" hidden="1" x14ac:dyDescent="0.3">
      <c r="A694" s="11">
        <v>1779</v>
      </c>
      <c r="B694" s="8" t="str">
        <f>VLOOKUP(A694,[1]ListadoFichasDeProduccion!$A$2:$LP$3000,328,FALSE)</f>
        <v>COMPLETADO</v>
      </c>
      <c r="C694" s="11">
        <v>18</v>
      </c>
      <c r="D694" t="s">
        <v>33</v>
      </c>
      <c r="E694" t="s">
        <v>178</v>
      </c>
      <c r="G694" s="9">
        <v>45777</v>
      </c>
      <c r="H694" t="s">
        <v>35</v>
      </c>
      <c r="I694" s="11">
        <v>6</v>
      </c>
      <c r="J694" t="str">
        <f>IF(I694="","",IFERROR(IF(INDEX([1]ListadoFichasDeProduccion!LQ:MB,MATCH(A694,[1]ListadoFichasDeProduccion!A:A,0),K694)=0,"",INDEX([1]ListadoFichasDeProduccion!LQ:MB,MATCH(A694,[1]ListadoFichasDeProduccion!A:A,0),K694)),""))</f>
        <v/>
      </c>
      <c r="K694" s="11">
        <v>2</v>
      </c>
    </row>
    <row r="695" spans="1:11" hidden="1" x14ac:dyDescent="0.3">
      <c r="A695" s="11">
        <v>1779</v>
      </c>
      <c r="B695" s="8" t="str">
        <f>VLOOKUP(A695,[1]ListadoFichasDeProduccion!$A$2:$LP$3000,328,FALSE)</f>
        <v>COMPLETADO</v>
      </c>
      <c r="C695" s="11">
        <v>18</v>
      </c>
      <c r="D695" t="s">
        <v>33</v>
      </c>
      <c r="E695" t="s">
        <v>178</v>
      </c>
      <c r="G695" s="9">
        <v>45777</v>
      </c>
      <c r="H695" t="s">
        <v>31</v>
      </c>
      <c r="I695" s="11">
        <v>8</v>
      </c>
      <c r="J695" t="str">
        <f>IF(I695="","",IFERROR(IF(INDEX([1]ListadoFichasDeProduccion!LQ:MB,MATCH(A695,[1]ListadoFichasDeProduccion!A:A,0),K695)=0,"",INDEX([1]ListadoFichasDeProduccion!LQ:MB,MATCH(A695,[1]ListadoFichasDeProduccion!A:A,0),K695)),""))</f>
        <v/>
      </c>
      <c r="K695" s="11">
        <v>3</v>
      </c>
    </row>
    <row r="696" spans="1:11" hidden="1" x14ac:dyDescent="0.3">
      <c r="A696" s="11">
        <v>1858</v>
      </c>
      <c r="B696" s="8" t="str">
        <f>VLOOKUP(A696,[1]ListadoFichasDeProduccion!$A$2:$LP$3000,328,FALSE)</f>
        <v>COMPLETADO</v>
      </c>
      <c r="C696" s="11">
        <v>22</v>
      </c>
      <c r="D696" t="s">
        <v>33</v>
      </c>
      <c r="E696" t="s">
        <v>178</v>
      </c>
      <c r="G696" s="9">
        <v>45831</v>
      </c>
      <c r="H696" t="s">
        <v>51</v>
      </c>
      <c r="I696" s="11">
        <v>4</v>
      </c>
      <c r="J696" t="str">
        <f>IF(I696="","",IFERROR(IF(INDEX([1]ListadoFichasDeProduccion!LQ:MB,MATCH(A696,[1]ListadoFichasDeProduccion!A:A,0),K696)=0,"",INDEX([1]ListadoFichasDeProduccion!LQ:MB,MATCH(A696,[1]ListadoFichasDeProduccion!A:A,0),K696)),""))</f>
        <v/>
      </c>
      <c r="K696" s="11">
        <v>1</v>
      </c>
    </row>
    <row r="697" spans="1:11" hidden="1" x14ac:dyDescent="0.3">
      <c r="A697" s="11">
        <v>1858</v>
      </c>
      <c r="B697" s="8" t="str">
        <f>VLOOKUP(A697,[1]ListadoFichasDeProduccion!$A$2:$LP$3000,328,FALSE)</f>
        <v>COMPLETADO</v>
      </c>
      <c r="C697" s="11">
        <v>22</v>
      </c>
      <c r="D697" t="s">
        <v>33</v>
      </c>
      <c r="E697" t="s">
        <v>178</v>
      </c>
      <c r="G697" s="9">
        <v>45831</v>
      </c>
      <c r="H697" t="s">
        <v>31</v>
      </c>
      <c r="I697" s="11">
        <v>6</v>
      </c>
      <c r="J697" t="str">
        <f>IF(I697="","",IFERROR(IF(INDEX([1]ListadoFichasDeProduccion!LQ:MB,MATCH(A697,[1]ListadoFichasDeProduccion!A:A,0),K697)=0,"",INDEX([1]ListadoFichasDeProduccion!LQ:MB,MATCH(A697,[1]ListadoFichasDeProduccion!A:A,0),K697)),""))</f>
        <v/>
      </c>
      <c r="K697" s="11">
        <v>2</v>
      </c>
    </row>
    <row r="698" spans="1:11" hidden="1" x14ac:dyDescent="0.3">
      <c r="A698" s="11">
        <v>1858</v>
      </c>
      <c r="B698" s="8" t="str">
        <f>VLOOKUP(A698,[1]ListadoFichasDeProduccion!$A$2:$LP$3000,328,FALSE)</f>
        <v>COMPLETADO</v>
      </c>
      <c r="C698" s="11">
        <v>22</v>
      </c>
      <c r="D698" t="s">
        <v>33</v>
      </c>
      <c r="E698" t="s">
        <v>178</v>
      </c>
      <c r="G698" s="9">
        <v>45831</v>
      </c>
      <c r="H698" t="s">
        <v>44</v>
      </c>
      <c r="I698" s="11">
        <v>6</v>
      </c>
      <c r="J698" t="str">
        <f>IF(I698="","",IFERROR(IF(INDEX([1]ListadoFichasDeProduccion!LQ:MB,MATCH(A698,[1]ListadoFichasDeProduccion!A:A,0),K698)=0,"",INDEX([1]ListadoFichasDeProduccion!LQ:MB,MATCH(A698,[1]ListadoFichasDeProduccion!A:A,0),K698)),""))</f>
        <v/>
      </c>
      <c r="K698" s="11">
        <v>3</v>
      </c>
    </row>
    <row r="699" spans="1:11" hidden="1" x14ac:dyDescent="0.3">
      <c r="A699" s="11">
        <v>1858</v>
      </c>
      <c r="B699" s="8" t="str">
        <f>VLOOKUP(A699,[1]ListadoFichasDeProduccion!$A$2:$LP$3000,328,FALSE)</f>
        <v>COMPLETADO</v>
      </c>
      <c r="C699" s="11">
        <v>22</v>
      </c>
      <c r="D699" t="s">
        <v>33</v>
      </c>
      <c r="E699" t="s">
        <v>178</v>
      </c>
      <c r="G699" s="9">
        <v>45831</v>
      </c>
      <c r="H699" t="s">
        <v>50</v>
      </c>
      <c r="I699" s="11">
        <v>6</v>
      </c>
      <c r="J699" t="str">
        <f>IF(I699="","",IFERROR(IF(INDEX([1]ListadoFichasDeProduccion!LQ:MB,MATCH(A699,[1]ListadoFichasDeProduccion!A:A,0),K699)=0,"",INDEX([1]ListadoFichasDeProduccion!LQ:MB,MATCH(A699,[1]ListadoFichasDeProduccion!A:A,0),K699)),""))</f>
        <v/>
      </c>
      <c r="K699" s="11">
        <v>4</v>
      </c>
    </row>
    <row r="700" spans="1:11" x14ac:dyDescent="0.3">
      <c r="A700" s="11" t="s">
        <v>466</v>
      </c>
      <c r="B700" t="str">
        <f>VLOOKUP(A700,[1]ListadoFichasDeProduccion!$A$2:$LP$3000,328,FALSE)</f>
        <v>NO COMENZADO</v>
      </c>
      <c r="C700" s="11">
        <v>42</v>
      </c>
      <c r="D700" t="s">
        <v>33</v>
      </c>
      <c r="E700" t="s">
        <v>178</v>
      </c>
      <c r="H700" t="s">
        <v>51</v>
      </c>
      <c r="I700" s="11">
        <v>6</v>
      </c>
      <c r="J700" t="str">
        <f>IF(I700="","",IFERROR(IF(INDEX([1]ListadoFichasDeProduccion!LQ:MB,MATCH(A700,[1]ListadoFichasDeProduccion!A:A,0),K700)=0,"",INDEX([1]ListadoFichasDeProduccion!LQ:MB,MATCH(A700,[1]ListadoFichasDeProduccion!A:A,0),K700)),""))</f>
        <v/>
      </c>
      <c r="K700" s="11">
        <v>1</v>
      </c>
    </row>
    <row r="701" spans="1:11" x14ac:dyDescent="0.3">
      <c r="A701" s="11" t="s">
        <v>466</v>
      </c>
      <c r="B701" t="str">
        <f>VLOOKUP(A701,[1]ListadoFichasDeProduccion!$A$2:$LP$3000,328,FALSE)</f>
        <v>NO COMENZADO</v>
      </c>
      <c r="C701" s="11">
        <v>42</v>
      </c>
      <c r="D701" t="s">
        <v>33</v>
      </c>
      <c r="E701" t="s">
        <v>178</v>
      </c>
      <c r="H701" t="s">
        <v>44</v>
      </c>
      <c r="I701" s="11">
        <v>4</v>
      </c>
      <c r="J701" t="str">
        <f>IF(I701="","",IFERROR(IF(INDEX([1]ListadoFichasDeProduccion!LQ:MB,MATCH(A701,[1]ListadoFichasDeProduccion!A:A,0),K701)=0,"",INDEX([1]ListadoFichasDeProduccion!LQ:MB,MATCH(A701,[1]ListadoFichasDeProduccion!A:A,0),K701)),""))</f>
        <v/>
      </c>
      <c r="K701" s="11">
        <v>2</v>
      </c>
    </row>
    <row r="702" spans="1:11" x14ac:dyDescent="0.3">
      <c r="A702" s="11" t="s">
        <v>466</v>
      </c>
      <c r="B702" t="str">
        <f>VLOOKUP(A702,[1]ListadoFichasDeProduccion!$A$2:$LP$3000,328,FALSE)</f>
        <v>NO COMENZADO</v>
      </c>
      <c r="C702" s="11">
        <v>42</v>
      </c>
      <c r="D702" t="s">
        <v>33</v>
      </c>
      <c r="E702" t="s">
        <v>178</v>
      </c>
      <c r="H702" t="s">
        <v>31</v>
      </c>
      <c r="I702" s="11">
        <v>10</v>
      </c>
      <c r="J702" t="str">
        <f>IF(I702="","",IFERROR(IF(INDEX([1]ListadoFichasDeProduccion!LQ:MB,MATCH(A702,[1]ListadoFichasDeProduccion!A:A,0),K702)=0,"",INDEX([1]ListadoFichasDeProduccion!LQ:MB,MATCH(A702,[1]ListadoFichasDeProduccion!A:A,0),K702)),""))</f>
        <v/>
      </c>
      <c r="K702" s="11">
        <v>3</v>
      </c>
    </row>
    <row r="703" spans="1:11" x14ac:dyDescent="0.3">
      <c r="A703" s="11" t="s">
        <v>466</v>
      </c>
      <c r="B703" t="str">
        <f>VLOOKUP(A703,[1]ListadoFichasDeProduccion!$A$2:$LP$3000,328,FALSE)</f>
        <v>NO COMENZADO</v>
      </c>
      <c r="C703" s="11">
        <v>42</v>
      </c>
      <c r="D703" t="s">
        <v>33</v>
      </c>
      <c r="E703" t="s">
        <v>178</v>
      </c>
      <c r="H703" t="s">
        <v>50</v>
      </c>
      <c r="I703" s="11">
        <v>4</v>
      </c>
      <c r="J703" t="str">
        <f>IF(I703="","",IFERROR(IF(INDEX([1]ListadoFichasDeProduccion!LQ:MB,MATCH(A703,[1]ListadoFichasDeProduccion!A:A,0),K703)=0,"",INDEX([1]ListadoFichasDeProduccion!LQ:MB,MATCH(A703,[1]ListadoFichasDeProduccion!A:A,0),K703)),""))</f>
        <v/>
      </c>
      <c r="K703" s="11">
        <v>4</v>
      </c>
    </row>
    <row r="704" spans="1:11" x14ac:dyDescent="0.3">
      <c r="A704" s="11" t="s">
        <v>466</v>
      </c>
      <c r="B704" t="str">
        <f>VLOOKUP(A704,[1]ListadoFichasDeProduccion!$A$2:$LP$3000,328,FALSE)</f>
        <v>NO COMENZADO</v>
      </c>
      <c r="C704" s="11">
        <v>42</v>
      </c>
      <c r="D704" t="s">
        <v>33</v>
      </c>
      <c r="E704" t="s">
        <v>178</v>
      </c>
      <c r="H704" t="s">
        <v>39</v>
      </c>
      <c r="I704" s="11">
        <v>4</v>
      </c>
      <c r="J704" t="str">
        <f>IF(I704="","",IFERROR(IF(INDEX([1]ListadoFichasDeProduccion!LQ:MB,MATCH(A704,[1]ListadoFichasDeProduccion!A:A,0),K704)=0,"",INDEX([1]ListadoFichasDeProduccion!LQ:MB,MATCH(A704,[1]ListadoFichasDeProduccion!A:A,0),K704)),""))</f>
        <v/>
      </c>
      <c r="K704" s="11">
        <v>5</v>
      </c>
    </row>
    <row r="705" spans="1:11" x14ac:dyDescent="0.3">
      <c r="A705" s="11" t="s">
        <v>466</v>
      </c>
      <c r="B705" t="str">
        <f>VLOOKUP(A705,[1]ListadoFichasDeProduccion!$A$2:$LP$3000,328,FALSE)</f>
        <v>NO COMENZADO</v>
      </c>
      <c r="C705" s="11">
        <v>42</v>
      </c>
      <c r="D705" t="s">
        <v>33</v>
      </c>
      <c r="E705" t="s">
        <v>178</v>
      </c>
      <c r="H705" t="s">
        <v>158</v>
      </c>
      <c r="I705" s="11">
        <v>4</v>
      </c>
      <c r="J705" t="str">
        <f>IF(I705="","",IFERROR(IF(INDEX([1]ListadoFichasDeProduccion!LQ:MB,MATCH(A705,[1]ListadoFichasDeProduccion!A:A,0),K705)=0,"",INDEX([1]ListadoFichasDeProduccion!LQ:MB,MATCH(A705,[1]ListadoFichasDeProduccion!A:A,0),K705)),""))</f>
        <v/>
      </c>
      <c r="K705" s="11">
        <v>6</v>
      </c>
    </row>
    <row r="706" spans="1:11" x14ac:dyDescent="0.3">
      <c r="A706" s="11" t="s">
        <v>466</v>
      </c>
      <c r="B706" t="str">
        <f>VLOOKUP(A706,[1]ListadoFichasDeProduccion!$A$2:$LP$3000,328,FALSE)</f>
        <v>NO COMENZADO</v>
      </c>
      <c r="C706" s="11">
        <v>42</v>
      </c>
      <c r="D706" t="s">
        <v>33</v>
      </c>
      <c r="E706" t="s">
        <v>178</v>
      </c>
      <c r="H706" t="s">
        <v>81</v>
      </c>
      <c r="I706" s="11">
        <v>10</v>
      </c>
      <c r="J706" t="str">
        <f>IF(I706="","",IFERROR(IF(INDEX([1]ListadoFichasDeProduccion!LQ:MB,MATCH(A706,[1]ListadoFichasDeProduccion!A:A,0),K706)=0,"",INDEX([1]ListadoFichasDeProduccion!LQ:MB,MATCH(A706,[1]ListadoFichasDeProduccion!A:A,0),K706)),""))</f>
        <v/>
      </c>
      <c r="K706" s="11">
        <v>7</v>
      </c>
    </row>
    <row r="707" spans="1:11" hidden="1" x14ac:dyDescent="0.3">
      <c r="A707" s="11">
        <v>1629</v>
      </c>
      <c r="B707" s="8" t="str">
        <f>VLOOKUP(A707,[1]ListadoFichasDeProduccion!$A$2:$LP$3000,328,FALSE)</f>
        <v>COMPLETADO</v>
      </c>
      <c r="C707" s="11">
        <v>11</v>
      </c>
      <c r="D707" t="s">
        <v>11</v>
      </c>
      <c r="E707" t="s">
        <v>69</v>
      </c>
      <c r="F707" s="9" t="s">
        <v>70</v>
      </c>
      <c r="G707" s="9">
        <v>45705</v>
      </c>
      <c r="H707" t="s">
        <v>51</v>
      </c>
      <c r="I707" s="11">
        <v>4</v>
      </c>
      <c r="J707" t="str">
        <f>IF(I707="","",IFERROR(IF(INDEX([1]ListadoFichasDeProduccion!LQ:MB,MATCH(A707,[1]ListadoFichasDeProduccion!A:A,0),K707)=0,"",INDEX([1]ListadoFichasDeProduccion!LQ:MB,MATCH(A707,[1]ListadoFichasDeProduccion!A:A,0),K707)),""))</f>
        <v/>
      </c>
      <c r="K707" s="11">
        <v>1</v>
      </c>
    </row>
    <row r="708" spans="1:11" hidden="1" x14ac:dyDescent="0.3">
      <c r="A708" s="11">
        <v>1629</v>
      </c>
      <c r="B708" s="8" t="str">
        <f>VLOOKUP(A708,[1]ListadoFichasDeProduccion!$A$2:$LP$3000,328,FALSE)</f>
        <v>COMPLETADO</v>
      </c>
      <c r="C708" s="11">
        <v>11</v>
      </c>
      <c r="D708" t="s">
        <v>11</v>
      </c>
      <c r="E708" t="s">
        <v>69</v>
      </c>
      <c r="F708" s="9" t="s">
        <v>70</v>
      </c>
      <c r="G708" s="9">
        <v>45705</v>
      </c>
      <c r="H708" s="12" t="s">
        <v>31</v>
      </c>
      <c r="I708" s="11">
        <v>4</v>
      </c>
      <c r="J708" t="str">
        <f>IF(I708="","",IFERROR(IF(INDEX([1]ListadoFichasDeProduccion!LQ:MB,MATCH(A708,[1]ListadoFichasDeProduccion!A:A,0),K708)=0,"",INDEX([1]ListadoFichasDeProduccion!LQ:MB,MATCH(A708,[1]ListadoFichasDeProduccion!A:A,0),K708)),""))</f>
        <v/>
      </c>
      <c r="K708" s="11">
        <v>2</v>
      </c>
    </row>
    <row r="709" spans="1:11" hidden="1" x14ac:dyDescent="0.3">
      <c r="A709" s="11">
        <v>1629</v>
      </c>
      <c r="B709" s="8" t="str">
        <f>VLOOKUP(A709,[1]ListadoFichasDeProduccion!$A$2:$LP$3000,328,FALSE)</f>
        <v>COMPLETADO</v>
      </c>
      <c r="C709" s="11">
        <v>11</v>
      </c>
      <c r="D709" t="s">
        <v>11</v>
      </c>
      <c r="E709" t="s">
        <v>69</v>
      </c>
      <c r="F709" s="9" t="s">
        <v>70</v>
      </c>
      <c r="G709" s="9">
        <v>45705</v>
      </c>
      <c r="H709" t="s">
        <v>50</v>
      </c>
      <c r="I709" s="11">
        <v>3</v>
      </c>
      <c r="J709" t="str">
        <f>IF(I709="","",IFERROR(IF(INDEX([1]ListadoFichasDeProduccion!LQ:MB,MATCH(A709,[1]ListadoFichasDeProduccion!A:A,0),K709)=0,"",INDEX([1]ListadoFichasDeProduccion!LQ:MB,MATCH(A709,[1]ListadoFichasDeProduccion!A:A,0),K709)),""))</f>
        <v/>
      </c>
      <c r="K709" s="11">
        <v>3</v>
      </c>
    </row>
    <row r="710" spans="1:11" hidden="1" x14ac:dyDescent="0.3">
      <c r="A710" s="11" t="s">
        <v>385</v>
      </c>
      <c r="B710" t="str">
        <f>VLOOKUP(A710,[1]ListadoFichasDeProduccion!$A$2:$LP$3000,328,FALSE)</f>
        <v>COMPLETADO</v>
      </c>
      <c r="C710" s="11">
        <v>16</v>
      </c>
      <c r="D710" t="s">
        <v>11</v>
      </c>
      <c r="E710" t="s">
        <v>69</v>
      </c>
      <c r="F710" t="s">
        <v>70</v>
      </c>
      <c r="G710" s="9">
        <v>45939</v>
      </c>
      <c r="H710" t="s">
        <v>51</v>
      </c>
      <c r="I710" s="11">
        <v>6</v>
      </c>
      <c r="J710" t="str">
        <f>IF(I710="","",IFERROR(IF(INDEX([1]ListadoFichasDeProduccion!LQ:MB,MATCH(A710,[1]ListadoFichasDeProduccion!A:A,0),K710)=0,"",INDEX([1]ListadoFichasDeProduccion!LQ:MB,MATCH(A710,[1]ListadoFichasDeProduccion!A:A,0),K710)),""))</f>
        <v/>
      </c>
      <c r="K710" s="11">
        <v>1</v>
      </c>
    </row>
    <row r="711" spans="1:11" hidden="1" x14ac:dyDescent="0.3">
      <c r="A711" s="11" t="s">
        <v>385</v>
      </c>
      <c r="B711" t="str">
        <f>VLOOKUP(A711,[1]ListadoFichasDeProduccion!$A$2:$LP$3000,328,FALSE)</f>
        <v>COMPLETADO</v>
      </c>
      <c r="C711" s="11">
        <v>16</v>
      </c>
      <c r="D711" t="s">
        <v>11</v>
      </c>
      <c r="E711" t="s">
        <v>69</v>
      </c>
      <c r="F711" t="s">
        <v>70</v>
      </c>
      <c r="G711" s="9">
        <v>45939</v>
      </c>
      <c r="H711" t="s">
        <v>31</v>
      </c>
      <c r="I711" s="11">
        <v>4</v>
      </c>
      <c r="J711" t="str">
        <f>IF(I711="","",IFERROR(IF(INDEX([1]ListadoFichasDeProduccion!LQ:MB,MATCH(A711,[1]ListadoFichasDeProduccion!A:A,0),K711)=0,"",INDEX([1]ListadoFichasDeProduccion!LQ:MB,MATCH(A711,[1]ListadoFichasDeProduccion!A:A,0),K711)),""))</f>
        <v/>
      </c>
      <c r="K711" s="11">
        <v>2</v>
      </c>
    </row>
    <row r="712" spans="1:11" hidden="1" x14ac:dyDescent="0.3">
      <c r="A712" s="11" t="s">
        <v>385</v>
      </c>
      <c r="B712" t="str">
        <f>VLOOKUP(A712,[1]ListadoFichasDeProduccion!$A$2:$LP$3000,328,FALSE)</f>
        <v>COMPLETADO</v>
      </c>
      <c r="C712" s="11">
        <v>16</v>
      </c>
      <c r="D712" t="s">
        <v>11</v>
      </c>
      <c r="E712" t="s">
        <v>69</v>
      </c>
      <c r="F712" t="s">
        <v>70</v>
      </c>
      <c r="G712" s="9">
        <v>45939</v>
      </c>
      <c r="H712" t="s">
        <v>50</v>
      </c>
      <c r="I712" s="11">
        <v>6</v>
      </c>
      <c r="J712" t="str">
        <f>IF(I712="","",IFERROR(IF(INDEX([1]ListadoFichasDeProduccion!LQ:MB,MATCH(A712,[1]ListadoFichasDeProduccion!A:A,0),K712)=0,"",INDEX([1]ListadoFichasDeProduccion!LQ:MB,MATCH(A712,[1]ListadoFichasDeProduccion!A:A,0),K712)),""))</f>
        <v/>
      </c>
      <c r="K712" s="11">
        <v>3</v>
      </c>
    </row>
    <row r="713" spans="1:11" hidden="1" x14ac:dyDescent="0.3">
      <c r="A713" s="11">
        <v>1630</v>
      </c>
      <c r="B713" s="8" t="str">
        <f>VLOOKUP(A713,[1]ListadoFichasDeProduccion!$A$2:$LP$3000,328,FALSE)</f>
        <v>COMPLETADO</v>
      </c>
      <c r="C713" s="11">
        <v>8</v>
      </c>
      <c r="D713" t="s">
        <v>33</v>
      </c>
      <c r="E713" t="s">
        <v>71</v>
      </c>
      <c r="F713" s="9"/>
      <c r="G713" s="9">
        <v>45705</v>
      </c>
      <c r="H713" t="s">
        <v>58</v>
      </c>
      <c r="I713" s="11">
        <v>2</v>
      </c>
      <c r="J713" t="str">
        <f>IF(I713="","",IFERROR(IF(INDEX([1]ListadoFichasDeProduccion!LQ:MB,MATCH(A713,[1]ListadoFichasDeProduccion!A:A,0),K713)=0,"",INDEX([1]ListadoFichasDeProduccion!LQ:MB,MATCH(A713,[1]ListadoFichasDeProduccion!A:A,0),K713)),""))</f>
        <v/>
      </c>
      <c r="K713" s="11">
        <v>1</v>
      </c>
    </row>
    <row r="714" spans="1:11" hidden="1" x14ac:dyDescent="0.3">
      <c r="A714" s="11">
        <v>1630</v>
      </c>
      <c r="B714" s="8" t="str">
        <f>VLOOKUP(A714,[1]ListadoFichasDeProduccion!$A$2:$LP$3000,328,FALSE)</f>
        <v>COMPLETADO</v>
      </c>
      <c r="C714" s="11">
        <v>8</v>
      </c>
      <c r="D714" t="s">
        <v>33</v>
      </c>
      <c r="E714" t="s">
        <v>71</v>
      </c>
      <c r="F714" s="9"/>
      <c r="G714" s="9">
        <v>45705</v>
      </c>
      <c r="H714" t="s">
        <v>72</v>
      </c>
      <c r="I714" s="11">
        <v>4</v>
      </c>
      <c r="J714" t="str">
        <f>IF(I714="","",IFERROR(IF(INDEX([1]ListadoFichasDeProduccion!LQ:MB,MATCH(A714,[1]ListadoFichasDeProduccion!A:A,0),K714)=0,"",INDEX([1]ListadoFichasDeProduccion!LQ:MB,MATCH(A714,[1]ListadoFichasDeProduccion!A:A,0),K714)),""))</f>
        <v/>
      </c>
      <c r="K714" s="11">
        <v>2</v>
      </c>
    </row>
    <row r="715" spans="1:11" hidden="1" x14ac:dyDescent="0.3">
      <c r="A715" s="11">
        <v>1630</v>
      </c>
      <c r="B715" s="8" t="str">
        <f>VLOOKUP(A715,[1]ListadoFichasDeProduccion!$A$2:$LP$3000,328,FALSE)</f>
        <v>COMPLETADO</v>
      </c>
      <c r="C715" s="11">
        <v>8</v>
      </c>
      <c r="D715" t="s">
        <v>33</v>
      </c>
      <c r="E715" t="s">
        <v>71</v>
      </c>
      <c r="F715" s="9"/>
      <c r="G715" s="9">
        <v>45705</v>
      </c>
      <c r="H715" t="s">
        <v>50</v>
      </c>
      <c r="I715" s="11">
        <v>2</v>
      </c>
      <c r="J715" t="str">
        <f>IF(I715="","",IFERROR(IF(INDEX([1]ListadoFichasDeProduccion!LQ:MB,MATCH(A715,[1]ListadoFichasDeProduccion!A:A,0),K715)=0,"",INDEX([1]ListadoFichasDeProduccion!LQ:MB,MATCH(A715,[1]ListadoFichasDeProduccion!A:A,0),K715)),""))</f>
        <v/>
      </c>
      <c r="K715" s="11">
        <v>3</v>
      </c>
    </row>
    <row r="716" spans="1:11" hidden="1" x14ac:dyDescent="0.3">
      <c r="A716" s="11">
        <v>1820</v>
      </c>
      <c r="B716" s="8" t="str">
        <f>VLOOKUP(A716,[1]ListadoFichasDeProduccion!$A$2:$LP$3000,328,FALSE)</f>
        <v>COMPLETADO</v>
      </c>
      <c r="C716" s="11">
        <v>14</v>
      </c>
      <c r="D716" t="s">
        <v>33</v>
      </c>
      <c r="E716" t="s">
        <v>71</v>
      </c>
      <c r="G716" s="9">
        <v>45834</v>
      </c>
      <c r="H716" t="s">
        <v>31</v>
      </c>
      <c r="I716" s="11">
        <v>5</v>
      </c>
      <c r="J716" t="str">
        <f>IF(I716="","",IFERROR(IF(INDEX([1]ListadoFichasDeProduccion!LQ:MB,MATCH(A716,[1]ListadoFichasDeProduccion!A:A,0),K716)=0,"",INDEX([1]ListadoFichasDeProduccion!LQ:MB,MATCH(A716,[1]ListadoFichasDeProduccion!A:A,0),K716)),""))</f>
        <v/>
      </c>
      <c r="K716" s="11">
        <v>1</v>
      </c>
    </row>
    <row r="717" spans="1:11" hidden="1" x14ac:dyDescent="0.3">
      <c r="A717" s="11">
        <v>1820</v>
      </c>
      <c r="B717" s="8" t="str">
        <f>VLOOKUP(A717,[1]ListadoFichasDeProduccion!$A$2:$LP$3000,328,FALSE)</f>
        <v>COMPLETADO</v>
      </c>
      <c r="C717" s="11">
        <v>14</v>
      </c>
      <c r="D717" t="s">
        <v>33</v>
      </c>
      <c r="E717" t="s">
        <v>71</v>
      </c>
      <c r="G717" s="9">
        <v>45834</v>
      </c>
      <c r="H717" t="s">
        <v>72</v>
      </c>
      <c r="I717" s="11">
        <v>3</v>
      </c>
      <c r="J717" t="str">
        <f>IF(I717="","",IFERROR(IF(INDEX([1]ListadoFichasDeProduccion!LQ:MB,MATCH(A717,[1]ListadoFichasDeProduccion!A:A,0),K717)=0,"",INDEX([1]ListadoFichasDeProduccion!LQ:MB,MATCH(A717,[1]ListadoFichasDeProduccion!A:A,0),K717)),""))</f>
        <v/>
      </c>
      <c r="K717" s="11">
        <v>2</v>
      </c>
    </row>
    <row r="718" spans="1:11" hidden="1" x14ac:dyDescent="0.3">
      <c r="A718" s="11">
        <v>1820</v>
      </c>
      <c r="B718" s="8" t="str">
        <f>VLOOKUP(A718,[1]ListadoFichasDeProduccion!$A$2:$LP$3000,328,FALSE)</f>
        <v>COMPLETADO</v>
      </c>
      <c r="C718" s="11">
        <v>14</v>
      </c>
      <c r="D718" t="s">
        <v>33</v>
      </c>
      <c r="E718" t="s">
        <v>71</v>
      </c>
      <c r="G718" s="9">
        <v>45834</v>
      </c>
      <c r="H718" t="s">
        <v>58</v>
      </c>
      <c r="I718" s="11">
        <v>6</v>
      </c>
      <c r="J718" t="str">
        <f>IF(I718="","",IFERROR(IF(INDEX([1]ListadoFichasDeProduccion!LQ:MB,MATCH(A718,[1]ListadoFichasDeProduccion!A:A,0),K718)=0,"",INDEX([1]ListadoFichasDeProduccion!LQ:MB,MATCH(A718,[1]ListadoFichasDeProduccion!A:A,0),K718)),""))</f>
        <v/>
      </c>
      <c r="K718" s="11">
        <v>3</v>
      </c>
    </row>
    <row r="719" spans="1:11" hidden="1" x14ac:dyDescent="0.3">
      <c r="A719" s="11" t="s">
        <v>386</v>
      </c>
      <c r="B719" t="str">
        <f>VLOOKUP(A719,[1]ListadoFichasDeProduccion!$A$2:$LP$3000,328,FALSE)</f>
        <v>COMPLETADO</v>
      </c>
      <c r="C719" s="11">
        <v>16</v>
      </c>
      <c r="D719" t="s">
        <v>33</v>
      </c>
      <c r="E719" t="s">
        <v>71</v>
      </c>
      <c r="G719" s="9">
        <v>45939</v>
      </c>
      <c r="H719" t="s">
        <v>51</v>
      </c>
      <c r="I719" s="11">
        <v>2</v>
      </c>
      <c r="J719" t="str">
        <f>IF(I719="","",IFERROR(IF(INDEX([1]ListadoFichasDeProduccion!LQ:MB,MATCH(A719,[1]ListadoFichasDeProduccion!A:A,0),K719)=0,"",INDEX([1]ListadoFichasDeProduccion!LQ:MB,MATCH(A719,[1]ListadoFichasDeProduccion!A:A,0),K719)),""))</f>
        <v/>
      </c>
      <c r="K719" s="11">
        <v>1</v>
      </c>
    </row>
    <row r="720" spans="1:11" hidden="1" x14ac:dyDescent="0.3">
      <c r="A720" s="11" t="s">
        <v>386</v>
      </c>
      <c r="B720" t="str">
        <f>VLOOKUP(A720,[1]ListadoFichasDeProduccion!$A$2:$LP$3000,328,FALSE)</f>
        <v>COMPLETADO</v>
      </c>
      <c r="C720" s="11">
        <v>16</v>
      </c>
      <c r="D720" t="s">
        <v>33</v>
      </c>
      <c r="E720" t="s">
        <v>71</v>
      </c>
      <c r="G720" s="9">
        <v>45939</v>
      </c>
      <c r="H720" t="s">
        <v>50</v>
      </c>
      <c r="I720" s="11">
        <v>2</v>
      </c>
      <c r="J720" t="str">
        <f>IF(I720="","",IFERROR(IF(INDEX([1]ListadoFichasDeProduccion!LQ:MB,MATCH(A720,[1]ListadoFichasDeProduccion!A:A,0),K720)=0,"",INDEX([1]ListadoFichasDeProduccion!LQ:MB,MATCH(A720,[1]ListadoFichasDeProduccion!A:A,0),K720)),""))</f>
        <v/>
      </c>
      <c r="K720" s="11">
        <v>2</v>
      </c>
    </row>
    <row r="721" spans="1:11" hidden="1" x14ac:dyDescent="0.3">
      <c r="A721" s="11" t="s">
        <v>386</v>
      </c>
      <c r="B721" t="str">
        <f>VLOOKUP(A721,[1]ListadoFichasDeProduccion!$A$2:$LP$3000,328,FALSE)</f>
        <v>COMPLETADO</v>
      </c>
      <c r="C721" s="11">
        <v>16</v>
      </c>
      <c r="D721" t="s">
        <v>33</v>
      </c>
      <c r="E721" t="s">
        <v>71</v>
      </c>
      <c r="G721" s="9">
        <v>45939</v>
      </c>
      <c r="H721" t="s">
        <v>44</v>
      </c>
      <c r="I721" s="11">
        <v>12</v>
      </c>
      <c r="J721" t="str">
        <f>IF(I721="","",IFERROR(IF(INDEX([1]ListadoFichasDeProduccion!LQ:MB,MATCH(A721,[1]ListadoFichasDeProduccion!A:A,0),K721)=0,"",INDEX([1]ListadoFichasDeProduccion!LQ:MB,MATCH(A721,[1]ListadoFichasDeProduccion!A:A,0),K721)),""))</f>
        <v/>
      </c>
      <c r="K721" s="11">
        <v>3</v>
      </c>
    </row>
    <row r="722" spans="1:11" hidden="1" x14ac:dyDescent="0.3">
      <c r="A722" s="11" t="s">
        <v>468</v>
      </c>
      <c r="B722" t="str">
        <f>VLOOKUP(A722,[1]ListadoFichasDeProduccion!$A$2:$LP$3000,328,FALSE)</f>
        <v>COMPLETADO</v>
      </c>
      <c r="C722" s="11">
        <v>12</v>
      </c>
      <c r="D722" t="s">
        <v>33</v>
      </c>
      <c r="E722" t="s">
        <v>71</v>
      </c>
      <c r="G722" s="9">
        <v>45966</v>
      </c>
      <c r="H722" t="s">
        <v>44</v>
      </c>
      <c r="I722" s="11">
        <v>4</v>
      </c>
      <c r="J722" t="str">
        <f>IF(I722="","",IFERROR(IF(INDEX([1]ListadoFichasDeProduccion!LQ:MB,MATCH(A722,[1]ListadoFichasDeProduccion!A:A,0),K722)=0,"",INDEX([1]ListadoFichasDeProduccion!LQ:MB,MATCH(A722,[1]ListadoFichasDeProduccion!A:A,0),K722)),""))</f>
        <v/>
      </c>
      <c r="K722" s="11">
        <v>1</v>
      </c>
    </row>
    <row r="723" spans="1:11" hidden="1" x14ac:dyDescent="0.3">
      <c r="A723" s="11" t="s">
        <v>468</v>
      </c>
      <c r="B723" t="str">
        <f>VLOOKUP(A723,[1]ListadoFichasDeProduccion!$A$2:$LP$3000,328,FALSE)</f>
        <v>COMPLETADO</v>
      </c>
      <c r="C723" s="11">
        <v>12</v>
      </c>
      <c r="D723" t="s">
        <v>33</v>
      </c>
      <c r="E723" t="s">
        <v>71</v>
      </c>
      <c r="G723" s="9">
        <v>45966</v>
      </c>
      <c r="H723" t="s">
        <v>27</v>
      </c>
      <c r="I723" s="11">
        <v>6</v>
      </c>
      <c r="J723" t="str">
        <f>IF(I723="","",IFERROR(IF(INDEX([1]ListadoFichasDeProduccion!LQ:MB,MATCH(A723,[1]ListadoFichasDeProduccion!A:A,0),K723)=0,"",INDEX([1]ListadoFichasDeProduccion!LQ:MB,MATCH(A723,[1]ListadoFichasDeProduccion!A:A,0),K723)),""))</f>
        <v/>
      </c>
      <c r="K723" s="11">
        <v>2</v>
      </c>
    </row>
    <row r="724" spans="1:11" hidden="1" x14ac:dyDescent="0.3">
      <c r="A724" s="11" t="s">
        <v>468</v>
      </c>
      <c r="B724" t="str">
        <f>VLOOKUP(A724,[1]ListadoFichasDeProduccion!$A$2:$LP$3000,328,FALSE)</f>
        <v>COMPLETADO</v>
      </c>
      <c r="C724" s="11">
        <v>12</v>
      </c>
      <c r="D724" t="s">
        <v>33</v>
      </c>
      <c r="E724" t="s">
        <v>71</v>
      </c>
      <c r="G724" s="9">
        <v>45966</v>
      </c>
      <c r="H724" t="s">
        <v>50</v>
      </c>
      <c r="I724" s="11">
        <v>2</v>
      </c>
      <c r="J724" t="str">
        <f>IF(I724="","",IFERROR(IF(INDEX([1]ListadoFichasDeProduccion!LQ:MB,MATCH(A724,[1]ListadoFichasDeProduccion!A:A,0),K724)=0,"",INDEX([1]ListadoFichasDeProduccion!LQ:MB,MATCH(A724,[1]ListadoFichasDeProduccion!A:A,0),K724)),""))</f>
        <v/>
      </c>
      <c r="K724" s="11">
        <v>3</v>
      </c>
    </row>
    <row r="725" spans="1:11" hidden="1" x14ac:dyDescent="0.3">
      <c r="A725" s="11">
        <v>1631</v>
      </c>
      <c r="B725" s="8" t="str">
        <f>VLOOKUP(A725,[1]ListadoFichasDeProduccion!$A$2:$LP$3000,328,FALSE)</f>
        <v>COMPLETADO</v>
      </c>
      <c r="C725" s="11">
        <v>16</v>
      </c>
      <c r="D725" t="s">
        <v>33</v>
      </c>
      <c r="E725" t="s">
        <v>73</v>
      </c>
      <c r="F725" s="9" t="s">
        <v>74</v>
      </c>
      <c r="G725" s="9">
        <v>45705</v>
      </c>
      <c r="H725" t="s">
        <v>51</v>
      </c>
      <c r="I725" s="11">
        <v>6</v>
      </c>
      <c r="J725" t="str">
        <f>IF(I725="","",IFERROR(IF(INDEX([1]ListadoFichasDeProduccion!LQ:MB,MATCH(A725,[1]ListadoFichasDeProduccion!A:A,0),K725)=0,"",INDEX([1]ListadoFichasDeProduccion!LQ:MB,MATCH(A725,[1]ListadoFichasDeProduccion!A:A,0),K725)),""))</f>
        <v/>
      </c>
      <c r="K725" s="11">
        <v>1</v>
      </c>
    </row>
    <row r="726" spans="1:11" hidden="1" x14ac:dyDescent="0.3">
      <c r="A726" s="11">
        <v>1631</v>
      </c>
      <c r="B726" s="8" t="str">
        <f>VLOOKUP(A726,[1]ListadoFichasDeProduccion!$A$2:$LP$3000,328,FALSE)</f>
        <v>COMPLETADO</v>
      </c>
      <c r="C726" s="11">
        <v>16</v>
      </c>
      <c r="D726" t="s">
        <v>33</v>
      </c>
      <c r="E726" t="s">
        <v>73</v>
      </c>
      <c r="F726" s="9" t="s">
        <v>74</v>
      </c>
      <c r="G726" s="9">
        <v>45705</v>
      </c>
      <c r="H726" t="s">
        <v>31</v>
      </c>
      <c r="I726" s="11">
        <v>6</v>
      </c>
      <c r="J726" t="str">
        <f>IF(I726="","",IFERROR(IF(INDEX([1]ListadoFichasDeProduccion!LQ:MB,MATCH(A726,[1]ListadoFichasDeProduccion!A:A,0),K726)=0,"",INDEX([1]ListadoFichasDeProduccion!LQ:MB,MATCH(A726,[1]ListadoFichasDeProduccion!A:A,0),K726)),""))</f>
        <v/>
      </c>
      <c r="K726" s="11">
        <v>2</v>
      </c>
    </row>
    <row r="727" spans="1:11" hidden="1" x14ac:dyDescent="0.3">
      <c r="A727" s="11">
        <v>1631</v>
      </c>
      <c r="B727" s="8" t="str">
        <f>VLOOKUP(A727,[1]ListadoFichasDeProduccion!$A$2:$LP$3000,328,FALSE)</f>
        <v>COMPLETADO</v>
      </c>
      <c r="C727" s="11">
        <v>16</v>
      </c>
      <c r="D727" t="s">
        <v>33</v>
      </c>
      <c r="E727" t="s">
        <v>73</v>
      </c>
      <c r="F727" s="9" t="s">
        <v>74</v>
      </c>
      <c r="G727" s="9">
        <v>45705</v>
      </c>
      <c r="H727" s="12" t="s">
        <v>26</v>
      </c>
      <c r="I727" s="11">
        <v>4</v>
      </c>
      <c r="J727" t="str">
        <f>IF(I727="","",IFERROR(IF(INDEX([1]ListadoFichasDeProduccion!LQ:MB,MATCH(A727,[1]ListadoFichasDeProduccion!A:A,0),K727)=0,"",INDEX([1]ListadoFichasDeProduccion!LQ:MB,MATCH(A727,[1]ListadoFichasDeProduccion!A:A,0),K727)),""))</f>
        <v/>
      </c>
      <c r="K727" s="11">
        <v>3</v>
      </c>
    </row>
    <row r="728" spans="1:11" hidden="1" x14ac:dyDescent="0.3">
      <c r="A728" s="11">
        <v>1859</v>
      </c>
      <c r="B728" t="str">
        <f>VLOOKUP(A728,[1]ListadoFichasDeProduccion!$A$2:$LP$3000,328,FALSE)</f>
        <v>COMPLETADO</v>
      </c>
      <c r="C728" s="11">
        <v>6</v>
      </c>
      <c r="D728" t="s">
        <v>11</v>
      </c>
      <c r="E728" t="s">
        <v>73</v>
      </c>
      <c r="F728" t="s">
        <v>74</v>
      </c>
      <c r="G728" s="9">
        <v>45894</v>
      </c>
      <c r="H728" t="s">
        <v>26</v>
      </c>
      <c r="I728" s="11">
        <v>2</v>
      </c>
      <c r="J728" t="str">
        <f>IF(I728="","",IFERROR(IF(INDEX([1]ListadoFichasDeProduccion!LQ:MB,MATCH(A728,[1]ListadoFichasDeProduccion!A:A,0),K728)=0,"",INDEX([1]ListadoFichasDeProduccion!LQ:MB,MATCH(A728,[1]ListadoFichasDeProduccion!A:A,0),K728)),""))</f>
        <v/>
      </c>
      <c r="K728" s="11">
        <v>1</v>
      </c>
    </row>
    <row r="729" spans="1:11" hidden="1" x14ac:dyDescent="0.3">
      <c r="A729" s="11">
        <v>1859</v>
      </c>
      <c r="B729" t="str">
        <f>VLOOKUP(A729,[1]ListadoFichasDeProduccion!$A$2:$LP$3000,328,FALSE)</f>
        <v>COMPLETADO</v>
      </c>
      <c r="C729" s="11">
        <v>6</v>
      </c>
      <c r="D729" t="s">
        <v>11</v>
      </c>
      <c r="E729" t="s">
        <v>73</v>
      </c>
      <c r="F729" t="s">
        <v>74</v>
      </c>
      <c r="G729" s="9">
        <v>45894</v>
      </c>
      <c r="H729" t="s">
        <v>31</v>
      </c>
      <c r="I729" s="11">
        <v>4</v>
      </c>
      <c r="J729" t="str">
        <f>IF(I729="","",IFERROR(IF(INDEX([1]ListadoFichasDeProduccion!LQ:MB,MATCH(A729,[1]ListadoFichasDeProduccion!A:A,0),K729)=0,"",INDEX([1]ListadoFichasDeProduccion!LQ:MB,MATCH(A729,[1]ListadoFichasDeProduccion!A:A,0),K729)),""))</f>
        <v/>
      </c>
      <c r="K729" s="11">
        <v>2</v>
      </c>
    </row>
    <row r="730" spans="1:11" hidden="1" x14ac:dyDescent="0.3">
      <c r="A730" s="11" t="s">
        <v>387</v>
      </c>
      <c r="B730" t="str">
        <f>VLOOKUP(A730,[1]ListadoFichasDeProduccion!$A$2:$LP$3000,328,FALSE)</f>
        <v>COMPLETADO</v>
      </c>
      <c r="C730" s="11">
        <v>12</v>
      </c>
      <c r="D730" t="s">
        <v>11</v>
      </c>
      <c r="E730" t="s">
        <v>73</v>
      </c>
      <c r="F730" t="s">
        <v>74</v>
      </c>
      <c r="G730" s="9">
        <v>45939</v>
      </c>
      <c r="H730" t="s">
        <v>50</v>
      </c>
      <c r="I730" s="11">
        <v>6</v>
      </c>
      <c r="J730" t="str">
        <f>IF(I730="","",IFERROR(IF(INDEX([1]ListadoFichasDeProduccion!LQ:MB,MATCH(A730,[1]ListadoFichasDeProduccion!A:A,0),K730)=0,"",INDEX([1]ListadoFichasDeProduccion!LQ:MB,MATCH(A730,[1]ListadoFichasDeProduccion!A:A,0),K730)),""))</f>
        <v/>
      </c>
      <c r="K730" s="11">
        <v>1</v>
      </c>
    </row>
    <row r="731" spans="1:11" hidden="1" x14ac:dyDescent="0.3">
      <c r="A731" s="11" t="s">
        <v>387</v>
      </c>
      <c r="B731" t="str">
        <f>VLOOKUP(A731,[1]ListadoFichasDeProduccion!$A$2:$LP$3000,328,FALSE)</f>
        <v>COMPLETADO</v>
      </c>
      <c r="C731" s="11">
        <v>12</v>
      </c>
      <c r="D731" t="s">
        <v>11</v>
      </c>
      <c r="E731" t="s">
        <v>73</v>
      </c>
      <c r="F731" t="s">
        <v>74</v>
      </c>
      <c r="G731" s="9">
        <v>45939</v>
      </c>
      <c r="H731" t="s">
        <v>31</v>
      </c>
      <c r="I731" s="11">
        <v>6</v>
      </c>
      <c r="J731" t="str">
        <f>IF(I731="","",IFERROR(IF(INDEX([1]ListadoFichasDeProduccion!LQ:MB,MATCH(A731,[1]ListadoFichasDeProduccion!A:A,0),K731)=0,"",INDEX([1]ListadoFichasDeProduccion!LQ:MB,MATCH(A731,[1]ListadoFichasDeProduccion!A:A,0),K731)),""))</f>
        <v/>
      </c>
      <c r="K731" s="11">
        <v>2</v>
      </c>
    </row>
    <row r="732" spans="1:11" hidden="1" x14ac:dyDescent="0.3">
      <c r="A732" s="11" t="s">
        <v>415</v>
      </c>
      <c r="B732" t="str">
        <f>VLOOKUP(A732,[1]ListadoFichasDeProduccion!$A$2:$LP$3000,328,FALSE)</f>
        <v>COMPLETADO</v>
      </c>
      <c r="C732" s="11">
        <v>9</v>
      </c>
      <c r="D732" t="s">
        <v>11</v>
      </c>
      <c r="E732" t="s">
        <v>73</v>
      </c>
      <c r="F732" t="s">
        <v>74</v>
      </c>
      <c r="G732" s="9">
        <v>45951</v>
      </c>
      <c r="H732" t="s">
        <v>28</v>
      </c>
      <c r="I732" s="11">
        <v>9</v>
      </c>
      <c r="J732" t="str">
        <f>IF(I732="","",IFERROR(IF(INDEX([1]ListadoFichasDeProduccion!LQ:MB,MATCH(A732,[1]ListadoFichasDeProduccion!A:A,0),K732)=0,"",INDEX([1]ListadoFichasDeProduccion!LQ:MB,MATCH(A732,[1]ListadoFichasDeProduccion!A:A,0),K732)),""))</f>
        <v/>
      </c>
      <c r="K732" s="11">
        <v>1</v>
      </c>
    </row>
    <row r="733" spans="1:11" hidden="1" x14ac:dyDescent="0.3">
      <c r="A733" s="11">
        <v>1632</v>
      </c>
      <c r="B733" s="8" t="str">
        <f>VLOOKUP(A733,[1]ListadoFichasDeProduccion!$A$2:$LP$3000,328,FALSE)</f>
        <v>COMPLETADO</v>
      </c>
      <c r="C733" s="11">
        <v>6</v>
      </c>
      <c r="D733" t="s">
        <v>11</v>
      </c>
      <c r="E733" t="s">
        <v>75</v>
      </c>
      <c r="F733" s="9"/>
      <c r="G733" s="9">
        <v>45705</v>
      </c>
      <c r="H733" t="s">
        <v>51</v>
      </c>
      <c r="I733" s="11">
        <v>6</v>
      </c>
      <c r="J733" t="str">
        <f>IF(I733="","",IFERROR(IF(INDEX([1]ListadoFichasDeProduccion!LQ:MB,MATCH(A733,[1]ListadoFichasDeProduccion!A:A,0),K733)=0,"",INDEX([1]ListadoFichasDeProduccion!LQ:MB,MATCH(A733,[1]ListadoFichasDeProduccion!A:A,0),K733)),""))</f>
        <v/>
      </c>
      <c r="K733" s="11">
        <v>1</v>
      </c>
    </row>
    <row r="734" spans="1:11" hidden="1" x14ac:dyDescent="0.3">
      <c r="A734" s="11" t="s">
        <v>388</v>
      </c>
      <c r="B734" t="str">
        <f>VLOOKUP(A734,[1]ListadoFichasDeProduccion!$A$2:$LP$3000,328,FALSE)</f>
        <v>COMPLETADO</v>
      </c>
      <c r="C734" s="11">
        <v>6</v>
      </c>
      <c r="D734" t="s">
        <v>11</v>
      </c>
      <c r="E734" t="s">
        <v>75</v>
      </c>
      <c r="G734" s="9">
        <v>45939</v>
      </c>
      <c r="H734" t="s">
        <v>51</v>
      </c>
      <c r="I734" s="11">
        <v>6</v>
      </c>
      <c r="J734" t="str">
        <f>IF(I734="","",IFERROR(IF(INDEX([1]ListadoFichasDeProduccion!LQ:MB,MATCH(A734,[1]ListadoFichasDeProduccion!A:A,0),K734)=0,"",INDEX([1]ListadoFichasDeProduccion!LQ:MB,MATCH(A734,[1]ListadoFichasDeProduccion!A:A,0),K734)),""))</f>
        <v/>
      </c>
      <c r="K734" s="11">
        <v>1</v>
      </c>
    </row>
    <row r="735" spans="1:11" hidden="1" x14ac:dyDescent="0.3">
      <c r="A735" s="11">
        <v>1860</v>
      </c>
      <c r="B735" s="8" t="str">
        <f>VLOOKUP(A735,[1]ListadoFichasDeProduccion!$A$2:$LP$3000,328,FALSE)</f>
        <v>COMPLETADO</v>
      </c>
      <c r="C735" s="11">
        <v>10</v>
      </c>
      <c r="D735" t="s">
        <v>33</v>
      </c>
      <c r="E735" t="s">
        <v>233</v>
      </c>
      <c r="G735" s="9">
        <v>45838</v>
      </c>
      <c r="H735" t="s">
        <v>31</v>
      </c>
      <c r="I735" s="11">
        <v>4</v>
      </c>
      <c r="J735" t="str">
        <f>IF(I735="","",IFERROR(IF(INDEX([1]ListadoFichasDeProduccion!LQ:MB,MATCH(A735,[1]ListadoFichasDeProduccion!A:A,0),K735)=0,"",INDEX([1]ListadoFichasDeProduccion!LQ:MB,MATCH(A735,[1]ListadoFichasDeProduccion!A:A,0),K735)),""))</f>
        <v/>
      </c>
      <c r="K735" s="11">
        <v>1</v>
      </c>
    </row>
    <row r="736" spans="1:11" hidden="1" x14ac:dyDescent="0.3">
      <c r="A736" s="11">
        <v>1860</v>
      </c>
      <c r="B736" s="8" t="str">
        <f>VLOOKUP(A736,[1]ListadoFichasDeProduccion!$A$2:$LP$3000,328,FALSE)</f>
        <v>COMPLETADO</v>
      </c>
      <c r="C736" s="11">
        <v>10</v>
      </c>
      <c r="D736" t="s">
        <v>33</v>
      </c>
      <c r="E736" t="s">
        <v>233</v>
      </c>
      <c r="G736" s="9">
        <v>45838</v>
      </c>
      <c r="H736" t="s">
        <v>28</v>
      </c>
      <c r="I736" s="11">
        <v>6</v>
      </c>
      <c r="J736" t="str">
        <f>IF(I736="","",IFERROR(IF(INDEX([1]ListadoFichasDeProduccion!LQ:MB,MATCH(A736,[1]ListadoFichasDeProduccion!A:A,0),K736)=0,"",INDEX([1]ListadoFichasDeProduccion!LQ:MB,MATCH(A736,[1]ListadoFichasDeProduccion!A:A,0),K736)),""))</f>
        <v/>
      </c>
      <c r="K736" s="11">
        <v>2</v>
      </c>
    </row>
    <row r="737" spans="1:11" hidden="1" x14ac:dyDescent="0.3">
      <c r="A737" s="11" t="s">
        <v>331</v>
      </c>
      <c r="B737" t="str">
        <f>VLOOKUP(A737,[1]ListadoFichasDeProduccion!$A$2:$LP$3000,328,FALSE)</f>
        <v>COMPLETADO</v>
      </c>
      <c r="C737" s="11">
        <v>24</v>
      </c>
      <c r="D737" t="s">
        <v>11</v>
      </c>
      <c r="E737" t="s">
        <v>233</v>
      </c>
      <c r="G737" s="9">
        <v>45917</v>
      </c>
      <c r="H737" t="s">
        <v>31</v>
      </c>
      <c r="I737" s="11">
        <v>9</v>
      </c>
      <c r="J737" t="str">
        <f>IF(I737="","",IFERROR(IF(INDEX([1]ListadoFichasDeProduccion!LQ:MB,MATCH(A737,[1]ListadoFichasDeProduccion!A:A,0),K737)=0,"",INDEX([1]ListadoFichasDeProduccion!LQ:MB,MATCH(A737,[1]ListadoFichasDeProduccion!A:A,0),K737)),""))</f>
        <v/>
      </c>
      <c r="K737" s="11">
        <v>1</v>
      </c>
    </row>
    <row r="738" spans="1:11" hidden="1" x14ac:dyDescent="0.3">
      <c r="A738" s="11" t="s">
        <v>331</v>
      </c>
      <c r="B738" t="str">
        <f>VLOOKUP(A738,[1]ListadoFichasDeProduccion!$A$2:$LP$3000,328,FALSE)</f>
        <v>COMPLETADO</v>
      </c>
      <c r="C738" s="11">
        <v>24</v>
      </c>
      <c r="D738" t="s">
        <v>11</v>
      </c>
      <c r="E738" t="s">
        <v>233</v>
      </c>
      <c r="G738" s="9">
        <v>45917</v>
      </c>
      <c r="H738" t="s">
        <v>26</v>
      </c>
      <c r="I738" s="11">
        <v>9</v>
      </c>
      <c r="J738" t="str">
        <f>IF(I738="","",IFERROR(IF(INDEX([1]ListadoFichasDeProduccion!LQ:MB,MATCH(A738,[1]ListadoFichasDeProduccion!A:A,0),K738)=0,"",INDEX([1]ListadoFichasDeProduccion!LQ:MB,MATCH(A738,[1]ListadoFichasDeProduccion!A:A,0),K738)),""))</f>
        <v/>
      </c>
      <c r="K738" s="11">
        <v>2</v>
      </c>
    </row>
    <row r="739" spans="1:11" hidden="1" x14ac:dyDescent="0.3">
      <c r="A739" s="11" t="s">
        <v>331</v>
      </c>
      <c r="B739" t="str">
        <f>VLOOKUP(A739,[1]ListadoFichasDeProduccion!$A$2:$LP$3000,328,FALSE)</f>
        <v>COMPLETADO</v>
      </c>
      <c r="C739" s="11">
        <v>24</v>
      </c>
      <c r="D739" t="s">
        <v>11</v>
      </c>
      <c r="E739" t="s">
        <v>233</v>
      </c>
      <c r="G739" s="9">
        <v>45917</v>
      </c>
      <c r="H739" t="s">
        <v>44</v>
      </c>
      <c r="I739" s="11">
        <v>6</v>
      </c>
      <c r="J739" t="str">
        <f>IF(I739="","",IFERROR(IF(INDEX([1]ListadoFichasDeProduccion!LQ:MB,MATCH(A739,[1]ListadoFichasDeProduccion!A:A,0),K739)=0,"",INDEX([1]ListadoFichasDeProduccion!LQ:MB,MATCH(A739,[1]ListadoFichasDeProduccion!A:A,0),K739)),""))</f>
        <v/>
      </c>
      <c r="K739" s="11">
        <v>3</v>
      </c>
    </row>
    <row r="740" spans="1:11" hidden="1" x14ac:dyDescent="0.3">
      <c r="A740" s="11">
        <v>1633</v>
      </c>
      <c r="B740" s="8" t="str">
        <f>VLOOKUP(A740,[1]ListadoFichasDeProduccion!$A$2:$LP$3000,328,FALSE)</f>
        <v>COMPLETADO</v>
      </c>
      <c r="C740" s="11">
        <v>10</v>
      </c>
      <c r="D740" t="s">
        <v>33</v>
      </c>
      <c r="E740" t="s">
        <v>76</v>
      </c>
      <c r="F740" s="9"/>
      <c r="G740" s="9">
        <v>45706</v>
      </c>
      <c r="H740" t="s">
        <v>50</v>
      </c>
      <c r="I740" s="11">
        <v>4</v>
      </c>
      <c r="J740" t="str">
        <f>IF(I740="","",IFERROR(IF(INDEX([1]ListadoFichasDeProduccion!LQ:MB,MATCH(A740,[1]ListadoFichasDeProduccion!A:A,0),K740)=0,"",INDEX([1]ListadoFichasDeProduccion!LQ:MB,MATCH(A740,[1]ListadoFichasDeProduccion!A:A,0),K740)),""))</f>
        <v/>
      </c>
      <c r="K740" s="11">
        <v>1</v>
      </c>
    </row>
    <row r="741" spans="1:11" hidden="1" x14ac:dyDescent="0.3">
      <c r="A741" s="11">
        <v>1633</v>
      </c>
      <c r="B741" s="8" t="str">
        <f>VLOOKUP(A741,[1]ListadoFichasDeProduccion!$A$2:$LP$3000,328,FALSE)</f>
        <v>COMPLETADO</v>
      </c>
      <c r="C741" s="11">
        <v>10</v>
      </c>
      <c r="D741" t="s">
        <v>33</v>
      </c>
      <c r="E741" t="s">
        <v>76</v>
      </c>
      <c r="F741" s="9"/>
      <c r="G741" s="9">
        <v>45706</v>
      </c>
      <c r="H741" t="s">
        <v>31</v>
      </c>
      <c r="I741" s="11">
        <v>6</v>
      </c>
      <c r="J741" t="str">
        <f>IF(I741="","",IFERROR(IF(INDEX([1]ListadoFichasDeProduccion!LQ:MB,MATCH(A741,[1]ListadoFichasDeProduccion!A:A,0),K741)=0,"",INDEX([1]ListadoFichasDeProduccion!LQ:MB,MATCH(A741,[1]ListadoFichasDeProduccion!A:A,0),K741)),""))</f>
        <v/>
      </c>
      <c r="K741" s="11">
        <v>2</v>
      </c>
    </row>
    <row r="742" spans="1:11" hidden="1" x14ac:dyDescent="0.3">
      <c r="A742" s="11">
        <v>1827</v>
      </c>
      <c r="B742" s="8" t="str">
        <f>VLOOKUP(A742,[1]ListadoFichasDeProduccion!$A$2:$LP$3000,328,FALSE)</f>
        <v>COMPLETADO</v>
      </c>
      <c r="C742" s="11">
        <v>11</v>
      </c>
      <c r="D742" t="s">
        <v>33</v>
      </c>
      <c r="E742" t="s">
        <v>76</v>
      </c>
      <c r="G742" s="9">
        <v>45813</v>
      </c>
      <c r="H742" t="s">
        <v>28</v>
      </c>
      <c r="I742" s="11">
        <v>2</v>
      </c>
      <c r="J742" t="str">
        <f>IF(I742="","",IFERROR(IF(INDEX([1]ListadoFichasDeProduccion!LQ:MB,MATCH(A742,[1]ListadoFichasDeProduccion!A:A,0),K742)=0,"",INDEX([1]ListadoFichasDeProduccion!LQ:MB,MATCH(A742,[1]ListadoFichasDeProduccion!A:A,0),K742)),""))</f>
        <v/>
      </c>
      <c r="K742" s="11">
        <v>1</v>
      </c>
    </row>
    <row r="743" spans="1:11" hidden="1" x14ac:dyDescent="0.3">
      <c r="A743" s="11">
        <v>1827</v>
      </c>
      <c r="B743" s="8" t="str">
        <f>VLOOKUP(A743,[1]ListadoFichasDeProduccion!$A$2:$LP$3000,328,FALSE)</f>
        <v>COMPLETADO</v>
      </c>
      <c r="C743" s="11">
        <v>11</v>
      </c>
      <c r="D743" t="s">
        <v>33</v>
      </c>
      <c r="E743" t="s">
        <v>76</v>
      </c>
      <c r="G743" s="9">
        <v>45813</v>
      </c>
      <c r="H743" t="s">
        <v>31</v>
      </c>
      <c r="I743" s="11">
        <v>6</v>
      </c>
      <c r="J743" t="str">
        <f>IF(I743="","",IFERROR(IF(INDEX([1]ListadoFichasDeProduccion!LQ:MB,MATCH(A743,[1]ListadoFichasDeProduccion!A:A,0),K743)=0,"",INDEX([1]ListadoFichasDeProduccion!LQ:MB,MATCH(A743,[1]ListadoFichasDeProduccion!A:A,0),K743)),""))</f>
        <v/>
      </c>
      <c r="K743" s="11">
        <v>2</v>
      </c>
    </row>
    <row r="744" spans="1:11" hidden="1" x14ac:dyDescent="0.3">
      <c r="A744" s="11">
        <v>1827</v>
      </c>
      <c r="B744" s="8" t="str">
        <f>VLOOKUP(A744,[1]ListadoFichasDeProduccion!$A$2:$LP$3000,328,FALSE)</f>
        <v>COMPLETADO</v>
      </c>
      <c r="C744" s="11">
        <v>11</v>
      </c>
      <c r="D744" t="s">
        <v>33</v>
      </c>
      <c r="E744" t="s">
        <v>76</v>
      </c>
      <c r="G744" s="9">
        <v>45813</v>
      </c>
      <c r="H744" t="s">
        <v>56</v>
      </c>
      <c r="I744" s="11">
        <v>3</v>
      </c>
      <c r="J744" t="str">
        <f>IF(I744="","",IFERROR(IF(INDEX([1]ListadoFichasDeProduccion!LQ:MB,MATCH(A744,[1]ListadoFichasDeProduccion!A:A,0),K744)=0,"",INDEX([1]ListadoFichasDeProduccion!LQ:MB,MATCH(A744,[1]ListadoFichasDeProduccion!A:A,0),K744)),""))</f>
        <v/>
      </c>
      <c r="K744" s="11">
        <v>3</v>
      </c>
    </row>
    <row r="745" spans="1:11" hidden="1" x14ac:dyDescent="0.3">
      <c r="A745" s="11" t="s">
        <v>292</v>
      </c>
      <c r="B745" t="str">
        <f>VLOOKUP(A745,[1]ListadoFichasDeProduccion!$A$2:$LP$3000,328,FALSE)</f>
        <v>COMPLETADO</v>
      </c>
      <c r="C745" s="11">
        <v>33</v>
      </c>
      <c r="D745" t="s">
        <v>33</v>
      </c>
      <c r="E745" t="s">
        <v>76</v>
      </c>
      <c r="G745" s="9">
        <v>45911</v>
      </c>
      <c r="H745" t="s">
        <v>50</v>
      </c>
      <c r="I745" s="11">
        <v>6</v>
      </c>
      <c r="J745" t="str">
        <f>IF(I745="","",IFERROR(IF(INDEX([1]ListadoFichasDeProduccion!LQ:MB,MATCH(A745,[1]ListadoFichasDeProduccion!A:A,0),K745)=0,"",INDEX([1]ListadoFichasDeProduccion!LQ:MB,MATCH(A745,[1]ListadoFichasDeProduccion!A:A,0),K745)),""))</f>
        <v/>
      </c>
      <c r="K745" s="11">
        <v>1</v>
      </c>
    </row>
    <row r="746" spans="1:11" hidden="1" x14ac:dyDescent="0.3">
      <c r="A746" s="11" t="s">
        <v>292</v>
      </c>
      <c r="B746" t="str">
        <f>VLOOKUP(A746,[1]ListadoFichasDeProduccion!$A$2:$LP$3000,328,FALSE)</f>
        <v>COMPLETADO</v>
      </c>
      <c r="C746" s="11">
        <v>33</v>
      </c>
      <c r="D746" t="s">
        <v>33</v>
      </c>
      <c r="E746" t="s">
        <v>76</v>
      </c>
      <c r="G746" s="9">
        <v>45911</v>
      </c>
      <c r="H746" t="s">
        <v>31</v>
      </c>
      <c r="I746" s="11">
        <v>9</v>
      </c>
      <c r="J746" t="str">
        <f>IF(I746="","",IFERROR(IF(INDEX([1]ListadoFichasDeProduccion!LQ:MB,MATCH(A746,[1]ListadoFichasDeProduccion!A:A,0),K746)=0,"",INDEX([1]ListadoFichasDeProduccion!LQ:MB,MATCH(A746,[1]ListadoFichasDeProduccion!A:A,0),K746)),""))</f>
        <v/>
      </c>
      <c r="K746" s="11">
        <v>2</v>
      </c>
    </row>
    <row r="747" spans="1:11" hidden="1" x14ac:dyDescent="0.3">
      <c r="A747" s="11" t="s">
        <v>292</v>
      </c>
      <c r="B747" t="str">
        <f>VLOOKUP(A747,[1]ListadoFichasDeProduccion!$A$2:$LP$3000,328,FALSE)</f>
        <v>COMPLETADO</v>
      </c>
      <c r="C747" s="11">
        <v>33</v>
      </c>
      <c r="D747" t="s">
        <v>33</v>
      </c>
      <c r="E747" t="s">
        <v>76</v>
      </c>
      <c r="G747" s="9">
        <v>45911</v>
      </c>
      <c r="H747" t="s">
        <v>51</v>
      </c>
      <c r="I747" s="11">
        <v>9</v>
      </c>
      <c r="J747" t="str">
        <f>IF(I747="","",IFERROR(IF(INDEX([1]ListadoFichasDeProduccion!LQ:MB,MATCH(A747,[1]ListadoFichasDeProduccion!A:A,0),K747)=0,"",INDEX([1]ListadoFichasDeProduccion!LQ:MB,MATCH(A747,[1]ListadoFichasDeProduccion!A:A,0),K747)),""))</f>
        <v/>
      </c>
      <c r="K747" s="11">
        <v>3</v>
      </c>
    </row>
    <row r="748" spans="1:11" hidden="1" x14ac:dyDescent="0.3">
      <c r="A748" s="11" t="s">
        <v>292</v>
      </c>
      <c r="B748" t="str">
        <f>VLOOKUP(A748,[1]ListadoFichasDeProduccion!$A$2:$LP$3000,328,FALSE)</f>
        <v>COMPLETADO</v>
      </c>
      <c r="C748" s="11">
        <v>33</v>
      </c>
      <c r="D748" t="s">
        <v>33</v>
      </c>
      <c r="E748" t="s">
        <v>76</v>
      </c>
      <c r="G748" s="9">
        <v>45911</v>
      </c>
      <c r="H748" t="s">
        <v>28</v>
      </c>
      <c r="I748" s="11">
        <v>9</v>
      </c>
      <c r="J748" t="str">
        <f>IF(I748="","",IFERROR(IF(INDEX([1]ListadoFichasDeProduccion!LQ:MB,MATCH(A748,[1]ListadoFichasDeProduccion!A:A,0),K748)=0,"",INDEX([1]ListadoFichasDeProduccion!LQ:MB,MATCH(A748,[1]ListadoFichasDeProduccion!A:A,0),K748)),""))</f>
        <v/>
      </c>
      <c r="K748" s="11">
        <v>4</v>
      </c>
    </row>
    <row r="749" spans="1:11" hidden="1" x14ac:dyDescent="0.3">
      <c r="A749" s="11" t="s">
        <v>455</v>
      </c>
      <c r="B749" t="str">
        <f>VLOOKUP(A749,[1]ListadoFichasDeProduccion!$A$2:$LP$3000,328,FALSE)</f>
        <v>COMPLETADO</v>
      </c>
      <c r="C749" s="11">
        <v>10</v>
      </c>
      <c r="D749" t="s">
        <v>33</v>
      </c>
      <c r="E749" t="s">
        <v>76</v>
      </c>
      <c r="G749" s="9">
        <v>45964</v>
      </c>
      <c r="H749" t="s">
        <v>50</v>
      </c>
      <c r="I749" s="11">
        <v>4</v>
      </c>
      <c r="J749" t="str">
        <f>IF(I749="","",IFERROR(IF(INDEX([1]ListadoFichasDeProduccion!LQ:MB,MATCH(A749,[1]ListadoFichasDeProduccion!A:A,0),K749)=0,"",INDEX([1]ListadoFichasDeProduccion!LQ:MB,MATCH(A749,[1]ListadoFichasDeProduccion!A:A,0),K749)),""))</f>
        <v/>
      </c>
      <c r="K749" s="11">
        <v>1</v>
      </c>
    </row>
    <row r="750" spans="1:11" hidden="1" x14ac:dyDescent="0.3">
      <c r="A750" s="11" t="s">
        <v>455</v>
      </c>
      <c r="B750" t="str">
        <f>VLOOKUP(A750,[1]ListadoFichasDeProduccion!$A$2:$LP$3000,328,FALSE)</f>
        <v>COMPLETADO</v>
      </c>
      <c r="C750" s="11">
        <v>10</v>
      </c>
      <c r="D750" t="s">
        <v>33</v>
      </c>
      <c r="E750" t="s">
        <v>76</v>
      </c>
      <c r="G750" s="9">
        <v>45964</v>
      </c>
      <c r="H750" t="s">
        <v>28</v>
      </c>
      <c r="I750" s="11">
        <v>6</v>
      </c>
      <c r="J750" t="str">
        <f>IF(I750="","",IFERROR(IF(INDEX([1]ListadoFichasDeProduccion!LQ:MB,MATCH(A750,[1]ListadoFichasDeProduccion!A:A,0),K750)=0,"",INDEX([1]ListadoFichasDeProduccion!LQ:MB,MATCH(A750,[1]ListadoFichasDeProduccion!A:A,0),K750)),""))</f>
        <v/>
      </c>
      <c r="K750" s="11">
        <v>2</v>
      </c>
    </row>
    <row r="751" spans="1:11" x14ac:dyDescent="0.3">
      <c r="A751" s="11" t="s">
        <v>430</v>
      </c>
      <c r="B751" t="str">
        <f>VLOOKUP(A751,[1]ListadoFichasDeProduccion!$A$2:$LP$3000,328,FALSE)</f>
        <v>NO COMENZADO</v>
      </c>
      <c r="C751" s="11">
        <v>10</v>
      </c>
      <c r="D751" t="s">
        <v>33</v>
      </c>
      <c r="E751" t="s">
        <v>431</v>
      </c>
      <c r="F751" t="s">
        <v>432</v>
      </c>
      <c r="H751" t="s">
        <v>433</v>
      </c>
      <c r="I751" s="11">
        <v>10</v>
      </c>
      <c r="J751" t="str">
        <f>IF(I751="","",IFERROR(IF(INDEX([1]ListadoFichasDeProduccion!LQ:MB,MATCH(A751,[1]ListadoFichasDeProduccion!A:A,0),K751)=0,"",INDEX([1]ListadoFichasDeProduccion!LQ:MB,MATCH(A751,[1]ListadoFichasDeProduccion!A:A,0),K751)),""))</f>
        <v>TODO REBAJADO IDEM MUESTRA - EXTERIOR ARENA --CUERO NAPADO-- AZUL / INTERIOR MA --GAMUZA COLOR --AZUL NOCHE</v>
      </c>
      <c r="K751" s="11">
        <v>1</v>
      </c>
    </row>
    <row r="752" spans="1:11" x14ac:dyDescent="0.3">
      <c r="A752" s="11" t="s">
        <v>434</v>
      </c>
      <c r="B752" t="str">
        <f>VLOOKUP(A752,[1]ListadoFichasDeProduccion!$A$2:$LP$3000,328,FALSE)</f>
        <v>NO COMENZADO</v>
      </c>
      <c r="C752" s="11">
        <v>6</v>
      </c>
      <c r="D752" t="s">
        <v>33</v>
      </c>
      <c r="E752" t="s">
        <v>435</v>
      </c>
      <c r="F752" t="s">
        <v>432</v>
      </c>
      <c r="H752" t="s">
        <v>433</v>
      </c>
      <c r="I752" s="11">
        <v>6</v>
      </c>
      <c r="J752" t="str">
        <f>IF(I752="","",IFERROR(IF(INDEX([1]ListadoFichasDeProduccion!LQ:MB,MATCH(A752,[1]ListadoFichasDeProduccion!A:A,0),K752)=0,"",INDEX([1]ListadoFichasDeProduccion!LQ:MB,MATCH(A752,[1]ListadoFichasDeProduccion!A:A,0),K752)),""))</f>
        <v/>
      </c>
      <c r="K752" s="11">
        <v>1</v>
      </c>
    </row>
    <row r="753" spans="1:11" hidden="1" x14ac:dyDescent="0.3">
      <c r="A753" s="11" t="s">
        <v>436</v>
      </c>
      <c r="B753" t="str">
        <f>VLOOKUP(A753,[1]ListadoFichasDeProduccion!$A$2:$LP$3000,328,FALSE)</f>
        <v>COMPLETADO</v>
      </c>
      <c r="C753" s="11">
        <v>4</v>
      </c>
      <c r="D753" t="s">
        <v>33</v>
      </c>
      <c r="E753" t="s">
        <v>435</v>
      </c>
      <c r="F753" t="s">
        <v>432</v>
      </c>
      <c r="G753" s="9">
        <v>45957</v>
      </c>
      <c r="H753" t="s">
        <v>433</v>
      </c>
      <c r="I753" s="11">
        <v>4</v>
      </c>
      <c r="J753" t="str">
        <f>IF(I753="","",IFERROR(IF(INDEX([1]ListadoFichasDeProduccion!LQ:MB,MATCH(A753,[1]ListadoFichasDeProduccion!A:A,0),K753)=0,"",INDEX([1]ListadoFichasDeProduccion!LQ:MB,MATCH(A753,[1]ListadoFichasDeProduccion!A:A,0),K753)),""))</f>
        <v/>
      </c>
      <c r="K753" s="11">
        <v>1</v>
      </c>
    </row>
    <row r="754" spans="1:11" hidden="1" x14ac:dyDescent="0.3">
      <c r="A754" s="11">
        <v>1861</v>
      </c>
      <c r="B754" s="8" t="str">
        <f>VLOOKUP(A754,[1]ListadoFichasDeProduccion!$A$2:$LP$3000,328,FALSE)</f>
        <v>COMPLETADO</v>
      </c>
      <c r="C754" s="11">
        <v>13</v>
      </c>
      <c r="D754" t="s">
        <v>11</v>
      </c>
      <c r="E754" t="s">
        <v>239</v>
      </c>
      <c r="G754" s="9">
        <v>45838</v>
      </c>
      <c r="H754" t="s">
        <v>31</v>
      </c>
      <c r="I754" s="11">
        <v>2</v>
      </c>
      <c r="J754" t="str">
        <f>IF(I754="","",IFERROR(IF(INDEX([1]ListadoFichasDeProduccion!LQ:MB,MATCH(A754,[1]ListadoFichasDeProduccion!A:A,0),K754)=0,"",INDEX([1]ListadoFichasDeProduccion!LQ:MB,MATCH(A754,[1]ListadoFichasDeProduccion!A:A,0),K754)),""))</f>
        <v/>
      </c>
      <c r="K754" s="11">
        <v>1</v>
      </c>
    </row>
    <row r="755" spans="1:11" hidden="1" x14ac:dyDescent="0.3">
      <c r="A755" s="11">
        <v>1861</v>
      </c>
      <c r="B755" s="8" t="str">
        <f>VLOOKUP(A755,[1]ListadoFichasDeProduccion!$A$2:$LP$3000,328,FALSE)</f>
        <v>COMPLETADO</v>
      </c>
      <c r="C755" s="11">
        <v>13</v>
      </c>
      <c r="D755" t="s">
        <v>11</v>
      </c>
      <c r="E755" t="s">
        <v>239</v>
      </c>
      <c r="G755" s="9">
        <v>45838</v>
      </c>
      <c r="H755" t="s">
        <v>50</v>
      </c>
      <c r="I755" s="11">
        <v>4</v>
      </c>
      <c r="J755" t="str">
        <f>IF(I755="","",IFERROR(IF(INDEX([1]ListadoFichasDeProduccion!LQ:MB,MATCH(A755,[1]ListadoFichasDeProduccion!A:A,0),K755)=0,"",INDEX([1]ListadoFichasDeProduccion!LQ:MB,MATCH(A755,[1]ListadoFichasDeProduccion!A:A,0),K755)),""))</f>
        <v/>
      </c>
      <c r="K755" s="11">
        <v>2</v>
      </c>
    </row>
    <row r="756" spans="1:11" hidden="1" x14ac:dyDescent="0.3">
      <c r="A756" s="11">
        <v>1861</v>
      </c>
      <c r="B756" s="8" t="str">
        <f>VLOOKUP(A756,[1]ListadoFichasDeProduccion!$A$2:$LP$3000,328,FALSE)</f>
        <v>COMPLETADO</v>
      </c>
      <c r="C756" s="11">
        <v>13</v>
      </c>
      <c r="D756" t="s">
        <v>11</v>
      </c>
      <c r="E756" t="s">
        <v>239</v>
      </c>
      <c r="G756" s="9">
        <v>45838</v>
      </c>
      <c r="H756" t="s">
        <v>51</v>
      </c>
      <c r="I756" s="11">
        <v>2</v>
      </c>
      <c r="J756" t="str">
        <f>IF(I756="","",IFERROR(IF(INDEX([1]ListadoFichasDeProduccion!LQ:MB,MATCH(A756,[1]ListadoFichasDeProduccion!A:A,0),K756)=0,"",INDEX([1]ListadoFichasDeProduccion!LQ:MB,MATCH(A756,[1]ListadoFichasDeProduccion!A:A,0),K756)),""))</f>
        <v/>
      </c>
      <c r="K756" s="11">
        <v>3</v>
      </c>
    </row>
    <row r="757" spans="1:11" hidden="1" x14ac:dyDescent="0.3">
      <c r="A757" s="11">
        <v>1861</v>
      </c>
      <c r="B757" s="8" t="str">
        <f>VLOOKUP(A757,[1]ListadoFichasDeProduccion!$A$2:$LP$3000,328,FALSE)</f>
        <v>COMPLETADO</v>
      </c>
      <c r="C757" s="11">
        <v>13</v>
      </c>
      <c r="D757" t="s">
        <v>11</v>
      </c>
      <c r="E757" t="s">
        <v>239</v>
      </c>
      <c r="G757" s="9">
        <v>45838</v>
      </c>
      <c r="H757" t="s">
        <v>240</v>
      </c>
      <c r="I757" s="11">
        <v>3</v>
      </c>
      <c r="J757" t="str">
        <f>IF(I757="","",IFERROR(IF(INDEX([1]ListadoFichasDeProduccion!LQ:MB,MATCH(A757,[1]ListadoFichasDeProduccion!A:A,0),K757)=0,"",INDEX([1]ListadoFichasDeProduccion!LQ:MB,MATCH(A757,[1]ListadoFichasDeProduccion!A:A,0),K757)),""))</f>
        <v/>
      </c>
      <c r="K757" s="11">
        <v>4</v>
      </c>
    </row>
    <row r="758" spans="1:11" hidden="1" x14ac:dyDescent="0.3">
      <c r="A758" s="11">
        <v>1861</v>
      </c>
      <c r="B758" s="8" t="str">
        <f>VLOOKUP(A758,[1]ListadoFichasDeProduccion!$A$2:$LP$3000,328,FALSE)</f>
        <v>COMPLETADO</v>
      </c>
      <c r="C758" s="11">
        <v>13</v>
      </c>
      <c r="D758" t="s">
        <v>11</v>
      </c>
      <c r="E758" t="s">
        <v>239</v>
      </c>
      <c r="G758" s="9">
        <v>45838</v>
      </c>
      <c r="H758" t="s">
        <v>44</v>
      </c>
      <c r="I758" s="11">
        <v>2</v>
      </c>
      <c r="J758" t="str">
        <f>IF(I758="","",IFERROR(IF(INDEX([1]ListadoFichasDeProduccion!LQ:MB,MATCH(A758,[1]ListadoFichasDeProduccion!A:A,0),K758)=0,"",INDEX([1]ListadoFichasDeProduccion!LQ:MB,MATCH(A758,[1]ListadoFichasDeProduccion!A:A,0),K758)),""))</f>
        <v/>
      </c>
      <c r="K758" s="11">
        <v>5</v>
      </c>
    </row>
    <row r="759" spans="1:11" hidden="1" x14ac:dyDescent="0.3">
      <c r="A759" s="11">
        <v>18612</v>
      </c>
      <c r="B759" s="8" t="str">
        <f>VLOOKUP(A759,[1]ListadoFichasDeProduccion!$A$2:$LP$3000,328,FALSE)</f>
        <v>COMPLETADO</v>
      </c>
      <c r="C759" s="11">
        <v>3</v>
      </c>
      <c r="D759" t="s">
        <v>11</v>
      </c>
      <c r="E759" t="s">
        <v>239</v>
      </c>
      <c r="G759" s="9">
        <v>45856</v>
      </c>
      <c r="H759" t="s">
        <v>270</v>
      </c>
      <c r="I759" s="11">
        <v>3</v>
      </c>
      <c r="J759" t="str">
        <f>IF(I759="","",IFERROR(IF(INDEX([1]ListadoFichasDeProduccion!LQ:MB,MATCH(A759,[1]ListadoFichasDeProduccion!A:A,0),K759)=0,"",INDEX([1]ListadoFichasDeProduccion!LQ:MB,MATCH(A759,[1]ListadoFichasDeProduccion!A:A,0),K759)),""))</f>
        <v/>
      </c>
      <c r="K759" s="11">
        <v>1</v>
      </c>
    </row>
    <row r="760" spans="1:11" hidden="1" x14ac:dyDescent="0.3">
      <c r="A760" s="11">
        <v>18613</v>
      </c>
      <c r="B760" t="str">
        <f>VLOOKUP(A760,[1]ListadoFichasDeProduccion!$A$2:$LP$3000,328,FALSE)</f>
        <v>COMPLETADO</v>
      </c>
      <c r="C760" s="11">
        <v>3</v>
      </c>
      <c r="D760" t="s">
        <v>33</v>
      </c>
      <c r="E760" t="s">
        <v>239</v>
      </c>
      <c r="G760" s="9">
        <v>45923</v>
      </c>
      <c r="H760" t="s">
        <v>120</v>
      </c>
      <c r="I760" s="11">
        <v>3</v>
      </c>
      <c r="J760" t="str">
        <f>IF(I760="","",IFERROR(IF(INDEX([1]ListadoFichasDeProduccion!LQ:MB,MATCH(A760,[1]ListadoFichasDeProduccion!A:A,0),K760)=0,"",INDEX([1]ListadoFichasDeProduccion!LQ:MB,MATCH(A760,[1]ListadoFichasDeProduccion!A:A,0),K760)),""))</f>
        <v/>
      </c>
      <c r="K760" s="11">
        <v>1</v>
      </c>
    </row>
    <row r="761" spans="1:11" hidden="1" x14ac:dyDescent="0.3">
      <c r="A761" s="11">
        <v>1899</v>
      </c>
      <c r="B761" s="8" t="str">
        <f>VLOOKUP(A761,[1]ListadoFichasDeProduccion!$A$2:$LP$3000,328,FALSE)</f>
        <v>COMPLETADO</v>
      </c>
      <c r="C761" s="11">
        <v>10</v>
      </c>
      <c r="D761" t="s">
        <v>33</v>
      </c>
      <c r="E761" t="s">
        <v>245</v>
      </c>
      <c r="G761" s="9">
        <v>45853</v>
      </c>
      <c r="H761" t="s">
        <v>123</v>
      </c>
      <c r="I761" s="11">
        <v>6</v>
      </c>
      <c r="J761" t="str">
        <f>IF(I761="","",IFERROR(IF(INDEX([1]ListadoFichasDeProduccion!LQ:MB,MATCH(A761,[1]ListadoFichasDeProduccion!A:A,0),K761)=0,"",INDEX([1]ListadoFichasDeProduccion!LQ:MB,MATCH(A761,[1]ListadoFichasDeProduccion!A:A,0),K761)),""))</f>
        <v>QUE SE VEA LA MANCHA SI NO SALE DE RETAZOS, USAR PLACA!</v>
      </c>
      <c r="K761" s="11">
        <v>1</v>
      </c>
    </row>
    <row r="762" spans="1:11" hidden="1" x14ac:dyDescent="0.3">
      <c r="A762" s="11">
        <v>1899</v>
      </c>
      <c r="B762" s="8" t="str">
        <f>VLOOKUP(A762,[1]ListadoFichasDeProduccion!$A$2:$LP$3000,328,FALSE)</f>
        <v>COMPLETADO</v>
      </c>
      <c r="C762" s="11">
        <v>10</v>
      </c>
      <c r="D762" t="s">
        <v>33</v>
      </c>
      <c r="E762" t="s">
        <v>245</v>
      </c>
      <c r="G762" s="9">
        <v>45853</v>
      </c>
      <c r="H762" t="s">
        <v>19</v>
      </c>
      <c r="I762" s="11">
        <v>4</v>
      </c>
      <c r="J762" t="str">
        <f>IF(I762="","",IFERROR(IF(INDEX([1]ListadoFichasDeProduccion!LQ:MB,MATCH(A762,[1]ListadoFichasDeProduccion!A:A,0),K762)=0,"",INDEX([1]ListadoFichasDeProduccion!LQ:MB,MATCH(A762,[1]ListadoFichasDeProduccion!A:A,0),K762)),""))</f>
        <v>QUE SE VEA LA MANCHA SI NO SALE DE RETAZOS, USAR PLACA!</v>
      </c>
      <c r="K762" s="11">
        <v>2</v>
      </c>
    </row>
    <row r="763" spans="1:11" x14ac:dyDescent="0.3">
      <c r="A763" s="11" t="s">
        <v>456</v>
      </c>
      <c r="B763" t="str">
        <f>VLOOKUP(A763,[1]ListadoFichasDeProduccion!$A$2:$LP$3000,328,FALSE)</f>
        <v>NO COMENZADO</v>
      </c>
      <c r="C763" s="11">
        <v>3</v>
      </c>
      <c r="D763" t="s">
        <v>33</v>
      </c>
      <c r="E763" t="s">
        <v>245</v>
      </c>
      <c r="H763" t="s">
        <v>123</v>
      </c>
      <c r="I763" s="11">
        <v>3</v>
      </c>
      <c r="J763" t="str">
        <f>IF(I763="","",IFERROR(IF(INDEX([1]ListadoFichasDeProduccion!LQ:MB,MATCH(A763,[1]ListadoFichasDeProduccion!A:A,0),K763)=0,"",INDEX([1]ListadoFichasDeProduccion!LQ:MB,MATCH(A763,[1]ListadoFichasDeProduccion!A:A,0),K763)),""))</f>
        <v/>
      </c>
      <c r="K763" s="11">
        <v>1</v>
      </c>
    </row>
    <row r="764" spans="1:11" x14ac:dyDescent="0.3">
      <c r="A764" s="11" t="s">
        <v>420</v>
      </c>
      <c r="B764" t="str">
        <f>VLOOKUP(A764,[1]ListadoFichasDeProduccion!$A$2:$LP$3000,328,FALSE)</f>
        <v>NO COMENZADO</v>
      </c>
      <c r="C764" s="11">
        <v>30</v>
      </c>
      <c r="D764" t="s">
        <v>33</v>
      </c>
      <c r="E764" t="s">
        <v>421</v>
      </c>
      <c r="H764" t="s">
        <v>27</v>
      </c>
      <c r="I764" s="11">
        <v>6</v>
      </c>
      <c r="J764" t="str">
        <f>IF(I764="","",IFERROR(IF(INDEX([1]ListadoFichasDeProduccion!LQ:MB,MATCH(A764,[1]ListadoFichasDeProduccion!A:A,0),K764)=0,"",INDEX([1]ListadoFichasDeProduccion!LQ:MB,MATCH(A764,[1]ListadoFichasDeProduccion!A:A,0),K764)),""))</f>
        <v/>
      </c>
      <c r="K764" s="11">
        <v>1</v>
      </c>
    </row>
    <row r="765" spans="1:11" x14ac:dyDescent="0.3">
      <c r="A765" s="11" t="s">
        <v>420</v>
      </c>
      <c r="B765" t="str">
        <f>VLOOKUP(A765,[1]ListadoFichasDeProduccion!$A$2:$LP$3000,328,FALSE)</f>
        <v>NO COMENZADO</v>
      </c>
      <c r="C765" s="11">
        <v>30</v>
      </c>
      <c r="D765" t="s">
        <v>33</v>
      </c>
      <c r="E765" t="s">
        <v>421</v>
      </c>
      <c r="H765" t="s">
        <v>305</v>
      </c>
      <c r="I765" s="11">
        <v>6</v>
      </c>
      <c r="J765" t="str">
        <f>IF(I765="","",IFERROR(IF(INDEX([1]ListadoFichasDeProduccion!LQ:MB,MATCH(A765,[1]ListadoFichasDeProduccion!A:A,0),K765)=0,"",INDEX([1]ListadoFichasDeProduccion!LQ:MB,MATCH(A765,[1]ListadoFichasDeProduccion!A:A,0),K765)),""))</f>
        <v/>
      </c>
      <c r="K765" s="11">
        <v>2</v>
      </c>
    </row>
    <row r="766" spans="1:11" x14ac:dyDescent="0.3">
      <c r="A766" s="11" t="s">
        <v>420</v>
      </c>
      <c r="B766" t="str">
        <f>VLOOKUP(A766,[1]ListadoFichasDeProduccion!$A$2:$LP$3000,328,FALSE)</f>
        <v>NO COMENZADO</v>
      </c>
      <c r="C766" s="11">
        <v>30</v>
      </c>
      <c r="D766" t="s">
        <v>33</v>
      </c>
      <c r="E766" t="s">
        <v>421</v>
      </c>
      <c r="H766" t="s">
        <v>422</v>
      </c>
      <c r="I766" s="11">
        <v>6</v>
      </c>
      <c r="J766" t="str">
        <f>IF(I766="","",IFERROR(IF(INDEX([1]ListadoFichasDeProduccion!LQ:MB,MATCH(A766,[1]ListadoFichasDeProduccion!A:A,0),K766)=0,"",INDEX([1]ListadoFichasDeProduccion!LQ:MB,MATCH(A766,[1]ListadoFichasDeProduccion!A:A,0),K766)),""))</f>
        <v/>
      </c>
      <c r="K766" s="11">
        <v>3</v>
      </c>
    </row>
    <row r="767" spans="1:11" x14ac:dyDescent="0.3">
      <c r="A767" s="11" t="s">
        <v>420</v>
      </c>
      <c r="B767" t="str">
        <f>VLOOKUP(A767,[1]ListadoFichasDeProduccion!$A$2:$LP$3000,328,FALSE)</f>
        <v>NO COMENZADO</v>
      </c>
      <c r="C767" s="11">
        <v>30</v>
      </c>
      <c r="D767" t="s">
        <v>33</v>
      </c>
      <c r="E767" t="s">
        <v>421</v>
      </c>
      <c r="H767" t="s">
        <v>50</v>
      </c>
      <c r="I767" s="11">
        <v>6</v>
      </c>
      <c r="J767" t="str">
        <f>IF(I767="","",IFERROR(IF(INDEX([1]ListadoFichasDeProduccion!LQ:MB,MATCH(A767,[1]ListadoFichasDeProduccion!A:A,0),K767)=0,"",INDEX([1]ListadoFichasDeProduccion!LQ:MB,MATCH(A767,[1]ListadoFichasDeProduccion!A:A,0),K767)),""))</f>
        <v/>
      </c>
      <c r="K767" s="11">
        <v>4</v>
      </c>
    </row>
    <row r="768" spans="1:11" x14ac:dyDescent="0.3">
      <c r="A768" s="11" t="s">
        <v>420</v>
      </c>
      <c r="B768" t="str">
        <f>VLOOKUP(A768,[1]ListadoFichasDeProduccion!$A$2:$LP$3000,328,FALSE)</f>
        <v>NO COMENZADO</v>
      </c>
      <c r="C768" s="11">
        <v>30</v>
      </c>
      <c r="D768" t="s">
        <v>33</v>
      </c>
      <c r="E768" t="s">
        <v>421</v>
      </c>
      <c r="H768" t="s">
        <v>44</v>
      </c>
      <c r="I768" s="11">
        <v>6</v>
      </c>
      <c r="J768" t="str">
        <f>IF(I768="","",IFERROR(IF(INDEX([1]ListadoFichasDeProduccion!LQ:MB,MATCH(A768,[1]ListadoFichasDeProduccion!A:A,0),K768)=0,"",INDEX([1]ListadoFichasDeProduccion!LQ:MB,MATCH(A768,[1]ListadoFichasDeProduccion!A:A,0),K768)),""))</f>
        <v/>
      </c>
      <c r="K768" s="11">
        <v>5</v>
      </c>
    </row>
    <row r="769" spans="1:11" x14ac:dyDescent="0.3">
      <c r="A769" s="11" t="s">
        <v>423</v>
      </c>
      <c r="B769" t="str">
        <f>VLOOKUP(A769,[1]ListadoFichasDeProduccion!$A$2:$LP$3000,328,FALSE)</f>
        <v>NO COMENZADO</v>
      </c>
      <c r="C769" s="11">
        <v>30</v>
      </c>
      <c r="D769" t="s">
        <v>33</v>
      </c>
      <c r="E769" t="s">
        <v>424</v>
      </c>
      <c r="H769" t="s">
        <v>27</v>
      </c>
      <c r="I769" s="11">
        <v>6</v>
      </c>
      <c r="J769" t="str">
        <f>IF(I769="","",IFERROR(IF(INDEX([1]ListadoFichasDeProduccion!LQ:MB,MATCH(A769,[1]ListadoFichasDeProduccion!A:A,0),K769)=0,"",INDEX([1]ListadoFichasDeProduccion!LQ:MB,MATCH(A769,[1]ListadoFichasDeProduccion!A:A,0),K769)),""))</f>
        <v/>
      </c>
      <c r="K769" s="11">
        <v>1</v>
      </c>
    </row>
    <row r="770" spans="1:11" x14ac:dyDescent="0.3">
      <c r="A770" s="11" t="s">
        <v>423</v>
      </c>
      <c r="B770" t="str">
        <f>VLOOKUP(A770,[1]ListadoFichasDeProduccion!$A$2:$LP$3000,328,FALSE)</f>
        <v>NO COMENZADO</v>
      </c>
      <c r="C770" s="11">
        <v>30</v>
      </c>
      <c r="D770" t="s">
        <v>33</v>
      </c>
      <c r="E770" t="s">
        <v>424</v>
      </c>
      <c r="H770" t="s">
        <v>305</v>
      </c>
      <c r="I770" s="11">
        <v>6</v>
      </c>
      <c r="J770" t="str">
        <f>IF(I770="","",IFERROR(IF(INDEX([1]ListadoFichasDeProduccion!LQ:MB,MATCH(A770,[1]ListadoFichasDeProduccion!A:A,0),K770)=0,"",INDEX([1]ListadoFichasDeProduccion!LQ:MB,MATCH(A770,[1]ListadoFichasDeProduccion!A:A,0),K770)),""))</f>
        <v/>
      </c>
      <c r="K770" s="11">
        <v>2</v>
      </c>
    </row>
    <row r="771" spans="1:11" x14ac:dyDescent="0.3">
      <c r="A771" s="11" t="s">
        <v>423</v>
      </c>
      <c r="B771" t="str">
        <f>VLOOKUP(A771,[1]ListadoFichasDeProduccion!$A$2:$LP$3000,328,FALSE)</f>
        <v>NO COMENZADO</v>
      </c>
      <c r="C771" s="11">
        <v>30</v>
      </c>
      <c r="D771" t="s">
        <v>33</v>
      </c>
      <c r="E771" t="s">
        <v>424</v>
      </c>
      <c r="H771" t="s">
        <v>422</v>
      </c>
      <c r="I771" s="11">
        <v>6</v>
      </c>
      <c r="J771" t="str">
        <f>IF(I771="","",IFERROR(IF(INDEX([1]ListadoFichasDeProduccion!LQ:MB,MATCH(A771,[1]ListadoFichasDeProduccion!A:A,0),K771)=0,"",INDEX([1]ListadoFichasDeProduccion!LQ:MB,MATCH(A771,[1]ListadoFichasDeProduccion!A:A,0),K771)),""))</f>
        <v/>
      </c>
      <c r="K771" s="11">
        <v>3</v>
      </c>
    </row>
    <row r="772" spans="1:11" x14ac:dyDescent="0.3">
      <c r="A772" s="11" t="s">
        <v>423</v>
      </c>
      <c r="B772" t="str">
        <f>VLOOKUP(A772,[1]ListadoFichasDeProduccion!$A$2:$LP$3000,328,FALSE)</f>
        <v>NO COMENZADO</v>
      </c>
      <c r="C772" s="11">
        <v>30</v>
      </c>
      <c r="D772" t="s">
        <v>33</v>
      </c>
      <c r="E772" t="s">
        <v>424</v>
      </c>
      <c r="H772" t="s">
        <v>50</v>
      </c>
      <c r="I772" s="11">
        <v>6</v>
      </c>
      <c r="J772" t="str">
        <f>IF(I772="","",IFERROR(IF(INDEX([1]ListadoFichasDeProduccion!LQ:MB,MATCH(A772,[1]ListadoFichasDeProduccion!A:A,0),K772)=0,"",INDEX([1]ListadoFichasDeProduccion!LQ:MB,MATCH(A772,[1]ListadoFichasDeProduccion!A:A,0),K772)),""))</f>
        <v/>
      </c>
      <c r="K772" s="11">
        <v>4</v>
      </c>
    </row>
    <row r="773" spans="1:11" x14ac:dyDescent="0.3">
      <c r="A773" s="11" t="s">
        <v>423</v>
      </c>
      <c r="B773" t="str">
        <f>VLOOKUP(A773,[1]ListadoFichasDeProduccion!$A$2:$LP$3000,328,FALSE)</f>
        <v>NO COMENZADO</v>
      </c>
      <c r="C773" s="11">
        <v>30</v>
      </c>
      <c r="D773" t="s">
        <v>33</v>
      </c>
      <c r="E773" t="s">
        <v>424</v>
      </c>
      <c r="H773" t="s">
        <v>44</v>
      </c>
      <c r="I773" s="11">
        <v>6</v>
      </c>
      <c r="J773" t="str">
        <f>IF(I773="","",IFERROR(IF(INDEX([1]ListadoFichasDeProduccion!LQ:MB,MATCH(A773,[1]ListadoFichasDeProduccion!A:A,0),K773)=0,"",INDEX([1]ListadoFichasDeProduccion!LQ:MB,MATCH(A773,[1]ListadoFichasDeProduccion!A:A,0),K773)),""))</f>
        <v/>
      </c>
      <c r="K773" s="11">
        <v>5</v>
      </c>
    </row>
    <row r="774" spans="1:11" hidden="1" x14ac:dyDescent="0.3">
      <c r="A774" s="11">
        <v>1829</v>
      </c>
      <c r="B774" s="8" t="str">
        <f>VLOOKUP(A774,[1]ListadoFichasDeProduccion!$A$2:$LP$3000,328,FALSE)</f>
        <v>COMPLETADO</v>
      </c>
      <c r="C774" s="11">
        <v>22</v>
      </c>
      <c r="D774" t="s">
        <v>33</v>
      </c>
      <c r="E774" t="s">
        <v>222</v>
      </c>
      <c r="G774" s="9">
        <v>45814</v>
      </c>
      <c r="H774" t="s">
        <v>51</v>
      </c>
      <c r="I774" s="11">
        <v>8</v>
      </c>
      <c r="J774" t="str">
        <f>IF(I774="","",IFERROR(IF(INDEX([1]ListadoFichasDeProduccion!LQ:MB,MATCH(A774,[1]ListadoFichasDeProduccion!A:A,0),K774)=0,"",INDEX([1]ListadoFichasDeProduccion!LQ:MB,MATCH(A774,[1]ListadoFichasDeProduccion!A:A,0),K774)),""))</f>
        <v/>
      </c>
      <c r="K774" s="11">
        <v>1</v>
      </c>
    </row>
    <row r="775" spans="1:11" hidden="1" x14ac:dyDescent="0.3">
      <c r="A775" s="11">
        <v>1829</v>
      </c>
      <c r="B775" s="8" t="str">
        <f>VLOOKUP(A775,[1]ListadoFichasDeProduccion!$A$2:$LP$3000,328,FALSE)</f>
        <v>COMPLETADO</v>
      </c>
      <c r="C775" s="11">
        <v>22</v>
      </c>
      <c r="D775" t="s">
        <v>33</v>
      </c>
      <c r="E775" t="s">
        <v>222</v>
      </c>
      <c r="G775" s="9">
        <v>45814</v>
      </c>
      <c r="H775" t="s">
        <v>50</v>
      </c>
      <c r="I775" s="11">
        <v>6</v>
      </c>
      <c r="J775" t="str">
        <f>IF(I775="","",IFERROR(IF(INDEX([1]ListadoFichasDeProduccion!LQ:MB,MATCH(A775,[1]ListadoFichasDeProduccion!A:A,0),K775)=0,"",INDEX([1]ListadoFichasDeProduccion!LQ:MB,MATCH(A775,[1]ListadoFichasDeProduccion!A:A,0),K775)),""))</f>
        <v/>
      </c>
      <c r="K775" s="11">
        <v>2</v>
      </c>
    </row>
    <row r="776" spans="1:11" hidden="1" x14ac:dyDescent="0.3">
      <c r="A776" s="11">
        <v>1829</v>
      </c>
      <c r="B776" s="8" t="str">
        <f>VLOOKUP(A776,[1]ListadoFichasDeProduccion!$A$2:$LP$3000,328,FALSE)</f>
        <v>COMPLETADO</v>
      </c>
      <c r="C776" s="11">
        <v>22</v>
      </c>
      <c r="D776" t="s">
        <v>33</v>
      </c>
      <c r="E776" t="s">
        <v>222</v>
      </c>
      <c r="G776" s="9">
        <v>45814</v>
      </c>
      <c r="H776" t="s">
        <v>31</v>
      </c>
      <c r="I776" s="11">
        <v>8</v>
      </c>
      <c r="J776" t="str">
        <f>IF(I776="","",IFERROR(IF(INDEX([1]ListadoFichasDeProduccion!LQ:MB,MATCH(A776,[1]ListadoFichasDeProduccion!A:A,0),K776)=0,"",INDEX([1]ListadoFichasDeProduccion!LQ:MB,MATCH(A776,[1]ListadoFichasDeProduccion!A:A,0),K776)),""))</f>
        <v/>
      </c>
      <c r="K776" s="11">
        <v>3</v>
      </c>
    </row>
    <row r="777" spans="1:11" hidden="1" x14ac:dyDescent="0.3">
      <c r="A777" s="11" t="s">
        <v>402</v>
      </c>
      <c r="B777" t="str">
        <f>VLOOKUP(A777,[1]ListadoFichasDeProduccion!$A$2:$LP$3000,328,FALSE)</f>
        <v>COMPLETADO</v>
      </c>
      <c r="C777" s="11">
        <v>21</v>
      </c>
      <c r="D777" t="s">
        <v>33</v>
      </c>
      <c r="E777" t="s">
        <v>222</v>
      </c>
      <c r="G777" s="9">
        <v>45919</v>
      </c>
      <c r="H777" t="s">
        <v>51</v>
      </c>
      <c r="I777" s="11">
        <v>9</v>
      </c>
      <c r="J777" t="str">
        <f>IF(I777="","",IFERROR(IF(INDEX([1]ListadoFichasDeProduccion!LQ:MB,MATCH(A777,[1]ListadoFichasDeProduccion!A:A,0),K777)=0,"",INDEX([1]ListadoFichasDeProduccion!LQ:MB,MATCH(A777,[1]ListadoFichasDeProduccion!A:A,0),K777)),""))</f>
        <v/>
      </c>
      <c r="K777" s="11">
        <v>1</v>
      </c>
    </row>
    <row r="778" spans="1:11" hidden="1" x14ac:dyDescent="0.3">
      <c r="A778" s="11" t="s">
        <v>402</v>
      </c>
      <c r="B778" t="str">
        <f>VLOOKUP(A778,[1]ListadoFichasDeProduccion!$A$2:$LP$3000,328,FALSE)</f>
        <v>COMPLETADO</v>
      </c>
      <c r="C778" s="11">
        <v>21</v>
      </c>
      <c r="D778" t="s">
        <v>33</v>
      </c>
      <c r="E778" t="s">
        <v>222</v>
      </c>
      <c r="G778" s="9">
        <v>45919</v>
      </c>
      <c r="H778" t="s">
        <v>50</v>
      </c>
      <c r="I778" s="11">
        <v>3</v>
      </c>
      <c r="J778" t="str">
        <f>IF(I778="","",IFERROR(IF(INDEX([1]ListadoFichasDeProduccion!LQ:MB,MATCH(A778,[1]ListadoFichasDeProduccion!A:A,0),K778)=0,"",INDEX([1]ListadoFichasDeProduccion!LQ:MB,MATCH(A778,[1]ListadoFichasDeProduccion!A:A,0),K778)),""))</f>
        <v/>
      </c>
      <c r="K778" s="11">
        <v>2</v>
      </c>
    </row>
    <row r="779" spans="1:11" hidden="1" x14ac:dyDescent="0.3">
      <c r="A779" s="11" t="s">
        <v>402</v>
      </c>
      <c r="B779" t="str">
        <f>VLOOKUP(A779,[1]ListadoFichasDeProduccion!$A$2:$LP$3000,328,FALSE)</f>
        <v>COMPLETADO</v>
      </c>
      <c r="C779" s="11">
        <v>21</v>
      </c>
      <c r="D779" t="s">
        <v>33</v>
      </c>
      <c r="E779" t="s">
        <v>222</v>
      </c>
      <c r="G779" s="9">
        <v>45919</v>
      </c>
      <c r="H779" t="s">
        <v>27</v>
      </c>
      <c r="I779" s="11">
        <v>9</v>
      </c>
      <c r="J779" t="str">
        <f>IF(I779="","",IFERROR(IF(INDEX([1]ListadoFichasDeProduccion!LQ:MB,MATCH(A779,[1]ListadoFichasDeProduccion!A:A,0),K779)=0,"",INDEX([1]ListadoFichasDeProduccion!LQ:MB,MATCH(A779,[1]ListadoFichasDeProduccion!A:A,0),K779)),""))</f>
        <v/>
      </c>
      <c r="K779" s="11">
        <v>3</v>
      </c>
    </row>
    <row r="780" spans="1:11" x14ac:dyDescent="0.3">
      <c r="A780" s="11" t="s">
        <v>477</v>
      </c>
      <c r="B780" t="str">
        <f>VLOOKUP(A780,[1]ListadoFichasDeProduccion!$A$2:$LP$3000,328,FALSE)</f>
        <v>EN PRODUCCION</v>
      </c>
      <c r="C780" s="11">
        <v>9</v>
      </c>
      <c r="D780" t="s">
        <v>33</v>
      </c>
      <c r="E780" t="s">
        <v>222</v>
      </c>
      <c r="H780" t="s">
        <v>31</v>
      </c>
      <c r="I780" s="11">
        <v>9</v>
      </c>
      <c r="J780" t="str">
        <f>IF(I780="","",IFERROR(IF(INDEX([1]ListadoFichasDeProduccion!LQ:MB,MATCH(A780,[1]ListadoFichasDeProduccion!A:A,0),K780)=0,"",INDEX([1]ListadoFichasDeProduccion!LQ:MB,MATCH(A780,[1]ListadoFichasDeProduccion!A:A,0),K780)),""))</f>
        <v/>
      </c>
      <c r="K780" s="11">
        <v>1</v>
      </c>
    </row>
    <row r="781" spans="1:11" hidden="1" x14ac:dyDescent="0.3">
      <c r="A781" s="11">
        <v>1817</v>
      </c>
      <c r="B781" s="8" t="str">
        <f>VLOOKUP(A781,[1]ListadoFichasDeProduccion!$A$2:$LP$3000,328,FALSE)</f>
        <v>COMPLETADO</v>
      </c>
      <c r="C781" s="11">
        <v>10</v>
      </c>
      <c r="D781" t="s">
        <v>33</v>
      </c>
      <c r="E781" t="s">
        <v>208</v>
      </c>
      <c r="G781" s="9">
        <v>45834</v>
      </c>
      <c r="H781" t="s">
        <v>26</v>
      </c>
      <c r="I781" s="11">
        <v>10</v>
      </c>
      <c r="J781" t="str">
        <f>IF(I781="","",IFERROR(IF(INDEX([1]ListadoFichasDeProduccion!LQ:MB,MATCH(A781,[1]ListadoFichasDeProduccion!A:A,0),K781)=0,"",INDEX([1]ListadoFichasDeProduccion!LQ:MB,MATCH(A781,[1]ListadoFichasDeProduccion!A:A,0),K781)),""))</f>
        <v/>
      </c>
      <c r="K781" s="11">
        <v>1</v>
      </c>
    </row>
    <row r="782" spans="1:11" hidden="1" x14ac:dyDescent="0.3">
      <c r="A782" s="11" t="s">
        <v>333</v>
      </c>
      <c r="B782" t="str">
        <f>VLOOKUP(A782,[1]ListadoFichasDeProduccion!$A$2:$LP$3000,328,FALSE)</f>
        <v>COMPLETADO</v>
      </c>
      <c r="C782" s="11">
        <v>50</v>
      </c>
      <c r="D782" t="s">
        <v>33</v>
      </c>
      <c r="E782" t="s">
        <v>208</v>
      </c>
      <c r="G782" s="9">
        <v>45919</v>
      </c>
      <c r="H782" t="s">
        <v>334</v>
      </c>
      <c r="I782" s="11">
        <v>10</v>
      </c>
      <c r="J782" t="str">
        <f>IF(I782="","",IFERROR(IF(INDEX([1]ListadoFichasDeProduccion!LQ:MB,MATCH(A782,[1]ListadoFichasDeProduccion!A:A,0),K782)=0,"",INDEX([1]ListadoFichasDeProduccion!LQ:MB,MATCH(A782,[1]ListadoFichasDeProduccion!A:A,0),K782)),""))</f>
        <v/>
      </c>
      <c r="K782" s="11">
        <v>1</v>
      </c>
    </row>
    <row r="783" spans="1:11" hidden="1" x14ac:dyDescent="0.3">
      <c r="A783" s="11" t="s">
        <v>333</v>
      </c>
      <c r="B783" t="str">
        <f>VLOOKUP(A783,[1]ListadoFichasDeProduccion!$A$2:$LP$3000,328,FALSE)</f>
        <v>COMPLETADO</v>
      </c>
      <c r="C783" s="11">
        <v>50</v>
      </c>
      <c r="D783" t="s">
        <v>33</v>
      </c>
      <c r="E783" t="s">
        <v>208</v>
      </c>
      <c r="G783" s="9">
        <v>45919</v>
      </c>
      <c r="H783" t="s">
        <v>61</v>
      </c>
      <c r="I783" s="11">
        <v>10</v>
      </c>
      <c r="J783" t="str">
        <f>IF(I783="","",IFERROR(IF(INDEX([1]ListadoFichasDeProduccion!LQ:MB,MATCH(A783,[1]ListadoFichasDeProduccion!A:A,0),K783)=0,"",INDEX([1]ListadoFichasDeProduccion!LQ:MB,MATCH(A783,[1]ListadoFichasDeProduccion!A:A,0),K783)),""))</f>
        <v/>
      </c>
      <c r="K783" s="11">
        <v>2</v>
      </c>
    </row>
    <row r="784" spans="1:11" hidden="1" x14ac:dyDescent="0.3">
      <c r="A784" s="11" t="s">
        <v>333</v>
      </c>
      <c r="B784" t="str">
        <f>VLOOKUP(A784,[1]ListadoFichasDeProduccion!$A$2:$LP$3000,328,FALSE)</f>
        <v>COMPLETADO</v>
      </c>
      <c r="C784" s="11">
        <v>50</v>
      </c>
      <c r="D784" t="s">
        <v>33</v>
      </c>
      <c r="E784" t="s">
        <v>208</v>
      </c>
      <c r="G784" s="9">
        <v>45919</v>
      </c>
      <c r="H784" t="s">
        <v>335</v>
      </c>
      <c r="I784" s="11">
        <v>10</v>
      </c>
      <c r="J784" t="str">
        <f>IF(I784="","",IFERROR(IF(INDEX([1]ListadoFichasDeProduccion!LQ:MB,MATCH(A784,[1]ListadoFichasDeProduccion!A:A,0),K784)=0,"",INDEX([1]ListadoFichasDeProduccion!LQ:MB,MATCH(A784,[1]ListadoFichasDeProduccion!A:A,0),K784)),""))</f>
        <v/>
      </c>
      <c r="K784" s="11">
        <v>3</v>
      </c>
    </row>
    <row r="785" spans="1:11" hidden="1" x14ac:dyDescent="0.3">
      <c r="A785" s="11" t="s">
        <v>333</v>
      </c>
      <c r="B785" t="str">
        <f>VLOOKUP(A785,[1]ListadoFichasDeProduccion!$A$2:$LP$3000,328,FALSE)</f>
        <v>COMPLETADO</v>
      </c>
      <c r="C785" s="11">
        <v>50</v>
      </c>
      <c r="D785" t="s">
        <v>33</v>
      </c>
      <c r="E785" t="s">
        <v>208</v>
      </c>
      <c r="G785" s="9">
        <v>45919</v>
      </c>
      <c r="H785" t="s">
        <v>60</v>
      </c>
      <c r="I785" s="11">
        <v>10</v>
      </c>
      <c r="J785" t="str">
        <f>IF(I785="","",IFERROR(IF(INDEX([1]ListadoFichasDeProduccion!LQ:MB,MATCH(A785,[1]ListadoFichasDeProduccion!A:A,0),K785)=0,"",INDEX([1]ListadoFichasDeProduccion!LQ:MB,MATCH(A785,[1]ListadoFichasDeProduccion!A:A,0),K785)),""))</f>
        <v/>
      </c>
      <c r="K785" s="11">
        <v>4</v>
      </c>
    </row>
    <row r="786" spans="1:11" hidden="1" x14ac:dyDescent="0.3">
      <c r="A786" s="11" t="s">
        <v>333</v>
      </c>
      <c r="B786" t="str">
        <f>VLOOKUP(A786,[1]ListadoFichasDeProduccion!$A$2:$LP$3000,328,FALSE)</f>
        <v>COMPLETADO</v>
      </c>
      <c r="C786" s="11">
        <v>50</v>
      </c>
      <c r="D786" t="s">
        <v>33</v>
      </c>
      <c r="E786" t="s">
        <v>208</v>
      </c>
      <c r="G786" s="9">
        <v>45919</v>
      </c>
      <c r="H786" t="s">
        <v>336</v>
      </c>
      <c r="I786" s="11">
        <v>10</v>
      </c>
      <c r="J786" t="str">
        <f>IF(I786="","",IFERROR(IF(INDEX([1]ListadoFichasDeProduccion!LQ:MB,MATCH(A786,[1]ListadoFichasDeProduccion!A:A,0),K786)=0,"",INDEX([1]ListadoFichasDeProduccion!LQ:MB,MATCH(A786,[1]ListadoFichasDeProduccion!A:A,0),K786)),""))</f>
        <v/>
      </c>
      <c r="K786" s="11">
        <v>5</v>
      </c>
    </row>
    <row r="787" spans="1:11" hidden="1" x14ac:dyDescent="0.3">
      <c r="A787" s="11">
        <v>1818</v>
      </c>
      <c r="B787" s="8" t="str">
        <f>VLOOKUP(A787,[1]ListadoFichasDeProduccion!$A$2:$LP$3000,328,FALSE)</f>
        <v>COMPLETADO</v>
      </c>
      <c r="C787" s="11">
        <v>10</v>
      </c>
      <c r="D787" t="s">
        <v>33</v>
      </c>
      <c r="E787" t="s">
        <v>209</v>
      </c>
      <c r="G787" s="9">
        <v>45805</v>
      </c>
      <c r="H787" t="s">
        <v>26</v>
      </c>
      <c r="I787" s="11">
        <v>10</v>
      </c>
      <c r="J787" t="str">
        <f>IF(I787="","",IFERROR(IF(INDEX([1]ListadoFichasDeProduccion!LQ:MB,MATCH(A787,[1]ListadoFichasDeProduccion!A:A,0),K787)=0,"",INDEX([1]ListadoFichasDeProduccion!LQ:MB,MATCH(A787,[1]ListadoFichasDeProduccion!A:A,0),K787)),""))</f>
        <v/>
      </c>
      <c r="K787" s="11">
        <v>1</v>
      </c>
    </row>
    <row r="788" spans="1:11" hidden="1" x14ac:dyDescent="0.3">
      <c r="A788" s="11" t="s">
        <v>337</v>
      </c>
      <c r="B788" t="str">
        <f>VLOOKUP(A788,[1]ListadoFichasDeProduccion!$A$2:$LP$3000,328,FALSE)</f>
        <v>COMPLETADO</v>
      </c>
      <c r="C788" s="11">
        <v>50</v>
      </c>
      <c r="D788" t="s">
        <v>33</v>
      </c>
      <c r="E788" t="s">
        <v>209</v>
      </c>
      <c r="G788" s="9">
        <v>45919</v>
      </c>
      <c r="H788" t="s">
        <v>334</v>
      </c>
      <c r="I788" s="11">
        <v>10</v>
      </c>
      <c r="J788" t="str">
        <f>IF(I788="","",IFERROR(IF(INDEX([1]ListadoFichasDeProduccion!LQ:MB,MATCH(A788,[1]ListadoFichasDeProduccion!A:A,0),K788)=0,"",INDEX([1]ListadoFichasDeProduccion!LQ:MB,MATCH(A788,[1]ListadoFichasDeProduccion!A:A,0),K788)),""))</f>
        <v/>
      </c>
      <c r="K788" s="11">
        <v>1</v>
      </c>
    </row>
    <row r="789" spans="1:11" hidden="1" x14ac:dyDescent="0.3">
      <c r="A789" s="11" t="s">
        <v>337</v>
      </c>
      <c r="B789" t="str">
        <f>VLOOKUP(A789,[1]ListadoFichasDeProduccion!$A$2:$LP$3000,328,FALSE)</f>
        <v>COMPLETADO</v>
      </c>
      <c r="C789" s="11">
        <v>50</v>
      </c>
      <c r="D789" t="s">
        <v>33</v>
      </c>
      <c r="E789" t="s">
        <v>209</v>
      </c>
      <c r="G789" s="9">
        <v>45919</v>
      </c>
      <c r="H789" t="s">
        <v>336</v>
      </c>
      <c r="I789" s="11">
        <v>10</v>
      </c>
      <c r="J789" t="str">
        <f>IF(I789="","",IFERROR(IF(INDEX([1]ListadoFichasDeProduccion!LQ:MB,MATCH(A789,[1]ListadoFichasDeProduccion!A:A,0),K789)=0,"",INDEX([1]ListadoFichasDeProduccion!LQ:MB,MATCH(A789,[1]ListadoFichasDeProduccion!A:A,0),K789)),""))</f>
        <v/>
      </c>
      <c r="K789" s="11">
        <v>2</v>
      </c>
    </row>
    <row r="790" spans="1:11" hidden="1" x14ac:dyDescent="0.3">
      <c r="A790" s="11" t="s">
        <v>337</v>
      </c>
      <c r="B790" t="str">
        <f>VLOOKUP(A790,[1]ListadoFichasDeProduccion!$A$2:$LP$3000,328,FALSE)</f>
        <v>COMPLETADO</v>
      </c>
      <c r="C790" s="11">
        <v>50</v>
      </c>
      <c r="D790" t="s">
        <v>33</v>
      </c>
      <c r="E790" t="s">
        <v>209</v>
      </c>
      <c r="G790" s="9">
        <v>45919</v>
      </c>
      <c r="H790" t="s">
        <v>61</v>
      </c>
      <c r="I790" s="11">
        <v>10</v>
      </c>
      <c r="J790" t="str">
        <f>IF(I790="","",IFERROR(IF(INDEX([1]ListadoFichasDeProduccion!LQ:MB,MATCH(A790,[1]ListadoFichasDeProduccion!A:A,0),K790)=0,"",INDEX([1]ListadoFichasDeProduccion!LQ:MB,MATCH(A790,[1]ListadoFichasDeProduccion!A:A,0),K790)),""))</f>
        <v/>
      </c>
      <c r="K790" s="11">
        <v>3</v>
      </c>
    </row>
    <row r="791" spans="1:11" hidden="1" x14ac:dyDescent="0.3">
      <c r="A791" s="11" t="s">
        <v>337</v>
      </c>
      <c r="B791" t="str">
        <f>VLOOKUP(A791,[1]ListadoFichasDeProduccion!$A$2:$LP$3000,328,FALSE)</f>
        <v>COMPLETADO</v>
      </c>
      <c r="C791" s="11">
        <v>50</v>
      </c>
      <c r="D791" t="s">
        <v>33</v>
      </c>
      <c r="E791" t="s">
        <v>209</v>
      </c>
      <c r="G791" s="9">
        <v>45919</v>
      </c>
      <c r="H791" t="s">
        <v>335</v>
      </c>
      <c r="I791" s="11">
        <v>10</v>
      </c>
      <c r="J791" t="str">
        <f>IF(I791="","",IFERROR(IF(INDEX([1]ListadoFichasDeProduccion!LQ:MB,MATCH(A791,[1]ListadoFichasDeProduccion!A:A,0),K791)=0,"",INDEX([1]ListadoFichasDeProduccion!LQ:MB,MATCH(A791,[1]ListadoFichasDeProduccion!A:A,0),K791)),""))</f>
        <v/>
      </c>
      <c r="K791" s="11">
        <v>4</v>
      </c>
    </row>
    <row r="792" spans="1:11" hidden="1" x14ac:dyDescent="0.3">
      <c r="A792" s="11" t="s">
        <v>337</v>
      </c>
      <c r="B792" t="str">
        <f>VLOOKUP(A792,[1]ListadoFichasDeProduccion!$A$2:$LP$3000,328,FALSE)</f>
        <v>COMPLETADO</v>
      </c>
      <c r="C792" s="11">
        <v>50</v>
      </c>
      <c r="D792" t="s">
        <v>33</v>
      </c>
      <c r="E792" t="s">
        <v>209</v>
      </c>
      <c r="G792" s="9">
        <v>45919</v>
      </c>
      <c r="H792" t="s">
        <v>60</v>
      </c>
      <c r="I792" s="11">
        <v>10</v>
      </c>
      <c r="J792" t="str">
        <f>IF(I792="","",IFERROR(IF(INDEX([1]ListadoFichasDeProduccion!LQ:MB,MATCH(A792,[1]ListadoFichasDeProduccion!A:A,0),K792)=0,"",INDEX([1]ListadoFichasDeProduccion!LQ:MB,MATCH(A792,[1]ListadoFichasDeProduccion!A:A,0),K792)),""))</f>
        <v/>
      </c>
      <c r="K792" s="11">
        <v>5</v>
      </c>
    </row>
    <row r="793" spans="1:11" hidden="1" x14ac:dyDescent="0.3">
      <c r="A793" s="11">
        <v>1819</v>
      </c>
      <c r="B793" s="8" t="str">
        <f>VLOOKUP(A793,[1]ListadoFichasDeProduccion!$A$2:$LP$3000,328,FALSE)</f>
        <v>COMPLETADO</v>
      </c>
      <c r="C793" s="11">
        <v>10</v>
      </c>
      <c r="D793" t="s">
        <v>33</v>
      </c>
      <c r="E793" t="s">
        <v>210</v>
      </c>
      <c r="G793" s="9">
        <v>45805</v>
      </c>
      <c r="H793" t="s">
        <v>26</v>
      </c>
      <c r="I793" s="11">
        <v>10</v>
      </c>
      <c r="J793" t="str">
        <f>IF(I793="","",IFERROR(IF(INDEX([1]ListadoFichasDeProduccion!LQ:MB,MATCH(A793,[1]ListadoFichasDeProduccion!A:A,0),K793)=0,"",INDEX([1]ListadoFichasDeProduccion!LQ:MB,MATCH(A793,[1]ListadoFichasDeProduccion!A:A,0),K793)),""))</f>
        <v/>
      </c>
      <c r="K793" s="11">
        <v>1</v>
      </c>
    </row>
    <row r="794" spans="1:11" hidden="1" x14ac:dyDescent="0.3">
      <c r="A794" s="11" t="s">
        <v>338</v>
      </c>
      <c r="B794" t="str">
        <f>VLOOKUP(A794,[1]ListadoFichasDeProduccion!$A$2:$LP$3000,328,FALSE)</f>
        <v>COMPLETADO</v>
      </c>
      <c r="C794" s="11">
        <v>50</v>
      </c>
      <c r="D794" t="s">
        <v>33</v>
      </c>
      <c r="E794" t="s">
        <v>210</v>
      </c>
      <c r="G794" s="9">
        <v>45919</v>
      </c>
      <c r="H794" t="s">
        <v>61</v>
      </c>
      <c r="I794" s="11">
        <v>10</v>
      </c>
      <c r="J794" t="str">
        <f>IF(I794="","",IFERROR(IF(INDEX([1]ListadoFichasDeProduccion!LQ:MB,MATCH(A794,[1]ListadoFichasDeProduccion!A:A,0),K794)=0,"",INDEX([1]ListadoFichasDeProduccion!LQ:MB,MATCH(A794,[1]ListadoFichasDeProduccion!A:A,0),K794)),""))</f>
        <v/>
      </c>
      <c r="K794" s="11">
        <v>1</v>
      </c>
    </row>
    <row r="795" spans="1:11" hidden="1" x14ac:dyDescent="0.3">
      <c r="A795" s="11" t="s">
        <v>338</v>
      </c>
      <c r="B795" t="str">
        <f>VLOOKUP(A795,[1]ListadoFichasDeProduccion!$A$2:$LP$3000,328,FALSE)</f>
        <v>COMPLETADO</v>
      </c>
      <c r="C795" s="11">
        <v>50</v>
      </c>
      <c r="D795" t="s">
        <v>33</v>
      </c>
      <c r="E795" t="s">
        <v>210</v>
      </c>
      <c r="G795" s="9">
        <v>45919</v>
      </c>
      <c r="H795" t="s">
        <v>334</v>
      </c>
      <c r="I795" s="11">
        <v>10</v>
      </c>
      <c r="J795" t="str">
        <f>IF(I795="","",IFERROR(IF(INDEX([1]ListadoFichasDeProduccion!LQ:MB,MATCH(A795,[1]ListadoFichasDeProduccion!A:A,0),K795)=0,"",INDEX([1]ListadoFichasDeProduccion!LQ:MB,MATCH(A795,[1]ListadoFichasDeProduccion!A:A,0),K795)),""))</f>
        <v/>
      </c>
      <c r="K795" s="11">
        <v>2</v>
      </c>
    </row>
    <row r="796" spans="1:11" hidden="1" x14ac:dyDescent="0.3">
      <c r="A796" s="11" t="s">
        <v>338</v>
      </c>
      <c r="B796" t="str">
        <f>VLOOKUP(A796,[1]ListadoFichasDeProduccion!$A$2:$LP$3000,328,FALSE)</f>
        <v>COMPLETADO</v>
      </c>
      <c r="C796" s="11">
        <v>50</v>
      </c>
      <c r="D796" t="s">
        <v>33</v>
      </c>
      <c r="E796" t="s">
        <v>210</v>
      </c>
      <c r="G796" s="9">
        <v>45919</v>
      </c>
      <c r="H796" t="s">
        <v>335</v>
      </c>
      <c r="I796" s="11">
        <v>10</v>
      </c>
      <c r="J796" t="str">
        <f>IF(I796="","",IFERROR(IF(INDEX([1]ListadoFichasDeProduccion!LQ:MB,MATCH(A796,[1]ListadoFichasDeProduccion!A:A,0),K796)=0,"",INDEX([1]ListadoFichasDeProduccion!LQ:MB,MATCH(A796,[1]ListadoFichasDeProduccion!A:A,0),K796)),""))</f>
        <v/>
      </c>
      <c r="K796" s="11">
        <v>3</v>
      </c>
    </row>
    <row r="797" spans="1:11" hidden="1" x14ac:dyDescent="0.3">
      <c r="A797" s="11" t="s">
        <v>338</v>
      </c>
      <c r="B797" t="str">
        <f>VLOOKUP(A797,[1]ListadoFichasDeProduccion!$A$2:$LP$3000,328,FALSE)</f>
        <v>COMPLETADO</v>
      </c>
      <c r="C797" s="11">
        <v>50</v>
      </c>
      <c r="D797" t="s">
        <v>33</v>
      </c>
      <c r="E797" t="s">
        <v>210</v>
      </c>
      <c r="G797" s="9">
        <v>45919</v>
      </c>
      <c r="H797" t="s">
        <v>336</v>
      </c>
      <c r="I797" s="11">
        <v>10</v>
      </c>
      <c r="J797" t="str">
        <f>IF(I797="","",IFERROR(IF(INDEX([1]ListadoFichasDeProduccion!LQ:MB,MATCH(A797,[1]ListadoFichasDeProduccion!A:A,0),K797)=0,"",INDEX([1]ListadoFichasDeProduccion!LQ:MB,MATCH(A797,[1]ListadoFichasDeProduccion!A:A,0),K797)),""))</f>
        <v/>
      </c>
      <c r="K797" s="11">
        <v>4</v>
      </c>
    </row>
    <row r="798" spans="1:11" hidden="1" x14ac:dyDescent="0.3">
      <c r="A798" s="11" t="s">
        <v>338</v>
      </c>
      <c r="B798" t="str">
        <f>VLOOKUP(A798,[1]ListadoFichasDeProduccion!$A$2:$LP$3000,328,FALSE)</f>
        <v>COMPLETADO</v>
      </c>
      <c r="C798" s="11">
        <v>50</v>
      </c>
      <c r="D798" t="s">
        <v>33</v>
      </c>
      <c r="E798" t="s">
        <v>210</v>
      </c>
      <c r="G798" s="9">
        <v>45919</v>
      </c>
      <c r="H798" t="s">
        <v>60</v>
      </c>
      <c r="I798" s="11">
        <v>10</v>
      </c>
      <c r="J798" t="str">
        <f>IF(I798="","",IFERROR(IF(INDEX([1]ListadoFichasDeProduccion!LQ:MB,MATCH(A798,[1]ListadoFichasDeProduccion!A:A,0),K798)=0,"",INDEX([1]ListadoFichasDeProduccion!LQ:MB,MATCH(A798,[1]ListadoFichasDeProduccion!A:A,0),K798)),""))</f>
        <v/>
      </c>
      <c r="K798" s="11">
        <v>5</v>
      </c>
    </row>
    <row r="799" spans="1:11" hidden="1" x14ac:dyDescent="0.3">
      <c r="A799" s="11" t="s">
        <v>483</v>
      </c>
      <c r="B799" t="str">
        <f>VLOOKUP(A799,[1]ListadoFichasDeProduccion!$A$2:$LP$3000,328,FALSE)</f>
        <v>COMPLETADO</v>
      </c>
      <c r="C799" s="11">
        <v>12</v>
      </c>
      <c r="D799" t="s">
        <v>33</v>
      </c>
      <c r="E799" t="s">
        <v>210</v>
      </c>
      <c r="G799" s="9">
        <v>45975</v>
      </c>
      <c r="H799" t="s">
        <v>26</v>
      </c>
      <c r="I799" s="11">
        <v>12</v>
      </c>
      <c r="J799" t="str">
        <f>IF(I799="","",IFERROR(IF(INDEX([1]ListadoFichasDeProduccion!LQ:MB,MATCH(A799,[1]ListadoFichasDeProduccion!A:A,0),K799)=0,"",INDEX([1]ListadoFichasDeProduccion!LQ:MB,MATCH(A799,[1]ListadoFichasDeProduccion!A:A,0),K799)),""))</f>
        <v/>
      </c>
      <c r="K799" s="11">
        <v>1</v>
      </c>
    </row>
    <row r="800" spans="1:11" hidden="1" x14ac:dyDescent="0.3">
      <c r="A800" s="11" t="s">
        <v>320</v>
      </c>
      <c r="B800" t="str">
        <f>VLOOKUP(A800,[1]ListadoFichasDeProduccion!$A$2:$LP$3000,328,FALSE)</f>
        <v>COMPLETADO</v>
      </c>
      <c r="C800" s="11">
        <v>18</v>
      </c>
      <c r="D800" t="s">
        <v>11</v>
      </c>
      <c r="E800" t="s">
        <v>321</v>
      </c>
      <c r="G800" s="9">
        <v>45918</v>
      </c>
      <c r="H800" t="s">
        <v>249</v>
      </c>
      <c r="I800" s="11">
        <v>6</v>
      </c>
      <c r="J800" t="str">
        <f>IF(I800="","",IFERROR(IF(INDEX([1]ListadoFichasDeProduccion!LQ:MB,MATCH(A800,[1]ListadoFichasDeProduccion!A:A,0),K800)=0,"",INDEX([1]ListadoFichasDeProduccion!LQ:MB,MATCH(A800,[1]ListadoFichasDeProduccion!A:A,0),K800)),""))</f>
        <v/>
      </c>
      <c r="K800" s="11">
        <v>1</v>
      </c>
    </row>
    <row r="801" spans="1:11" hidden="1" x14ac:dyDescent="0.3">
      <c r="A801" s="11" t="s">
        <v>320</v>
      </c>
      <c r="B801" t="str">
        <f>VLOOKUP(A801,[1]ListadoFichasDeProduccion!$A$2:$LP$3000,328,FALSE)</f>
        <v>COMPLETADO</v>
      </c>
      <c r="C801" s="11">
        <v>18</v>
      </c>
      <c r="D801" t="s">
        <v>11</v>
      </c>
      <c r="E801" t="s">
        <v>321</v>
      </c>
      <c r="G801" s="9">
        <v>45918</v>
      </c>
      <c r="H801" t="s">
        <v>26</v>
      </c>
      <c r="I801" s="11">
        <v>4</v>
      </c>
      <c r="J801" t="str">
        <f>IF(I801="","",IFERROR(IF(INDEX([1]ListadoFichasDeProduccion!LQ:MB,MATCH(A801,[1]ListadoFichasDeProduccion!A:A,0),K801)=0,"",INDEX([1]ListadoFichasDeProduccion!LQ:MB,MATCH(A801,[1]ListadoFichasDeProduccion!A:A,0),K801)),""))</f>
        <v/>
      </c>
      <c r="K801" s="11">
        <v>3</v>
      </c>
    </row>
    <row r="802" spans="1:11" hidden="1" x14ac:dyDescent="0.3">
      <c r="A802" s="11" t="s">
        <v>320</v>
      </c>
      <c r="B802" t="str">
        <f>VLOOKUP(A802,[1]ListadoFichasDeProduccion!$A$2:$LP$3000,328,FALSE)</f>
        <v>COMPLETADO</v>
      </c>
      <c r="C802" s="11">
        <v>18</v>
      </c>
      <c r="D802" t="s">
        <v>11</v>
      </c>
      <c r="E802" t="s">
        <v>321</v>
      </c>
      <c r="G802" s="9">
        <v>45918</v>
      </c>
      <c r="H802" t="s">
        <v>28</v>
      </c>
      <c r="I802" s="11">
        <v>4</v>
      </c>
      <c r="J802" t="str">
        <f>IF(I802="","",IFERROR(IF(INDEX([1]ListadoFichasDeProduccion!LQ:MB,MATCH(A802,[1]ListadoFichasDeProduccion!A:A,0),K802)=0,"",INDEX([1]ListadoFichasDeProduccion!LQ:MB,MATCH(A802,[1]ListadoFichasDeProduccion!A:A,0),K802)),""))</f>
        <v/>
      </c>
      <c r="K802" s="11">
        <v>4</v>
      </c>
    </row>
    <row r="803" spans="1:11" hidden="1" x14ac:dyDescent="0.3">
      <c r="A803" s="11" t="s">
        <v>437</v>
      </c>
      <c r="B803" t="str">
        <f>VLOOKUP(A803,[1]ListadoFichasDeProduccion!$A$2:$LP$3000,328,FALSE)</f>
        <v>COMPLETADO</v>
      </c>
      <c r="C803" s="11">
        <v>10</v>
      </c>
      <c r="D803" t="s">
        <v>11</v>
      </c>
      <c r="E803" t="s">
        <v>438</v>
      </c>
      <c r="F803" t="s">
        <v>439</v>
      </c>
      <c r="G803" s="9">
        <v>45959</v>
      </c>
      <c r="H803" t="s">
        <v>51</v>
      </c>
      <c r="I803" s="11">
        <v>2</v>
      </c>
      <c r="J803" t="str">
        <f>IF(I803="","",IFERROR(IF(INDEX([1]ListadoFichasDeProduccion!LQ:MB,MATCH(A803,[1]ListadoFichasDeProduccion!A:A,0),K803)=0,"",INDEX([1]ListadoFichasDeProduccion!LQ:MB,MATCH(A803,[1]ListadoFichasDeProduccion!A:A,0),K803)),""))</f>
        <v/>
      </c>
      <c r="K803" s="11">
        <v>1</v>
      </c>
    </row>
    <row r="804" spans="1:11" hidden="1" x14ac:dyDescent="0.3">
      <c r="A804" s="11" t="s">
        <v>437</v>
      </c>
      <c r="B804" t="str">
        <f>VLOOKUP(A804,[1]ListadoFichasDeProduccion!$A$2:$LP$3000,328,FALSE)</f>
        <v>COMPLETADO</v>
      </c>
      <c r="C804" s="11">
        <v>10</v>
      </c>
      <c r="D804" t="s">
        <v>11</v>
      </c>
      <c r="E804" t="s">
        <v>438</v>
      </c>
      <c r="F804" t="s">
        <v>439</v>
      </c>
      <c r="G804" s="9">
        <v>45959</v>
      </c>
      <c r="H804" t="s">
        <v>28</v>
      </c>
      <c r="I804" s="11">
        <v>4</v>
      </c>
      <c r="J804" t="str">
        <f>IF(I804="","",IFERROR(IF(INDEX([1]ListadoFichasDeProduccion!LQ:MB,MATCH(A804,[1]ListadoFichasDeProduccion!A:A,0),K804)=0,"",INDEX([1]ListadoFichasDeProduccion!LQ:MB,MATCH(A804,[1]ListadoFichasDeProduccion!A:A,0),K804)),""))</f>
        <v/>
      </c>
      <c r="K804" s="11">
        <v>2</v>
      </c>
    </row>
    <row r="805" spans="1:11" hidden="1" x14ac:dyDescent="0.3">
      <c r="A805" s="11" t="s">
        <v>437</v>
      </c>
      <c r="B805" t="str">
        <f>VLOOKUP(A805,[1]ListadoFichasDeProduccion!$A$2:$LP$3000,328,FALSE)</f>
        <v>COMPLETADO</v>
      </c>
      <c r="C805" s="11">
        <v>10</v>
      </c>
      <c r="D805" t="s">
        <v>11</v>
      </c>
      <c r="E805" t="s">
        <v>438</v>
      </c>
      <c r="F805" t="s">
        <v>439</v>
      </c>
      <c r="G805" s="9">
        <v>45959</v>
      </c>
      <c r="H805" t="s">
        <v>31</v>
      </c>
      <c r="I805" s="11">
        <v>4</v>
      </c>
      <c r="J805" t="str">
        <f>IF(I805="","",IFERROR(IF(INDEX([1]ListadoFichasDeProduccion!LQ:MB,MATCH(A805,[1]ListadoFichasDeProduccion!A:A,0),K805)=0,"",INDEX([1]ListadoFichasDeProduccion!LQ:MB,MATCH(A805,[1]ListadoFichasDeProduccion!A:A,0),K805)),""))</f>
        <v/>
      </c>
      <c r="K805" s="11">
        <v>3</v>
      </c>
    </row>
    <row r="806" spans="1:11" hidden="1" x14ac:dyDescent="0.3">
      <c r="A806" s="11">
        <v>1634</v>
      </c>
      <c r="B806" s="8" t="str">
        <f>VLOOKUP(A806,[1]ListadoFichasDeProduccion!$A$2:$LP$3000,328,FALSE)</f>
        <v>COMPLETADO</v>
      </c>
      <c r="C806" s="11">
        <v>6</v>
      </c>
      <c r="D806" t="s">
        <v>33</v>
      </c>
      <c r="E806" t="s">
        <v>77</v>
      </c>
      <c r="F806" s="9"/>
      <c r="G806" s="9">
        <v>45705</v>
      </c>
      <c r="H806" t="s">
        <v>32</v>
      </c>
      <c r="I806" s="11">
        <v>3</v>
      </c>
      <c r="J806" t="str">
        <f>IF(I806="","",IFERROR(IF(INDEX([1]ListadoFichasDeProduccion!LQ:MB,MATCH(A806,[1]ListadoFichasDeProduccion!A:A,0),K806)=0,"",INDEX([1]ListadoFichasDeProduccion!LQ:MB,MATCH(A806,[1]ListadoFichasDeProduccion!A:A,0),K806)),""))</f>
        <v/>
      </c>
      <c r="K806" s="11">
        <v>1</v>
      </c>
    </row>
    <row r="807" spans="1:11" hidden="1" x14ac:dyDescent="0.3">
      <c r="A807" s="11">
        <v>1634</v>
      </c>
      <c r="B807" s="8" t="str">
        <f>VLOOKUP(A807,[1]ListadoFichasDeProduccion!$A$2:$LP$3000,328,FALSE)</f>
        <v>COMPLETADO</v>
      </c>
      <c r="C807" s="11">
        <v>6</v>
      </c>
      <c r="D807" t="s">
        <v>33</v>
      </c>
      <c r="E807" t="s">
        <v>77</v>
      </c>
      <c r="F807" s="9"/>
      <c r="G807" s="9">
        <v>45705</v>
      </c>
      <c r="H807" t="s">
        <v>36</v>
      </c>
      <c r="I807" s="11">
        <v>3</v>
      </c>
      <c r="J807" t="str">
        <f>IF(I807="","",IFERROR(IF(INDEX([1]ListadoFichasDeProduccion!LQ:MB,MATCH(A807,[1]ListadoFichasDeProduccion!A:A,0),K807)=0,"",INDEX([1]ListadoFichasDeProduccion!LQ:MB,MATCH(A807,[1]ListadoFichasDeProduccion!A:A,0),K807)),""))</f>
        <v/>
      </c>
      <c r="K807" s="11">
        <v>2</v>
      </c>
    </row>
    <row r="808" spans="1:11" hidden="1" x14ac:dyDescent="0.3">
      <c r="A808" s="11" t="s">
        <v>389</v>
      </c>
      <c r="B808" t="str">
        <f>VLOOKUP(A808,[1]ListadoFichasDeProduccion!$A$2:$LP$3000,328,FALSE)</f>
        <v>COMPLETADO</v>
      </c>
      <c r="C808" s="11">
        <v>9</v>
      </c>
      <c r="D808" t="s">
        <v>33</v>
      </c>
      <c r="E808" t="s">
        <v>77</v>
      </c>
      <c r="G808" s="9">
        <v>45939</v>
      </c>
      <c r="H808" t="s">
        <v>50</v>
      </c>
      <c r="I808" s="11">
        <v>3</v>
      </c>
      <c r="J808" t="str">
        <f>IF(I808="","",IFERROR(IF(INDEX([1]ListadoFichasDeProduccion!LQ:MB,MATCH(A808,[1]ListadoFichasDeProduccion!A:A,0),K808)=0,"",INDEX([1]ListadoFichasDeProduccion!LQ:MB,MATCH(A808,[1]ListadoFichasDeProduccion!A:A,0),K808)),""))</f>
        <v/>
      </c>
      <c r="K808" s="11">
        <v>1</v>
      </c>
    </row>
    <row r="809" spans="1:11" hidden="1" x14ac:dyDescent="0.3">
      <c r="A809" s="11" t="s">
        <v>389</v>
      </c>
      <c r="B809" t="str">
        <f>VLOOKUP(A809,[1]ListadoFichasDeProduccion!$A$2:$LP$3000,328,FALSE)</f>
        <v>COMPLETADO</v>
      </c>
      <c r="C809" s="11">
        <v>9</v>
      </c>
      <c r="D809" t="s">
        <v>33</v>
      </c>
      <c r="E809" t="s">
        <v>77</v>
      </c>
      <c r="G809" s="9">
        <v>45939</v>
      </c>
      <c r="H809" t="s">
        <v>31</v>
      </c>
      <c r="I809" s="11">
        <v>6</v>
      </c>
      <c r="J809" t="str">
        <f>IF(I809="","",IFERROR(IF(INDEX([1]ListadoFichasDeProduccion!LQ:MB,MATCH(A809,[1]ListadoFichasDeProduccion!A:A,0),K809)=0,"",INDEX([1]ListadoFichasDeProduccion!LQ:MB,MATCH(A809,[1]ListadoFichasDeProduccion!A:A,0),K809)),""))</f>
        <v/>
      </c>
      <c r="K809" s="11">
        <v>2</v>
      </c>
    </row>
    <row r="810" spans="1:11" x14ac:dyDescent="0.3">
      <c r="A810" s="11" t="s">
        <v>403</v>
      </c>
      <c r="B810" t="str">
        <f>VLOOKUP(A810,[1]ListadoFichasDeProduccion!$A$2:$LP$3000,328,FALSE)</f>
        <v>NO COMENZADO</v>
      </c>
      <c r="C810" s="11">
        <v>6</v>
      </c>
      <c r="D810" t="s">
        <v>33</v>
      </c>
      <c r="E810" t="s">
        <v>77</v>
      </c>
      <c r="H810" t="s">
        <v>50</v>
      </c>
      <c r="I810" s="11">
        <v>2</v>
      </c>
      <c r="J810" t="str">
        <f>IF(I810="","",IFERROR(IF(INDEX([1]ListadoFichasDeProduccion!LQ:MB,MATCH(A810,[1]ListadoFichasDeProduccion!A:A,0),K810)=0,"",INDEX([1]ListadoFichasDeProduccion!LQ:MB,MATCH(A810,[1]ListadoFichasDeProduccion!A:A,0),K810)),""))</f>
        <v/>
      </c>
      <c r="K810" s="11">
        <v>1</v>
      </c>
    </row>
    <row r="811" spans="1:11" x14ac:dyDescent="0.3">
      <c r="A811" s="11" t="s">
        <v>403</v>
      </c>
      <c r="B811" t="str">
        <f>VLOOKUP(A811,[1]ListadoFichasDeProduccion!$A$2:$LP$3000,328,FALSE)</f>
        <v>NO COMENZADO</v>
      </c>
      <c r="C811" s="11">
        <v>6</v>
      </c>
      <c r="D811" t="s">
        <v>33</v>
      </c>
      <c r="E811" t="s">
        <v>77</v>
      </c>
      <c r="H811" t="s">
        <v>137</v>
      </c>
      <c r="I811" s="11">
        <v>4</v>
      </c>
      <c r="J811" t="str">
        <f>IF(I811="","",IFERROR(IF(INDEX([1]ListadoFichasDeProduccion!LQ:MB,MATCH(A811,[1]ListadoFichasDeProduccion!A:A,0),K811)=0,"",INDEX([1]ListadoFichasDeProduccion!LQ:MB,MATCH(A811,[1]ListadoFichasDeProduccion!A:A,0),K811)),""))</f>
        <v/>
      </c>
      <c r="K811" s="11">
        <v>2</v>
      </c>
    </row>
    <row r="812" spans="1:11" x14ac:dyDescent="0.3">
      <c r="A812" s="11" t="s">
        <v>478</v>
      </c>
      <c r="B812" t="str">
        <f>VLOOKUP(A812,[1]ListadoFichasDeProduccion!$A$2:$LP$3000,328,FALSE)</f>
        <v>EN PRODUCCION</v>
      </c>
      <c r="C812" s="11">
        <v>2</v>
      </c>
      <c r="D812" t="s">
        <v>33</v>
      </c>
      <c r="E812" t="s">
        <v>77</v>
      </c>
      <c r="H812" t="s">
        <v>31</v>
      </c>
      <c r="I812" s="11">
        <v>2</v>
      </c>
      <c r="J812" t="str">
        <f>IF(I812="","",IFERROR(IF(INDEX([1]ListadoFichasDeProduccion!LQ:MB,MATCH(A812,[1]ListadoFichasDeProduccion!A:A,0),K812)=0,"",INDEX([1]ListadoFichasDeProduccion!LQ:MB,MATCH(A812,[1]ListadoFichasDeProduccion!A:A,0),K812)),""))</f>
        <v/>
      </c>
      <c r="K812" s="11">
        <v>1</v>
      </c>
    </row>
    <row r="813" spans="1:11" hidden="1" x14ac:dyDescent="0.3">
      <c r="A813" s="11">
        <v>1732</v>
      </c>
      <c r="B813" s="8" t="str">
        <f>VLOOKUP(A813,[1]ListadoFichasDeProduccion!$A$2:$LP$3000,328,FALSE)</f>
        <v>COMPLETADO</v>
      </c>
      <c r="C813" s="11">
        <v>20</v>
      </c>
      <c r="D813" t="s">
        <v>33</v>
      </c>
      <c r="E813" t="s">
        <v>148</v>
      </c>
      <c r="G813" s="9">
        <v>45755</v>
      </c>
      <c r="H813" t="s">
        <v>27</v>
      </c>
      <c r="I813" s="11">
        <v>14</v>
      </c>
      <c r="J813" t="str">
        <f>IF(I813="","",IFERROR(IF(INDEX([1]ListadoFichasDeProduccion!LQ:MB,MATCH(A813,[1]ListadoFichasDeProduccion!A:A,0),K813)=0,"",INDEX([1]ListadoFichasDeProduccion!LQ:MB,MATCH(A813,[1]ListadoFichasDeProduccion!A:A,0),K813)),""))</f>
        <v/>
      </c>
      <c r="K813" s="11">
        <v>1</v>
      </c>
    </row>
    <row r="814" spans="1:11" hidden="1" x14ac:dyDescent="0.3">
      <c r="A814" s="11">
        <v>1732</v>
      </c>
      <c r="B814" s="8" t="str">
        <f>VLOOKUP(A814,[1]ListadoFichasDeProduccion!$A$2:$LP$3000,328,FALSE)</f>
        <v>COMPLETADO</v>
      </c>
      <c r="C814" s="11">
        <v>20</v>
      </c>
      <c r="D814" t="s">
        <v>33</v>
      </c>
      <c r="E814" t="s">
        <v>148</v>
      </c>
      <c r="G814" s="9">
        <v>45755</v>
      </c>
      <c r="H814" t="s">
        <v>50</v>
      </c>
      <c r="I814" s="11">
        <v>6</v>
      </c>
      <c r="J814" t="str">
        <f>IF(I814="","",IFERROR(IF(INDEX([1]ListadoFichasDeProduccion!LQ:MB,MATCH(A814,[1]ListadoFichasDeProduccion!A:A,0),K814)=0,"",INDEX([1]ListadoFichasDeProduccion!LQ:MB,MATCH(A814,[1]ListadoFichasDeProduccion!A:A,0),K814)),""))</f>
        <v/>
      </c>
      <c r="K814" s="11">
        <v>2</v>
      </c>
    </row>
    <row r="815" spans="1:11" hidden="1" x14ac:dyDescent="0.3">
      <c r="A815" s="11" t="s">
        <v>324</v>
      </c>
      <c r="B815" t="str">
        <f>VLOOKUP(A815,[1]ListadoFichasDeProduccion!$A$2:$LP$3000,328,FALSE)</f>
        <v>COMPLETADO</v>
      </c>
      <c r="C815" s="11">
        <v>20</v>
      </c>
      <c r="D815" t="s">
        <v>33</v>
      </c>
      <c r="E815" t="s">
        <v>148</v>
      </c>
      <c r="G815" s="9">
        <v>45919</v>
      </c>
      <c r="H815" t="s">
        <v>27</v>
      </c>
      <c r="I815" s="11">
        <v>6</v>
      </c>
      <c r="J815" t="str">
        <f>IF(I815="","",IFERROR(IF(INDEX([1]ListadoFichasDeProduccion!LQ:MB,MATCH(A815,[1]ListadoFichasDeProduccion!A:A,0),K815)=0,"",INDEX([1]ListadoFichasDeProduccion!LQ:MB,MATCH(A815,[1]ListadoFichasDeProduccion!A:A,0),K815)),""))</f>
        <v/>
      </c>
      <c r="K815" s="11">
        <v>1</v>
      </c>
    </row>
    <row r="816" spans="1:11" hidden="1" x14ac:dyDescent="0.3">
      <c r="A816" s="11" t="s">
        <v>324</v>
      </c>
      <c r="B816" t="str">
        <f>VLOOKUP(A816,[1]ListadoFichasDeProduccion!$A$2:$LP$3000,328,FALSE)</f>
        <v>COMPLETADO</v>
      </c>
      <c r="C816" s="11">
        <v>20</v>
      </c>
      <c r="D816" t="s">
        <v>33</v>
      </c>
      <c r="E816" t="s">
        <v>148</v>
      </c>
      <c r="G816" s="9">
        <v>45919</v>
      </c>
      <c r="H816" t="s">
        <v>28</v>
      </c>
      <c r="I816" s="11">
        <v>14</v>
      </c>
      <c r="J816" t="str">
        <f>IF(I816="","",IFERROR(IF(INDEX([1]ListadoFichasDeProduccion!LQ:MB,MATCH(A816,[1]ListadoFichasDeProduccion!A:A,0),K816)=0,"",INDEX([1]ListadoFichasDeProduccion!LQ:MB,MATCH(A816,[1]ListadoFichasDeProduccion!A:A,0),K816)),""))</f>
        <v/>
      </c>
      <c r="K816" s="11">
        <v>2</v>
      </c>
    </row>
    <row r="817" spans="1:11" hidden="1" x14ac:dyDescent="0.3">
      <c r="A817" s="11">
        <v>1662</v>
      </c>
      <c r="B817" s="8" t="str">
        <f>VLOOKUP(A817,[1]ListadoFichasDeProduccion!$A$2:$LP$3000,328,FALSE)</f>
        <v>COMPLETADO</v>
      </c>
      <c r="C817" s="11">
        <v>9</v>
      </c>
      <c r="D817" t="s">
        <v>11</v>
      </c>
      <c r="E817" t="s">
        <v>110</v>
      </c>
      <c r="G817" s="9">
        <v>45713</v>
      </c>
      <c r="H817" t="s">
        <v>31</v>
      </c>
      <c r="I817" s="11">
        <v>3</v>
      </c>
      <c r="J817" t="str">
        <f>IF(I817="","",IFERROR(IF(INDEX([1]ListadoFichasDeProduccion!LQ:MB,MATCH(A817,[1]ListadoFichasDeProduccion!A:A,0),K817)=0,"",INDEX([1]ListadoFichasDeProduccion!LQ:MB,MATCH(A817,[1]ListadoFichasDeProduccion!A:A,0),K817)),""))</f>
        <v/>
      </c>
      <c r="K817" s="11">
        <v>1</v>
      </c>
    </row>
    <row r="818" spans="1:11" hidden="1" x14ac:dyDescent="0.3">
      <c r="A818" s="11">
        <v>1662</v>
      </c>
      <c r="B818" s="8" t="str">
        <f>VLOOKUP(A818,[1]ListadoFichasDeProduccion!$A$2:$LP$3000,328,FALSE)</f>
        <v>COMPLETADO</v>
      </c>
      <c r="C818" s="11">
        <v>9</v>
      </c>
      <c r="D818" t="s">
        <v>11</v>
      </c>
      <c r="E818" t="s">
        <v>110</v>
      </c>
      <c r="G818" s="9">
        <v>45713</v>
      </c>
      <c r="H818" t="s">
        <v>51</v>
      </c>
      <c r="I818" s="11">
        <v>6</v>
      </c>
      <c r="J818" t="str">
        <f>IF(I818="","",IFERROR(IF(INDEX([1]ListadoFichasDeProduccion!LQ:MB,MATCH(A818,[1]ListadoFichasDeProduccion!A:A,0),K818)=0,"",INDEX([1]ListadoFichasDeProduccion!LQ:MB,MATCH(A818,[1]ListadoFichasDeProduccion!A:A,0),K818)),""))</f>
        <v/>
      </c>
      <c r="K818" s="11">
        <v>2</v>
      </c>
    </row>
    <row r="819" spans="1:11" hidden="1" x14ac:dyDescent="0.3">
      <c r="A819" s="11">
        <v>1862</v>
      </c>
      <c r="B819" s="8" t="str">
        <f>VLOOKUP(A819,[1]ListadoFichasDeProduccion!$A$2:$LP$3000,328,FALSE)</f>
        <v>COMPLETADO</v>
      </c>
      <c r="C819" s="11">
        <v>8</v>
      </c>
      <c r="D819" t="s">
        <v>11</v>
      </c>
      <c r="E819" t="s">
        <v>110</v>
      </c>
      <c r="G819" s="9">
        <v>45838</v>
      </c>
      <c r="H819" t="s">
        <v>27</v>
      </c>
      <c r="I819" s="11">
        <v>4</v>
      </c>
      <c r="J819" t="str">
        <f>IF(I819="","",IFERROR(IF(INDEX([1]ListadoFichasDeProduccion!LQ:MB,MATCH(A819,[1]ListadoFichasDeProduccion!A:A,0),K819)=0,"",INDEX([1]ListadoFichasDeProduccion!LQ:MB,MATCH(A819,[1]ListadoFichasDeProduccion!A:A,0),K819)),""))</f>
        <v/>
      </c>
      <c r="K819" s="11">
        <v>1</v>
      </c>
    </row>
    <row r="820" spans="1:11" hidden="1" x14ac:dyDescent="0.3">
      <c r="A820" s="11">
        <v>1862</v>
      </c>
      <c r="B820" s="8" t="str">
        <f>VLOOKUP(A820,[1]ListadoFichasDeProduccion!$A$2:$LP$3000,328,FALSE)</f>
        <v>COMPLETADO</v>
      </c>
      <c r="C820" s="11">
        <v>8</v>
      </c>
      <c r="D820" t="s">
        <v>11</v>
      </c>
      <c r="E820" t="s">
        <v>110</v>
      </c>
      <c r="G820" s="9">
        <v>45838</v>
      </c>
      <c r="H820" t="s">
        <v>50</v>
      </c>
      <c r="I820" s="11">
        <v>2</v>
      </c>
      <c r="J820" t="str">
        <f>IF(I820="","",IFERROR(IF(INDEX([1]ListadoFichasDeProduccion!LQ:MB,MATCH(A820,[1]ListadoFichasDeProduccion!A:A,0),K820)=0,"",INDEX([1]ListadoFichasDeProduccion!LQ:MB,MATCH(A820,[1]ListadoFichasDeProduccion!A:A,0),K820)),""))</f>
        <v/>
      </c>
      <c r="K820" s="11">
        <v>2</v>
      </c>
    </row>
    <row r="821" spans="1:11" hidden="1" x14ac:dyDescent="0.3">
      <c r="A821" s="11">
        <v>1862</v>
      </c>
      <c r="B821" s="8" t="str">
        <f>VLOOKUP(A821,[1]ListadoFichasDeProduccion!$A$2:$LP$3000,328,FALSE)</f>
        <v>COMPLETADO</v>
      </c>
      <c r="C821" s="11">
        <v>8</v>
      </c>
      <c r="D821" t="s">
        <v>11</v>
      </c>
      <c r="E821" t="s">
        <v>110</v>
      </c>
      <c r="G821" s="9">
        <v>45838</v>
      </c>
      <c r="H821" t="s">
        <v>31</v>
      </c>
      <c r="I821" s="11">
        <v>2</v>
      </c>
      <c r="J821" t="str">
        <f>IF(I821="","",IFERROR(IF(INDEX([1]ListadoFichasDeProduccion!LQ:MB,MATCH(A821,[1]ListadoFichasDeProduccion!A:A,0),K821)=0,"",INDEX([1]ListadoFichasDeProduccion!LQ:MB,MATCH(A821,[1]ListadoFichasDeProduccion!A:A,0),K821)),""))</f>
        <v/>
      </c>
      <c r="K821" s="11">
        <v>3</v>
      </c>
    </row>
    <row r="822" spans="1:11" hidden="1" x14ac:dyDescent="0.3">
      <c r="A822" s="11">
        <v>18622</v>
      </c>
      <c r="B822" t="str">
        <f>VLOOKUP(A822,[1]ListadoFichasDeProduccion!$A$2:$LP$3000,328,FALSE)</f>
        <v>COMPLETADO</v>
      </c>
      <c r="C822" s="11">
        <v>4</v>
      </c>
      <c r="D822" t="s">
        <v>11</v>
      </c>
      <c r="E822" t="s">
        <v>110</v>
      </c>
      <c r="G822" s="9">
        <v>45894</v>
      </c>
      <c r="H822" t="s">
        <v>26</v>
      </c>
      <c r="I822" s="11">
        <v>4</v>
      </c>
      <c r="J822" t="str">
        <f>IF(I822="","",IFERROR(IF(INDEX([1]ListadoFichasDeProduccion!LQ:MB,MATCH(A822,[1]ListadoFichasDeProduccion!A:A,0),K822)=0,"",INDEX([1]ListadoFichasDeProduccion!LQ:MB,MATCH(A822,[1]ListadoFichasDeProduccion!A:A,0),K822)),""))</f>
        <v/>
      </c>
      <c r="K822" s="11">
        <v>1</v>
      </c>
    </row>
    <row r="823" spans="1:11" hidden="1" x14ac:dyDescent="0.3">
      <c r="A823" s="11">
        <v>1954</v>
      </c>
      <c r="B823" t="str">
        <f>VLOOKUP(A823,[1]ListadoFichasDeProduccion!$A$2:$LP$3000,328,FALSE)</f>
        <v>COMPLETADO</v>
      </c>
      <c r="C823" s="11">
        <v>24</v>
      </c>
      <c r="D823" t="s">
        <v>11</v>
      </c>
      <c r="E823" t="s">
        <v>110</v>
      </c>
      <c r="G823" s="9">
        <v>45897</v>
      </c>
      <c r="H823" t="s">
        <v>27</v>
      </c>
      <c r="I823" s="11">
        <v>6</v>
      </c>
      <c r="J823" t="str">
        <f>IF(I823="","",IFERROR(IF(INDEX([1]ListadoFichasDeProduccion!LQ:MB,MATCH(A823,[1]ListadoFichasDeProduccion!A:A,0),K823)=0,"",INDEX([1]ListadoFichasDeProduccion!LQ:MB,MATCH(A823,[1]ListadoFichasDeProduccion!A:A,0),K823)),""))</f>
        <v/>
      </c>
      <c r="K823" s="11">
        <v>1</v>
      </c>
    </row>
    <row r="824" spans="1:11" hidden="1" x14ac:dyDescent="0.3">
      <c r="A824" s="11">
        <v>1954</v>
      </c>
      <c r="B824" t="str">
        <f>VLOOKUP(A824,[1]ListadoFichasDeProduccion!$A$2:$LP$3000,328,FALSE)</f>
        <v>COMPLETADO</v>
      </c>
      <c r="C824" s="11">
        <v>24</v>
      </c>
      <c r="D824" t="s">
        <v>11</v>
      </c>
      <c r="E824" t="s">
        <v>110</v>
      </c>
      <c r="G824" s="9">
        <v>45897</v>
      </c>
      <c r="H824" t="s">
        <v>50</v>
      </c>
      <c r="I824" s="11">
        <v>3</v>
      </c>
      <c r="J824" t="str">
        <f>IF(I824="","",IFERROR(IF(INDEX([1]ListadoFichasDeProduccion!LQ:MB,MATCH(A824,[1]ListadoFichasDeProduccion!A:A,0),K824)=0,"",INDEX([1]ListadoFichasDeProduccion!LQ:MB,MATCH(A824,[1]ListadoFichasDeProduccion!A:A,0),K824)),""))</f>
        <v/>
      </c>
      <c r="K824" s="11">
        <v>2</v>
      </c>
    </row>
    <row r="825" spans="1:11" hidden="1" x14ac:dyDescent="0.3">
      <c r="A825" s="11">
        <v>1954</v>
      </c>
      <c r="B825" t="str">
        <f>VLOOKUP(A825,[1]ListadoFichasDeProduccion!$A$2:$LP$3000,328,FALSE)</f>
        <v>COMPLETADO</v>
      </c>
      <c r="C825" s="11">
        <v>24</v>
      </c>
      <c r="D825" t="s">
        <v>11</v>
      </c>
      <c r="E825" t="s">
        <v>110</v>
      </c>
      <c r="G825" s="9">
        <v>45897</v>
      </c>
      <c r="H825" t="s">
        <v>31</v>
      </c>
      <c r="I825" s="11">
        <v>6</v>
      </c>
      <c r="J825" t="str">
        <f>IF(I825="","",IFERROR(IF(INDEX([1]ListadoFichasDeProduccion!LQ:MB,MATCH(A825,[1]ListadoFichasDeProduccion!A:A,0),K825)=0,"",INDEX([1]ListadoFichasDeProduccion!LQ:MB,MATCH(A825,[1]ListadoFichasDeProduccion!A:A,0),K825)),""))</f>
        <v/>
      </c>
      <c r="K825" s="11">
        <v>3</v>
      </c>
    </row>
    <row r="826" spans="1:11" hidden="1" x14ac:dyDescent="0.3">
      <c r="A826" s="11">
        <v>1954</v>
      </c>
      <c r="B826" t="str">
        <f>VLOOKUP(A826,[1]ListadoFichasDeProduccion!$A$2:$LP$3000,328,FALSE)</f>
        <v>COMPLETADO</v>
      </c>
      <c r="C826" s="11">
        <v>24</v>
      </c>
      <c r="D826" t="s">
        <v>11</v>
      </c>
      <c r="E826" t="s">
        <v>110</v>
      </c>
      <c r="G826" s="9">
        <v>45897</v>
      </c>
      <c r="H826" t="s">
        <v>51</v>
      </c>
      <c r="I826" s="11">
        <v>3</v>
      </c>
      <c r="J826" t="str">
        <f>IF(I826="","",IFERROR(IF(INDEX([1]ListadoFichasDeProduccion!LQ:MB,MATCH(A826,[1]ListadoFichasDeProduccion!A:A,0),K826)=0,"",INDEX([1]ListadoFichasDeProduccion!LQ:MB,MATCH(A826,[1]ListadoFichasDeProduccion!A:A,0),K826)),""))</f>
        <v/>
      </c>
      <c r="K826" s="11">
        <v>4</v>
      </c>
    </row>
    <row r="827" spans="1:11" hidden="1" x14ac:dyDescent="0.3">
      <c r="A827" s="11">
        <v>1954</v>
      </c>
      <c r="B827" t="str">
        <f>VLOOKUP(A827,[1]ListadoFichasDeProduccion!$A$2:$LP$3000,328,FALSE)</f>
        <v>COMPLETADO</v>
      </c>
      <c r="C827" s="11">
        <v>24</v>
      </c>
      <c r="D827" t="s">
        <v>11</v>
      </c>
      <c r="E827" t="s">
        <v>110</v>
      </c>
      <c r="G827" s="9">
        <v>45897</v>
      </c>
      <c r="H827" t="s">
        <v>26</v>
      </c>
      <c r="I827" s="11">
        <v>6</v>
      </c>
      <c r="J827" t="str">
        <f>IF(I827="","",IFERROR(IF(INDEX([1]ListadoFichasDeProduccion!LQ:MB,MATCH(A827,[1]ListadoFichasDeProduccion!A:A,0),K827)=0,"",INDEX([1]ListadoFichasDeProduccion!LQ:MB,MATCH(A827,[1]ListadoFichasDeProduccion!A:A,0),K827)),""))</f>
        <v/>
      </c>
      <c r="K827" s="11">
        <v>5</v>
      </c>
    </row>
    <row r="828" spans="1:11" hidden="1" x14ac:dyDescent="0.3">
      <c r="A828" s="11" t="s">
        <v>400</v>
      </c>
      <c r="B828" t="str">
        <f>VLOOKUP(A828,[1]ListadoFichasDeProduccion!$A$2:$LP$3000,328,FALSE)</f>
        <v>COMPLETADO</v>
      </c>
      <c r="C828" s="11">
        <v>6</v>
      </c>
      <c r="D828" t="s">
        <v>11</v>
      </c>
      <c r="E828" t="s">
        <v>110</v>
      </c>
      <c r="G828" s="9">
        <v>45944</v>
      </c>
      <c r="H828" t="s">
        <v>51</v>
      </c>
      <c r="I828" s="11">
        <v>6</v>
      </c>
      <c r="J828" t="str">
        <f>IF(I828="","",IFERROR(IF(INDEX([1]ListadoFichasDeProduccion!LQ:MB,MATCH(A828,[1]ListadoFichasDeProduccion!A:A,0),K828)=0,"",INDEX([1]ListadoFichasDeProduccion!LQ:MB,MATCH(A828,[1]ListadoFichasDeProduccion!A:A,0),K828)),""))</f>
        <v/>
      </c>
      <c r="K828" s="11">
        <v>1</v>
      </c>
    </row>
    <row r="829" spans="1:11" hidden="1" x14ac:dyDescent="0.3">
      <c r="A829" s="11" t="s">
        <v>413</v>
      </c>
      <c r="B829" t="str">
        <f>VLOOKUP(A829,[1]ListadoFichasDeProduccion!$A$2:$LP$3000,328,FALSE)</f>
        <v>COMPLETADO</v>
      </c>
      <c r="C829" s="11">
        <v>6</v>
      </c>
      <c r="D829" t="s">
        <v>11</v>
      </c>
      <c r="E829" t="s">
        <v>110</v>
      </c>
      <c r="G829" s="9">
        <v>45951</v>
      </c>
      <c r="H829" t="s">
        <v>27</v>
      </c>
      <c r="I829" s="11">
        <v>6</v>
      </c>
      <c r="J829" t="str">
        <f>IF(I829="","",IFERROR(IF(INDEX([1]ListadoFichasDeProduccion!LQ:MB,MATCH(A829,[1]ListadoFichasDeProduccion!A:A,0),K829)=0,"",INDEX([1]ListadoFichasDeProduccion!LQ:MB,MATCH(A829,[1]ListadoFichasDeProduccion!A:A,0),K829)),""))</f>
        <v/>
      </c>
      <c r="K829" s="11">
        <v>1</v>
      </c>
    </row>
    <row r="830" spans="1:11" hidden="1" x14ac:dyDescent="0.3">
      <c r="A830" s="11" t="s">
        <v>484</v>
      </c>
      <c r="B830" t="str">
        <f>VLOOKUP(A830,[1]ListadoFichasDeProduccion!$A$2:$LP$3000,328,FALSE)</f>
        <v>COMPLETADO</v>
      </c>
      <c r="C830" s="11">
        <v>3</v>
      </c>
      <c r="D830" t="s">
        <v>11</v>
      </c>
      <c r="E830" t="s">
        <v>110</v>
      </c>
      <c r="G830" s="9">
        <v>45973</v>
      </c>
      <c r="H830" t="s">
        <v>27</v>
      </c>
      <c r="I830" s="11">
        <v>0</v>
      </c>
      <c r="J830" t="str">
        <f>IF(I830="","",IFERROR(IF(INDEX([1]ListadoFichasDeProduccion!LQ:MB,MATCH(A830,[1]ListadoFichasDeProduccion!A:A,0),K830)=0,"",INDEX([1]ListadoFichasDeProduccion!LQ:MB,MATCH(A830,[1]ListadoFichasDeProduccion!A:A,0),K830)),""))</f>
        <v/>
      </c>
      <c r="K830" s="11">
        <v>1</v>
      </c>
    </row>
    <row r="831" spans="1:11" hidden="1" x14ac:dyDescent="0.3">
      <c r="A831" s="11" t="s">
        <v>484</v>
      </c>
      <c r="B831" t="str">
        <f>VLOOKUP(A831,[1]ListadoFichasDeProduccion!$A$2:$LP$3000,328,FALSE)</f>
        <v>COMPLETADO</v>
      </c>
      <c r="C831" s="11">
        <v>3</v>
      </c>
      <c r="D831" t="s">
        <v>11</v>
      </c>
      <c r="E831" t="s">
        <v>110</v>
      </c>
      <c r="G831" s="9">
        <v>45973</v>
      </c>
      <c r="H831" t="s">
        <v>26</v>
      </c>
      <c r="I831" s="11">
        <v>3</v>
      </c>
      <c r="J831" t="str">
        <f>IF(I831="","",IFERROR(IF(INDEX([1]ListadoFichasDeProduccion!LQ:MB,MATCH(A831,[1]ListadoFichasDeProduccion!A:A,0),K831)=0,"",INDEX([1]ListadoFichasDeProduccion!LQ:MB,MATCH(A831,[1]ListadoFichasDeProduccion!A:A,0),K831)),""))</f>
        <v/>
      </c>
      <c r="K831" s="11">
        <v>2</v>
      </c>
    </row>
    <row r="832" spans="1:11" hidden="1" x14ac:dyDescent="0.3">
      <c r="A832" s="11">
        <v>1901</v>
      </c>
      <c r="B832" s="8" t="str">
        <f>VLOOKUP(A832,[1]ListadoFichasDeProduccion!$A$2:$LP$3000,328,FALSE)</f>
        <v>COMPLETADO</v>
      </c>
      <c r="C832" s="11">
        <v>24</v>
      </c>
      <c r="D832" t="s">
        <v>33</v>
      </c>
      <c r="E832" t="s">
        <v>250</v>
      </c>
      <c r="G832" s="9">
        <v>45861</v>
      </c>
      <c r="H832" t="s">
        <v>248</v>
      </c>
      <c r="I832" s="11">
        <v>12</v>
      </c>
      <c r="J832" t="str">
        <f>IF(I832="","",IFERROR(IF(INDEX([1]ListadoFichasDeProduccion!LQ:MB,MATCH(A832,[1]ListadoFichasDeProduccion!A:A,0),K832)=0,"",INDEX([1]ListadoFichasDeProduccion!LQ:MB,MATCH(A832,[1]ListadoFichasDeProduccion!A:A,0),K832)),""))</f>
        <v/>
      </c>
      <c r="K832" s="11">
        <v>1</v>
      </c>
    </row>
    <row r="833" spans="1:11" hidden="1" x14ac:dyDescent="0.3">
      <c r="A833" s="11">
        <v>1901</v>
      </c>
      <c r="B833" s="8" t="str">
        <f>VLOOKUP(A833,[1]ListadoFichasDeProduccion!$A$2:$LP$3000,328,FALSE)</f>
        <v>COMPLETADO</v>
      </c>
      <c r="C833" s="11">
        <v>24</v>
      </c>
      <c r="D833" t="s">
        <v>33</v>
      </c>
      <c r="E833" t="s">
        <v>250</v>
      </c>
      <c r="G833" s="9">
        <v>45861</v>
      </c>
      <c r="H833" t="s">
        <v>249</v>
      </c>
      <c r="I833" s="11">
        <v>12</v>
      </c>
      <c r="J833" t="str">
        <f>IF(I833="","",IFERROR(IF(INDEX([1]ListadoFichasDeProduccion!LQ:MB,MATCH(A833,[1]ListadoFichasDeProduccion!A:A,0),K833)=0,"",INDEX([1]ListadoFichasDeProduccion!LQ:MB,MATCH(A833,[1]ListadoFichasDeProduccion!A:A,0),K833)),""))</f>
        <v/>
      </c>
      <c r="K833" s="11">
        <v>2</v>
      </c>
    </row>
    <row r="834" spans="1:11" hidden="1" x14ac:dyDescent="0.3">
      <c r="A834" s="11">
        <v>1905</v>
      </c>
      <c r="B834" s="8" t="str">
        <f>VLOOKUP(A834,[1]ListadoFichasDeProduccion!$A$2:$LP$3000,328,FALSE)</f>
        <v>COMPLETADO</v>
      </c>
      <c r="C834" s="11">
        <v>48</v>
      </c>
      <c r="D834" t="s">
        <v>33</v>
      </c>
      <c r="E834" t="s">
        <v>255</v>
      </c>
      <c r="G834" s="9">
        <v>45859</v>
      </c>
      <c r="H834" t="s">
        <v>24</v>
      </c>
      <c r="I834" s="11">
        <v>12</v>
      </c>
      <c r="J834" t="str">
        <f>IF(I834="","",IFERROR(IF(INDEX([1]ListadoFichasDeProduccion!LQ:MB,MATCH(A834,[1]ListadoFichasDeProduccion!A:A,0),K834)=0,"",INDEX([1]ListadoFichasDeProduccion!LQ:MB,MATCH(A834,[1]ListadoFichasDeProduccion!A:A,0),K834)),""))</f>
        <v/>
      </c>
      <c r="K834" s="11">
        <v>1</v>
      </c>
    </row>
    <row r="835" spans="1:11" hidden="1" x14ac:dyDescent="0.3">
      <c r="A835" s="11">
        <v>1905</v>
      </c>
      <c r="B835" s="8" t="str">
        <f>VLOOKUP(A835,[1]ListadoFichasDeProduccion!$A$2:$LP$3000,328,FALSE)</f>
        <v>COMPLETADO</v>
      </c>
      <c r="C835" s="11">
        <v>48</v>
      </c>
      <c r="D835" t="s">
        <v>33</v>
      </c>
      <c r="E835" t="s">
        <v>255</v>
      </c>
      <c r="G835" s="9">
        <v>45859</v>
      </c>
      <c r="H835" t="s">
        <v>39</v>
      </c>
      <c r="I835" s="11">
        <v>12</v>
      </c>
      <c r="J835" t="str">
        <f>IF(I835="","",IFERROR(IF(INDEX([1]ListadoFichasDeProduccion!LQ:MB,MATCH(A835,[1]ListadoFichasDeProduccion!A:A,0),K835)=0,"",INDEX([1]ListadoFichasDeProduccion!LQ:MB,MATCH(A835,[1]ListadoFichasDeProduccion!A:A,0),K835)),""))</f>
        <v/>
      </c>
      <c r="K835" s="11">
        <v>2</v>
      </c>
    </row>
    <row r="836" spans="1:11" hidden="1" x14ac:dyDescent="0.3">
      <c r="A836" s="11">
        <v>1905</v>
      </c>
      <c r="B836" s="8" t="str">
        <f>VLOOKUP(A836,[1]ListadoFichasDeProduccion!$A$2:$LP$3000,328,FALSE)</f>
        <v>COMPLETADO</v>
      </c>
      <c r="C836" s="11">
        <v>48</v>
      </c>
      <c r="D836" t="s">
        <v>33</v>
      </c>
      <c r="E836" t="s">
        <v>255</v>
      </c>
      <c r="G836" s="9">
        <v>45859</v>
      </c>
      <c r="H836" t="s">
        <v>22</v>
      </c>
      <c r="I836" s="11">
        <v>12</v>
      </c>
      <c r="J836" t="str">
        <f>IF(I836="","",IFERROR(IF(INDEX([1]ListadoFichasDeProduccion!LQ:MB,MATCH(A836,[1]ListadoFichasDeProduccion!A:A,0),K836)=0,"",INDEX([1]ListadoFichasDeProduccion!LQ:MB,MATCH(A836,[1]ListadoFichasDeProduccion!A:A,0),K836)),""))</f>
        <v/>
      </c>
      <c r="K836" s="11">
        <v>3</v>
      </c>
    </row>
    <row r="837" spans="1:11" hidden="1" x14ac:dyDescent="0.3">
      <c r="A837" s="11">
        <v>1905</v>
      </c>
      <c r="B837" s="8" t="str">
        <f>VLOOKUP(A837,[1]ListadoFichasDeProduccion!$A$2:$LP$3000,328,FALSE)</f>
        <v>COMPLETADO</v>
      </c>
      <c r="C837" s="11">
        <v>48</v>
      </c>
      <c r="D837" t="s">
        <v>33</v>
      </c>
      <c r="E837" t="s">
        <v>255</v>
      </c>
      <c r="G837" s="9">
        <v>45859</v>
      </c>
      <c r="H837" t="s">
        <v>40</v>
      </c>
      <c r="I837" s="11">
        <v>12</v>
      </c>
      <c r="J837" t="str">
        <f>IF(I837="","",IFERROR(IF(INDEX([1]ListadoFichasDeProduccion!LQ:MB,MATCH(A837,[1]ListadoFichasDeProduccion!A:A,0),K837)=0,"",INDEX([1]ListadoFichasDeProduccion!LQ:MB,MATCH(A837,[1]ListadoFichasDeProduccion!A:A,0),K837)),""))</f>
        <v/>
      </c>
      <c r="K837" s="11">
        <v>4</v>
      </c>
    </row>
    <row r="838" spans="1:11" hidden="1" x14ac:dyDescent="0.3">
      <c r="A838" s="11" t="s">
        <v>390</v>
      </c>
      <c r="B838" t="str">
        <f>VLOOKUP(A838,[1]ListadoFichasDeProduccion!$A$2:$LP$3000,328,FALSE)</f>
        <v>COMPLETADO</v>
      </c>
      <c r="C838" s="11">
        <v>16</v>
      </c>
      <c r="D838" t="s">
        <v>33</v>
      </c>
      <c r="E838" t="s">
        <v>255</v>
      </c>
      <c r="G838" s="9">
        <v>45939</v>
      </c>
      <c r="H838" t="s">
        <v>24</v>
      </c>
      <c r="I838" s="11">
        <v>12</v>
      </c>
      <c r="J838" t="str">
        <f>IF(I838="","",IFERROR(IF(INDEX([1]ListadoFichasDeProduccion!LQ:MB,MATCH(A838,[1]ListadoFichasDeProduccion!A:A,0),K838)=0,"",INDEX([1]ListadoFichasDeProduccion!LQ:MB,MATCH(A838,[1]ListadoFichasDeProduccion!A:A,0),K838)),""))</f>
        <v/>
      </c>
      <c r="K838" s="11">
        <v>1</v>
      </c>
    </row>
    <row r="839" spans="1:11" hidden="1" x14ac:dyDescent="0.3">
      <c r="A839" s="11" t="s">
        <v>390</v>
      </c>
      <c r="B839" t="str">
        <f>VLOOKUP(A839,[1]ListadoFichasDeProduccion!$A$2:$LP$3000,328,FALSE)</f>
        <v>COMPLETADO</v>
      </c>
      <c r="C839" s="11">
        <v>16</v>
      </c>
      <c r="D839" t="s">
        <v>33</v>
      </c>
      <c r="E839" t="s">
        <v>255</v>
      </c>
      <c r="G839" s="9">
        <v>45939</v>
      </c>
      <c r="H839" t="s">
        <v>40</v>
      </c>
      <c r="I839" s="11">
        <v>4</v>
      </c>
      <c r="J839" t="str">
        <f>IF(I839="","",IFERROR(IF(INDEX([1]ListadoFichasDeProduccion!LQ:MB,MATCH(A839,[1]ListadoFichasDeProduccion!A:A,0),K839)=0,"",INDEX([1]ListadoFichasDeProduccion!LQ:MB,MATCH(A839,[1]ListadoFichasDeProduccion!A:A,0),K839)),""))</f>
        <v/>
      </c>
      <c r="K839" s="11">
        <v>2</v>
      </c>
    </row>
    <row r="840" spans="1:11" hidden="1" x14ac:dyDescent="0.3">
      <c r="A840" s="11">
        <v>1635</v>
      </c>
      <c r="B840" s="8" t="str">
        <f>VLOOKUP(A840,[1]ListadoFichasDeProduccion!$A$2:$LP$3000,328,FALSE)</f>
        <v>COMPLETADO</v>
      </c>
      <c r="C840" s="11">
        <v>6</v>
      </c>
      <c r="D840" t="s">
        <v>33</v>
      </c>
      <c r="E840" t="s">
        <v>78</v>
      </c>
      <c r="F840" s="9"/>
      <c r="G840" s="9">
        <v>45695</v>
      </c>
      <c r="H840" t="s">
        <v>27</v>
      </c>
      <c r="I840" s="11">
        <v>6</v>
      </c>
      <c r="J840" t="str">
        <f>IF(I840="","",IFERROR(IF(INDEX([1]ListadoFichasDeProduccion!LQ:MB,MATCH(A840,[1]ListadoFichasDeProduccion!A:A,0),K840)=0,"",INDEX([1]ListadoFichasDeProduccion!LQ:MB,MATCH(A840,[1]ListadoFichasDeProduccion!A:A,0),K840)),""))</f>
        <v/>
      </c>
      <c r="K840" s="11">
        <v>1</v>
      </c>
    </row>
    <row r="841" spans="1:11" hidden="1" x14ac:dyDescent="0.3">
      <c r="A841" s="11">
        <v>1636</v>
      </c>
      <c r="B841" s="8" t="str">
        <f>VLOOKUP(A841,[1]ListadoFichasDeProduccion!$A$2:$LP$3000,328,FALSE)</f>
        <v>COMPLETADO</v>
      </c>
      <c r="C841" s="11">
        <v>6</v>
      </c>
      <c r="D841" t="s">
        <v>33</v>
      </c>
      <c r="E841" t="s">
        <v>79</v>
      </c>
      <c r="F841" s="9"/>
      <c r="G841" s="9">
        <v>45695</v>
      </c>
      <c r="H841" t="s">
        <v>51</v>
      </c>
      <c r="I841" s="11">
        <v>6</v>
      </c>
      <c r="J841" t="str">
        <f>IF(I841="","",IFERROR(IF(INDEX([1]ListadoFichasDeProduccion!LQ:MB,MATCH(A841,[1]ListadoFichasDeProduccion!A:A,0),K841)=0,"",INDEX([1]ListadoFichasDeProduccion!LQ:MB,MATCH(A841,[1]ListadoFichasDeProduccion!A:A,0),K841)),""))</f>
        <v/>
      </c>
      <c r="K841" s="11">
        <v>1</v>
      </c>
    </row>
    <row r="842" spans="1:11" hidden="1" x14ac:dyDescent="0.3">
      <c r="A842" s="11">
        <v>1733</v>
      </c>
      <c r="B842" s="8" t="str">
        <f>VLOOKUP(A842,[1]ListadoFichasDeProduccion!$A$2:$LP$3000,328,FALSE)</f>
        <v>COMPLETADO</v>
      </c>
      <c r="C842" s="11">
        <v>12</v>
      </c>
      <c r="D842" t="s">
        <v>33</v>
      </c>
      <c r="E842" t="s">
        <v>79</v>
      </c>
      <c r="G842" s="9">
        <v>45755</v>
      </c>
      <c r="H842" t="s">
        <v>91</v>
      </c>
      <c r="I842" s="11">
        <v>3</v>
      </c>
      <c r="J842" t="str">
        <f>IF(I842="","",IFERROR(IF(INDEX([1]ListadoFichasDeProduccion!LQ:MB,MATCH(A842,[1]ListadoFichasDeProduccion!A:A,0),K842)=0,"",INDEX([1]ListadoFichasDeProduccion!LQ:MB,MATCH(A842,[1]ListadoFichasDeProduccion!A:A,0),K842)),""))</f>
        <v/>
      </c>
      <c r="K842" s="11">
        <v>1</v>
      </c>
    </row>
    <row r="843" spans="1:11" hidden="1" x14ac:dyDescent="0.3">
      <c r="A843" s="11">
        <v>1733</v>
      </c>
      <c r="B843" s="8" t="str">
        <f>VLOOKUP(A843,[1]ListadoFichasDeProduccion!$A$2:$LP$3000,328,FALSE)</f>
        <v>COMPLETADO</v>
      </c>
      <c r="C843" s="11">
        <v>12</v>
      </c>
      <c r="D843" t="s">
        <v>33</v>
      </c>
      <c r="E843" t="s">
        <v>79</v>
      </c>
      <c r="G843" s="9">
        <v>45755</v>
      </c>
      <c r="H843" t="s">
        <v>72</v>
      </c>
      <c r="I843" s="11">
        <v>9</v>
      </c>
      <c r="J843" t="str">
        <f>IF(I843="","",IFERROR(IF(INDEX([1]ListadoFichasDeProduccion!LQ:MB,MATCH(A843,[1]ListadoFichasDeProduccion!A:A,0),K843)=0,"",INDEX([1]ListadoFichasDeProduccion!LQ:MB,MATCH(A843,[1]ListadoFichasDeProduccion!A:A,0),K843)),""))</f>
        <v/>
      </c>
      <c r="K843" s="11">
        <v>2</v>
      </c>
    </row>
    <row r="844" spans="1:11" hidden="1" x14ac:dyDescent="0.3">
      <c r="A844" s="11">
        <v>1893</v>
      </c>
      <c r="B844" s="8" t="str">
        <f>VLOOKUP(A844,[1]ListadoFichasDeProduccion!$A$2:$LP$3000,328,FALSE)</f>
        <v>COMPLETADO</v>
      </c>
      <c r="C844" s="11">
        <v>14</v>
      </c>
      <c r="D844" t="s">
        <v>33</v>
      </c>
      <c r="E844" t="s">
        <v>79</v>
      </c>
      <c r="G844" s="9">
        <v>45839</v>
      </c>
      <c r="H844" t="s">
        <v>72</v>
      </c>
      <c r="I844" s="11">
        <v>14</v>
      </c>
      <c r="J844" t="str">
        <f>IF(I844="","",IFERROR(IF(INDEX([1]ListadoFichasDeProduccion!LQ:MB,MATCH(A844,[1]ListadoFichasDeProduccion!A:A,0),K844)=0,"",INDEX([1]ListadoFichasDeProduccion!LQ:MB,MATCH(A844,[1]ListadoFichasDeProduccion!A:A,0),K844)),""))</f>
        <v/>
      </c>
      <c r="K844" s="11">
        <v>1</v>
      </c>
    </row>
    <row r="845" spans="1:11" hidden="1" x14ac:dyDescent="0.3">
      <c r="A845" s="11">
        <v>1637</v>
      </c>
      <c r="B845" s="8" t="str">
        <f>VLOOKUP(A845,[1]ListadoFichasDeProduccion!$A$2:$LP$3000,328,FALSE)</f>
        <v>COMPLETADO</v>
      </c>
      <c r="C845" s="11">
        <v>80</v>
      </c>
      <c r="D845" t="s">
        <v>33</v>
      </c>
      <c r="E845" t="s">
        <v>80</v>
      </c>
      <c r="F845" s="9"/>
      <c r="G845" s="9">
        <v>45713</v>
      </c>
      <c r="H845" t="s">
        <v>36</v>
      </c>
      <c r="I845" s="11">
        <v>12</v>
      </c>
      <c r="J845" t="str">
        <f>IF(I845="","",IFERROR(IF(INDEX([1]ListadoFichasDeProduccion!LQ:MB,MATCH(A845,[1]ListadoFichasDeProduccion!A:A,0),K845)=0,"",INDEX([1]ListadoFichasDeProduccion!LQ:MB,MATCH(A845,[1]ListadoFichasDeProduccion!A:A,0),K845)),""))</f>
        <v/>
      </c>
      <c r="K845" s="11">
        <v>1</v>
      </c>
    </row>
    <row r="846" spans="1:11" hidden="1" x14ac:dyDescent="0.3">
      <c r="A846" s="11">
        <v>1637</v>
      </c>
      <c r="B846" s="8" t="str">
        <f>VLOOKUP(A846,[1]ListadoFichasDeProduccion!$A$2:$LP$3000,328,FALSE)</f>
        <v>COMPLETADO</v>
      </c>
      <c r="C846" s="11">
        <v>80</v>
      </c>
      <c r="D846" t="s">
        <v>33</v>
      </c>
      <c r="E846" t="s">
        <v>80</v>
      </c>
      <c r="F846" s="9"/>
      <c r="G846" s="9">
        <v>45713</v>
      </c>
      <c r="H846" t="s">
        <v>31</v>
      </c>
      <c r="I846" s="11">
        <v>10</v>
      </c>
      <c r="J846" t="str">
        <f>IF(I846="","",IFERROR(IF(INDEX([1]ListadoFichasDeProduccion!LQ:MB,MATCH(A846,[1]ListadoFichasDeProduccion!A:A,0),K846)=0,"",INDEX([1]ListadoFichasDeProduccion!LQ:MB,MATCH(A846,[1]ListadoFichasDeProduccion!A:A,0),K846)),""))</f>
        <v/>
      </c>
      <c r="K846" s="11">
        <v>2</v>
      </c>
    </row>
    <row r="847" spans="1:11" hidden="1" x14ac:dyDescent="0.3">
      <c r="A847" s="11">
        <v>1637</v>
      </c>
      <c r="B847" s="8" t="str">
        <f>VLOOKUP(A847,[1]ListadoFichasDeProduccion!$A$2:$LP$3000,328,FALSE)</f>
        <v>COMPLETADO</v>
      </c>
      <c r="C847" s="11">
        <v>80</v>
      </c>
      <c r="D847" t="s">
        <v>33</v>
      </c>
      <c r="E847" t="s">
        <v>80</v>
      </c>
      <c r="F847" s="9"/>
      <c r="G847" s="9">
        <v>45713</v>
      </c>
      <c r="H847" s="12" t="s">
        <v>27</v>
      </c>
      <c r="I847" s="11">
        <v>10</v>
      </c>
      <c r="J847" t="str">
        <f>IF(I847="","",IFERROR(IF(INDEX([1]ListadoFichasDeProduccion!LQ:MB,MATCH(A847,[1]ListadoFichasDeProduccion!A:A,0),K847)=0,"",INDEX([1]ListadoFichasDeProduccion!LQ:MB,MATCH(A847,[1]ListadoFichasDeProduccion!A:A,0),K847)),""))</f>
        <v/>
      </c>
      <c r="K847" s="11">
        <v>3</v>
      </c>
    </row>
    <row r="848" spans="1:11" hidden="1" x14ac:dyDescent="0.3">
      <c r="A848" s="11">
        <v>1637</v>
      </c>
      <c r="B848" s="8" t="str">
        <f>VLOOKUP(A848,[1]ListadoFichasDeProduccion!$A$2:$LP$3000,328,FALSE)</f>
        <v>COMPLETADO</v>
      </c>
      <c r="C848" s="11">
        <v>80</v>
      </c>
      <c r="D848" t="s">
        <v>33</v>
      </c>
      <c r="E848" t="s">
        <v>80</v>
      </c>
      <c r="F848" s="9"/>
      <c r="G848" s="9">
        <v>45713</v>
      </c>
      <c r="H848" s="12" t="s">
        <v>32</v>
      </c>
      <c r="I848" s="11">
        <v>14</v>
      </c>
      <c r="J848" t="str">
        <f>IF(I848="","",IFERROR(IF(INDEX([1]ListadoFichasDeProduccion!LQ:MB,MATCH(A848,[1]ListadoFichasDeProduccion!A:A,0),K848)=0,"",INDEX([1]ListadoFichasDeProduccion!LQ:MB,MATCH(A848,[1]ListadoFichasDeProduccion!A:A,0),K848)),""))</f>
        <v/>
      </c>
      <c r="K848" s="11">
        <v>4</v>
      </c>
    </row>
    <row r="849" spans="1:11" hidden="1" x14ac:dyDescent="0.3">
      <c r="A849" s="11">
        <v>1637</v>
      </c>
      <c r="B849" s="8" t="str">
        <f>VLOOKUP(A849,[1]ListadoFichasDeProduccion!$A$2:$LP$3000,328,FALSE)</f>
        <v>COMPLETADO</v>
      </c>
      <c r="C849" s="11">
        <v>80</v>
      </c>
      <c r="D849" t="s">
        <v>33</v>
      </c>
      <c r="E849" t="s">
        <v>80</v>
      </c>
      <c r="F849" s="9"/>
      <c r="G849" s="9">
        <v>45713</v>
      </c>
      <c r="H849" t="s">
        <v>24</v>
      </c>
      <c r="I849" s="11">
        <v>10</v>
      </c>
      <c r="J849" t="str">
        <f>IF(I849="","",IFERROR(IF(INDEX([1]ListadoFichasDeProduccion!LQ:MB,MATCH(A849,[1]ListadoFichasDeProduccion!A:A,0),K849)=0,"",INDEX([1]ListadoFichasDeProduccion!LQ:MB,MATCH(A849,[1]ListadoFichasDeProduccion!A:A,0),K849)),""))</f>
        <v/>
      </c>
      <c r="K849" s="11">
        <v>5</v>
      </c>
    </row>
    <row r="850" spans="1:11" hidden="1" x14ac:dyDescent="0.3">
      <c r="A850" s="11">
        <v>1637</v>
      </c>
      <c r="B850" s="8" t="str">
        <f>VLOOKUP(A850,[1]ListadoFichasDeProduccion!$A$2:$LP$3000,328,FALSE)</f>
        <v>COMPLETADO</v>
      </c>
      <c r="C850" s="11">
        <v>80</v>
      </c>
      <c r="D850" t="s">
        <v>33</v>
      </c>
      <c r="E850" t="s">
        <v>80</v>
      </c>
      <c r="F850" s="9"/>
      <c r="G850" s="9">
        <v>45713</v>
      </c>
      <c r="H850" t="s">
        <v>81</v>
      </c>
      <c r="I850" s="11">
        <v>12</v>
      </c>
      <c r="J850" t="str">
        <f>IF(I850="","",IFERROR(IF(INDEX([1]ListadoFichasDeProduccion!LQ:MB,MATCH(A850,[1]ListadoFichasDeProduccion!A:A,0),K850)=0,"",INDEX([1]ListadoFichasDeProduccion!LQ:MB,MATCH(A850,[1]ListadoFichasDeProduccion!A:A,0),K850)),""))</f>
        <v/>
      </c>
      <c r="K850" s="11">
        <v>6</v>
      </c>
    </row>
    <row r="851" spans="1:11" hidden="1" x14ac:dyDescent="0.3">
      <c r="A851" s="11">
        <v>1637</v>
      </c>
      <c r="B851" s="8" t="str">
        <f>VLOOKUP(A851,[1]ListadoFichasDeProduccion!$A$2:$LP$3000,328,FALSE)</f>
        <v>COMPLETADO</v>
      </c>
      <c r="C851" s="11">
        <v>80</v>
      </c>
      <c r="D851" t="s">
        <v>33</v>
      </c>
      <c r="E851" t="s">
        <v>80</v>
      </c>
      <c r="F851" s="9"/>
      <c r="G851" s="9">
        <v>45713</v>
      </c>
      <c r="H851" t="s">
        <v>82</v>
      </c>
      <c r="I851" s="11">
        <v>6</v>
      </c>
      <c r="J851" t="str">
        <f>IF(I851="","",IFERROR(IF(INDEX([1]ListadoFichasDeProduccion!LQ:MB,MATCH(A851,[1]ListadoFichasDeProduccion!A:A,0),K851)=0,"",INDEX([1]ListadoFichasDeProduccion!LQ:MB,MATCH(A851,[1]ListadoFichasDeProduccion!A:A,0),K851)),""))</f>
        <v/>
      </c>
      <c r="K851" s="11">
        <v>7</v>
      </c>
    </row>
    <row r="852" spans="1:11" hidden="1" x14ac:dyDescent="0.3">
      <c r="A852" s="11">
        <v>1637</v>
      </c>
      <c r="B852" s="8" t="str">
        <f>VLOOKUP(A852,[1]ListadoFichasDeProduccion!$A$2:$LP$3000,328,FALSE)</f>
        <v>COMPLETADO</v>
      </c>
      <c r="C852" s="11">
        <v>80</v>
      </c>
      <c r="D852" t="s">
        <v>33</v>
      </c>
      <c r="E852" t="s">
        <v>80</v>
      </c>
      <c r="F852" s="9"/>
      <c r="G852" s="9">
        <v>45713</v>
      </c>
      <c r="H852" t="s">
        <v>83</v>
      </c>
      <c r="I852" s="11">
        <v>6</v>
      </c>
      <c r="J852" t="str">
        <f>IF(I852="","",IFERROR(IF(INDEX([1]ListadoFichasDeProduccion!LQ:MB,MATCH(A852,[1]ListadoFichasDeProduccion!A:A,0),K852)=0,"",INDEX([1]ListadoFichasDeProduccion!LQ:MB,MATCH(A852,[1]ListadoFichasDeProduccion!A:A,0),K852)),""))</f>
        <v/>
      </c>
      <c r="K852" s="11">
        <v>8</v>
      </c>
    </row>
    <row r="853" spans="1:11" hidden="1" x14ac:dyDescent="0.3">
      <c r="A853" s="11">
        <v>1715</v>
      </c>
      <c r="B853" s="8" t="str">
        <f>VLOOKUP(A853,[1]ListadoFichasDeProduccion!$A$2:$LP$3000,328,FALSE)</f>
        <v>COMPLETADO</v>
      </c>
      <c r="C853" s="11">
        <v>20</v>
      </c>
      <c r="D853" t="s">
        <v>33</v>
      </c>
      <c r="E853" t="s">
        <v>80</v>
      </c>
      <c r="G853" s="9">
        <v>45741</v>
      </c>
      <c r="H853" t="s">
        <v>137</v>
      </c>
      <c r="I853" s="11">
        <v>8</v>
      </c>
      <c r="J853" t="str">
        <f>IF(I853="","",IFERROR(IF(INDEX([1]ListadoFichasDeProduccion!LQ:MB,MATCH(A853,[1]ListadoFichasDeProduccion!A:A,0),K853)=0,"",INDEX([1]ListadoFichasDeProduccion!LQ:MB,MATCH(A853,[1]ListadoFichasDeProduccion!A:A,0),K853)),""))</f>
        <v/>
      </c>
      <c r="K853" s="11">
        <v>1</v>
      </c>
    </row>
    <row r="854" spans="1:11" hidden="1" x14ac:dyDescent="0.3">
      <c r="A854" s="11">
        <v>1715</v>
      </c>
      <c r="B854" s="8" t="str">
        <f>VLOOKUP(A854,[1]ListadoFichasDeProduccion!$A$2:$LP$3000,328,FALSE)</f>
        <v>COMPLETADO</v>
      </c>
      <c r="C854" s="11">
        <v>20</v>
      </c>
      <c r="D854" t="s">
        <v>33</v>
      </c>
      <c r="E854" t="s">
        <v>80</v>
      </c>
      <c r="G854" s="9">
        <v>45741</v>
      </c>
      <c r="H854" t="s">
        <v>138</v>
      </c>
      <c r="I854" s="11">
        <v>12</v>
      </c>
      <c r="J854" t="str">
        <f>IF(I854="","",IFERROR(IF(INDEX([1]ListadoFichasDeProduccion!LQ:MB,MATCH(A854,[1]ListadoFichasDeProduccion!A:A,0),K854)=0,"",INDEX([1]ListadoFichasDeProduccion!LQ:MB,MATCH(A854,[1]ListadoFichasDeProduccion!A:A,0),K854)),""))</f>
        <v/>
      </c>
      <c r="K854" s="11">
        <v>2</v>
      </c>
    </row>
    <row r="855" spans="1:11" hidden="1" x14ac:dyDescent="0.3">
      <c r="A855" s="11">
        <v>1910</v>
      </c>
      <c r="B855" s="8" t="str">
        <f>VLOOKUP(A855,[1]ListadoFichasDeProduccion!$A$2:$LP$3000,328,FALSE)</f>
        <v>COMPLETADO</v>
      </c>
      <c r="C855" s="11">
        <v>53</v>
      </c>
      <c r="D855" t="s">
        <v>33</v>
      </c>
      <c r="E855" t="s">
        <v>80</v>
      </c>
      <c r="G855" s="9">
        <v>45867</v>
      </c>
      <c r="H855" t="s">
        <v>28</v>
      </c>
      <c r="I855" s="11">
        <v>6</v>
      </c>
      <c r="J855" t="str">
        <f>IF(I855="","",IFERROR(IF(INDEX([1]ListadoFichasDeProduccion!LQ:MB,MATCH(A855,[1]ListadoFichasDeProduccion!A:A,0),K855)=0,"",INDEX([1]ListadoFichasDeProduccion!LQ:MB,MATCH(A855,[1]ListadoFichasDeProduccion!A:A,0),K855)),""))</f>
        <v/>
      </c>
      <c r="K855" s="11">
        <v>1</v>
      </c>
    </row>
    <row r="856" spans="1:11" hidden="1" x14ac:dyDescent="0.3">
      <c r="A856" s="11">
        <v>1910</v>
      </c>
      <c r="B856" s="8" t="str">
        <f>VLOOKUP(A856,[1]ListadoFichasDeProduccion!$A$2:$LP$3000,328,FALSE)</f>
        <v>COMPLETADO</v>
      </c>
      <c r="C856" s="11">
        <v>53</v>
      </c>
      <c r="D856" t="s">
        <v>33</v>
      </c>
      <c r="E856" t="s">
        <v>80</v>
      </c>
      <c r="G856" s="9">
        <v>45867</v>
      </c>
      <c r="H856" t="s">
        <v>31</v>
      </c>
      <c r="I856" s="11">
        <v>6</v>
      </c>
      <c r="J856" t="str">
        <f>IF(I856="","",IFERROR(IF(INDEX([1]ListadoFichasDeProduccion!LQ:MB,MATCH(A856,[1]ListadoFichasDeProduccion!A:A,0),K856)=0,"",INDEX([1]ListadoFichasDeProduccion!LQ:MB,MATCH(A856,[1]ListadoFichasDeProduccion!A:A,0),K856)),""))</f>
        <v/>
      </c>
      <c r="K856" s="11">
        <v>2</v>
      </c>
    </row>
    <row r="857" spans="1:11" hidden="1" x14ac:dyDescent="0.3">
      <c r="A857" s="11">
        <v>1910</v>
      </c>
      <c r="B857" s="8" t="str">
        <f>VLOOKUP(A857,[1]ListadoFichasDeProduccion!$A$2:$LP$3000,328,FALSE)</f>
        <v>COMPLETADO</v>
      </c>
      <c r="C857" s="11">
        <v>53</v>
      </c>
      <c r="D857" t="s">
        <v>33</v>
      </c>
      <c r="E857" t="s">
        <v>80</v>
      </c>
      <c r="G857" s="9">
        <v>45867</v>
      </c>
      <c r="H857" t="s">
        <v>27</v>
      </c>
      <c r="I857" s="11">
        <v>12</v>
      </c>
      <c r="J857" t="str">
        <f>IF(I857="","",IFERROR(IF(INDEX([1]ListadoFichasDeProduccion!LQ:MB,MATCH(A857,[1]ListadoFichasDeProduccion!A:A,0),K857)=0,"",INDEX([1]ListadoFichasDeProduccion!LQ:MB,MATCH(A857,[1]ListadoFichasDeProduccion!A:A,0),K857)),""))</f>
        <v/>
      </c>
      <c r="K857" s="11">
        <v>3</v>
      </c>
    </row>
    <row r="858" spans="1:11" hidden="1" x14ac:dyDescent="0.3">
      <c r="A858" s="11">
        <v>1910</v>
      </c>
      <c r="B858" s="8" t="str">
        <f>VLOOKUP(A858,[1]ListadoFichasDeProduccion!$A$2:$LP$3000,328,FALSE)</f>
        <v>COMPLETADO</v>
      </c>
      <c r="C858" s="11">
        <v>53</v>
      </c>
      <c r="D858" t="s">
        <v>33</v>
      </c>
      <c r="E858" t="s">
        <v>80</v>
      </c>
      <c r="G858" s="9">
        <v>45867</v>
      </c>
      <c r="H858" t="s">
        <v>50</v>
      </c>
      <c r="I858" s="11">
        <v>4</v>
      </c>
      <c r="J858" t="str">
        <f>IF(I858="","",IFERROR(IF(INDEX([1]ListadoFichasDeProduccion!LQ:MB,MATCH(A858,[1]ListadoFichasDeProduccion!A:A,0),K858)=0,"",INDEX([1]ListadoFichasDeProduccion!LQ:MB,MATCH(A858,[1]ListadoFichasDeProduccion!A:A,0),K858)),""))</f>
        <v/>
      </c>
      <c r="K858" s="11">
        <v>4</v>
      </c>
    </row>
    <row r="859" spans="1:11" hidden="1" x14ac:dyDescent="0.3">
      <c r="A859" s="11">
        <v>1910</v>
      </c>
      <c r="B859" s="8" t="str">
        <f>VLOOKUP(A859,[1]ListadoFichasDeProduccion!$A$2:$LP$3000,328,FALSE)</f>
        <v>COMPLETADO</v>
      </c>
      <c r="C859" s="11">
        <v>53</v>
      </c>
      <c r="D859" t="s">
        <v>33</v>
      </c>
      <c r="E859" t="s">
        <v>80</v>
      </c>
      <c r="G859" s="9">
        <v>45867</v>
      </c>
      <c r="H859" t="s">
        <v>24</v>
      </c>
      <c r="I859" s="11">
        <v>4</v>
      </c>
      <c r="J859" t="str">
        <f>IF(I859="","",IFERROR(IF(INDEX([1]ListadoFichasDeProduccion!LQ:MB,MATCH(A859,[1]ListadoFichasDeProduccion!A:A,0),K859)=0,"",INDEX([1]ListadoFichasDeProduccion!LQ:MB,MATCH(A859,[1]ListadoFichasDeProduccion!A:A,0),K859)),""))</f>
        <v/>
      </c>
      <c r="K859" s="11">
        <v>5</v>
      </c>
    </row>
    <row r="860" spans="1:11" hidden="1" x14ac:dyDescent="0.3">
      <c r="A860" s="11">
        <v>1910</v>
      </c>
      <c r="B860" s="8" t="str">
        <f>VLOOKUP(A860,[1]ListadoFichasDeProduccion!$A$2:$LP$3000,328,FALSE)</f>
        <v>COMPLETADO</v>
      </c>
      <c r="C860" s="11">
        <v>53</v>
      </c>
      <c r="D860" t="s">
        <v>33</v>
      </c>
      <c r="E860" t="s">
        <v>80</v>
      </c>
      <c r="G860" s="9">
        <v>45867</v>
      </c>
      <c r="H860" t="s">
        <v>81</v>
      </c>
      <c r="I860" s="11">
        <v>9</v>
      </c>
      <c r="J860" t="str">
        <f>IF(I860="","",IFERROR(IF(INDEX([1]ListadoFichasDeProduccion!LQ:MB,MATCH(A860,[1]ListadoFichasDeProduccion!A:A,0),K860)=0,"",INDEX([1]ListadoFichasDeProduccion!LQ:MB,MATCH(A860,[1]ListadoFichasDeProduccion!A:A,0),K860)),""))</f>
        <v/>
      </c>
      <c r="K860" s="11">
        <v>6</v>
      </c>
    </row>
    <row r="861" spans="1:11" hidden="1" x14ac:dyDescent="0.3">
      <c r="A861" s="11">
        <v>1910</v>
      </c>
      <c r="B861" s="8" t="str">
        <f>VLOOKUP(A861,[1]ListadoFichasDeProduccion!$A$2:$LP$3000,328,FALSE)</f>
        <v>COMPLETADO</v>
      </c>
      <c r="C861" s="11">
        <v>53</v>
      </c>
      <c r="D861" t="s">
        <v>33</v>
      </c>
      <c r="E861" t="s">
        <v>80</v>
      </c>
      <c r="G861" s="9">
        <v>45867</v>
      </c>
      <c r="H861" t="s">
        <v>149</v>
      </c>
      <c r="I861" s="11">
        <v>12</v>
      </c>
      <c r="J861" t="str">
        <f>IF(I861="","",IFERROR(IF(INDEX([1]ListadoFichasDeProduccion!LQ:MB,MATCH(A861,[1]ListadoFichasDeProduccion!A:A,0),K861)=0,"",INDEX([1]ListadoFichasDeProduccion!LQ:MB,MATCH(A861,[1]ListadoFichasDeProduccion!A:A,0),K861)),""))</f>
        <v/>
      </c>
      <c r="K861" s="11">
        <v>7</v>
      </c>
    </row>
    <row r="862" spans="1:11" hidden="1" x14ac:dyDescent="0.3">
      <c r="A862" s="11">
        <v>1934</v>
      </c>
      <c r="B862" t="str">
        <f>VLOOKUP(A862,[1]ListadoFichasDeProduccion!$A$2:$LP$3000,328,FALSE)</f>
        <v>COMPLETADO</v>
      </c>
      <c r="C862" s="11">
        <v>50</v>
      </c>
      <c r="D862" t="s">
        <v>33</v>
      </c>
      <c r="E862" t="s">
        <v>80</v>
      </c>
      <c r="G862" s="9">
        <v>45884</v>
      </c>
      <c r="H862" t="s">
        <v>204</v>
      </c>
      <c r="I862" s="11">
        <v>20</v>
      </c>
      <c r="J862" t="str">
        <f>IF(I862="","",IFERROR(IF(INDEX([1]ListadoFichasDeProduccion!LQ:MB,MATCH(A862,[1]ListadoFichasDeProduccion!A:A,0),K862)=0,"",INDEX([1]ListadoFichasDeProduccion!LQ:MB,MATCH(A862,[1]ListadoFichasDeProduccion!A:A,0),K862)),""))</f>
        <v/>
      </c>
      <c r="K862" s="11">
        <v>1</v>
      </c>
    </row>
    <row r="863" spans="1:11" hidden="1" x14ac:dyDescent="0.3">
      <c r="A863" s="11">
        <v>1934</v>
      </c>
      <c r="B863" t="str">
        <f>VLOOKUP(A863,[1]ListadoFichasDeProduccion!$A$2:$LP$3000,328,FALSE)</f>
        <v>COMPLETADO</v>
      </c>
      <c r="C863" s="11">
        <v>50</v>
      </c>
      <c r="D863" t="s">
        <v>33</v>
      </c>
      <c r="E863" t="s">
        <v>80</v>
      </c>
      <c r="G863" s="9">
        <v>45884</v>
      </c>
      <c r="H863" t="s">
        <v>205</v>
      </c>
      <c r="I863" s="11">
        <v>10</v>
      </c>
      <c r="J863" t="str">
        <f>IF(I863="","",IFERROR(IF(INDEX([1]ListadoFichasDeProduccion!LQ:MB,MATCH(A863,[1]ListadoFichasDeProduccion!A:A,0),K863)=0,"",INDEX([1]ListadoFichasDeProduccion!LQ:MB,MATCH(A863,[1]ListadoFichasDeProduccion!A:A,0),K863)),""))</f>
        <v/>
      </c>
      <c r="K863" s="11">
        <v>2</v>
      </c>
    </row>
    <row r="864" spans="1:11" hidden="1" x14ac:dyDescent="0.3">
      <c r="A864" s="11">
        <v>1934</v>
      </c>
      <c r="B864" t="str">
        <f>VLOOKUP(A864,[1]ListadoFichasDeProduccion!$A$2:$LP$3000,328,FALSE)</f>
        <v>COMPLETADO</v>
      </c>
      <c r="C864" s="11">
        <v>50</v>
      </c>
      <c r="D864" t="s">
        <v>33</v>
      </c>
      <c r="E864" t="s">
        <v>80</v>
      </c>
      <c r="G864" s="9">
        <v>45884</v>
      </c>
      <c r="H864" t="s">
        <v>24</v>
      </c>
      <c r="I864" s="11">
        <v>10</v>
      </c>
      <c r="J864" t="str">
        <f>IF(I864="","",IFERROR(IF(INDEX([1]ListadoFichasDeProduccion!LQ:MB,MATCH(A864,[1]ListadoFichasDeProduccion!A:A,0),K864)=0,"",INDEX([1]ListadoFichasDeProduccion!LQ:MB,MATCH(A864,[1]ListadoFichasDeProduccion!A:A,0),K864)),""))</f>
        <v/>
      </c>
      <c r="K864" s="11">
        <v>3</v>
      </c>
    </row>
    <row r="865" spans="1:11" hidden="1" x14ac:dyDescent="0.3">
      <c r="A865" s="11">
        <v>1934</v>
      </c>
      <c r="B865" t="str">
        <f>VLOOKUP(A865,[1]ListadoFichasDeProduccion!$A$2:$LP$3000,328,FALSE)</f>
        <v>COMPLETADO</v>
      </c>
      <c r="C865" s="11">
        <v>50</v>
      </c>
      <c r="D865" t="s">
        <v>33</v>
      </c>
      <c r="E865" t="s">
        <v>80</v>
      </c>
      <c r="G865" s="9">
        <v>45884</v>
      </c>
      <c r="H865" t="s">
        <v>67</v>
      </c>
      <c r="I865" s="11">
        <v>10</v>
      </c>
      <c r="J865" t="str">
        <f>IF(I865="","",IFERROR(IF(INDEX([1]ListadoFichasDeProduccion!LQ:MB,MATCH(A865,[1]ListadoFichasDeProduccion!A:A,0),K865)=0,"",INDEX([1]ListadoFichasDeProduccion!LQ:MB,MATCH(A865,[1]ListadoFichasDeProduccion!A:A,0),K865)),""))</f>
        <v/>
      </c>
      <c r="K865" s="11">
        <v>4</v>
      </c>
    </row>
    <row r="866" spans="1:11" hidden="1" x14ac:dyDescent="0.3">
      <c r="A866" s="11">
        <v>19342</v>
      </c>
      <c r="B866" t="str">
        <f>VLOOKUP(A866,[1]ListadoFichasDeProduccion!$A$2:$LP$3000,328,FALSE)</f>
        <v>COMPLETADO</v>
      </c>
      <c r="C866" s="11">
        <v>10</v>
      </c>
      <c r="D866" t="s">
        <v>33</v>
      </c>
      <c r="E866" t="s">
        <v>80</v>
      </c>
      <c r="G866" s="9">
        <v>45884</v>
      </c>
      <c r="H866" t="s">
        <v>27</v>
      </c>
      <c r="I866" s="11">
        <v>10</v>
      </c>
      <c r="J866" t="str">
        <f>IF(I866="","",IFERROR(IF(INDEX([1]ListadoFichasDeProduccion!LQ:MB,MATCH(A866,[1]ListadoFichasDeProduccion!A:A,0),K866)=0,"",INDEX([1]ListadoFichasDeProduccion!LQ:MB,MATCH(A866,[1]ListadoFichasDeProduccion!A:A,0),K866)),""))</f>
        <v/>
      </c>
      <c r="K866" s="11">
        <v>1</v>
      </c>
    </row>
    <row r="867" spans="1:11" hidden="1" x14ac:dyDescent="0.3">
      <c r="A867" s="11" t="s">
        <v>293</v>
      </c>
      <c r="B867" t="str">
        <f>VLOOKUP(A867,[1]ListadoFichasDeProduccion!$A$2:$LP$3000,328,FALSE)</f>
        <v>COMPLETADO</v>
      </c>
      <c r="C867" s="11">
        <v>14</v>
      </c>
      <c r="D867" t="s">
        <v>33</v>
      </c>
      <c r="E867" t="s">
        <v>80</v>
      </c>
      <c r="G867" s="9">
        <v>45911</v>
      </c>
      <c r="H867" t="s">
        <v>28</v>
      </c>
      <c r="I867" s="11">
        <v>14</v>
      </c>
      <c r="J867" t="str">
        <f>IF(I867="","",IFERROR(IF(INDEX([1]ListadoFichasDeProduccion!LQ:MB,MATCH(A867,[1]ListadoFichasDeProduccion!A:A,0),K867)=0,"",INDEX([1]ListadoFichasDeProduccion!LQ:MB,MATCH(A867,[1]ListadoFichasDeProduccion!A:A,0),K867)),""))</f>
        <v/>
      </c>
      <c r="K867" s="11">
        <v>1</v>
      </c>
    </row>
    <row r="868" spans="1:11" x14ac:dyDescent="0.3">
      <c r="A868" s="11" t="s">
        <v>469</v>
      </c>
      <c r="B868" t="str">
        <f>VLOOKUP(A868,[1]ListadoFichasDeProduccion!$A$2:$LP$3000,328,FALSE)</f>
        <v>NO COMENZADO</v>
      </c>
      <c r="C868" s="11">
        <v>54</v>
      </c>
      <c r="D868" t="s">
        <v>33</v>
      </c>
      <c r="E868" t="s">
        <v>80</v>
      </c>
      <c r="H868" t="s">
        <v>40</v>
      </c>
      <c r="I868" s="11">
        <v>14</v>
      </c>
      <c r="J868" t="str">
        <f>IF(I868="","",IFERROR(IF(INDEX([1]ListadoFichasDeProduccion!LQ:MB,MATCH(A868,[1]ListadoFichasDeProduccion!A:A,0),K868)=0,"",INDEX([1]ListadoFichasDeProduccion!LQ:MB,MATCH(A868,[1]ListadoFichasDeProduccion!A:A,0),K868)),""))</f>
        <v/>
      </c>
      <c r="K868" s="11">
        <v>1</v>
      </c>
    </row>
    <row r="869" spans="1:11" x14ac:dyDescent="0.3">
      <c r="A869" s="11" t="s">
        <v>469</v>
      </c>
      <c r="B869" t="str">
        <f>VLOOKUP(A869,[1]ListadoFichasDeProduccion!$A$2:$LP$3000,328,FALSE)</f>
        <v>NO COMENZADO</v>
      </c>
      <c r="C869" s="11">
        <v>54</v>
      </c>
      <c r="D869" t="s">
        <v>33</v>
      </c>
      <c r="E869" t="s">
        <v>80</v>
      </c>
      <c r="H869" t="s">
        <v>138</v>
      </c>
      <c r="I869" s="11">
        <v>20</v>
      </c>
      <c r="J869" t="str">
        <f>IF(I869="","",IFERROR(IF(INDEX([1]ListadoFichasDeProduccion!LQ:MB,MATCH(A869,[1]ListadoFichasDeProduccion!A:A,0),K869)=0,"",INDEX([1]ListadoFichasDeProduccion!LQ:MB,MATCH(A869,[1]ListadoFichasDeProduccion!A:A,0),K869)),""))</f>
        <v/>
      </c>
      <c r="K869" s="11">
        <v>2</v>
      </c>
    </row>
    <row r="870" spans="1:11" x14ac:dyDescent="0.3">
      <c r="A870" s="11" t="s">
        <v>469</v>
      </c>
      <c r="B870" t="str">
        <f>VLOOKUP(A870,[1]ListadoFichasDeProduccion!$A$2:$LP$3000,328,FALSE)</f>
        <v>NO COMENZADO</v>
      </c>
      <c r="C870" s="11">
        <v>54</v>
      </c>
      <c r="D870" t="s">
        <v>33</v>
      </c>
      <c r="E870" t="s">
        <v>80</v>
      </c>
      <c r="H870" t="s">
        <v>137</v>
      </c>
      <c r="I870" s="11">
        <v>20</v>
      </c>
      <c r="J870" t="str">
        <f>IF(I870="","",IFERROR(IF(INDEX([1]ListadoFichasDeProduccion!LQ:MB,MATCH(A870,[1]ListadoFichasDeProduccion!A:A,0),K870)=0,"",INDEX([1]ListadoFichasDeProduccion!LQ:MB,MATCH(A870,[1]ListadoFichasDeProduccion!A:A,0),K870)),""))</f>
        <v/>
      </c>
      <c r="K870" s="11">
        <v>3</v>
      </c>
    </row>
    <row r="871" spans="1:11" hidden="1" x14ac:dyDescent="0.3">
      <c r="A871" s="11">
        <v>1773</v>
      </c>
      <c r="B871" s="8" t="str">
        <f>VLOOKUP(A871,[1]ListadoFichasDeProduccion!$A$2:$LP$3000,328,FALSE)</f>
        <v>COMPLETADO</v>
      </c>
      <c r="C871" s="11">
        <v>26</v>
      </c>
      <c r="D871" t="s">
        <v>33</v>
      </c>
      <c r="E871" t="s">
        <v>175</v>
      </c>
      <c r="G871" s="9">
        <v>45777</v>
      </c>
      <c r="H871" t="s">
        <v>176</v>
      </c>
      <c r="I871" s="11">
        <v>26</v>
      </c>
      <c r="J871" t="str">
        <f>IF(I871="","",IFERROR(IF(INDEX([1]ListadoFichasDeProduccion!LQ:MB,MATCH(A871,[1]ListadoFichasDeProduccion!A:A,0),K871)=0,"",INDEX([1]ListadoFichasDeProduccion!LQ:MB,MATCH(A871,[1]ListadoFichasDeProduccion!A:A,0),K871)),""))</f>
        <v/>
      </c>
      <c r="K871" s="11">
        <v>1</v>
      </c>
    </row>
    <row r="872" spans="1:11" hidden="1" x14ac:dyDescent="0.3">
      <c r="A872" s="11">
        <v>1816</v>
      </c>
      <c r="B872" s="8" t="str">
        <f>VLOOKUP(A872,[1]ListadoFichasDeProduccion!$A$2:$LP$3000,328,FALSE)</f>
        <v>COMPLETADO</v>
      </c>
      <c r="C872" s="11">
        <v>12</v>
      </c>
      <c r="D872" t="s">
        <v>33</v>
      </c>
      <c r="E872" t="s">
        <v>175</v>
      </c>
      <c r="G872" s="9">
        <v>45805</v>
      </c>
      <c r="H872" t="s">
        <v>205</v>
      </c>
      <c r="I872" s="11">
        <v>12</v>
      </c>
      <c r="J872" t="str">
        <f>IF(I872="","",IFERROR(IF(INDEX([1]ListadoFichasDeProduccion!LQ:MB,MATCH(A872,[1]ListadoFichasDeProduccion!A:A,0),K872)=0,"",INDEX([1]ListadoFichasDeProduccion!LQ:MB,MATCH(A872,[1]ListadoFichasDeProduccion!A:A,0),K872)),""))</f>
        <v/>
      </c>
      <c r="K872" s="11">
        <v>1</v>
      </c>
    </row>
    <row r="873" spans="1:11" hidden="1" x14ac:dyDescent="0.3">
      <c r="A873" s="11" t="s">
        <v>297</v>
      </c>
      <c r="B873" t="str">
        <f>VLOOKUP(A873,[1]ListadoFichasDeProduccion!$A$2:$LP$3000,328,FALSE)</f>
        <v>COMPLETADO</v>
      </c>
      <c r="C873" s="11">
        <v>26</v>
      </c>
      <c r="D873" t="s">
        <v>33</v>
      </c>
      <c r="E873" t="s">
        <v>175</v>
      </c>
      <c r="G873" s="9">
        <v>45911</v>
      </c>
      <c r="H873" t="s">
        <v>298</v>
      </c>
      <c r="I873" s="11">
        <v>14</v>
      </c>
      <c r="J873" t="str">
        <f>IF(I873="","",IFERROR(IF(INDEX([1]ListadoFichasDeProduccion!LQ:MB,MATCH(A873,[1]ListadoFichasDeProduccion!A:A,0),K873)=0,"",INDEX([1]ListadoFichasDeProduccion!LQ:MB,MATCH(A873,[1]ListadoFichasDeProduccion!A:A,0),K873)),""))</f>
        <v/>
      </c>
      <c r="K873" s="11">
        <v>1</v>
      </c>
    </row>
    <row r="874" spans="1:11" hidden="1" x14ac:dyDescent="0.3">
      <c r="A874" s="11" t="s">
        <v>297</v>
      </c>
      <c r="B874" t="str">
        <f>VLOOKUP(A874,[1]ListadoFichasDeProduccion!$A$2:$LP$3000,328,FALSE)</f>
        <v>COMPLETADO</v>
      </c>
      <c r="C874" s="11">
        <v>26</v>
      </c>
      <c r="D874" t="s">
        <v>33</v>
      </c>
      <c r="E874" t="s">
        <v>175</v>
      </c>
      <c r="G874" s="9">
        <v>45911</v>
      </c>
      <c r="H874" t="s">
        <v>176</v>
      </c>
      <c r="I874" s="11">
        <v>12</v>
      </c>
      <c r="J874" t="str">
        <f>IF(I874="","",IFERROR(IF(INDEX([1]ListadoFichasDeProduccion!LQ:MB,MATCH(A874,[1]ListadoFichasDeProduccion!A:A,0),K874)=0,"",INDEX([1]ListadoFichasDeProduccion!LQ:MB,MATCH(A874,[1]ListadoFichasDeProduccion!A:A,0),K874)),""))</f>
        <v/>
      </c>
      <c r="K874" s="11">
        <v>2</v>
      </c>
    </row>
    <row r="875" spans="1:11" hidden="1" x14ac:dyDescent="0.3">
      <c r="A875" s="11">
        <v>1760</v>
      </c>
      <c r="B875" s="8" t="str">
        <f>VLOOKUP(A875,[1]ListadoFichasDeProduccion!$A$2:$LP$3000,328,FALSE)</f>
        <v>COMPLETADO</v>
      </c>
      <c r="C875" s="11">
        <v>12</v>
      </c>
      <c r="D875" t="s">
        <v>33</v>
      </c>
      <c r="E875" t="s">
        <v>167</v>
      </c>
      <c r="F875" t="s">
        <v>168</v>
      </c>
      <c r="G875" s="9">
        <v>45772</v>
      </c>
      <c r="H875" t="s">
        <v>123</v>
      </c>
      <c r="I875" s="11">
        <v>6</v>
      </c>
      <c r="J875" t="str">
        <f>IF(I875="","",IFERROR(IF(INDEX([1]ListadoFichasDeProduccion!LQ:MB,MATCH(A875,[1]ListadoFichasDeProduccion!A:A,0),K875)=0,"",INDEX([1]ListadoFichasDeProduccion!LQ:MB,MATCH(A875,[1]ListadoFichasDeProduccion!A:A,0),K875)),""))</f>
        <v/>
      </c>
      <c r="K875" s="11">
        <v>1</v>
      </c>
    </row>
    <row r="876" spans="1:11" hidden="1" x14ac:dyDescent="0.3">
      <c r="A876" s="11">
        <v>1760</v>
      </c>
      <c r="B876" s="8" t="str">
        <f>VLOOKUP(A876,[1]ListadoFichasDeProduccion!$A$2:$LP$3000,328,FALSE)</f>
        <v>COMPLETADO</v>
      </c>
      <c r="C876" s="11">
        <v>12</v>
      </c>
      <c r="D876" t="s">
        <v>33</v>
      </c>
      <c r="E876" t="s">
        <v>167</v>
      </c>
      <c r="F876" t="s">
        <v>168</v>
      </c>
      <c r="G876" s="9">
        <v>45772</v>
      </c>
      <c r="H876" t="s">
        <v>19</v>
      </c>
      <c r="I876" s="11">
        <v>6</v>
      </c>
      <c r="J876" t="str">
        <f>IF(I876="","",IFERROR(IF(INDEX([1]ListadoFichasDeProduccion!LQ:MB,MATCH(A876,[1]ListadoFichasDeProduccion!A:A,0),K876)=0,"",INDEX([1]ListadoFichasDeProduccion!LQ:MB,MATCH(A876,[1]ListadoFichasDeProduccion!A:A,0),K876)),""))</f>
        <v/>
      </c>
      <c r="K876" s="11">
        <v>2</v>
      </c>
    </row>
    <row r="877" spans="1:11" hidden="1" x14ac:dyDescent="0.3">
      <c r="A877" s="11">
        <v>1881</v>
      </c>
      <c r="B877" s="8" t="str">
        <f>VLOOKUP(A877,[1]ListadoFichasDeProduccion!$A$2:$LP$3000,328,FALSE)</f>
        <v>COMPLETADO</v>
      </c>
      <c r="C877" s="11">
        <v>13</v>
      </c>
      <c r="D877" t="s">
        <v>33</v>
      </c>
      <c r="E877" t="s">
        <v>167</v>
      </c>
      <c r="F877" t="s">
        <v>168</v>
      </c>
      <c r="G877" s="9">
        <v>45831</v>
      </c>
      <c r="H877" t="s">
        <v>123</v>
      </c>
      <c r="I877" s="11">
        <v>9</v>
      </c>
      <c r="J877" t="str">
        <f>IF(I877="","",IFERROR(IF(INDEX([1]ListadoFichasDeProduccion!LQ:MB,MATCH(A877,[1]ListadoFichasDeProduccion!A:A,0),K877)=0,"",INDEX([1]ListadoFichasDeProduccion!LQ:MB,MATCH(A877,[1]ListadoFichasDeProduccion!A:A,0),K877)),""))</f>
        <v>QUE SE VEA LA MANCHA SI NO SALE DE RETAZOS, USAR PLACA! - CORDON  CONTORNO CUERO  NAPADO COLOR TABACO</v>
      </c>
      <c r="K877" s="11">
        <v>1</v>
      </c>
    </row>
    <row r="878" spans="1:11" hidden="1" x14ac:dyDescent="0.3">
      <c r="A878" s="11">
        <v>1881</v>
      </c>
      <c r="B878" s="8" t="str">
        <f>VLOOKUP(A878,[1]ListadoFichasDeProduccion!$A$2:$LP$3000,328,FALSE)</f>
        <v>COMPLETADO</v>
      </c>
      <c r="C878" s="11">
        <v>13</v>
      </c>
      <c r="D878" t="s">
        <v>33</v>
      </c>
      <c r="E878" t="s">
        <v>167</v>
      </c>
      <c r="F878" t="s">
        <v>168</v>
      </c>
      <c r="G878" s="9">
        <v>45831</v>
      </c>
      <c r="H878" t="s">
        <v>19</v>
      </c>
      <c r="I878" s="11">
        <v>4</v>
      </c>
      <c r="J878" t="str">
        <f>IF(I878="","",IFERROR(IF(INDEX([1]ListadoFichasDeProduccion!LQ:MB,MATCH(A878,[1]ListadoFichasDeProduccion!A:A,0),K878)=0,"",INDEX([1]ListadoFichasDeProduccion!LQ:MB,MATCH(A878,[1]ListadoFichasDeProduccion!A:A,0),K878)),""))</f>
        <v>QUE SE VEA LA MANCHA SI NO SALE DE RETAZOS, USAR PLACA! - CORDON  CONTORNO CUERO  NAPADO COLOR NEGRO</v>
      </c>
      <c r="K878" s="11">
        <v>2</v>
      </c>
    </row>
    <row r="879" spans="1:11" hidden="1" x14ac:dyDescent="0.3">
      <c r="A879" s="11">
        <v>1716</v>
      </c>
      <c r="B879" s="8" t="str">
        <f>VLOOKUP(A879,[1]ListadoFichasDeProduccion!$A$2:$LP$3000,328,FALSE)</f>
        <v>COMPLETADO</v>
      </c>
      <c r="C879" s="11">
        <v>26</v>
      </c>
      <c r="D879" t="s">
        <v>33</v>
      </c>
      <c r="E879" t="s">
        <v>139</v>
      </c>
      <c r="G879" s="9">
        <v>45741</v>
      </c>
      <c r="H879" t="s">
        <v>27</v>
      </c>
      <c r="I879" s="11">
        <v>14</v>
      </c>
      <c r="J879" t="str">
        <f>IF(I879="","",IFERROR(IF(INDEX([1]ListadoFichasDeProduccion!LQ:MB,MATCH(A879,[1]ListadoFichasDeProduccion!A:A,0),K879)=0,"",INDEX([1]ListadoFichasDeProduccion!LQ:MB,MATCH(A879,[1]ListadoFichasDeProduccion!A:A,0),K879)),""))</f>
        <v/>
      </c>
      <c r="K879" s="11">
        <v>1</v>
      </c>
    </row>
    <row r="880" spans="1:11" hidden="1" x14ac:dyDescent="0.3">
      <c r="A880" s="11">
        <v>1716</v>
      </c>
      <c r="B880" s="8" t="str">
        <f>VLOOKUP(A880,[1]ListadoFichasDeProduccion!$A$2:$LP$3000,328,FALSE)</f>
        <v>COMPLETADO</v>
      </c>
      <c r="C880" s="11">
        <v>26</v>
      </c>
      <c r="D880" t="s">
        <v>33</v>
      </c>
      <c r="E880" t="s">
        <v>139</v>
      </c>
      <c r="G880" s="9">
        <v>45741</v>
      </c>
      <c r="H880" t="s">
        <v>44</v>
      </c>
      <c r="I880" s="11">
        <v>12</v>
      </c>
      <c r="J880" t="str">
        <f>IF(I880="","",IFERROR(IF(INDEX([1]ListadoFichasDeProduccion!LQ:MB,MATCH(A880,[1]ListadoFichasDeProduccion!A:A,0),K880)=0,"",INDEX([1]ListadoFichasDeProduccion!LQ:MB,MATCH(A880,[1]ListadoFichasDeProduccion!A:A,0),K880)),""))</f>
        <v/>
      </c>
      <c r="K880" s="11">
        <v>2</v>
      </c>
    </row>
    <row r="881" spans="1:11" hidden="1" x14ac:dyDescent="0.3">
      <c r="A881" s="11">
        <v>1692</v>
      </c>
      <c r="B881" s="8" t="str">
        <f>VLOOKUP(A881,[1]ListadoFichasDeProduccion!$A$2:$LP$3000,328,FALSE)</f>
        <v>COMPLETADO</v>
      </c>
      <c r="C881" s="11">
        <v>18</v>
      </c>
      <c r="D881" t="s">
        <v>33</v>
      </c>
      <c r="E881" t="s">
        <v>124</v>
      </c>
      <c r="G881" s="9">
        <v>45730</v>
      </c>
      <c r="H881" t="s">
        <v>47</v>
      </c>
      <c r="I881" s="11">
        <v>9</v>
      </c>
      <c r="J881" t="str">
        <f>IF(I881="","",IFERROR(IF(INDEX([1]ListadoFichasDeProduccion!LQ:MB,MATCH(A881,[1]ListadoFichasDeProduccion!A:A,0),K881)=0,"",INDEX([1]ListadoFichasDeProduccion!LQ:MB,MATCH(A881,[1]ListadoFichasDeProduccion!A:A,0),K881)),""))</f>
        <v/>
      </c>
      <c r="K881" s="11">
        <v>1</v>
      </c>
    </row>
    <row r="882" spans="1:11" hidden="1" x14ac:dyDescent="0.3">
      <c r="A882" s="11">
        <v>1692</v>
      </c>
      <c r="B882" s="8" t="str">
        <f>VLOOKUP(A882,[1]ListadoFichasDeProduccion!$A$2:$LP$3000,328,FALSE)</f>
        <v>COMPLETADO</v>
      </c>
      <c r="C882" s="11">
        <v>18</v>
      </c>
      <c r="D882" t="s">
        <v>33</v>
      </c>
      <c r="E882" t="s">
        <v>124</v>
      </c>
      <c r="G882" s="9">
        <v>45730</v>
      </c>
      <c r="H882" t="s">
        <v>46</v>
      </c>
      <c r="I882" s="11">
        <v>9</v>
      </c>
      <c r="J882" t="str">
        <f>IF(I882="","",IFERROR(IF(INDEX([1]ListadoFichasDeProduccion!LQ:MB,MATCH(A882,[1]ListadoFichasDeProduccion!A:A,0),K882)=0,"",INDEX([1]ListadoFichasDeProduccion!LQ:MB,MATCH(A882,[1]ListadoFichasDeProduccion!A:A,0),K882)),""))</f>
        <v/>
      </c>
      <c r="K882" s="11">
        <v>2</v>
      </c>
    </row>
    <row r="883" spans="1:11" hidden="1" x14ac:dyDescent="0.3">
      <c r="A883" s="11">
        <v>1734</v>
      </c>
      <c r="B883" s="8" t="str">
        <f>VLOOKUP(A883,[1]ListadoFichasDeProduccion!$A$2:$LP$3000,328,FALSE)</f>
        <v>COMPLETADO</v>
      </c>
      <c r="C883" s="11">
        <v>70</v>
      </c>
      <c r="D883" t="s">
        <v>33</v>
      </c>
      <c r="E883" t="s">
        <v>124</v>
      </c>
      <c r="G883" s="9">
        <v>45756</v>
      </c>
      <c r="H883" t="s">
        <v>50</v>
      </c>
      <c r="I883" s="11">
        <v>14</v>
      </c>
      <c r="J883" t="str">
        <f>IF(I883="","",IFERROR(IF(INDEX([1]ListadoFichasDeProduccion!LQ:MB,MATCH(A883,[1]ListadoFichasDeProduccion!A:A,0),K883)=0,"",INDEX([1]ListadoFichasDeProduccion!LQ:MB,MATCH(A883,[1]ListadoFichasDeProduccion!A:A,0),K883)),""))</f>
        <v/>
      </c>
      <c r="K883" s="11">
        <v>1</v>
      </c>
    </row>
    <row r="884" spans="1:11" hidden="1" x14ac:dyDescent="0.3">
      <c r="A884" s="11">
        <v>1734</v>
      </c>
      <c r="B884" s="8" t="str">
        <f>VLOOKUP(A884,[1]ListadoFichasDeProduccion!$A$2:$LP$3000,328,FALSE)</f>
        <v>COMPLETADO</v>
      </c>
      <c r="C884" s="11">
        <v>70</v>
      </c>
      <c r="D884" t="s">
        <v>33</v>
      </c>
      <c r="E884" t="s">
        <v>124</v>
      </c>
      <c r="G884" s="9">
        <v>45756</v>
      </c>
      <c r="H884" t="s">
        <v>51</v>
      </c>
      <c r="I884" s="11">
        <v>6</v>
      </c>
      <c r="J884" t="str">
        <f>IF(I884="","",IFERROR(IF(INDEX([1]ListadoFichasDeProduccion!LQ:MB,MATCH(A884,[1]ListadoFichasDeProduccion!A:A,0),K884)=0,"",INDEX([1]ListadoFichasDeProduccion!LQ:MB,MATCH(A884,[1]ListadoFichasDeProduccion!A:A,0),K884)),""))</f>
        <v/>
      </c>
      <c r="K884" s="11">
        <v>2</v>
      </c>
    </row>
    <row r="885" spans="1:11" hidden="1" x14ac:dyDescent="0.3">
      <c r="A885" s="11">
        <v>1734</v>
      </c>
      <c r="B885" s="8" t="str">
        <f>VLOOKUP(A885,[1]ListadoFichasDeProduccion!$A$2:$LP$3000,328,FALSE)</f>
        <v>COMPLETADO</v>
      </c>
      <c r="C885" s="11">
        <v>70</v>
      </c>
      <c r="D885" t="s">
        <v>33</v>
      </c>
      <c r="E885" t="s">
        <v>124</v>
      </c>
      <c r="G885" s="9">
        <v>45756</v>
      </c>
      <c r="H885" t="s">
        <v>44</v>
      </c>
      <c r="I885" s="11">
        <v>4</v>
      </c>
      <c r="J885" t="str">
        <f>IF(I885="","",IFERROR(IF(INDEX([1]ListadoFichasDeProduccion!LQ:MB,MATCH(A885,[1]ListadoFichasDeProduccion!A:A,0),K885)=0,"",INDEX([1]ListadoFichasDeProduccion!LQ:MB,MATCH(A885,[1]ListadoFichasDeProduccion!A:A,0),K885)),""))</f>
        <v/>
      </c>
      <c r="K885" s="11">
        <v>3</v>
      </c>
    </row>
    <row r="886" spans="1:11" hidden="1" x14ac:dyDescent="0.3">
      <c r="A886" s="11">
        <v>1734</v>
      </c>
      <c r="B886" s="8" t="str">
        <f>VLOOKUP(A886,[1]ListadoFichasDeProduccion!$A$2:$LP$3000,328,FALSE)</f>
        <v>COMPLETADO</v>
      </c>
      <c r="C886" s="11">
        <v>70</v>
      </c>
      <c r="D886" t="s">
        <v>33</v>
      </c>
      <c r="E886" t="s">
        <v>124</v>
      </c>
      <c r="G886" s="9">
        <v>45756</v>
      </c>
      <c r="H886" t="s">
        <v>22</v>
      </c>
      <c r="I886" s="11">
        <v>6</v>
      </c>
      <c r="J886" t="str">
        <f>IF(I886="","",IFERROR(IF(INDEX([1]ListadoFichasDeProduccion!LQ:MB,MATCH(A886,[1]ListadoFichasDeProduccion!A:A,0),K886)=0,"",INDEX([1]ListadoFichasDeProduccion!LQ:MB,MATCH(A886,[1]ListadoFichasDeProduccion!A:A,0),K886)),""))</f>
        <v/>
      </c>
      <c r="K886" s="11">
        <v>4</v>
      </c>
    </row>
    <row r="887" spans="1:11" hidden="1" x14ac:dyDescent="0.3">
      <c r="A887" s="11">
        <v>1734</v>
      </c>
      <c r="B887" s="8" t="str">
        <f>VLOOKUP(A887,[1]ListadoFichasDeProduccion!$A$2:$LP$3000,328,FALSE)</f>
        <v>COMPLETADO</v>
      </c>
      <c r="C887" s="11">
        <v>70</v>
      </c>
      <c r="D887" t="s">
        <v>33</v>
      </c>
      <c r="E887" t="s">
        <v>124</v>
      </c>
      <c r="G887" s="9">
        <v>45756</v>
      </c>
      <c r="H887" t="s">
        <v>24</v>
      </c>
      <c r="I887" s="11">
        <v>4</v>
      </c>
      <c r="J887" t="str">
        <f>IF(I887="","",IFERROR(IF(INDEX([1]ListadoFichasDeProduccion!LQ:MB,MATCH(A887,[1]ListadoFichasDeProduccion!A:A,0),K887)=0,"",INDEX([1]ListadoFichasDeProduccion!LQ:MB,MATCH(A887,[1]ListadoFichasDeProduccion!A:A,0),K887)),""))</f>
        <v/>
      </c>
      <c r="K887" s="11">
        <v>5</v>
      </c>
    </row>
    <row r="888" spans="1:11" hidden="1" x14ac:dyDescent="0.3">
      <c r="A888" s="11">
        <v>1734</v>
      </c>
      <c r="B888" s="8" t="str">
        <f>VLOOKUP(A888,[1]ListadoFichasDeProduccion!$A$2:$LP$3000,328,FALSE)</f>
        <v>COMPLETADO</v>
      </c>
      <c r="C888" s="11">
        <v>70</v>
      </c>
      <c r="D888" t="s">
        <v>33</v>
      </c>
      <c r="E888" t="s">
        <v>124</v>
      </c>
      <c r="G888" s="9">
        <v>45756</v>
      </c>
      <c r="H888" t="s">
        <v>149</v>
      </c>
      <c r="I888" s="11">
        <v>9</v>
      </c>
      <c r="J888" t="str">
        <f>IF(I888="","",IFERROR(IF(INDEX([1]ListadoFichasDeProduccion!LQ:MB,MATCH(A888,[1]ListadoFichasDeProduccion!A:A,0),K888)=0,"",INDEX([1]ListadoFichasDeProduccion!LQ:MB,MATCH(A888,[1]ListadoFichasDeProduccion!A:A,0),K888)),""))</f>
        <v/>
      </c>
      <c r="K888" s="11">
        <v>6</v>
      </c>
    </row>
    <row r="889" spans="1:11" hidden="1" x14ac:dyDescent="0.3">
      <c r="A889" s="11">
        <v>1734</v>
      </c>
      <c r="B889" s="8" t="str">
        <f>VLOOKUP(A889,[1]ListadoFichasDeProduccion!$A$2:$LP$3000,328,FALSE)</f>
        <v>COMPLETADO</v>
      </c>
      <c r="C889" s="11">
        <v>70</v>
      </c>
      <c r="D889" t="s">
        <v>33</v>
      </c>
      <c r="E889" t="s">
        <v>124</v>
      </c>
      <c r="G889" s="9">
        <v>45756</v>
      </c>
      <c r="H889" t="s">
        <v>150</v>
      </c>
      <c r="I889" s="11">
        <v>14</v>
      </c>
      <c r="J889" t="str">
        <f>IF(I889="","",IFERROR(IF(INDEX([1]ListadoFichasDeProduccion!LQ:MB,MATCH(A889,[1]ListadoFichasDeProduccion!A:A,0),K889)=0,"",INDEX([1]ListadoFichasDeProduccion!LQ:MB,MATCH(A889,[1]ListadoFichasDeProduccion!A:A,0),K889)),""))</f>
        <v/>
      </c>
      <c r="K889" s="11">
        <v>7</v>
      </c>
    </row>
    <row r="890" spans="1:11" hidden="1" x14ac:dyDescent="0.3">
      <c r="A890" s="11">
        <v>1734</v>
      </c>
      <c r="B890" s="8" t="str">
        <f>VLOOKUP(A890,[1]ListadoFichasDeProduccion!$A$2:$LP$3000,328,FALSE)</f>
        <v>COMPLETADO</v>
      </c>
      <c r="C890" s="11">
        <v>70</v>
      </c>
      <c r="D890" t="s">
        <v>33</v>
      </c>
      <c r="E890" t="s">
        <v>124</v>
      </c>
      <c r="G890" s="9">
        <v>45756</v>
      </c>
      <c r="H890" t="s">
        <v>151</v>
      </c>
      <c r="I890" s="11">
        <v>9</v>
      </c>
      <c r="J890" t="str">
        <f>IF(I890="","",IFERROR(IF(INDEX([1]ListadoFichasDeProduccion!LQ:MB,MATCH(A890,[1]ListadoFichasDeProduccion!A:A,0),K890)=0,"",INDEX([1]ListadoFichasDeProduccion!LQ:MB,MATCH(A890,[1]ListadoFichasDeProduccion!A:A,0),K890)),""))</f>
        <v/>
      </c>
      <c r="K890" s="11">
        <v>8</v>
      </c>
    </row>
    <row r="891" spans="1:11" hidden="1" x14ac:dyDescent="0.3">
      <c r="A891" s="11">
        <v>1734</v>
      </c>
      <c r="B891" s="8" t="str">
        <f>VLOOKUP(A891,[1]ListadoFichasDeProduccion!$A$2:$LP$3000,328,FALSE)</f>
        <v>COMPLETADO</v>
      </c>
      <c r="C891" s="11">
        <v>70</v>
      </c>
      <c r="D891" t="s">
        <v>33</v>
      </c>
      <c r="E891" t="s">
        <v>124</v>
      </c>
      <c r="G891" s="9">
        <v>45756</v>
      </c>
      <c r="H891" t="s">
        <v>81</v>
      </c>
      <c r="I891" s="11">
        <v>4</v>
      </c>
      <c r="J891" t="str">
        <f>IF(I891="","",IFERROR(IF(INDEX([1]ListadoFichasDeProduccion!LQ:MB,MATCH(A891,[1]ListadoFichasDeProduccion!A:A,0),K891)=0,"",INDEX([1]ListadoFichasDeProduccion!LQ:MB,MATCH(A891,[1]ListadoFichasDeProduccion!A:A,0),K891)),""))</f>
        <v/>
      </c>
      <c r="K891" s="11">
        <v>9</v>
      </c>
    </row>
    <row r="892" spans="1:11" hidden="1" x14ac:dyDescent="0.3">
      <c r="A892" s="11">
        <v>1786</v>
      </c>
      <c r="B892" s="8" t="str">
        <f>VLOOKUP(A892,[1]ListadoFichasDeProduccion!$A$2:$LP$3000,328,FALSE)</f>
        <v>COMPLETADO</v>
      </c>
      <c r="C892" s="11">
        <v>38</v>
      </c>
      <c r="D892" t="s">
        <v>33</v>
      </c>
      <c r="E892" t="s">
        <v>124</v>
      </c>
      <c r="G892" s="9">
        <v>45789</v>
      </c>
      <c r="H892" t="s">
        <v>64</v>
      </c>
      <c r="I892" s="11">
        <v>14</v>
      </c>
      <c r="J892" t="str">
        <f>IF(I892="","",IFERROR(IF(INDEX([1]ListadoFichasDeProduccion!LQ:MB,MATCH(A892,[1]ListadoFichasDeProduccion!A:A,0),K892)=0,"",INDEX([1]ListadoFichasDeProduccion!LQ:MB,MATCH(A892,[1]ListadoFichasDeProduccion!A:A,0),K892)),""))</f>
        <v/>
      </c>
      <c r="K892" s="11">
        <v>1</v>
      </c>
    </row>
    <row r="893" spans="1:11" hidden="1" x14ac:dyDescent="0.3">
      <c r="A893" s="11">
        <v>1786</v>
      </c>
      <c r="B893" s="8" t="str">
        <f>VLOOKUP(A893,[1]ListadoFichasDeProduccion!$A$2:$LP$3000,328,FALSE)</f>
        <v>COMPLETADO</v>
      </c>
      <c r="C893" s="11">
        <v>38</v>
      </c>
      <c r="D893" t="s">
        <v>33</v>
      </c>
      <c r="E893" t="s">
        <v>124</v>
      </c>
      <c r="G893" s="9">
        <v>45789</v>
      </c>
      <c r="H893" t="s">
        <v>22</v>
      </c>
      <c r="I893" s="11">
        <v>6</v>
      </c>
      <c r="J893" t="str">
        <f>IF(I893="","",IFERROR(IF(INDEX([1]ListadoFichasDeProduccion!LQ:MB,MATCH(A893,[1]ListadoFichasDeProduccion!A:A,0),K893)=0,"",INDEX([1]ListadoFichasDeProduccion!LQ:MB,MATCH(A893,[1]ListadoFichasDeProduccion!A:A,0),K893)),""))</f>
        <v/>
      </c>
      <c r="K893" s="11">
        <v>2</v>
      </c>
    </row>
    <row r="894" spans="1:11" hidden="1" x14ac:dyDescent="0.3">
      <c r="A894" s="11">
        <v>1786</v>
      </c>
      <c r="B894" s="8" t="str">
        <f>VLOOKUP(A894,[1]ListadoFichasDeProduccion!$A$2:$LP$3000,328,FALSE)</f>
        <v>COMPLETADO</v>
      </c>
      <c r="C894" s="11">
        <v>38</v>
      </c>
      <c r="D894" t="s">
        <v>33</v>
      </c>
      <c r="E894" t="s">
        <v>124</v>
      </c>
      <c r="G894" s="9">
        <v>45789</v>
      </c>
      <c r="H894" t="s">
        <v>40</v>
      </c>
      <c r="I894" s="11">
        <v>6</v>
      </c>
      <c r="J894" t="str">
        <f>IF(I894="","",IFERROR(IF(INDEX([1]ListadoFichasDeProduccion!LQ:MB,MATCH(A894,[1]ListadoFichasDeProduccion!A:A,0),K894)=0,"",INDEX([1]ListadoFichasDeProduccion!LQ:MB,MATCH(A894,[1]ListadoFichasDeProduccion!A:A,0),K894)),""))</f>
        <v/>
      </c>
      <c r="K894" s="11">
        <v>3</v>
      </c>
    </row>
    <row r="895" spans="1:11" hidden="1" x14ac:dyDescent="0.3">
      <c r="A895" s="11">
        <v>1786</v>
      </c>
      <c r="B895" s="8" t="str">
        <f>VLOOKUP(A895,[1]ListadoFichasDeProduccion!$A$2:$LP$3000,328,FALSE)</f>
        <v>COMPLETADO</v>
      </c>
      <c r="C895" s="11">
        <v>38</v>
      </c>
      <c r="D895" t="s">
        <v>33</v>
      </c>
      <c r="E895" t="s">
        <v>124</v>
      </c>
      <c r="G895" s="9">
        <v>45789</v>
      </c>
      <c r="H895" t="s">
        <v>35</v>
      </c>
      <c r="I895" s="11">
        <v>6</v>
      </c>
      <c r="J895" t="str">
        <f>IF(I895="","",IFERROR(IF(INDEX([1]ListadoFichasDeProduccion!LQ:MB,MATCH(A895,[1]ListadoFichasDeProduccion!A:A,0),K895)=0,"",INDEX([1]ListadoFichasDeProduccion!LQ:MB,MATCH(A895,[1]ListadoFichasDeProduccion!A:A,0),K895)),""))</f>
        <v/>
      </c>
      <c r="K895" s="11">
        <v>4</v>
      </c>
    </row>
    <row r="896" spans="1:11" hidden="1" x14ac:dyDescent="0.3">
      <c r="A896" s="11">
        <v>1786</v>
      </c>
      <c r="B896" s="8" t="str">
        <f>VLOOKUP(A896,[1]ListadoFichasDeProduccion!$A$2:$LP$3000,328,FALSE)</f>
        <v>COMPLETADO</v>
      </c>
      <c r="C896" s="11">
        <v>38</v>
      </c>
      <c r="D896" t="s">
        <v>33</v>
      </c>
      <c r="E896" t="s">
        <v>124</v>
      </c>
      <c r="G896" s="9">
        <v>45789</v>
      </c>
      <c r="H896" t="s">
        <v>50</v>
      </c>
      <c r="I896" s="11">
        <v>6</v>
      </c>
      <c r="J896" t="str">
        <f>IF(I896="","",IFERROR(IF(INDEX([1]ListadoFichasDeProduccion!LQ:MB,MATCH(A896,[1]ListadoFichasDeProduccion!A:A,0),K896)=0,"",INDEX([1]ListadoFichasDeProduccion!LQ:MB,MATCH(A896,[1]ListadoFichasDeProduccion!A:A,0),K896)),""))</f>
        <v/>
      </c>
      <c r="K896" s="11">
        <v>5</v>
      </c>
    </row>
    <row r="897" spans="1:11" hidden="1" x14ac:dyDescent="0.3">
      <c r="A897" s="11">
        <v>1863</v>
      </c>
      <c r="B897" s="8" t="str">
        <f>VLOOKUP(A897,[1]ListadoFichasDeProduccion!$A$2:$LP$3000,328,FALSE)</f>
        <v>COMPLETADO</v>
      </c>
      <c r="C897" s="11">
        <v>65</v>
      </c>
      <c r="D897" t="s">
        <v>33</v>
      </c>
      <c r="E897" t="s">
        <v>124</v>
      </c>
      <c r="G897" s="9">
        <v>45831</v>
      </c>
      <c r="H897" t="s">
        <v>40</v>
      </c>
      <c r="I897" s="11">
        <v>12</v>
      </c>
      <c r="J897" t="str">
        <f>IF(I897="","",IFERROR(IF(INDEX([1]ListadoFichasDeProduccion!LQ:MB,MATCH(A897,[1]ListadoFichasDeProduccion!A:A,0),K897)=0,"",INDEX([1]ListadoFichasDeProduccion!LQ:MB,MATCH(A897,[1]ListadoFichasDeProduccion!A:A,0),K897)),""))</f>
        <v/>
      </c>
      <c r="K897" s="11">
        <v>1</v>
      </c>
    </row>
    <row r="898" spans="1:11" hidden="1" x14ac:dyDescent="0.3">
      <c r="A898" s="11">
        <v>1863</v>
      </c>
      <c r="B898" s="8" t="str">
        <f>VLOOKUP(A898,[1]ListadoFichasDeProduccion!$A$2:$LP$3000,328,FALSE)</f>
        <v>COMPLETADO</v>
      </c>
      <c r="C898" s="11">
        <v>65</v>
      </c>
      <c r="D898" t="s">
        <v>33</v>
      </c>
      <c r="E898" t="s">
        <v>124</v>
      </c>
      <c r="G898" s="9">
        <v>45831</v>
      </c>
      <c r="H898" t="s">
        <v>22</v>
      </c>
      <c r="I898" s="11">
        <v>12</v>
      </c>
      <c r="J898" t="str">
        <f>IF(I898="","",IFERROR(IF(INDEX([1]ListadoFichasDeProduccion!LQ:MB,MATCH(A898,[1]ListadoFichasDeProduccion!A:A,0),K898)=0,"",INDEX([1]ListadoFichasDeProduccion!LQ:MB,MATCH(A898,[1]ListadoFichasDeProduccion!A:A,0),K898)),""))</f>
        <v/>
      </c>
      <c r="K898" s="11">
        <v>2</v>
      </c>
    </row>
    <row r="899" spans="1:11" hidden="1" x14ac:dyDescent="0.3">
      <c r="A899" s="11">
        <v>1863</v>
      </c>
      <c r="B899" s="8" t="str">
        <f>VLOOKUP(A899,[1]ListadoFichasDeProduccion!$A$2:$LP$3000,328,FALSE)</f>
        <v>COMPLETADO</v>
      </c>
      <c r="C899" s="11">
        <v>65</v>
      </c>
      <c r="D899" t="s">
        <v>33</v>
      </c>
      <c r="E899" t="s">
        <v>124</v>
      </c>
      <c r="G899" s="9">
        <v>45831</v>
      </c>
      <c r="H899" t="s">
        <v>24</v>
      </c>
      <c r="I899" s="11">
        <v>12</v>
      </c>
      <c r="J899" t="str">
        <f>IF(I899="","",IFERROR(IF(INDEX([1]ListadoFichasDeProduccion!LQ:MB,MATCH(A899,[1]ListadoFichasDeProduccion!A:A,0),K899)=0,"",INDEX([1]ListadoFichasDeProduccion!LQ:MB,MATCH(A899,[1]ListadoFichasDeProduccion!A:A,0),K899)),""))</f>
        <v/>
      </c>
      <c r="K899" s="11">
        <v>3</v>
      </c>
    </row>
    <row r="900" spans="1:11" hidden="1" x14ac:dyDescent="0.3">
      <c r="A900" s="11">
        <v>1863</v>
      </c>
      <c r="B900" s="8" t="str">
        <f>VLOOKUP(A900,[1]ListadoFichasDeProduccion!$A$2:$LP$3000,328,FALSE)</f>
        <v>COMPLETADO</v>
      </c>
      <c r="C900" s="11">
        <v>65</v>
      </c>
      <c r="D900" t="s">
        <v>33</v>
      </c>
      <c r="E900" t="s">
        <v>124</v>
      </c>
      <c r="G900" s="9">
        <v>45831</v>
      </c>
      <c r="H900" t="s">
        <v>50</v>
      </c>
      <c r="I900" s="11">
        <v>9</v>
      </c>
      <c r="J900" t="str">
        <f>IF(I900="","",IFERROR(IF(INDEX([1]ListadoFichasDeProduccion!LQ:MB,MATCH(A900,[1]ListadoFichasDeProduccion!A:A,0),K900)=0,"",INDEX([1]ListadoFichasDeProduccion!LQ:MB,MATCH(A900,[1]ListadoFichasDeProduccion!A:A,0),K900)),""))</f>
        <v/>
      </c>
      <c r="K900" s="11">
        <v>4</v>
      </c>
    </row>
    <row r="901" spans="1:11" hidden="1" x14ac:dyDescent="0.3">
      <c r="A901" s="11">
        <v>1863</v>
      </c>
      <c r="B901" s="8" t="str">
        <f>VLOOKUP(A901,[1]ListadoFichasDeProduccion!$A$2:$LP$3000,328,FALSE)</f>
        <v>COMPLETADO</v>
      </c>
      <c r="C901" s="11">
        <v>65</v>
      </c>
      <c r="D901" t="s">
        <v>33</v>
      </c>
      <c r="E901" t="s">
        <v>124</v>
      </c>
      <c r="G901" s="9">
        <v>45831</v>
      </c>
      <c r="H901" t="s">
        <v>31</v>
      </c>
      <c r="I901" s="11">
        <v>20</v>
      </c>
      <c r="J901" t="str">
        <f>IF(I901="","",IFERROR(IF(INDEX([1]ListadoFichasDeProduccion!LQ:MB,MATCH(A901,[1]ListadoFichasDeProduccion!A:A,0),K901)=0,"",INDEX([1]ListadoFichasDeProduccion!LQ:MB,MATCH(A901,[1]ListadoFichasDeProduccion!A:A,0),K901)),""))</f>
        <v/>
      </c>
      <c r="K901" s="11">
        <v>5</v>
      </c>
    </row>
    <row r="902" spans="1:11" hidden="1" x14ac:dyDescent="0.3">
      <c r="A902" s="11" t="s">
        <v>294</v>
      </c>
      <c r="B902" t="str">
        <f>VLOOKUP(A902,[1]ListadoFichasDeProduccion!$A$2:$LP$3000,328,FALSE)</f>
        <v>COMPLETADO</v>
      </c>
      <c r="C902" s="11">
        <v>28</v>
      </c>
      <c r="D902" t="s">
        <v>33</v>
      </c>
      <c r="E902" t="s">
        <v>124</v>
      </c>
      <c r="G902" s="9">
        <v>45911</v>
      </c>
      <c r="H902" t="s">
        <v>44</v>
      </c>
      <c r="I902" s="11">
        <v>4</v>
      </c>
      <c r="J902" t="str">
        <f>IF(I902="","",IFERROR(IF(INDEX([1]ListadoFichasDeProduccion!LQ:MB,MATCH(A902,[1]ListadoFichasDeProduccion!A:A,0),K902)=0,"",INDEX([1]ListadoFichasDeProduccion!LQ:MB,MATCH(A902,[1]ListadoFichasDeProduccion!A:A,0),K902)),""))</f>
        <v/>
      </c>
      <c r="K902" s="11">
        <v>1</v>
      </c>
    </row>
    <row r="903" spans="1:11" hidden="1" x14ac:dyDescent="0.3">
      <c r="A903" s="11" t="s">
        <v>294</v>
      </c>
      <c r="B903" t="str">
        <f>VLOOKUP(A903,[1]ListadoFichasDeProduccion!$A$2:$LP$3000,328,FALSE)</f>
        <v>COMPLETADO</v>
      </c>
      <c r="C903" s="11">
        <v>28</v>
      </c>
      <c r="D903" t="s">
        <v>33</v>
      </c>
      <c r="E903" t="s">
        <v>124</v>
      </c>
      <c r="G903" s="9">
        <v>45911</v>
      </c>
      <c r="H903" t="s">
        <v>50</v>
      </c>
      <c r="I903" s="11">
        <v>10</v>
      </c>
      <c r="J903" t="str">
        <f>IF(I903="","",IFERROR(IF(INDEX([1]ListadoFichasDeProduccion!LQ:MB,MATCH(A903,[1]ListadoFichasDeProduccion!A:A,0),K903)=0,"",INDEX([1]ListadoFichasDeProduccion!LQ:MB,MATCH(A903,[1]ListadoFichasDeProduccion!A:A,0),K903)),""))</f>
        <v/>
      </c>
      <c r="K903" s="11">
        <v>2</v>
      </c>
    </row>
    <row r="904" spans="1:11" hidden="1" x14ac:dyDescent="0.3">
      <c r="A904" s="11" t="s">
        <v>294</v>
      </c>
      <c r="B904" t="str">
        <f>VLOOKUP(A904,[1]ListadoFichasDeProduccion!$A$2:$LP$3000,328,FALSE)</f>
        <v>COMPLETADO</v>
      </c>
      <c r="C904" s="11">
        <v>28</v>
      </c>
      <c r="D904" t="s">
        <v>33</v>
      </c>
      <c r="E904" t="s">
        <v>124</v>
      </c>
      <c r="G904" s="9">
        <v>45911</v>
      </c>
      <c r="H904" t="s">
        <v>31</v>
      </c>
      <c r="I904" s="11">
        <v>14</v>
      </c>
      <c r="J904" t="str">
        <f>IF(I904="","",IFERROR(IF(INDEX([1]ListadoFichasDeProduccion!LQ:MB,MATCH(A904,[1]ListadoFichasDeProduccion!A:A,0),K904)=0,"",INDEX([1]ListadoFichasDeProduccion!LQ:MB,MATCH(A904,[1]ListadoFichasDeProduccion!A:A,0),K904)),""))</f>
        <v/>
      </c>
      <c r="K904" s="11">
        <v>3</v>
      </c>
    </row>
    <row r="905" spans="1:11" hidden="1" x14ac:dyDescent="0.3">
      <c r="A905" s="11" t="s">
        <v>470</v>
      </c>
      <c r="B905" t="str">
        <f>VLOOKUP(A905,[1]ListadoFichasDeProduccion!$A$2:$LP$3000,328,FALSE)</f>
        <v>COMPLETADO</v>
      </c>
      <c r="C905" s="11">
        <v>92</v>
      </c>
      <c r="D905" t="s">
        <v>33</v>
      </c>
      <c r="E905" t="s">
        <v>124</v>
      </c>
      <c r="G905" s="9">
        <v>45966</v>
      </c>
      <c r="H905" t="s">
        <v>50</v>
      </c>
      <c r="I905" s="11">
        <v>14</v>
      </c>
      <c r="J905" t="str">
        <f>IF(I905="","",IFERROR(IF(INDEX([1]ListadoFichasDeProduccion!LQ:MB,MATCH(A905,[1]ListadoFichasDeProduccion!A:A,0),K905)=0,"",INDEX([1]ListadoFichasDeProduccion!LQ:MB,MATCH(A905,[1]ListadoFichasDeProduccion!A:A,0),K905)),""))</f>
        <v/>
      </c>
      <c r="K905" s="11">
        <v>1</v>
      </c>
    </row>
    <row r="906" spans="1:11" hidden="1" x14ac:dyDescent="0.3">
      <c r="A906" s="11" t="s">
        <v>470</v>
      </c>
      <c r="B906" t="str">
        <f>VLOOKUP(A906,[1]ListadoFichasDeProduccion!$A$2:$LP$3000,328,FALSE)</f>
        <v>COMPLETADO</v>
      </c>
      <c r="C906" s="11">
        <v>92</v>
      </c>
      <c r="D906" t="s">
        <v>33</v>
      </c>
      <c r="E906" t="s">
        <v>124</v>
      </c>
      <c r="G906" s="9">
        <v>45966</v>
      </c>
      <c r="H906" t="s">
        <v>27</v>
      </c>
      <c r="I906" s="11">
        <v>12</v>
      </c>
      <c r="J906" t="str">
        <f>IF(I906="","",IFERROR(IF(INDEX([1]ListadoFichasDeProduccion!LQ:MB,MATCH(A906,[1]ListadoFichasDeProduccion!A:A,0),K906)=0,"",INDEX([1]ListadoFichasDeProduccion!LQ:MB,MATCH(A906,[1]ListadoFichasDeProduccion!A:A,0),K906)),""))</f>
        <v/>
      </c>
      <c r="K906" s="11">
        <v>2</v>
      </c>
    </row>
    <row r="907" spans="1:11" hidden="1" x14ac:dyDescent="0.3">
      <c r="A907" s="11" t="s">
        <v>470</v>
      </c>
      <c r="B907" t="str">
        <f>VLOOKUP(A907,[1]ListadoFichasDeProduccion!$A$2:$LP$3000,328,FALSE)</f>
        <v>COMPLETADO</v>
      </c>
      <c r="C907" s="11">
        <v>92</v>
      </c>
      <c r="D907" t="s">
        <v>33</v>
      </c>
      <c r="E907" t="s">
        <v>124</v>
      </c>
      <c r="G907" s="9">
        <v>45966</v>
      </c>
      <c r="H907" t="s">
        <v>44</v>
      </c>
      <c r="I907" s="11">
        <v>12</v>
      </c>
      <c r="J907" t="str">
        <f>IF(I907="","",IFERROR(IF(INDEX([1]ListadoFichasDeProduccion!LQ:MB,MATCH(A907,[1]ListadoFichasDeProduccion!A:A,0),K907)=0,"",INDEX([1]ListadoFichasDeProduccion!LQ:MB,MATCH(A907,[1]ListadoFichasDeProduccion!A:A,0),K907)),""))</f>
        <v/>
      </c>
      <c r="K907" s="11">
        <v>3</v>
      </c>
    </row>
    <row r="908" spans="1:11" hidden="1" x14ac:dyDescent="0.3">
      <c r="A908" s="11" t="s">
        <v>470</v>
      </c>
      <c r="B908" t="str">
        <f>VLOOKUP(A908,[1]ListadoFichasDeProduccion!$A$2:$LP$3000,328,FALSE)</f>
        <v>COMPLETADO</v>
      </c>
      <c r="C908" s="11">
        <v>92</v>
      </c>
      <c r="D908" t="s">
        <v>33</v>
      </c>
      <c r="E908" t="s">
        <v>124</v>
      </c>
      <c r="G908" s="9">
        <v>45966</v>
      </c>
      <c r="H908" t="s">
        <v>31</v>
      </c>
      <c r="I908" s="11">
        <v>20</v>
      </c>
      <c r="J908" t="str">
        <f>IF(I908="","",IFERROR(IF(INDEX([1]ListadoFichasDeProduccion!LQ:MB,MATCH(A908,[1]ListadoFichasDeProduccion!A:A,0),K908)=0,"",INDEX([1]ListadoFichasDeProduccion!LQ:MB,MATCH(A908,[1]ListadoFichasDeProduccion!A:A,0),K908)),""))</f>
        <v/>
      </c>
      <c r="K908" s="11">
        <v>4</v>
      </c>
    </row>
    <row r="909" spans="1:11" hidden="1" x14ac:dyDescent="0.3">
      <c r="A909" s="11" t="s">
        <v>470</v>
      </c>
      <c r="B909" t="str">
        <f>VLOOKUP(A909,[1]ListadoFichasDeProduccion!$A$2:$LP$3000,328,FALSE)</f>
        <v>COMPLETADO</v>
      </c>
      <c r="C909" s="11">
        <v>92</v>
      </c>
      <c r="D909" t="s">
        <v>33</v>
      </c>
      <c r="E909" t="s">
        <v>124</v>
      </c>
      <c r="G909" s="9">
        <v>45966</v>
      </c>
      <c r="H909" t="s">
        <v>40</v>
      </c>
      <c r="I909" s="11">
        <v>20</v>
      </c>
      <c r="J909" t="str">
        <f>IF(I909="","",IFERROR(IF(INDEX([1]ListadoFichasDeProduccion!LQ:MB,MATCH(A909,[1]ListadoFichasDeProduccion!A:A,0),K909)=0,"",INDEX([1]ListadoFichasDeProduccion!LQ:MB,MATCH(A909,[1]ListadoFichasDeProduccion!A:A,0),K909)),""))</f>
        <v/>
      </c>
      <c r="K909" s="11">
        <v>5</v>
      </c>
    </row>
    <row r="910" spans="1:11" hidden="1" x14ac:dyDescent="0.3">
      <c r="A910" s="11" t="s">
        <v>470</v>
      </c>
      <c r="B910" t="str">
        <f>VLOOKUP(A910,[1]ListadoFichasDeProduccion!$A$2:$LP$3000,328,FALSE)</f>
        <v>COMPLETADO</v>
      </c>
      <c r="C910" s="11">
        <v>92</v>
      </c>
      <c r="D910" t="s">
        <v>33</v>
      </c>
      <c r="E910" t="s">
        <v>124</v>
      </c>
      <c r="G910" s="9">
        <v>45966</v>
      </c>
      <c r="H910" t="s">
        <v>149</v>
      </c>
      <c r="I910" s="11">
        <v>14</v>
      </c>
      <c r="J910" t="str">
        <f>IF(I910="","",IFERROR(IF(INDEX([1]ListadoFichasDeProduccion!LQ:MB,MATCH(A910,[1]ListadoFichasDeProduccion!A:A,0),K910)=0,"",INDEX([1]ListadoFichasDeProduccion!LQ:MB,MATCH(A910,[1]ListadoFichasDeProduccion!A:A,0),K910)),""))</f>
        <v/>
      </c>
      <c r="K910" s="11">
        <v>6</v>
      </c>
    </row>
    <row r="911" spans="1:11" s="14" customFormat="1" x14ac:dyDescent="0.3">
      <c r="A911" s="13" t="s">
        <v>505</v>
      </c>
      <c r="B911" s="14" t="str">
        <f>VLOOKUP(A911,[1]ListadoFichasDeProduccion!$A$2:$LP$3000,328,FALSE)</f>
        <v>NO COMENZADO</v>
      </c>
      <c r="C911" s="13">
        <v>14</v>
      </c>
      <c r="D911" s="14" t="s">
        <v>33</v>
      </c>
      <c r="E911" s="14" t="s">
        <v>124</v>
      </c>
      <c r="F911"/>
      <c r="G911"/>
      <c r="H911" s="14" t="s">
        <v>35</v>
      </c>
      <c r="I911" s="13">
        <v>14</v>
      </c>
      <c r="J911" s="14" t="str">
        <f>IF(I911="","",IFERROR(IF(INDEX([1]ListadoFichasDeProduccion!LQ:MB,MATCH(A911,[1]ListadoFichasDeProduccion!A:A,0),K911)=0,"",INDEX([1]ListadoFichasDeProduccion!LQ:MB,MATCH(A911,[1]ListadoFichasDeProduccion!A:A,0),K911)),""))</f>
        <v/>
      </c>
      <c r="K911" s="13">
        <v>1</v>
      </c>
    </row>
    <row r="912" spans="1:11" hidden="1" x14ac:dyDescent="0.3">
      <c r="A912" s="11">
        <v>1638</v>
      </c>
      <c r="B912" s="8" t="str">
        <f>VLOOKUP(A912,[1]ListadoFichasDeProduccion!$A$2:$LP$3000,328,FALSE)</f>
        <v>COMPLETADO</v>
      </c>
      <c r="C912" s="11">
        <v>56</v>
      </c>
      <c r="D912" t="s">
        <v>33</v>
      </c>
      <c r="E912" t="s">
        <v>84</v>
      </c>
      <c r="F912" s="9"/>
      <c r="G912" s="9">
        <v>45714</v>
      </c>
      <c r="H912" t="s">
        <v>44</v>
      </c>
      <c r="I912" s="11">
        <v>12</v>
      </c>
      <c r="J912" t="str">
        <f>IF(I912="","",IFERROR(IF(INDEX([1]ListadoFichasDeProduccion!LQ:MB,MATCH(A912,[1]ListadoFichasDeProduccion!A:A,0),K912)=0,"",INDEX([1]ListadoFichasDeProduccion!LQ:MB,MATCH(A912,[1]ListadoFichasDeProduccion!A:A,0),K912)),""))</f>
        <v/>
      </c>
      <c r="K912" s="11">
        <v>1</v>
      </c>
    </row>
    <row r="913" spans="1:11" hidden="1" x14ac:dyDescent="0.3">
      <c r="A913" s="11">
        <v>1638</v>
      </c>
      <c r="B913" s="8" t="str">
        <f>VLOOKUP(A913,[1]ListadoFichasDeProduccion!$A$2:$LP$3000,328,FALSE)</f>
        <v>COMPLETADO</v>
      </c>
      <c r="C913" s="11">
        <v>56</v>
      </c>
      <c r="D913" t="s">
        <v>33</v>
      </c>
      <c r="E913" t="s">
        <v>84</v>
      </c>
      <c r="F913" s="9"/>
      <c r="G913" s="9">
        <v>45714</v>
      </c>
      <c r="H913" t="s">
        <v>27</v>
      </c>
      <c r="I913" s="11">
        <v>20</v>
      </c>
      <c r="J913" t="str">
        <f>IF(I913="","",IFERROR(IF(INDEX([1]ListadoFichasDeProduccion!LQ:MB,MATCH(A913,[1]ListadoFichasDeProduccion!A:A,0),K913)=0,"",INDEX([1]ListadoFichasDeProduccion!LQ:MB,MATCH(A913,[1]ListadoFichasDeProduccion!A:A,0),K913)),""))</f>
        <v/>
      </c>
      <c r="K913" s="11">
        <v>2</v>
      </c>
    </row>
    <row r="914" spans="1:11" hidden="1" x14ac:dyDescent="0.3">
      <c r="A914" s="11">
        <v>1638</v>
      </c>
      <c r="B914" s="8" t="str">
        <f>VLOOKUP(A914,[1]ListadoFichasDeProduccion!$A$2:$LP$3000,328,FALSE)</f>
        <v>COMPLETADO</v>
      </c>
      <c r="C914" s="11">
        <v>56</v>
      </c>
      <c r="D914" t="s">
        <v>33</v>
      </c>
      <c r="E914" t="s">
        <v>84</v>
      </c>
      <c r="F914" s="9"/>
      <c r="G914" s="9">
        <v>45714</v>
      </c>
      <c r="H914" t="s">
        <v>32</v>
      </c>
      <c r="I914" s="11">
        <v>24</v>
      </c>
      <c r="J914" t="str">
        <f>IF(I914="","",IFERROR(IF(INDEX([1]ListadoFichasDeProduccion!LQ:MB,MATCH(A914,[1]ListadoFichasDeProduccion!A:A,0),K914)=0,"",INDEX([1]ListadoFichasDeProduccion!LQ:MB,MATCH(A914,[1]ListadoFichasDeProduccion!A:A,0),K914)),""))</f>
        <v/>
      </c>
      <c r="K914" s="11">
        <v>3</v>
      </c>
    </row>
    <row r="915" spans="1:11" hidden="1" x14ac:dyDescent="0.3">
      <c r="A915" s="11">
        <v>1735</v>
      </c>
      <c r="B915" s="8" t="str">
        <f>VLOOKUP(A915,[1]ListadoFichasDeProduccion!$A$2:$LP$3000,328,FALSE)</f>
        <v>COMPLETADO</v>
      </c>
      <c r="C915" s="11">
        <v>12</v>
      </c>
      <c r="D915" t="s">
        <v>33</v>
      </c>
      <c r="E915" t="s">
        <v>84</v>
      </c>
      <c r="G915" s="9">
        <v>45755</v>
      </c>
      <c r="H915" t="s">
        <v>27</v>
      </c>
      <c r="I915" s="11">
        <v>12</v>
      </c>
      <c r="J915" t="str">
        <f>IF(I915="","",IFERROR(IF(INDEX([1]ListadoFichasDeProduccion!LQ:MB,MATCH(A915,[1]ListadoFichasDeProduccion!A:A,0),K915)=0,"",INDEX([1]ListadoFichasDeProduccion!LQ:MB,MATCH(A915,[1]ListadoFichasDeProduccion!A:A,0),K915)),""))</f>
        <v/>
      </c>
      <c r="K915" s="11">
        <v>1</v>
      </c>
    </row>
    <row r="916" spans="1:11" hidden="1" x14ac:dyDescent="0.3">
      <c r="A916" s="11">
        <v>1774</v>
      </c>
      <c r="B916" s="8" t="str">
        <f>VLOOKUP(A916,[1]ListadoFichasDeProduccion!$A$2:$LP$3000,328,FALSE)</f>
        <v>COMPLETADO</v>
      </c>
      <c r="C916" s="11">
        <v>30</v>
      </c>
      <c r="D916" t="s">
        <v>33</v>
      </c>
      <c r="E916" t="s">
        <v>84</v>
      </c>
      <c r="G916" s="9">
        <v>45779</v>
      </c>
      <c r="H916" t="s">
        <v>27</v>
      </c>
      <c r="I916" s="11">
        <v>14</v>
      </c>
      <c r="J916" t="str">
        <f>IF(I916="","",IFERROR(IF(INDEX([1]ListadoFichasDeProduccion!LQ:MB,MATCH(A916,[1]ListadoFichasDeProduccion!A:A,0),K916)=0,"",INDEX([1]ListadoFichasDeProduccion!LQ:MB,MATCH(A916,[1]ListadoFichasDeProduccion!A:A,0),K916)),""))</f>
        <v/>
      </c>
      <c r="K916" s="11">
        <v>1</v>
      </c>
    </row>
    <row r="917" spans="1:11" hidden="1" x14ac:dyDescent="0.3">
      <c r="A917" s="11">
        <v>1774</v>
      </c>
      <c r="B917" s="8" t="str">
        <f>VLOOKUP(A917,[1]ListadoFichasDeProduccion!$A$2:$LP$3000,328,FALSE)</f>
        <v>COMPLETADO</v>
      </c>
      <c r="C917" s="11">
        <v>30</v>
      </c>
      <c r="D917" t="s">
        <v>33</v>
      </c>
      <c r="E917" t="s">
        <v>84</v>
      </c>
      <c r="G917" s="9">
        <v>45779</v>
      </c>
      <c r="H917" t="s">
        <v>51</v>
      </c>
      <c r="I917" s="11">
        <v>4</v>
      </c>
      <c r="J917" t="str">
        <f>IF(I917="","",IFERROR(IF(INDEX([1]ListadoFichasDeProduccion!LQ:MB,MATCH(A917,[1]ListadoFichasDeProduccion!A:A,0),K917)=0,"",INDEX([1]ListadoFichasDeProduccion!LQ:MB,MATCH(A917,[1]ListadoFichasDeProduccion!A:A,0),K917)),""))</f>
        <v/>
      </c>
      <c r="K917" s="11">
        <v>2</v>
      </c>
    </row>
    <row r="918" spans="1:11" hidden="1" x14ac:dyDescent="0.3">
      <c r="A918" s="11">
        <v>1774</v>
      </c>
      <c r="B918" s="8" t="str">
        <f>VLOOKUP(A918,[1]ListadoFichasDeProduccion!$A$2:$LP$3000,328,FALSE)</f>
        <v>COMPLETADO</v>
      </c>
      <c r="C918" s="11">
        <v>30</v>
      </c>
      <c r="D918" t="s">
        <v>33</v>
      </c>
      <c r="E918" t="s">
        <v>84</v>
      </c>
      <c r="G918" s="9">
        <v>45779</v>
      </c>
      <c r="H918" t="s">
        <v>44</v>
      </c>
      <c r="I918" s="11">
        <v>12</v>
      </c>
      <c r="J918" t="str">
        <f>IF(I918="","",IFERROR(IF(INDEX([1]ListadoFichasDeProduccion!LQ:MB,MATCH(A918,[1]ListadoFichasDeProduccion!A:A,0),K918)=0,"",INDEX([1]ListadoFichasDeProduccion!LQ:MB,MATCH(A918,[1]ListadoFichasDeProduccion!A:A,0),K918)),""))</f>
        <v/>
      </c>
      <c r="K918" s="11">
        <v>3</v>
      </c>
    </row>
    <row r="919" spans="1:11" hidden="1" x14ac:dyDescent="0.3">
      <c r="A919" s="11">
        <v>1815</v>
      </c>
      <c r="B919" s="8" t="str">
        <f>VLOOKUP(A919,[1]ListadoFichasDeProduccion!$A$2:$LP$3000,328,FALSE)</f>
        <v>COMPLETADO</v>
      </c>
      <c r="C919" s="11">
        <v>36</v>
      </c>
      <c r="D919" t="s">
        <v>33</v>
      </c>
      <c r="E919" t="s">
        <v>84</v>
      </c>
      <c r="G919" s="9">
        <v>45805</v>
      </c>
      <c r="H919" t="s">
        <v>44</v>
      </c>
      <c r="I919" s="11">
        <v>10</v>
      </c>
      <c r="J919" t="str">
        <f>IF(I919="","",IFERROR(IF(INDEX([1]ListadoFichasDeProduccion!LQ:MB,MATCH(A919,[1]ListadoFichasDeProduccion!A:A,0),K919)=0,"",INDEX([1]ListadoFichasDeProduccion!LQ:MB,MATCH(A919,[1]ListadoFichasDeProduccion!A:A,0),K919)),""))</f>
        <v/>
      </c>
      <c r="K919" s="11">
        <v>1</v>
      </c>
    </row>
    <row r="920" spans="1:11" hidden="1" x14ac:dyDescent="0.3">
      <c r="A920" s="11">
        <v>1815</v>
      </c>
      <c r="B920" s="8" t="str">
        <f>VLOOKUP(A920,[1]ListadoFichasDeProduccion!$A$2:$LP$3000,328,FALSE)</f>
        <v>COMPLETADO</v>
      </c>
      <c r="C920" s="11">
        <v>36</v>
      </c>
      <c r="D920" t="s">
        <v>33</v>
      </c>
      <c r="E920" t="s">
        <v>84</v>
      </c>
      <c r="G920" s="9">
        <v>45805</v>
      </c>
      <c r="H920" t="s">
        <v>51</v>
      </c>
      <c r="I920" s="11">
        <v>8</v>
      </c>
      <c r="J920" t="str">
        <f>IF(I920="","",IFERROR(IF(INDEX([1]ListadoFichasDeProduccion!LQ:MB,MATCH(A920,[1]ListadoFichasDeProduccion!A:A,0),K920)=0,"",INDEX([1]ListadoFichasDeProduccion!LQ:MB,MATCH(A920,[1]ListadoFichasDeProduccion!A:A,0),K920)),""))</f>
        <v/>
      </c>
      <c r="K920" s="11">
        <v>2</v>
      </c>
    </row>
    <row r="921" spans="1:11" hidden="1" x14ac:dyDescent="0.3">
      <c r="A921" s="11">
        <v>1815</v>
      </c>
      <c r="B921" s="8" t="str">
        <f>VLOOKUP(A921,[1]ListadoFichasDeProduccion!$A$2:$LP$3000,328,FALSE)</f>
        <v>COMPLETADO</v>
      </c>
      <c r="C921" s="11">
        <v>36</v>
      </c>
      <c r="D921" t="s">
        <v>33</v>
      </c>
      <c r="E921" t="s">
        <v>84</v>
      </c>
      <c r="G921" s="9">
        <v>45805</v>
      </c>
      <c r="H921" t="s">
        <v>31</v>
      </c>
      <c r="I921" s="11">
        <v>6</v>
      </c>
      <c r="J921" t="str">
        <f>IF(I921="","",IFERROR(IF(INDEX([1]ListadoFichasDeProduccion!LQ:MB,MATCH(A921,[1]ListadoFichasDeProduccion!A:A,0),K921)=0,"",INDEX([1]ListadoFichasDeProduccion!LQ:MB,MATCH(A921,[1]ListadoFichasDeProduccion!A:A,0),K921)),""))</f>
        <v/>
      </c>
      <c r="K921" s="11">
        <v>3</v>
      </c>
    </row>
    <row r="922" spans="1:11" hidden="1" x14ac:dyDescent="0.3">
      <c r="A922" s="11">
        <v>1815</v>
      </c>
      <c r="B922" s="8" t="str">
        <f>VLOOKUP(A922,[1]ListadoFichasDeProduccion!$A$2:$LP$3000,328,FALSE)</f>
        <v>COMPLETADO</v>
      </c>
      <c r="C922" s="11">
        <v>36</v>
      </c>
      <c r="D922" t="s">
        <v>33</v>
      </c>
      <c r="E922" t="s">
        <v>84</v>
      </c>
      <c r="G922" s="9">
        <v>45805</v>
      </c>
      <c r="H922" t="s">
        <v>138</v>
      </c>
      <c r="I922" s="11">
        <v>12</v>
      </c>
      <c r="J922" t="str">
        <f>IF(I922="","",IFERROR(IF(INDEX([1]ListadoFichasDeProduccion!LQ:MB,MATCH(A922,[1]ListadoFichasDeProduccion!A:A,0),K922)=0,"",INDEX([1]ListadoFichasDeProduccion!LQ:MB,MATCH(A922,[1]ListadoFichasDeProduccion!A:A,0),K922)),""))</f>
        <v/>
      </c>
      <c r="K922" s="11">
        <v>4</v>
      </c>
    </row>
    <row r="923" spans="1:11" hidden="1" x14ac:dyDescent="0.3">
      <c r="A923" s="11">
        <v>1894</v>
      </c>
      <c r="B923" s="8" t="str">
        <f>VLOOKUP(A923,[1]ListadoFichasDeProduccion!$A$2:$LP$3000,328,FALSE)</f>
        <v>COMPLETADO</v>
      </c>
      <c r="C923" s="11">
        <v>20</v>
      </c>
      <c r="D923" t="s">
        <v>33</v>
      </c>
      <c r="E923" t="s">
        <v>84</v>
      </c>
      <c r="G923" s="9">
        <v>45848</v>
      </c>
      <c r="H923" t="s">
        <v>44</v>
      </c>
      <c r="I923" s="11">
        <v>10</v>
      </c>
      <c r="J923" t="str">
        <f>IF(I923="","",IFERROR(IF(INDEX([1]ListadoFichasDeProduccion!LQ:MB,MATCH(A923,[1]ListadoFichasDeProduccion!A:A,0),K923)=0,"",INDEX([1]ListadoFichasDeProduccion!LQ:MB,MATCH(A923,[1]ListadoFichasDeProduccion!A:A,0),K923)),""))</f>
        <v/>
      </c>
      <c r="K923" s="11">
        <v>1</v>
      </c>
    </row>
    <row r="924" spans="1:11" hidden="1" x14ac:dyDescent="0.3">
      <c r="A924" s="11">
        <v>1894</v>
      </c>
      <c r="B924" s="8" t="str">
        <f>VLOOKUP(A924,[1]ListadoFichasDeProduccion!$A$2:$LP$3000,328,FALSE)</f>
        <v>COMPLETADO</v>
      </c>
      <c r="C924" s="11">
        <v>20</v>
      </c>
      <c r="D924" t="s">
        <v>33</v>
      </c>
      <c r="E924" t="s">
        <v>84</v>
      </c>
      <c r="G924" s="9">
        <v>45848</v>
      </c>
      <c r="H924" t="s">
        <v>31</v>
      </c>
      <c r="I924" s="11">
        <v>10</v>
      </c>
      <c r="J924" t="str">
        <f>IF(I924="","",IFERROR(IF(INDEX([1]ListadoFichasDeProduccion!LQ:MB,MATCH(A924,[1]ListadoFichasDeProduccion!A:A,0),K924)=0,"",INDEX([1]ListadoFichasDeProduccion!LQ:MB,MATCH(A924,[1]ListadoFichasDeProduccion!A:A,0),K924)),""))</f>
        <v/>
      </c>
      <c r="K924" s="11">
        <v>2</v>
      </c>
    </row>
    <row r="925" spans="1:11" x14ac:dyDescent="0.3">
      <c r="A925" s="11">
        <v>18942</v>
      </c>
      <c r="B925" s="8" t="str">
        <f>VLOOKUP(A925,[1]ListadoFichasDeProduccion!$A$2:$LP$3000,328,FALSE)</f>
        <v>EN PRODUCCION</v>
      </c>
      <c r="C925" s="11">
        <v>14</v>
      </c>
      <c r="D925" t="s">
        <v>33</v>
      </c>
      <c r="E925" t="s">
        <v>84</v>
      </c>
      <c r="G925" s="9">
        <v>45855</v>
      </c>
      <c r="H925" t="s">
        <v>138</v>
      </c>
      <c r="I925" s="11">
        <v>14</v>
      </c>
      <c r="J925" t="str">
        <f>IF(I925="","",IFERROR(IF(INDEX([1]ListadoFichasDeProduccion!LQ:MB,MATCH(A925,[1]ListadoFichasDeProduccion!A:A,0),K925)=0,"",INDEX([1]ListadoFichasDeProduccion!LQ:MB,MATCH(A925,[1]ListadoFichasDeProduccion!A:A,0),K925)),""))</f>
        <v/>
      </c>
      <c r="K925" s="11">
        <v>1</v>
      </c>
    </row>
    <row r="926" spans="1:11" hidden="1" x14ac:dyDescent="0.3">
      <c r="A926" s="11">
        <v>1927</v>
      </c>
      <c r="B926" t="str">
        <f>VLOOKUP(A926,[1]ListadoFichasDeProduccion!$A$2:$LP$3000,328,FALSE)</f>
        <v>COMPLETADO</v>
      </c>
      <c r="C926" s="11">
        <v>20</v>
      </c>
      <c r="D926" t="s">
        <v>33</v>
      </c>
      <c r="E926" t="s">
        <v>84</v>
      </c>
      <c r="G926" s="9">
        <v>45877</v>
      </c>
      <c r="J926" t="str">
        <f>IF(I926="","",IFERROR(IF(INDEX([1]ListadoFichasDeProduccion!LQ:MB,MATCH(A926,[1]ListadoFichasDeProduccion!A:A,0),K926)=0,"",INDEX([1]ListadoFichasDeProduccion!LQ:MB,MATCH(A926,[1]ListadoFichasDeProduccion!A:A,0),K926)),""))</f>
        <v/>
      </c>
    </row>
    <row r="927" spans="1:11" x14ac:dyDescent="0.3">
      <c r="A927" s="11">
        <v>1949</v>
      </c>
      <c r="B927" t="str">
        <f>VLOOKUP(A927,[1]ListadoFichasDeProduccion!$A$2:$LP$3000,328,FALSE)</f>
        <v>NO COMENZADO</v>
      </c>
      <c r="C927" s="11">
        <v>10</v>
      </c>
      <c r="D927" t="s">
        <v>33</v>
      </c>
      <c r="E927" t="s">
        <v>84</v>
      </c>
      <c r="H927" t="s">
        <v>26</v>
      </c>
      <c r="I927" s="11">
        <v>10</v>
      </c>
      <c r="J927" t="str">
        <f>IF(I927="","",IFERROR(IF(INDEX([1]ListadoFichasDeProduccion!LQ:MB,MATCH(A927,[1]ListadoFichasDeProduccion!A:A,0),K927)=0,"",INDEX([1]ListadoFichasDeProduccion!LQ:MB,MATCH(A927,[1]ListadoFichasDeProduccion!A:A,0),K927)),""))</f>
        <v/>
      </c>
      <c r="K927" s="11">
        <v>1</v>
      </c>
    </row>
    <row r="928" spans="1:11" hidden="1" x14ac:dyDescent="0.3">
      <c r="A928" s="11" t="s">
        <v>311</v>
      </c>
      <c r="B928" t="str">
        <f>VLOOKUP(A928,[1]ListadoFichasDeProduccion!$A$2:$LP$3000,328,FALSE)</f>
        <v>COMPLETADO</v>
      </c>
      <c r="C928" s="11">
        <v>66</v>
      </c>
      <c r="D928" t="s">
        <v>33</v>
      </c>
      <c r="E928" t="s">
        <v>84</v>
      </c>
      <c r="G928" s="9">
        <v>45916</v>
      </c>
      <c r="H928" t="s">
        <v>50</v>
      </c>
      <c r="I928" s="11">
        <v>14</v>
      </c>
      <c r="J928" t="str">
        <f>IF(I928="","",IFERROR(IF(INDEX([1]ListadoFichasDeProduccion!LQ:MB,MATCH(A928,[1]ListadoFichasDeProduccion!A:A,0),K928)=0,"",INDEX([1]ListadoFichasDeProduccion!LQ:MB,MATCH(A928,[1]ListadoFichasDeProduccion!A:A,0),K928)),""))</f>
        <v/>
      </c>
      <c r="K928" s="11">
        <v>1</v>
      </c>
    </row>
    <row r="929" spans="1:11" hidden="1" x14ac:dyDescent="0.3">
      <c r="A929" s="11" t="s">
        <v>311</v>
      </c>
      <c r="B929" t="str">
        <f>VLOOKUP(A929,[1]ListadoFichasDeProduccion!$A$2:$LP$3000,328,FALSE)</f>
        <v>COMPLETADO</v>
      </c>
      <c r="C929" s="11">
        <v>66</v>
      </c>
      <c r="D929" t="s">
        <v>33</v>
      </c>
      <c r="E929" t="s">
        <v>84</v>
      </c>
      <c r="G929" s="9">
        <v>45916</v>
      </c>
      <c r="H929" t="s">
        <v>27</v>
      </c>
      <c r="I929" s="11">
        <v>24</v>
      </c>
      <c r="J929" t="str">
        <f>IF(I929="","",IFERROR(IF(INDEX([1]ListadoFichasDeProduccion!LQ:MB,MATCH(A929,[1]ListadoFichasDeProduccion!A:A,0),K929)=0,"",INDEX([1]ListadoFichasDeProduccion!LQ:MB,MATCH(A929,[1]ListadoFichasDeProduccion!A:A,0),K929)),""))</f>
        <v/>
      </c>
      <c r="K929" s="11">
        <v>2</v>
      </c>
    </row>
    <row r="930" spans="1:11" hidden="1" x14ac:dyDescent="0.3">
      <c r="A930" s="11" t="s">
        <v>311</v>
      </c>
      <c r="B930" t="str">
        <f>VLOOKUP(A930,[1]ListadoFichasDeProduccion!$A$2:$LP$3000,328,FALSE)</f>
        <v>COMPLETADO</v>
      </c>
      <c r="C930" s="11">
        <v>66</v>
      </c>
      <c r="D930" t="s">
        <v>33</v>
      </c>
      <c r="E930" t="s">
        <v>84</v>
      </c>
      <c r="G930" s="9">
        <v>45916</v>
      </c>
      <c r="H930" t="s">
        <v>51</v>
      </c>
      <c r="I930" s="11">
        <v>14</v>
      </c>
      <c r="J930" t="str">
        <f>IF(I930="","",IFERROR(IF(INDEX([1]ListadoFichasDeProduccion!LQ:MB,MATCH(A930,[1]ListadoFichasDeProduccion!A:A,0),K930)=0,"",INDEX([1]ListadoFichasDeProduccion!LQ:MB,MATCH(A930,[1]ListadoFichasDeProduccion!A:A,0),K930)),""))</f>
        <v/>
      </c>
      <c r="K930" s="11">
        <v>3</v>
      </c>
    </row>
    <row r="931" spans="1:11" hidden="1" x14ac:dyDescent="0.3">
      <c r="A931" s="11" t="s">
        <v>311</v>
      </c>
      <c r="B931" t="str">
        <f>VLOOKUP(A931,[1]ListadoFichasDeProduccion!$A$2:$LP$3000,328,FALSE)</f>
        <v>COMPLETADO</v>
      </c>
      <c r="C931" s="11">
        <v>66</v>
      </c>
      <c r="D931" t="s">
        <v>33</v>
      </c>
      <c r="E931" t="s">
        <v>84</v>
      </c>
      <c r="G931" s="9">
        <v>45916</v>
      </c>
      <c r="H931" t="s">
        <v>31</v>
      </c>
      <c r="I931" s="11">
        <v>14</v>
      </c>
      <c r="J931" t="str">
        <f>IF(I931="","",IFERROR(IF(INDEX([1]ListadoFichasDeProduccion!LQ:MB,MATCH(A931,[1]ListadoFichasDeProduccion!A:A,0),K931)=0,"",INDEX([1]ListadoFichasDeProduccion!LQ:MB,MATCH(A931,[1]ListadoFichasDeProduccion!A:A,0),K931)),""))</f>
        <v/>
      </c>
      <c r="K931" s="11">
        <v>4</v>
      </c>
    </row>
    <row r="932" spans="1:11" hidden="1" x14ac:dyDescent="0.3">
      <c r="A932" s="11" t="s">
        <v>450</v>
      </c>
      <c r="B932" t="str">
        <f>VLOOKUP(A932,[1]ListadoFichasDeProduccion!$A$2:$LP$3000,328,FALSE)</f>
        <v>COMPLETADO</v>
      </c>
      <c r="C932" s="11">
        <v>104</v>
      </c>
      <c r="D932" t="s">
        <v>33</v>
      </c>
      <c r="E932" t="s">
        <v>84</v>
      </c>
      <c r="G932" s="9">
        <v>45967</v>
      </c>
      <c r="H932" t="s">
        <v>44</v>
      </c>
      <c r="I932" s="11">
        <v>24</v>
      </c>
      <c r="J932" t="str">
        <f>IF(I932="","",IFERROR(IF(INDEX([1]ListadoFichasDeProduccion!LQ:MB,MATCH(A932,[1]ListadoFichasDeProduccion!A:A,0),K932)=0,"",INDEX([1]ListadoFichasDeProduccion!LQ:MB,MATCH(A932,[1]ListadoFichasDeProduccion!A:A,0),K932)),""))</f>
        <v/>
      </c>
      <c r="K932" s="11">
        <v>1</v>
      </c>
    </row>
    <row r="933" spans="1:11" hidden="1" x14ac:dyDescent="0.3">
      <c r="A933" s="11" t="s">
        <v>450</v>
      </c>
      <c r="B933" t="str">
        <f>VLOOKUP(A933,[1]ListadoFichasDeProduccion!$A$2:$LP$3000,328,FALSE)</f>
        <v>COMPLETADO</v>
      </c>
      <c r="C933" s="11">
        <v>104</v>
      </c>
      <c r="D933" t="s">
        <v>33</v>
      </c>
      <c r="E933" t="s">
        <v>84</v>
      </c>
      <c r="G933" s="9">
        <v>45967</v>
      </c>
      <c r="H933" t="s">
        <v>137</v>
      </c>
      <c r="I933" s="11">
        <v>30</v>
      </c>
      <c r="J933" t="str">
        <f>IF(I933="","",IFERROR(IF(INDEX([1]ListadoFichasDeProduccion!LQ:MB,MATCH(A933,[1]ListadoFichasDeProduccion!A:A,0),K933)=0,"",INDEX([1]ListadoFichasDeProduccion!LQ:MB,MATCH(A933,[1]ListadoFichasDeProduccion!A:A,0),K933)),""))</f>
        <v/>
      </c>
      <c r="K933" s="11">
        <v>2</v>
      </c>
    </row>
    <row r="934" spans="1:11" hidden="1" x14ac:dyDescent="0.3">
      <c r="A934" s="11" t="s">
        <v>450</v>
      </c>
      <c r="B934" t="str">
        <f>VLOOKUP(A934,[1]ListadoFichasDeProduccion!$A$2:$LP$3000,328,FALSE)</f>
        <v>COMPLETADO</v>
      </c>
      <c r="C934" s="11">
        <v>104</v>
      </c>
      <c r="D934" t="s">
        <v>33</v>
      </c>
      <c r="E934" t="s">
        <v>84</v>
      </c>
      <c r="G934" s="9">
        <v>45967</v>
      </c>
      <c r="H934" t="s">
        <v>138</v>
      </c>
      <c r="I934" s="11">
        <v>30</v>
      </c>
      <c r="J934" t="str">
        <f>IF(I934="","",IFERROR(IF(INDEX([1]ListadoFichasDeProduccion!LQ:MB,MATCH(A934,[1]ListadoFichasDeProduccion!A:A,0),K934)=0,"",INDEX([1]ListadoFichasDeProduccion!LQ:MB,MATCH(A934,[1]ListadoFichasDeProduccion!A:A,0),K934)),""))</f>
        <v/>
      </c>
      <c r="K934" s="11">
        <v>3</v>
      </c>
    </row>
    <row r="935" spans="1:11" hidden="1" x14ac:dyDescent="0.3">
      <c r="A935" s="11" t="s">
        <v>450</v>
      </c>
      <c r="B935" t="str">
        <f>VLOOKUP(A935,[1]ListadoFichasDeProduccion!$A$2:$LP$3000,328,FALSE)</f>
        <v>COMPLETADO</v>
      </c>
      <c r="C935" s="11">
        <v>104</v>
      </c>
      <c r="D935" t="s">
        <v>33</v>
      </c>
      <c r="E935" t="s">
        <v>84</v>
      </c>
      <c r="G935" s="9">
        <v>45967</v>
      </c>
      <c r="H935" t="s">
        <v>51</v>
      </c>
      <c r="I935" s="11">
        <v>20</v>
      </c>
      <c r="J935" t="str">
        <f>IF(I935="","",IFERROR(IF(INDEX([1]ListadoFichasDeProduccion!LQ:MB,MATCH(A935,[1]ListadoFichasDeProduccion!A:A,0),K935)=0,"",INDEX([1]ListadoFichasDeProduccion!LQ:MB,MATCH(A935,[1]ListadoFichasDeProduccion!A:A,0),K935)),""))</f>
        <v/>
      </c>
      <c r="K935" s="11">
        <v>4</v>
      </c>
    </row>
    <row r="936" spans="1:11" x14ac:dyDescent="0.3">
      <c r="A936" s="11" t="s">
        <v>506</v>
      </c>
      <c r="B936" t="str">
        <f>VLOOKUP(A936,[1]ListadoFichasDeProduccion!$A$2:$LP$3000,328,FALSE)</f>
        <v>NO COMENZADO</v>
      </c>
      <c r="C936" s="11">
        <v>60</v>
      </c>
      <c r="D936" t="s">
        <v>33</v>
      </c>
      <c r="E936" t="s">
        <v>84</v>
      </c>
      <c r="H936" t="s">
        <v>50</v>
      </c>
      <c r="I936" s="11">
        <v>20</v>
      </c>
      <c r="J936" t="str">
        <f>IF(I936="","",IFERROR(IF(INDEX([1]ListadoFichasDeProduccion!LQ:MB,MATCH(A936,[1]ListadoFichasDeProduccion!A:A,0),K936)=0,"",INDEX([1]ListadoFichasDeProduccion!LQ:MB,MATCH(A936,[1]ListadoFichasDeProduccion!A:A,0),K936)),""))</f>
        <v/>
      </c>
      <c r="K936" s="11">
        <v>1</v>
      </c>
    </row>
    <row r="937" spans="1:11" x14ac:dyDescent="0.3">
      <c r="A937" s="11" t="s">
        <v>506</v>
      </c>
      <c r="B937" t="str">
        <f>VLOOKUP(A937,[1]ListadoFichasDeProduccion!$A$2:$LP$3000,328,FALSE)</f>
        <v>NO COMENZADO</v>
      </c>
      <c r="C937" s="11">
        <v>60</v>
      </c>
      <c r="D937" t="s">
        <v>33</v>
      </c>
      <c r="E937" t="s">
        <v>84</v>
      </c>
      <c r="H937" t="s">
        <v>31</v>
      </c>
      <c r="I937" s="11">
        <v>20</v>
      </c>
      <c r="J937" t="str">
        <f>IF(I937="","",IFERROR(IF(INDEX([1]ListadoFichasDeProduccion!LQ:MB,MATCH(A937,[1]ListadoFichasDeProduccion!A:A,0),K937)=0,"",INDEX([1]ListadoFichasDeProduccion!LQ:MB,MATCH(A937,[1]ListadoFichasDeProduccion!A:A,0),K937)),""))</f>
        <v/>
      </c>
      <c r="K937" s="11">
        <v>2</v>
      </c>
    </row>
    <row r="938" spans="1:11" x14ac:dyDescent="0.3">
      <c r="A938" s="11" t="s">
        <v>506</v>
      </c>
      <c r="B938" t="str">
        <f>VLOOKUP(A938,[1]ListadoFichasDeProduccion!$A$2:$LP$3000,328,FALSE)</f>
        <v>NO COMENZADO</v>
      </c>
      <c r="C938" s="11">
        <v>60</v>
      </c>
      <c r="D938" t="s">
        <v>33</v>
      </c>
      <c r="E938" t="s">
        <v>84</v>
      </c>
      <c r="H938" t="s">
        <v>27</v>
      </c>
      <c r="I938" s="11">
        <v>20</v>
      </c>
      <c r="J938" t="str">
        <f>IF(I938="","",IFERROR(IF(INDEX([1]ListadoFichasDeProduccion!LQ:MB,MATCH(A938,[1]ListadoFichasDeProduccion!A:A,0),K938)=0,"",INDEX([1]ListadoFichasDeProduccion!LQ:MB,MATCH(A938,[1]ListadoFichasDeProduccion!A:A,0),K938)),""))</f>
        <v/>
      </c>
      <c r="K938" s="11">
        <v>3</v>
      </c>
    </row>
    <row r="939" spans="1:11" hidden="1" x14ac:dyDescent="0.3">
      <c r="A939" s="11" t="s">
        <v>514</v>
      </c>
      <c r="B939" t="str">
        <f>VLOOKUP(A939,[1]ListadoFichasDeProduccion!$A$2:$LP$3000,328,FALSE)</f>
        <v>COMPLETADO</v>
      </c>
      <c r="C939" s="11">
        <v>24</v>
      </c>
      <c r="D939" t="s">
        <v>33</v>
      </c>
      <c r="E939" t="s">
        <v>84</v>
      </c>
      <c r="G939" s="9">
        <v>45961</v>
      </c>
      <c r="H939" t="s">
        <v>64</v>
      </c>
      <c r="I939" s="11">
        <v>24</v>
      </c>
      <c r="J939" t="str">
        <f>IF(I939="","",IFERROR(IF(INDEX([1]ListadoFichasDeProduccion!LQ:MB,MATCH(A939,[1]ListadoFichasDeProduccion!A:A,0),K939)=0,"",INDEX([1]ListadoFichasDeProduccion!LQ:MB,MATCH(A939,[1]ListadoFichasDeProduccion!A:A,0),K939)),""))</f>
        <v/>
      </c>
      <c r="K939" s="11">
        <v>1</v>
      </c>
    </row>
    <row r="940" spans="1:11" hidden="1" x14ac:dyDescent="0.3">
      <c r="A940" s="11">
        <v>1775</v>
      </c>
      <c r="B940" s="8" t="str">
        <f>VLOOKUP(A940,[1]ListadoFichasDeProduccion!$A$2:$LP$3000,328,FALSE)</f>
        <v>COMPLETADO</v>
      </c>
      <c r="C940" s="11">
        <v>16</v>
      </c>
      <c r="D940" t="s">
        <v>33</v>
      </c>
      <c r="E940" t="s">
        <v>177</v>
      </c>
      <c r="G940" s="9">
        <v>45852</v>
      </c>
      <c r="H940" t="s">
        <v>143</v>
      </c>
      <c r="I940" s="11">
        <v>8</v>
      </c>
      <c r="J940" t="str">
        <f>IF(I940="","",IFERROR(IF(INDEX([1]ListadoFichasDeProduccion!LQ:MB,MATCH(A940,[1]ListadoFichasDeProduccion!A:A,0),K940)=0,"",INDEX([1]ListadoFichasDeProduccion!LQ:MB,MATCH(A940,[1]ListadoFichasDeProduccion!A:A,0),K940)),""))</f>
        <v/>
      </c>
      <c r="K940" s="11">
        <v>1</v>
      </c>
    </row>
    <row r="941" spans="1:11" hidden="1" x14ac:dyDescent="0.3">
      <c r="A941" s="11">
        <v>1775</v>
      </c>
      <c r="B941" s="8" t="str">
        <f>VLOOKUP(A941,[1]ListadoFichasDeProduccion!$A$2:$LP$3000,328,FALSE)</f>
        <v>COMPLETADO</v>
      </c>
      <c r="C941" s="11">
        <v>16</v>
      </c>
      <c r="D941" t="s">
        <v>33</v>
      </c>
      <c r="E941" t="s">
        <v>177</v>
      </c>
      <c r="G941" s="9">
        <v>45852</v>
      </c>
      <c r="H941" t="s">
        <v>142</v>
      </c>
      <c r="I941" s="11">
        <v>8</v>
      </c>
      <c r="J941" t="str">
        <f>IF(I941="","",IFERROR(IF(INDEX([1]ListadoFichasDeProduccion!LQ:MB,MATCH(A941,[1]ListadoFichasDeProduccion!A:A,0),K941)=0,"",INDEX([1]ListadoFichasDeProduccion!LQ:MB,MATCH(A941,[1]ListadoFichasDeProduccion!A:A,0),K941)),""))</f>
        <v/>
      </c>
      <c r="K941" s="11">
        <v>2</v>
      </c>
    </row>
    <row r="942" spans="1:11" hidden="1" x14ac:dyDescent="0.3">
      <c r="A942" s="11">
        <v>1864</v>
      </c>
      <c r="B942" s="8" t="str">
        <f>VLOOKUP(A942,[1]ListadoFichasDeProduccion!$A$2:$LP$3000,328,FALSE)</f>
        <v>COMPLETADO</v>
      </c>
      <c r="C942" s="11">
        <v>18</v>
      </c>
      <c r="D942" t="s">
        <v>33</v>
      </c>
      <c r="E942" t="s">
        <v>177</v>
      </c>
      <c r="G942" s="9">
        <v>45916</v>
      </c>
      <c r="H942" t="s">
        <v>205</v>
      </c>
      <c r="I942" s="11">
        <v>9</v>
      </c>
      <c r="J942" t="str">
        <f>IF(I942="","",IFERROR(IF(INDEX([1]ListadoFichasDeProduccion!LQ:MB,MATCH(A942,[1]ListadoFichasDeProduccion!A:A,0),K942)=0,"",INDEX([1]ListadoFichasDeProduccion!LQ:MB,MATCH(A942,[1]ListadoFichasDeProduccion!A:A,0),K942)),""))</f>
        <v/>
      </c>
      <c r="K942" s="11">
        <v>1</v>
      </c>
    </row>
    <row r="943" spans="1:11" hidden="1" x14ac:dyDescent="0.3">
      <c r="A943" s="11">
        <v>1864</v>
      </c>
      <c r="B943" s="8" t="str">
        <f>VLOOKUP(A943,[1]ListadoFichasDeProduccion!$A$2:$LP$3000,328,FALSE)</f>
        <v>COMPLETADO</v>
      </c>
      <c r="C943" s="11">
        <v>18</v>
      </c>
      <c r="D943" t="s">
        <v>33</v>
      </c>
      <c r="E943" t="s">
        <v>177</v>
      </c>
      <c r="G943" s="9">
        <v>45916</v>
      </c>
      <c r="H943" t="s">
        <v>204</v>
      </c>
      <c r="I943" s="11">
        <v>9</v>
      </c>
      <c r="J943" t="str">
        <f>IF(I943="","",IFERROR(IF(INDEX([1]ListadoFichasDeProduccion!LQ:MB,MATCH(A943,[1]ListadoFichasDeProduccion!A:A,0),K943)=0,"",INDEX([1]ListadoFichasDeProduccion!LQ:MB,MATCH(A943,[1]ListadoFichasDeProduccion!A:A,0),K943)),""))</f>
        <v/>
      </c>
      <c r="K943" s="11">
        <v>2</v>
      </c>
    </row>
    <row r="944" spans="1:11" hidden="1" x14ac:dyDescent="0.3">
      <c r="A944" s="11" t="s">
        <v>457</v>
      </c>
      <c r="B944" t="str">
        <f>VLOOKUP(A944,[1]ListadoFichasDeProduccion!$A$2:$LP$3000,328,FALSE)</f>
        <v>COMPLETADO</v>
      </c>
      <c r="C944" s="11">
        <v>42</v>
      </c>
      <c r="D944" t="s">
        <v>33</v>
      </c>
      <c r="E944" t="s">
        <v>177</v>
      </c>
      <c r="G944" s="9">
        <v>45967</v>
      </c>
      <c r="H944" t="s">
        <v>205</v>
      </c>
      <c r="I944" s="11">
        <v>14</v>
      </c>
      <c r="J944" t="str">
        <f>IF(I944="","",IFERROR(IF(INDEX([1]ListadoFichasDeProduccion!LQ:MB,MATCH(A944,[1]ListadoFichasDeProduccion!A:A,0),K944)=0,"",INDEX([1]ListadoFichasDeProduccion!LQ:MB,MATCH(A944,[1]ListadoFichasDeProduccion!A:A,0),K944)),""))</f>
        <v/>
      </c>
      <c r="K944" s="11">
        <v>1</v>
      </c>
    </row>
    <row r="945" spans="1:11" hidden="1" x14ac:dyDescent="0.3">
      <c r="A945" s="11" t="s">
        <v>457</v>
      </c>
      <c r="B945" t="str">
        <f>VLOOKUP(A945,[1]ListadoFichasDeProduccion!$A$2:$LP$3000,328,FALSE)</f>
        <v>COMPLETADO</v>
      </c>
      <c r="C945" s="11">
        <v>42</v>
      </c>
      <c r="D945" t="s">
        <v>33</v>
      </c>
      <c r="E945" t="s">
        <v>177</v>
      </c>
      <c r="G945" s="9">
        <v>45967</v>
      </c>
      <c r="H945" t="s">
        <v>204</v>
      </c>
      <c r="I945" s="11">
        <v>14</v>
      </c>
      <c r="J945" t="str">
        <f>IF(I945="","",IFERROR(IF(INDEX([1]ListadoFichasDeProduccion!LQ:MB,MATCH(A945,[1]ListadoFichasDeProduccion!A:A,0),K945)=0,"",INDEX([1]ListadoFichasDeProduccion!LQ:MB,MATCH(A945,[1]ListadoFichasDeProduccion!A:A,0),K945)),""))</f>
        <v/>
      </c>
      <c r="K945" s="11">
        <v>2</v>
      </c>
    </row>
    <row r="946" spans="1:11" hidden="1" x14ac:dyDescent="0.3">
      <c r="A946" s="11" t="s">
        <v>457</v>
      </c>
      <c r="B946" t="str">
        <f>VLOOKUP(A946,[1]ListadoFichasDeProduccion!$A$2:$LP$3000,328,FALSE)</f>
        <v>COMPLETADO</v>
      </c>
      <c r="C946" s="11">
        <v>42</v>
      </c>
      <c r="D946" t="s">
        <v>33</v>
      </c>
      <c r="E946" t="s">
        <v>177</v>
      </c>
      <c r="G946" s="9">
        <v>45967</v>
      </c>
      <c r="H946" t="s">
        <v>180</v>
      </c>
      <c r="I946" s="11">
        <v>14</v>
      </c>
      <c r="J946" t="str">
        <f>IF(I946="","",IFERROR(IF(INDEX([1]ListadoFichasDeProduccion!LQ:MB,MATCH(A946,[1]ListadoFichasDeProduccion!A:A,0),K946)=0,"",INDEX([1]ListadoFichasDeProduccion!LQ:MB,MATCH(A946,[1]ListadoFichasDeProduccion!A:A,0),K946)),""))</f>
        <v/>
      </c>
      <c r="K946" s="11">
        <v>3</v>
      </c>
    </row>
    <row r="947" spans="1:11" hidden="1" x14ac:dyDescent="0.3">
      <c r="A947" s="11">
        <v>1639</v>
      </c>
      <c r="B947" s="8" t="str">
        <f>VLOOKUP(A947,[1]ListadoFichasDeProduccion!$A$2:$LP$3000,328,FALSE)</f>
        <v>COMPLETADO</v>
      </c>
      <c r="C947" s="11">
        <v>24</v>
      </c>
      <c r="D947" t="s">
        <v>33</v>
      </c>
      <c r="E947" t="s">
        <v>85</v>
      </c>
      <c r="F947" s="9"/>
      <c r="G947" s="9">
        <v>45706</v>
      </c>
      <c r="H947" t="s">
        <v>32</v>
      </c>
      <c r="I947" s="11">
        <v>24</v>
      </c>
      <c r="J947" t="str">
        <f>IF(I947="","",IFERROR(IF(INDEX([1]ListadoFichasDeProduccion!LQ:MB,MATCH(A947,[1]ListadoFichasDeProduccion!A:A,0),K947)=0,"",INDEX([1]ListadoFichasDeProduccion!LQ:MB,MATCH(A947,[1]ListadoFichasDeProduccion!A:A,0),K947)),""))</f>
        <v/>
      </c>
      <c r="K947" s="11">
        <v>1</v>
      </c>
    </row>
    <row r="948" spans="1:11" hidden="1" x14ac:dyDescent="0.3">
      <c r="A948" s="11" t="s">
        <v>280</v>
      </c>
      <c r="B948" t="str">
        <f>VLOOKUP(A948,[1]ListadoFichasDeProduccion!$A$2:$LP$3000,328,FALSE)</f>
        <v>COMPLETADO</v>
      </c>
      <c r="C948" s="11">
        <v>20</v>
      </c>
      <c r="D948" t="s">
        <v>33</v>
      </c>
      <c r="E948" t="s">
        <v>85</v>
      </c>
      <c r="G948" s="9">
        <v>45911</v>
      </c>
      <c r="H948" t="s">
        <v>44</v>
      </c>
      <c r="I948" s="11">
        <v>14</v>
      </c>
      <c r="J948" t="str">
        <f>IF(I948="","",IFERROR(IF(INDEX([1]ListadoFichasDeProduccion!LQ:MB,MATCH(A948,[1]ListadoFichasDeProduccion!A:A,0),K948)=0,"",INDEX([1]ListadoFichasDeProduccion!LQ:MB,MATCH(A948,[1]ListadoFichasDeProduccion!A:A,0),K948)),""))</f>
        <v/>
      </c>
      <c r="K948" s="11">
        <v>1</v>
      </c>
    </row>
    <row r="949" spans="1:11" hidden="1" x14ac:dyDescent="0.3">
      <c r="A949" s="11" t="s">
        <v>280</v>
      </c>
      <c r="B949" t="str">
        <f>VLOOKUP(A949,[1]ListadoFichasDeProduccion!$A$2:$LP$3000,328,FALSE)</f>
        <v>COMPLETADO</v>
      </c>
      <c r="C949" s="11">
        <v>20</v>
      </c>
      <c r="D949" t="s">
        <v>33</v>
      </c>
      <c r="E949" t="s">
        <v>85</v>
      </c>
      <c r="G949" s="9">
        <v>45911</v>
      </c>
      <c r="H949" t="s">
        <v>31</v>
      </c>
      <c r="I949" s="11">
        <v>6</v>
      </c>
      <c r="J949" t="str">
        <f>IF(I949="","",IFERROR(IF(INDEX([1]ListadoFichasDeProduccion!LQ:MB,MATCH(A949,[1]ListadoFichasDeProduccion!A:A,0),K949)=0,"",INDEX([1]ListadoFichasDeProduccion!LQ:MB,MATCH(A949,[1]ListadoFichasDeProduccion!A:A,0),K949)),""))</f>
        <v/>
      </c>
      <c r="K949" s="11">
        <v>2</v>
      </c>
    </row>
    <row r="950" spans="1:11" hidden="1" x14ac:dyDescent="0.3">
      <c r="A950" s="11">
        <v>1814</v>
      </c>
      <c r="B950" s="8" t="str">
        <f>VLOOKUP(A950,[1]ListadoFichasDeProduccion!$A$2:$LP$3000,328,FALSE)</f>
        <v>COMPLETADO</v>
      </c>
      <c r="C950" s="11">
        <v>9</v>
      </c>
      <c r="D950" t="s">
        <v>33</v>
      </c>
      <c r="E950" t="s">
        <v>206</v>
      </c>
      <c r="F950" t="s">
        <v>207</v>
      </c>
      <c r="G950" s="9">
        <v>45805</v>
      </c>
      <c r="H950" t="s">
        <v>39</v>
      </c>
      <c r="I950" s="11">
        <v>2</v>
      </c>
      <c r="J950" t="str">
        <f>IF(I950="","",IFERROR(IF(INDEX([1]ListadoFichasDeProduccion!LQ:MB,MATCH(A950,[1]ListadoFichasDeProduccion!A:A,0),K950)=0,"",INDEX([1]ListadoFichasDeProduccion!LQ:MB,MATCH(A950,[1]ListadoFichasDeProduccion!A:A,0),K950)),""))</f>
        <v/>
      </c>
      <c r="K950" s="11">
        <v>1</v>
      </c>
    </row>
    <row r="951" spans="1:11" hidden="1" x14ac:dyDescent="0.3">
      <c r="A951" s="11">
        <v>1814</v>
      </c>
      <c r="B951" s="8" t="str">
        <f>VLOOKUP(A951,[1]ListadoFichasDeProduccion!$A$2:$LP$3000,328,FALSE)</f>
        <v>COMPLETADO</v>
      </c>
      <c r="C951" s="11">
        <v>9</v>
      </c>
      <c r="D951" t="s">
        <v>33</v>
      </c>
      <c r="E951" t="s">
        <v>206</v>
      </c>
      <c r="F951" t="s">
        <v>207</v>
      </c>
      <c r="G951" s="9">
        <v>45805</v>
      </c>
      <c r="H951" t="s">
        <v>137</v>
      </c>
      <c r="I951" s="11">
        <v>3</v>
      </c>
      <c r="J951" t="str">
        <f>IF(I951="","",IFERROR(IF(INDEX([1]ListadoFichasDeProduccion!LQ:MB,MATCH(A951,[1]ListadoFichasDeProduccion!A:A,0),K951)=0,"",INDEX([1]ListadoFichasDeProduccion!LQ:MB,MATCH(A951,[1]ListadoFichasDeProduccion!A:A,0),K951)),""))</f>
        <v/>
      </c>
      <c r="K951" s="11">
        <v>2</v>
      </c>
    </row>
    <row r="952" spans="1:11" hidden="1" x14ac:dyDescent="0.3">
      <c r="A952" s="11">
        <v>1814</v>
      </c>
      <c r="B952" s="8" t="str">
        <f>VLOOKUP(A952,[1]ListadoFichasDeProduccion!$A$2:$LP$3000,328,FALSE)</f>
        <v>COMPLETADO</v>
      </c>
      <c r="C952" s="11">
        <v>9</v>
      </c>
      <c r="D952" t="s">
        <v>33</v>
      </c>
      <c r="E952" t="s">
        <v>206</v>
      </c>
      <c r="F952" t="s">
        <v>207</v>
      </c>
      <c r="G952" s="9">
        <v>45805</v>
      </c>
      <c r="H952" t="s">
        <v>24</v>
      </c>
      <c r="I952" s="11">
        <v>2</v>
      </c>
      <c r="J952" t="str">
        <f>IF(I952="","",IFERROR(IF(INDEX([1]ListadoFichasDeProduccion!LQ:MB,MATCH(A952,[1]ListadoFichasDeProduccion!A:A,0),K952)=0,"",INDEX([1]ListadoFichasDeProduccion!LQ:MB,MATCH(A952,[1]ListadoFichasDeProduccion!A:A,0),K952)),""))</f>
        <v/>
      </c>
      <c r="K952" s="11">
        <v>3</v>
      </c>
    </row>
    <row r="953" spans="1:11" hidden="1" x14ac:dyDescent="0.3">
      <c r="A953" s="11">
        <v>1814</v>
      </c>
      <c r="B953" s="8" t="str">
        <f>VLOOKUP(A953,[1]ListadoFichasDeProduccion!$A$2:$LP$3000,328,FALSE)</f>
        <v>COMPLETADO</v>
      </c>
      <c r="C953" s="11">
        <v>9</v>
      </c>
      <c r="D953" t="s">
        <v>33</v>
      </c>
      <c r="E953" t="s">
        <v>206</v>
      </c>
      <c r="F953" t="s">
        <v>207</v>
      </c>
      <c r="G953" s="9">
        <v>45805</v>
      </c>
      <c r="H953" t="s">
        <v>40</v>
      </c>
      <c r="I953" s="11">
        <v>2</v>
      </c>
      <c r="J953" t="str">
        <f>IF(I953="","",IFERROR(IF(INDEX([1]ListadoFichasDeProduccion!LQ:MB,MATCH(A953,[1]ListadoFichasDeProduccion!A:A,0),K953)=0,"",INDEX([1]ListadoFichasDeProduccion!LQ:MB,MATCH(A953,[1]ListadoFichasDeProduccion!A:A,0),K953)),""))</f>
        <v/>
      </c>
      <c r="K953" s="11">
        <v>4</v>
      </c>
    </row>
    <row r="954" spans="1:11" x14ac:dyDescent="0.3">
      <c r="A954" s="11" t="s">
        <v>332</v>
      </c>
      <c r="B954" t="str">
        <f>VLOOKUP(A954,[1]ListadoFichasDeProduccion!$A$2:$LP$3000,328,FALSE)</f>
        <v>NO COMENZADO</v>
      </c>
      <c r="C954" s="11">
        <v>7</v>
      </c>
      <c r="D954" t="s">
        <v>33</v>
      </c>
      <c r="E954" t="s">
        <v>206</v>
      </c>
      <c r="F954" t="s">
        <v>207</v>
      </c>
      <c r="H954" t="s">
        <v>39</v>
      </c>
      <c r="I954" s="11">
        <v>5</v>
      </c>
      <c r="J954" t="str">
        <f>IF(I954="","",IFERROR(IF(INDEX([1]ListadoFichasDeProduccion!LQ:MB,MATCH(A954,[1]ListadoFichasDeProduccion!A:A,0),K954)=0,"",INDEX([1]ListadoFichasDeProduccion!LQ:MB,MATCH(A954,[1]ListadoFichasDeProduccion!A:A,0),K954)),""))</f>
        <v/>
      </c>
      <c r="K954" s="11">
        <v>1</v>
      </c>
    </row>
    <row r="955" spans="1:11" x14ac:dyDescent="0.3">
      <c r="A955" s="11" t="s">
        <v>332</v>
      </c>
      <c r="B955" t="str">
        <f>VLOOKUP(A955,[1]ListadoFichasDeProduccion!$A$2:$LP$3000,328,FALSE)</f>
        <v>NO COMENZADO</v>
      </c>
      <c r="C955" s="11">
        <v>7</v>
      </c>
      <c r="D955" t="s">
        <v>33</v>
      </c>
      <c r="E955" t="s">
        <v>206</v>
      </c>
      <c r="F955" t="s">
        <v>207</v>
      </c>
      <c r="H955" t="s">
        <v>24</v>
      </c>
      <c r="I955" s="11">
        <v>2</v>
      </c>
      <c r="J955" t="str">
        <f>IF(I955="","",IFERROR(IF(INDEX([1]ListadoFichasDeProduccion!LQ:MB,MATCH(A955,[1]ListadoFichasDeProduccion!A:A,0),K955)=0,"",INDEX([1]ListadoFichasDeProduccion!LQ:MB,MATCH(A955,[1]ListadoFichasDeProduccion!A:A,0),K955)),""))</f>
        <v/>
      </c>
      <c r="K955" s="11">
        <v>2</v>
      </c>
    </row>
    <row r="956" spans="1:11" x14ac:dyDescent="0.3">
      <c r="A956" s="11" t="s">
        <v>395</v>
      </c>
      <c r="B956" t="str">
        <f>VLOOKUP(A956,[1]ListadoFichasDeProduccion!$A$2:$LP$3000,328,FALSE)</f>
        <v>NO COMENZADO</v>
      </c>
      <c r="C956" s="11">
        <v>10</v>
      </c>
      <c r="D956" t="s">
        <v>33</v>
      </c>
      <c r="E956" t="s">
        <v>206</v>
      </c>
      <c r="F956" t="s">
        <v>207</v>
      </c>
      <c r="H956" t="s">
        <v>40</v>
      </c>
      <c r="I956" s="11">
        <v>4</v>
      </c>
      <c r="J956" t="str">
        <f>IF(I956="","",IFERROR(IF(INDEX([1]ListadoFichasDeProduccion!LQ:MB,MATCH(A956,[1]ListadoFichasDeProduccion!A:A,0),K956)=0,"",INDEX([1]ListadoFichasDeProduccion!LQ:MB,MATCH(A956,[1]ListadoFichasDeProduccion!A:A,0),K956)),""))</f>
        <v/>
      </c>
      <c r="K956" s="11">
        <v>1</v>
      </c>
    </row>
    <row r="957" spans="1:11" x14ac:dyDescent="0.3">
      <c r="A957" s="11" t="s">
        <v>395</v>
      </c>
      <c r="B957" t="str">
        <f>VLOOKUP(A957,[1]ListadoFichasDeProduccion!$A$2:$LP$3000,328,FALSE)</f>
        <v>NO COMENZADO</v>
      </c>
      <c r="C957" s="11">
        <v>10</v>
      </c>
      <c r="D957" t="s">
        <v>33</v>
      </c>
      <c r="E957" t="s">
        <v>206</v>
      </c>
      <c r="F957" t="s">
        <v>207</v>
      </c>
      <c r="H957" t="s">
        <v>248</v>
      </c>
      <c r="I957" s="11">
        <v>6</v>
      </c>
      <c r="J957" t="str">
        <f>IF(I957="","",IFERROR(IF(INDEX([1]ListadoFichasDeProduccion!LQ:MB,MATCH(A957,[1]ListadoFichasDeProduccion!A:A,0),K957)=0,"",INDEX([1]ListadoFichasDeProduccion!LQ:MB,MATCH(A957,[1]ListadoFichasDeProduccion!A:A,0),K957)),""))</f>
        <v/>
      </c>
      <c r="K957" s="11">
        <v>2</v>
      </c>
    </row>
    <row r="958" spans="1:11" x14ac:dyDescent="0.3">
      <c r="A958" s="11" t="s">
        <v>396</v>
      </c>
      <c r="B958" t="str">
        <f>VLOOKUP(A958,[1]ListadoFichasDeProduccion!$A$2:$LP$3000,328,FALSE)</f>
        <v>NO COMENZADO</v>
      </c>
      <c r="C958" s="11">
        <v>3</v>
      </c>
      <c r="D958" t="s">
        <v>33</v>
      </c>
      <c r="E958" t="s">
        <v>397</v>
      </c>
      <c r="H958" t="s">
        <v>24</v>
      </c>
      <c r="I958" s="11">
        <v>3</v>
      </c>
      <c r="J958" t="str">
        <f>IF(I958="","",IFERROR(IF(INDEX([1]ListadoFichasDeProduccion!LQ:MB,MATCH(A958,[1]ListadoFichasDeProduccion!A:A,0),K958)=0,"",INDEX([1]ListadoFichasDeProduccion!LQ:MB,MATCH(A958,[1]ListadoFichasDeProduccion!A:A,0),K958)),""))</f>
        <v/>
      </c>
      <c r="K958" s="11">
        <v>1</v>
      </c>
    </row>
    <row r="959" spans="1:11" hidden="1" x14ac:dyDescent="0.3">
      <c r="A959" s="11">
        <v>1604</v>
      </c>
      <c r="B959" s="8" t="str">
        <f>VLOOKUP(A959,[1]ListadoFichasDeProduccion!$A$2:$LP$3000,328,FALSE)</f>
        <v>COMPLETADO</v>
      </c>
      <c r="C959" s="11">
        <v>27</v>
      </c>
      <c r="D959" t="s">
        <v>33</v>
      </c>
      <c r="E959" t="s">
        <v>59</v>
      </c>
      <c r="F959" s="9"/>
      <c r="G959" s="9">
        <v>45673</v>
      </c>
      <c r="H959" t="s">
        <v>60</v>
      </c>
      <c r="I959" s="11">
        <v>24</v>
      </c>
      <c r="J959" t="str">
        <f>IF(I959="","",IFERROR(IF(INDEX([1]ListadoFichasDeProduccion!LQ:MB,MATCH(A959,[1]ListadoFichasDeProduccion!A:A,0),K959)=0,"",INDEX([1]ListadoFichasDeProduccion!LQ:MB,MATCH(A959,[1]ListadoFichasDeProduccion!A:A,0),K959)),""))</f>
        <v/>
      </c>
      <c r="K959" s="11">
        <v>1</v>
      </c>
    </row>
    <row r="960" spans="1:11" hidden="1" x14ac:dyDescent="0.3">
      <c r="A960" s="11">
        <v>1604</v>
      </c>
      <c r="B960" s="8" t="str">
        <f>VLOOKUP(A960,[1]ListadoFichasDeProduccion!$A$2:$LP$3000,328,FALSE)</f>
        <v>COMPLETADO</v>
      </c>
      <c r="C960" s="11">
        <v>27</v>
      </c>
      <c r="D960" t="s">
        <v>33</v>
      </c>
      <c r="E960" t="s">
        <v>59</v>
      </c>
      <c r="F960" s="9"/>
      <c r="G960" s="9">
        <v>45673</v>
      </c>
      <c r="H960" t="s">
        <v>61</v>
      </c>
      <c r="I960" s="11">
        <v>3</v>
      </c>
      <c r="J960" t="str">
        <f>IF(I960="","",IFERROR(IF(INDEX([1]ListadoFichasDeProduccion!LQ:MB,MATCH(A960,[1]ListadoFichasDeProduccion!A:A,0),K960)=0,"",INDEX([1]ListadoFichasDeProduccion!LQ:MB,MATCH(A960,[1]ListadoFichasDeProduccion!A:A,0),K960)),""))</f>
        <v/>
      </c>
      <c r="K960" s="11">
        <v>2</v>
      </c>
    </row>
    <row r="961" spans="1:11" hidden="1" x14ac:dyDescent="0.3">
      <c r="A961" s="11">
        <v>1708</v>
      </c>
      <c r="B961" s="8" t="str">
        <f>VLOOKUP(A961,[1]ListadoFichasDeProduccion!$A$2:$LP$3000,328,FALSE)</f>
        <v>COMPLETADO</v>
      </c>
      <c r="C961" s="11">
        <v>30</v>
      </c>
      <c r="D961" t="s">
        <v>33</v>
      </c>
      <c r="E961" t="s">
        <v>59</v>
      </c>
      <c r="G961" s="9">
        <v>45742</v>
      </c>
      <c r="H961" t="s">
        <v>60</v>
      </c>
      <c r="I961" s="11">
        <v>20</v>
      </c>
      <c r="J961" t="str">
        <f>IF(I961="","",IFERROR(IF(INDEX([1]ListadoFichasDeProduccion!LQ:MB,MATCH(A961,[1]ListadoFichasDeProduccion!A:A,0),K961)=0,"",INDEX([1]ListadoFichasDeProduccion!LQ:MB,MATCH(A961,[1]ListadoFichasDeProduccion!A:A,0),K961)),""))</f>
        <v/>
      </c>
      <c r="K961" s="11">
        <v>1</v>
      </c>
    </row>
    <row r="962" spans="1:11" hidden="1" x14ac:dyDescent="0.3">
      <c r="A962" s="11">
        <v>1708</v>
      </c>
      <c r="B962" s="8" t="str">
        <f>VLOOKUP(A962,[1]ListadoFichasDeProduccion!$A$2:$LP$3000,328,FALSE)</f>
        <v>COMPLETADO</v>
      </c>
      <c r="C962" s="11">
        <v>30</v>
      </c>
      <c r="D962" t="s">
        <v>33</v>
      </c>
      <c r="E962" t="s">
        <v>59</v>
      </c>
      <c r="G962" s="9">
        <v>45742</v>
      </c>
      <c r="H962" t="s">
        <v>61</v>
      </c>
      <c r="I962" s="11">
        <v>10</v>
      </c>
      <c r="J962" t="str">
        <f>IF(I962="","",IFERROR(IF(INDEX([1]ListadoFichasDeProduccion!LQ:MB,MATCH(A962,[1]ListadoFichasDeProduccion!A:A,0),K962)=0,"",INDEX([1]ListadoFichasDeProduccion!LQ:MB,MATCH(A962,[1]ListadoFichasDeProduccion!A:A,0),K962)),""))</f>
        <v/>
      </c>
      <c r="K962" s="11">
        <v>2</v>
      </c>
    </row>
    <row r="963" spans="1:11" hidden="1" x14ac:dyDescent="0.3">
      <c r="A963" s="11">
        <v>1830</v>
      </c>
      <c r="B963" s="8" t="str">
        <f>VLOOKUP(A963,[1]ListadoFichasDeProduccion!$A$2:$LP$3000,328,FALSE)</f>
        <v>COMPLETADO</v>
      </c>
      <c r="C963" s="11">
        <v>6</v>
      </c>
      <c r="D963" t="s">
        <v>33</v>
      </c>
      <c r="E963" t="s">
        <v>59</v>
      </c>
      <c r="G963" s="9">
        <v>45814</v>
      </c>
      <c r="H963" t="s">
        <v>60</v>
      </c>
      <c r="I963" s="11">
        <v>6</v>
      </c>
      <c r="J963" t="str">
        <f>IF(I963="","",IFERROR(IF(INDEX([1]ListadoFichasDeProduccion!LQ:MB,MATCH(A963,[1]ListadoFichasDeProduccion!A:A,0),K963)=0,"",INDEX([1]ListadoFichasDeProduccion!LQ:MB,MATCH(A963,[1]ListadoFichasDeProduccion!A:A,0),K963)),""))</f>
        <v/>
      </c>
      <c r="K963" s="11">
        <v>1</v>
      </c>
    </row>
    <row r="964" spans="1:11" hidden="1" x14ac:dyDescent="0.3">
      <c r="A964" s="11">
        <v>1882</v>
      </c>
      <c r="B964" s="8" t="str">
        <f>VLOOKUP(A964,[1]ListadoFichasDeProduccion!$A$2:$LP$3000,328,FALSE)</f>
        <v>COMPLETADO</v>
      </c>
      <c r="C964" s="11">
        <v>12</v>
      </c>
      <c r="D964" t="s">
        <v>33</v>
      </c>
      <c r="E964" t="s">
        <v>59</v>
      </c>
      <c r="G964" s="9">
        <v>45841</v>
      </c>
      <c r="H964" t="s">
        <v>60</v>
      </c>
      <c r="I964" s="11">
        <v>12</v>
      </c>
      <c r="J964" t="str">
        <f>IF(I964="","",IFERROR(IF(INDEX([1]ListadoFichasDeProduccion!LQ:MB,MATCH(A964,[1]ListadoFichasDeProduccion!A:A,0),K964)=0,"",INDEX([1]ListadoFichasDeProduccion!LQ:MB,MATCH(A964,[1]ListadoFichasDeProduccion!A:A,0),K964)),""))</f>
        <v/>
      </c>
      <c r="K964" s="11">
        <v>1</v>
      </c>
    </row>
    <row r="965" spans="1:11" hidden="1" x14ac:dyDescent="0.3">
      <c r="A965" s="11">
        <v>1919</v>
      </c>
      <c r="B965" s="8" t="str">
        <f>VLOOKUP(A965,[1]ListadoFichasDeProduccion!$A$2:$LP$3000,328,FALSE)</f>
        <v>COMPLETADO</v>
      </c>
      <c r="C965" s="11">
        <v>18</v>
      </c>
      <c r="D965" t="s">
        <v>33</v>
      </c>
      <c r="E965" t="s">
        <v>59</v>
      </c>
      <c r="G965" s="9">
        <v>45869</v>
      </c>
      <c r="H965" t="s">
        <v>60</v>
      </c>
      <c r="I965" s="11">
        <v>12</v>
      </c>
      <c r="J965" t="str">
        <f>IF(I965="","",IFERROR(IF(INDEX([1]ListadoFichasDeProduccion!LQ:MB,MATCH(A965,[1]ListadoFichasDeProduccion!A:A,0),K965)=0,"",INDEX([1]ListadoFichasDeProduccion!LQ:MB,MATCH(A965,[1]ListadoFichasDeProduccion!A:A,0),K965)),""))</f>
        <v/>
      </c>
      <c r="K965" s="11">
        <v>1</v>
      </c>
    </row>
    <row r="966" spans="1:11" hidden="1" x14ac:dyDescent="0.3">
      <c r="A966" s="11">
        <v>1919</v>
      </c>
      <c r="B966" s="8" t="str">
        <f>VLOOKUP(A966,[1]ListadoFichasDeProduccion!$A$2:$LP$3000,328,FALSE)</f>
        <v>COMPLETADO</v>
      </c>
      <c r="C966" s="11">
        <v>18</v>
      </c>
      <c r="D966" t="s">
        <v>33</v>
      </c>
      <c r="E966" t="s">
        <v>59</v>
      </c>
      <c r="G966" s="9">
        <v>45869</v>
      </c>
      <c r="H966" t="s">
        <v>135</v>
      </c>
      <c r="I966" s="11">
        <v>6</v>
      </c>
      <c r="J966" t="str">
        <f>IF(I966="","",IFERROR(IF(INDEX([1]ListadoFichasDeProduccion!LQ:MB,MATCH(A966,[1]ListadoFichasDeProduccion!A:A,0),K966)=0,"",INDEX([1]ListadoFichasDeProduccion!LQ:MB,MATCH(A966,[1]ListadoFichasDeProduccion!A:A,0),K966)),""))</f>
        <v/>
      </c>
      <c r="K966" s="11">
        <v>2</v>
      </c>
    </row>
    <row r="967" spans="1:11" hidden="1" x14ac:dyDescent="0.3">
      <c r="A967" s="11" t="s">
        <v>339</v>
      </c>
      <c r="B967" t="str">
        <f>VLOOKUP(A967,[1]ListadoFichasDeProduccion!$A$2:$LP$3000,328,FALSE)</f>
        <v>COMPLETADO</v>
      </c>
      <c r="C967" s="11">
        <v>25</v>
      </c>
      <c r="D967" t="s">
        <v>33</v>
      </c>
      <c r="E967" t="s">
        <v>59</v>
      </c>
      <c r="G967" s="9">
        <v>45917</v>
      </c>
      <c r="H967" t="s">
        <v>60</v>
      </c>
      <c r="I967" s="11">
        <v>12</v>
      </c>
      <c r="J967" t="str">
        <f>IF(I967="","",IFERROR(IF(INDEX([1]ListadoFichasDeProduccion!LQ:MB,MATCH(A967,[1]ListadoFichasDeProduccion!A:A,0),K967)=0,"",INDEX([1]ListadoFichasDeProduccion!LQ:MB,MATCH(A967,[1]ListadoFichasDeProduccion!A:A,0),K967)),""))</f>
        <v/>
      </c>
      <c r="K967" s="11">
        <v>1</v>
      </c>
    </row>
    <row r="968" spans="1:11" hidden="1" x14ac:dyDescent="0.3">
      <c r="A968" s="11" t="s">
        <v>339</v>
      </c>
      <c r="B968" t="str">
        <f>VLOOKUP(A968,[1]ListadoFichasDeProduccion!$A$2:$LP$3000,328,FALSE)</f>
        <v>COMPLETADO</v>
      </c>
      <c r="C968" s="11">
        <v>25</v>
      </c>
      <c r="D968" t="s">
        <v>33</v>
      </c>
      <c r="E968" t="s">
        <v>59</v>
      </c>
      <c r="G968" s="9">
        <v>45917</v>
      </c>
      <c r="H968" t="s">
        <v>61</v>
      </c>
      <c r="I968" s="11">
        <v>9</v>
      </c>
      <c r="J968" t="str">
        <f>IF(I968="","",IFERROR(IF(INDEX([1]ListadoFichasDeProduccion!LQ:MB,MATCH(A968,[1]ListadoFichasDeProduccion!A:A,0),K968)=0,"",INDEX([1]ListadoFichasDeProduccion!LQ:MB,MATCH(A968,[1]ListadoFichasDeProduccion!A:A,0),K968)),""))</f>
        <v/>
      </c>
      <c r="K968" s="11">
        <v>2</v>
      </c>
    </row>
    <row r="969" spans="1:11" hidden="1" x14ac:dyDescent="0.3">
      <c r="A969" s="11" t="s">
        <v>339</v>
      </c>
      <c r="B969" t="str">
        <f>VLOOKUP(A969,[1]ListadoFichasDeProduccion!$A$2:$LP$3000,328,FALSE)</f>
        <v>COMPLETADO</v>
      </c>
      <c r="C969" s="11">
        <v>25</v>
      </c>
      <c r="D969" t="s">
        <v>33</v>
      </c>
      <c r="E969" t="s">
        <v>59</v>
      </c>
      <c r="G969" s="9">
        <v>45917</v>
      </c>
      <c r="H969" t="s">
        <v>135</v>
      </c>
      <c r="I969" s="11">
        <v>4</v>
      </c>
      <c r="J969" t="str">
        <f>IF(I969="","",IFERROR(IF(INDEX([1]ListadoFichasDeProduccion!LQ:MB,MATCH(A969,[1]ListadoFichasDeProduccion!A:A,0),K969)=0,"",INDEX([1]ListadoFichasDeProduccion!LQ:MB,MATCH(A969,[1]ListadoFichasDeProduccion!A:A,0),K969)),""))</f>
        <v/>
      </c>
      <c r="K969" s="11">
        <v>3</v>
      </c>
    </row>
    <row r="970" spans="1:11" hidden="1" x14ac:dyDescent="0.3">
      <c r="A970" s="11" t="s">
        <v>465</v>
      </c>
      <c r="B970" t="str">
        <f>VLOOKUP(A970,[1]ListadoFichasDeProduccion!$A$2:$LP$3000,328,FALSE)</f>
        <v>COMPLETADO</v>
      </c>
      <c r="C970" s="11">
        <v>18</v>
      </c>
      <c r="D970" t="s">
        <v>33</v>
      </c>
      <c r="E970" t="s">
        <v>59</v>
      </c>
      <c r="G970" s="9">
        <v>45966</v>
      </c>
      <c r="H970" t="s">
        <v>61</v>
      </c>
      <c r="I970" s="11">
        <v>4</v>
      </c>
      <c r="J970" t="str">
        <f>IF(I970="","",IFERROR(IF(INDEX([1]ListadoFichasDeProduccion!LQ:MB,MATCH(A970,[1]ListadoFichasDeProduccion!A:A,0),K970)=0,"",INDEX([1]ListadoFichasDeProduccion!LQ:MB,MATCH(A970,[1]ListadoFichasDeProduccion!A:A,0),K970)),""))</f>
        <v/>
      </c>
      <c r="K970" s="11">
        <v>1</v>
      </c>
    </row>
    <row r="971" spans="1:11" hidden="1" x14ac:dyDescent="0.3">
      <c r="A971" s="11" t="s">
        <v>465</v>
      </c>
      <c r="B971" t="str">
        <f>VLOOKUP(A971,[1]ListadoFichasDeProduccion!$A$2:$LP$3000,328,FALSE)</f>
        <v>COMPLETADO</v>
      </c>
      <c r="C971" s="11">
        <v>18</v>
      </c>
      <c r="D971" t="s">
        <v>33</v>
      </c>
      <c r="E971" t="s">
        <v>59</v>
      </c>
      <c r="G971" s="9">
        <v>45966</v>
      </c>
      <c r="H971" t="s">
        <v>60</v>
      </c>
      <c r="I971" s="11">
        <v>10</v>
      </c>
      <c r="J971" t="str">
        <f>IF(I971="","",IFERROR(IF(INDEX([1]ListadoFichasDeProduccion!LQ:MB,MATCH(A971,[1]ListadoFichasDeProduccion!A:A,0),K971)=0,"",INDEX([1]ListadoFichasDeProduccion!LQ:MB,MATCH(A971,[1]ListadoFichasDeProduccion!A:A,0),K971)),""))</f>
        <v/>
      </c>
      <c r="K971" s="11">
        <v>2</v>
      </c>
    </row>
    <row r="972" spans="1:11" hidden="1" x14ac:dyDescent="0.3">
      <c r="A972" s="11" t="s">
        <v>465</v>
      </c>
      <c r="B972" t="str">
        <f>VLOOKUP(A972,[1]ListadoFichasDeProduccion!$A$2:$LP$3000,328,FALSE)</f>
        <v>COMPLETADO</v>
      </c>
      <c r="C972" s="11">
        <v>18</v>
      </c>
      <c r="D972" t="s">
        <v>33</v>
      </c>
      <c r="E972" t="s">
        <v>59</v>
      </c>
      <c r="G972" s="9">
        <v>45966</v>
      </c>
      <c r="H972" t="s">
        <v>135</v>
      </c>
      <c r="I972" s="11">
        <v>4</v>
      </c>
      <c r="J972" t="str">
        <f>IF(I972="","",IFERROR(IF(INDEX([1]ListadoFichasDeProduccion!LQ:MB,MATCH(A972,[1]ListadoFichasDeProduccion!A:A,0),K972)=0,"",INDEX([1]ListadoFichasDeProduccion!LQ:MB,MATCH(A972,[1]ListadoFichasDeProduccion!A:A,0),K972)),""))</f>
        <v/>
      </c>
      <c r="K972" s="11">
        <v>3</v>
      </c>
    </row>
    <row r="973" spans="1:11" x14ac:dyDescent="0.3">
      <c r="A973" s="11" t="s">
        <v>508</v>
      </c>
      <c r="B973" t="str">
        <f>VLOOKUP(A973,[1]ListadoFichasDeProduccion!$A$2:$LP$3000,328,FALSE)</f>
        <v>NO COMENZADO</v>
      </c>
      <c r="C973" s="11">
        <v>40</v>
      </c>
      <c r="D973" t="s">
        <v>33</v>
      </c>
      <c r="E973" t="s">
        <v>59</v>
      </c>
      <c r="H973" t="s">
        <v>60</v>
      </c>
      <c r="I973" s="11">
        <v>20</v>
      </c>
      <c r="J973" t="str">
        <f>IF(I973="","",IFERROR(IF(INDEX([1]ListadoFichasDeProduccion!LQ:MB,MATCH(A973,[1]ListadoFichasDeProduccion!A:A,0),K973)=0,"",INDEX([1]ListadoFichasDeProduccion!LQ:MB,MATCH(A973,[1]ListadoFichasDeProduccion!A:A,0),K973)),""))</f>
        <v/>
      </c>
      <c r="K973" s="11">
        <v>1</v>
      </c>
    </row>
    <row r="974" spans="1:11" x14ac:dyDescent="0.3">
      <c r="A974" s="11" t="s">
        <v>508</v>
      </c>
      <c r="B974" t="str">
        <f>VLOOKUP(A974,[1]ListadoFichasDeProduccion!$A$2:$LP$3000,328,FALSE)</f>
        <v>NO COMENZADO</v>
      </c>
      <c r="C974" s="11">
        <v>40</v>
      </c>
      <c r="D974" t="s">
        <v>33</v>
      </c>
      <c r="E974" t="s">
        <v>59</v>
      </c>
      <c r="H974" t="s">
        <v>135</v>
      </c>
      <c r="I974" s="11">
        <v>10</v>
      </c>
      <c r="J974" t="str">
        <f>IF(I974="","",IFERROR(IF(INDEX([1]ListadoFichasDeProduccion!LQ:MB,MATCH(A974,[1]ListadoFichasDeProduccion!A:A,0),K974)=0,"",INDEX([1]ListadoFichasDeProduccion!LQ:MB,MATCH(A974,[1]ListadoFichasDeProduccion!A:A,0),K974)),""))</f>
        <v/>
      </c>
      <c r="K974" s="11">
        <v>2</v>
      </c>
    </row>
    <row r="975" spans="1:11" x14ac:dyDescent="0.3">
      <c r="A975" s="11" t="s">
        <v>508</v>
      </c>
      <c r="B975" t="str">
        <f>VLOOKUP(A975,[1]ListadoFichasDeProduccion!$A$2:$LP$3000,328,FALSE)</f>
        <v>NO COMENZADO</v>
      </c>
      <c r="C975" s="11">
        <v>40</v>
      </c>
      <c r="D975" t="s">
        <v>33</v>
      </c>
      <c r="E975" t="s">
        <v>59</v>
      </c>
      <c r="H975" t="s">
        <v>61</v>
      </c>
      <c r="I975" s="11">
        <v>10</v>
      </c>
      <c r="J975" t="str">
        <f>IF(I975="","",IFERROR(IF(INDEX([1]ListadoFichasDeProduccion!LQ:MB,MATCH(A975,[1]ListadoFichasDeProduccion!A:A,0),K975)=0,"",INDEX([1]ListadoFichasDeProduccion!LQ:MB,MATCH(A975,[1]ListadoFichasDeProduccion!A:A,0),K975)),""))</f>
        <v/>
      </c>
      <c r="K975" s="11">
        <v>3</v>
      </c>
    </row>
    <row r="976" spans="1:11" hidden="1" x14ac:dyDescent="0.3">
      <c r="A976" s="11">
        <v>1605</v>
      </c>
      <c r="B976" s="8" t="str">
        <f>VLOOKUP(A976,[1]ListadoFichasDeProduccion!$A$2:$LP$3000,328,FALSE)</f>
        <v>COMPLETADO</v>
      </c>
      <c r="C976" s="11">
        <v>9</v>
      </c>
      <c r="D976" t="s">
        <v>33</v>
      </c>
      <c r="E976" t="s">
        <v>62</v>
      </c>
      <c r="F976" s="9"/>
      <c r="G976" s="9">
        <v>45673</v>
      </c>
      <c r="H976" t="s">
        <v>61</v>
      </c>
      <c r="I976" s="11">
        <v>4</v>
      </c>
      <c r="J976" t="str">
        <f>IF(I976="","",IFERROR(IF(INDEX([1]ListadoFichasDeProduccion!LQ:MB,MATCH(A976,[1]ListadoFichasDeProduccion!A:A,0),K976)=0,"",INDEX([1]ListadoFichasDeProduccion!LQ:MB,MATCH(A976,[1]ListadoFichasDeProduccion!A:A,0),K976)),""))</f>
        <v/>
      </c>
      <c r="K976" s="11">
        <v>1</v>
      </c>
    </row>
    <row r="977" spans="1:11" hidden="1" x14ac:dyDescent="0.3">
      <c r="A977" s="11">
        <v>1605</v>
      </c>
      <c r="B977" s="8" t="str">
        <f>VLOOKUP(A977,[1]ListadoFichasDeProduccion!$A$2:$LP$3000,328,FALSE)</f>
        <v>COMPLETADO</v>
      </c>
      <c r="C977" s="11">
        <v>9</v>
      </c>
      <c r="D977" t="s">
        <v>33</v>
      </c>
      <c r="E977" t="s">
        <v>62</v>
      </c>
      <c r="F977" s="9"/>
      <c r="G977" s="9">
        <v>45673</v>
      </c>
      <c r="H977" t="s">
        <v>60</v>
      </c>
      <c r="I977" s="11">
        <v>5</v>
      </c>
      <c r="J977" t="str">
        <f>IF(I977="","",IFERROR(IF(INDEX([1]ListadoFichasDeProduccion!LQ:MB,MATCH(A977,[1]ListadoFichasDeProduccion!A:A,0),K977)=0,"",INDEX([1]ListadoFichasDeProduccion!LQ:MB,MATCH(A977,[1]ListadoFichasDeProduccion!A:A,0),K977)),""))</f>
        <v/>
      </c>
      <c r="K977" s="11">
        <v>2</v>
      </c>
    </row>
    <row r="978" spans="1:11" hidden="1" x14ac:dyDescent="0.3">
      <c r="A978" s="11">
        <v>1709</v>
      </c>
      <c r="B978" s="8" t="str">
        <f>VLOOKUP(A978,[1]ListadoFichasDeProduccion!$A$2:$LP$3000,328,FALSE)</f>
        <v>COMPLETADO</v>
      </c>
      <c r="C978" s="11">
        <v>30</v>
      </c>
      <c r="D978" t="s">
        <v>33</v>
      </c>
      <c r="E978" t="s">
        <v>62</v>
      </c>
      <c r="G978" s="9">
        <v>45742</v>
      </c>
      <c r="H978" t="s">
        <v>61</v>
      </c>
      <c r="I978" s="11">
        <v>10</v>
      </c>
      <c r="J978" t="str">
        <f>IF(I978="","",IFERROR(IF(INDEX([1]ListadoFichasDeProduccion!LQ:MB,MATCH(A978,[1]ListadoFichasDeProduccion!A:A,0),K978)=0,"",INDEX([1]ListadoFichasDeProduccion!LQ:MB,MATCH(A978,[1]ListadoFichasDeProduccion!A:A,0),K978)),""))</f>
        <v/>
      </c>
      <c r="K978" s="11">
        <v>1</v>
      </c>
    </row>
    <row r="979" spans="1:11" hidden="1" x14ac:dyDescent="0.3">
      <c r="A979" s="11">
        <v>1709</v>
      </c>
      <c r="B979" s="8" t="str">
        <f>VLOOKUP(A979,[1]ListadoFichasDeProduccion!$A$2:$LP$3000,328,FALSE)</f>
        <v>COMPLETADO</v>
      </c>
      <c r="C979" s="11">
        <v>30</v>
      </c>
      <c r="D979" t="s">
        <v>33</v>
      </c>
      <c r="E979" t="s">
        <v>62</v>
      </c>
      <c r="G979" s="9">
        <v>45742</v>
      </c>
      <c r="H979" t="s">
        <v>60</v>
      </c>
      <c r="I979" s="11">
        <v>20</v>
      </c>
      <c r="J979" t="str">
        <f>IF(I979="","",IFERROR(IF(INDEX([1]ListadoFichasDeProduccion!LQ:MB,MATCH(A979,[1]ListadoFichasDeProduccion!A:A,0),K979)=0,"",INDEX([1]ListadoFichasDeProduccion!LQ:MB,MATCH(A979,[1]ListadoFichasDeProduccion!A:A,0),K979)),""))</f>
        <v/>
      </c>
      <c r="K979" s="11">
        <v>2</v>
      </c>
    </row>
    <row r="980" spans="1:11" hidden="1" x14ac:dyDescent="0.3">
      <c r="A980" s="11">
        <v>1883</v>
      </c>
      <c r="B980" s="8" t="str">
        <f>VLOOKUP(A980,[1]ListadoFichasDeProduccion!$A$2:$LP$3000,328,FALSE)</f>
        <v>COMPLETADO</v>
      </c>
      <c r="C980" s="11">
        <v>12</v>
      </c>
      <c r="D980" t="s">
        <v>33</v>
      </c>
      <c r="E980" t="s">
        <v>62</v>
      </c>
      <c r="G980" s="9">
        <v>45841</v>
      </c>
      <c r="H980" t="s">
        <v>60</v>
      </c>
      <c r="I980" s="11">
        <v>12</v>
      </c>
      <c r="J980" t="str">
        <f>IF(I980="","",IFERROR(IF(INDEX([1]ListadoFichasDeProduccion!LQ:MB,MATCH(A980,[1]ListadoFichasDeProduccion!A:A,0),K980)=0,"",INDEX([1]ListadoFichasDeProduccion!LQ:MB,MATCH(A980,[1]ListadoFichasDeProduccion!A:A,0),K980)),""))</f>
        <v/>
      </c>
      <c r="K980" s="11">
        <v>1</v>
      </c>
    </row>
    <row r="981" spans="1:11" hidden="1" x14ac:dyDescent="0.3">
      <c r="A981" s="11" t="s">
        <v>340</v>
      </c>
      <c r="B981" t="str">
        <f>VLOOKUP(A981,[1]ListadoFichasDeProduccion!$A$2:$LP$3000,328,FALSE)</f>
        <v>COMPLETADO</v>
      </c>
      <c r="C981" s="11">
        <v>30</v>
      </c>
      <c r="D981" t="s">
        <v>33</v>
      </c>
      <c r="E981" t="s">
        <v>62</v>
      </c>
      <c r="G981" s="9">
        <v>45917</v>
      </c>
      <c r="H981" t="s">
        <v>60</v>
      </c>
      <c r="I981" s="11">
        <v>12</v>
      </c>
      <c r="J981" t="str">
        <f>IF(I981="","",IFERROR(IF(INDEX([1]ListadoFichasDeProduccion!LQ:MB,MATCH(A981,[1]ListadoFichasDeProduccion!A:A,0),K981)=0,"",INDEX([1]ListadoFichasDeProduccion!LQ:MB,MATCH(A981,[1]ListadoFichasDeProduccion!A:A,0),K981)),""))</f>
        <v/>
      </c>
      <c r="K981" s="11">
        <v>1</v>
      </c>
    </row>
    <row r="982" spans="1:11" hidden="1" x14ac:dyDescent="0.3">
      <c r="A982" s="11" t="s">
        <v>340</v>
      </c>
      <c r="B982" t="str">
        <f>VLOOKUP(A982,[1]ListadoFichasDeProduccion!$A$2:$LP$3000,328,FALSE)</f>
        <v>COMPLETADO</v>
      </c>
      <c r="C982" s="11">
        <v>30</v>
      </c>
      <c r="D982" t="s">
        <v>33</v>
      </c>
      <c r="E982" t="s">
        <v>62</v>
      </c>
      <c r="G982" s="9">
        <v>45917</v>
      </c>
      <c r="H982" t="s">
        <v>61</v>
      </c>
      <c r="I982" s="11">
        <v>12</v>
      </c>
      <c r="J982" t="str">
        <f>IF(I982="","",IFERROR(IF(INDEX([1]ListadoFichasDeProduccion!LQ:MB,MATCH(A982,[1]ListadoFichasDeProduccion!A:A,0),K982)=0,"",INDEX([1]ListadoFichasDeProduccion!LQ:MB,MATCH(A982,[1]ListadoFichasDeProduccion!A:A,0),K982)),""))</f>
        <v/>
      </c>
      <c r="K982" s="11">
        <v>2</v>
      </c>
    </row>
    <row r="983" spans="1:11" hidden="1" x14ac:dyDescent="0.3">
      <c r="A983" s="11" t="s">
        <v>340</v>
      </c>
      <c r="B983" t="str">
        <f>VLOOKUP(A983,[1]ListadoFichasDeProduccion!$A$2:$LP$3000,328,FALSE)</f>
        <v>COMPLETADO</v>
      </c>
      <c r="C983" s="11">
        <v>30</v>
      </c>
      <c r="D983" t="s">
        <v>33</v>
      </c>
      <c r="E983" t="s">
        <v>62</v>
      </c>
      <c r="G983" s="9">
        <v>45917</v>
      </c>
      <c r="H983" t="s">
        <v>135</v>
      </c>
      <c r="I983" s="11">
        <v>6</v>
      </c>
      <c r="J983" t="str">
        <f>IF(I983="","",IFERROR(IF(INDEX([1]ListadoFichasDeProduccion!LQ:MB,MATCH(A983,[1]ListadoFichasDeProduccion!A:A,0),K983)=0,"",INDEX([1]ListadoFichasDeProduccion!LQ:MB,MATCH(A983,[1]ListadoFichasDeProduccion!A:A,0),K983)),""))</f>
        <v/>
      </c>
      <c r="K983" s="11">
        <v>3</v>
      </c>
    </row>
    <row r="984" spans="1:11" hidden="1" x14ac:dyDescent="0.3">
      <c r="A984" s="11" t="s">
        <v>365</v>
      </c>
      <c r="B984" t="str">
        <f>VLOOKUP(A984,[1]ListadoFichasDeProduccion!$A$2:$LP$3000,328,FALSE)</f>
        <v>COMPLETADO</v>
      </c>
      <c r="C984" s="11">
        <v>12</v>
      </c>
      <c r="D984" t="s">
        <v>33</v>
      </c>
      <c r="E984" t="s">
        <v>62</v>
      </c>
      <c r="G984" s="9">
        <v>45936</v>
      </c>
      <c r="H984" t="s">
        <v>60</v>
      </c>
      <c r="I984" s="11">
        <v>12</v>
      </c>
      <c r="J984" t="str">
        <f>IF(I984="","",IFERROR(IF(INDEX([1]ListadoFichasDeProduccion!LQ:MB,MATCH(A984,[1]ListadoFichasDeProduccion!A:A,0),K984)=0,"",INDEX([1]ListadoFichasDeProduccion!LQ:MB,MATCH(A984,[1]ListadoFichasDeProduccion!A:A,0),K984)),""))</f>
        <v/>
      </c>
      <c r="K984" s="11">
        <v>1</v>
      </c>
    </row>
    <row r="985" spans="1:11" hidden="1" x14ac:dyDescent="0.3">
      <c r="A985" s="11" t="s">
        <v>461</v>
      </c>
      <c r="B985" t="str">
        <f>VLOOKUP(A985,[1]ListadoFichasDeProduccion!$A$2:$LP$3000,328,FALSE)</f>
        <v>COMPLETADO</v>
      </c>
      <c r="C985" s="11">
        <v>8</v>
      </c>
      <c r="D985" t="s">
        <v>33</v>
      </c>
      <c r="E985" t="s">
        <v>62</v>
      </c>
      <c r="G985" s="9">
        <v>45966</v>
      </c>
      <c r="H985" t="s">
        <v>135</v>
      </c>
      <c r="I985" s="11">
        <v>8</v>
      </c>
      <c r="J985" t="str">
        <f>IF(I985="","",IFERROR(IF(INDEX([1]ListadoFichasDeProduccion!LQ:MB,MATCH(A985,[1]ListadoFichasDeProduccion!A:A,0),K985)=0,"",INDEX([1]ListadoFichasDeProduccion!LQ:MB,MATCH(A985,[1]ListadoFichasDeProduccion!A:A,0),K985)),""))</f>
        <v/>
      </c>
      <c r="K985" s="11">
        <v>1</v>
      </c>
    </row>
    <row r="986" spans="1:11" hidden="1" x14ac:dyDescent="0.3">
      <c r="A986" s="11">
        <v>1668</v>
      </c>
      <c r="B986" s="8" t="str">
        <f>VLOOKUP(A986,[1]ListadoFichasDeProduccion!$A$2:$LP$3000,328,FALSE)</f>
        <v>COMPLETADO</v>
      </c>
      <c r="C986" s="11">
        <v>36</v>
      </c>
      <c r="D986" t="s">
        <v>33</v>
      </c>
      <c r="E986" t="s">
        <v>115</v>
      </c>
      <c r="G986" s="9">
        <v>45708</v>
      </c>
      <c r="H986" t="s">
        <v>50</v>
      </c>
      <c r="I986" s="11">
        <v>12</v>
      </c>
      <c r="J986" t="str">
        <f>IF(I986="","",IFERROR(IF(INDEX([1]ListadoFichasDeProduccion!LQ:MB,MATCH(A986,[1]ListadoFichasDeProduccion!A:A,0),K986)=0,"",INDEX([1]ListadoFichasDeProduccion!LQ:MB,MATCH(A986,[1]ListadoFichasDeProduccion!A:A,0),K986)),""))</f>
        <v/>
      </c>
      <c r="K986" s="11">
        <v>1</v>
      </c>
    </row>
    <row r="987" spans="1:11" hidden="1" x14ac:dyDescent="0.3">
      <c r="A987" s="11">
        <v>1668</v>
      </c>
      <c r="B987" s="8" t="str">
        <f>VLOOKUP(A987,[1]ListadoFichasDeProduccion!$A$2:$LP$3000,328,FALSE)</f>
        <v>COMPLETADO</v>
      </c>
      <c r="C987" s="11">
        <v>36</v>
      </c>
      <c r="D987" t="s">
        <v>33</v>
      </c>
      <c r="E987" t="s">
        <v>115</v>
      </c>
      <c r="G987" s="9">
        <v>45708</v>
      </c>
      <c r="H987" t="s">
        <v>31</v>
      </c>
      <c r="I987" s="11">
        <v>12</v>
      </c>
      <c r="J987" t="str">
        <f>IF(I987="","",IFERROR(IF(INDEX([1]ListadoFichasDeProduccion!LQ:MB,MATCH(A987,[1]ListadoFichasDeProduccion!A:A,0),K987)=0,"",INDEX([1]ListadoFichasDeProduccion!LQ:MB,MATCH(A987,[1]ListadoFichasDeProduccion!A:A,0),K987)),""))</f>
        <v/>
      </c>
      <c r="K987" s="11">
        <v>2</v>
      </c>
    </row>
    <row r="988" spans="1:11" hidden="1" x14ac:dyDescent="0.3">
      <c r="A988" s="11">
        <v>1668</v>
      </c>
      <c r="B988" s="8" t="str">
        <f>VLOOKUP(A988,[1]ListadoFichasDeProduccion!$A$2:$LP$3000,328,FALSE)</f>
        <v>COMPLETADO</v>
      </c>
      <c r="C988" s="11">
        <v>36</v>
      </c>
      <c r="D988" t="s">
        <v>33</v>
      </c>
      <c r="E988" t="s">
        <v>115</v>
      </c>
      <c r="G988" s="9">
        <v>45708</v>
      </c>
      <c r="H988" t="s">
        <v>51</v>
      </c>
      <c r="I988" s="11">
        <v>12</v>
      </c>
      <c r="J988" t="str">
        <f>IF(I988="","",IFERROR(IF(INDEX([1]ListadoFichasDeProduccion!LQ:MB,MATCH(A988,[1]ListadoFichasDeProduccion!A:A,0),K988)=0,"",INDEX([1]ListadoFichasDeProduccion!LQ:MB,MATCH(A988,[1]ListadoFichasDeProduccion!A:A,0),K988)),""))</f>
        <v/>
      </c>
      <c r="K988" s="11">
        <v>3</v>
      </c>
    </row>
    <row r="989" spans="1:11" hidden="1" x14ac:dyDescent="0.3">
      <c r="A989" s="11">
        <v>1710</v>
      </c>
      <c r="B989" s="8" t="str">
        <f>VLOOKUP(A989,[1]ListadoFichasDeProduccion!$A$2:$LP$3000,328,FALSE)</f>
        <v>COMPLETADO</v>
      </c>
      <c r="C989" s="11">
        <v>20</v>
      </c>
      <c r="D989" t="s">
        <v>33</v>
      </c>
      <c r="E989" t="s">
        <v>115</v>
      </c>
      <c r="G989" s="9">
        <v>45741</v>
      </c>
      <c r="H989" t="s">
        <v>50</v>
      </c>
      <c r="I989" s="11">
        <v>4</v>
      </c>
      <c r="J989" t="str">
        <f>IF(I989="","",IFERROR(IF(INDEX([1]ListadoFichasDeProduccion!LQ:MB,MATCH(A989,[1]ListadoFichasDeProduccion!A:A,0),K989)=0,"",INDEX([1]ListadoFichasDeProduccion!LQ:MB,MATCH(A989,[1]ListadoFichasDeProduccion!A:A,0),K989)),""))</f>
        <v/>
      </c>
      <c r="K989" s="11">
        <v>1</v>
      </c>
    </row>
    <row r="990" spans="1:11" hidden="1" x14ac:dyDescent="0.3">
      <c r="A990" s="11">
        <v>1710</v>
      </c>
      <c r="B990" s="8" t="str">
        <f>VLOOKUP(A990,[1]ListadoFichasDeProduccion!$A$2:$LP$3000,328,FALSE)</f>
        <v>COMPLETADO</v>
      </c>
      <c r="C990" s="11">
        <v>20</v>
      </c>
      <c r="D990" t="s">
        <v>33</v>
      </c>
      <c r="E990" t="s">
        <v>115</v>
      </c>
      <c r="G990" s="9">
        <v>45741</v>
      </c>
      <c r="H990" t="s">
        <v>31</v>
      </c>
      <c r="I990" s="11">
        <v>4</v>
      </c>
      <c r="J990" t="str">
        <f>IF(I990="","",IFERROR(IF(INDEX([1]ListadoFichasDeProduccion!LQ:MB,MATCH(A990,[1]ListadoFichasDeProduccion!A:A,0),K990)=0,"",INDEX([1]ListadoFichasDeProduccion!LQ:MB,MATCH(A990,[1]ListadoFichasDeProduccion!A:A,0),K990)),""))</f>
        <v/>
      </c>
      <c r="K990" s="11">
        <v>2</v>
      </c>
    </row>
    <row r="991" spans="1:11" hidden="1" x14ac:dyDescent="0.3">
      <c r="A991" s="11">
        <v>1710</v>
      </c>
      <c r="B991" s="8" t="str">
        <f>VLOOKUP(A991,[1]ListadoFichasDeProduccion!$A$2:$LP$3000,328,FALSE)</f>
        <v>COMPLETADO</v>
      </c>
      <c r="C991" s="11">
        <v>20</v>
      </c>
      <c r="D991" t="s">
        <v>33</v>
      </c>
      <c r="E991" t="s">
        <v>115</v>
      </c>
      <c r="G991" s="9">
        <v>45741</v>
      </c>
      <c r="H991" t="s">
        <v>51</v>
      </c>
      <c r="I991" s="11">
        <v>4</v>
      </c>
      <c r="J991" t="str">
        <f>IF(I991="","",IFERROR(IF(INDEX([1]ListadoFichasDeProduccion!LQ:MB,MATCH(A991,[1]ListadoFichasDeProduccion!A:A,0),K991)=0,"",INDEX([1]ListadoFichasDeProduccion!LQ:MB,MATCH(A991,[1]ListadoFichasDeProduccion!A:A,0),K991)),""))</f>
        <v/>
      </c>
      <c r="K991" s="11">
        <v>3</v>
      </c>
    </row>
    <row r="992" spans="1:11" hidden="1" x14ac:dyDescent="0.3">
      <c r="A992" s="11">
        <v>1710</v>
      </c>
      <c r="B992" s="8" t="str">
        <f>VLOOKUP(A992,[1]ListadoFichasDeProduccion!$A$2:$LP$3000,328,FALSE)</f>
        <v>COMPLETADO</v>
      </c>
      <c r="C992" s="11">
        <v>20</v>
      </c>
      <c r="D992" t="s">
        <v>33</v>
      </c>
      <c r="E992" t="s">
        <v>115</v>
      </c>
      <c r="G992" s="9">
        <v>45741</v>
      </c>
      <c r="H992" t="s">
        <v>27</v>
      </c>
      <c r="I992" s="11">
        <v>8</v>
      </c>
      <c r="J992" t="str">
        <f>IF(I992="","",IFERROR(IF(INDEX([1]ListadoFichasDeProduccion!LQ:MB,MATCH(A992,[1]ListadoFichasDeProduccion!A:A,0),K992)=0,"",INDEX([1]ListadoFichasDeProduccion!LQ:MB,MATCH(A992,[1]ListadoFichasDeProduccion!A:A,0),K992)),""))</f>
        <v/>
      </c>
      <c r="K992" s="11">
        <v>4</v>
      </c>
    </row>
    <row r="993" spans="1:11" hidden="1" x14ac:dyDescent="0.3">
      <c r="A993" s="11">
        <v>1723</v>
      </c>
      <c r="B993" s="8" t="str">
        <f>VLOOKUP(A993,[1]ListadoFichasDeProduccion!$A$2:$LP$3000,328,FALSE)</f>
        <v>COMPLETADO</v>
      </c>
      <c r="C993" s="11">
        <v>8</v>
      </c>
      <c r="D993" t="s">
        <v>33</v>
      </c>
      <c r="E993" t="s">
        <v>115</v>
      </c>
      <c r="G993" s="9">
        <v>45754</v>
      </c>
      <c r="H993" t="s">
        <v>123</v>
      </c>
      <c r="I993" s="11">
        <v>4</v>
      </c>
      <c r="J993" t="str">
        <f>IF(I993="","",IFERROR(IF(INDEX([1]ListadoFichasDeProduccion!LQ:MB,MATCH(A993,[1]ListadoFichasDeProduccion!A:A,0),K993)=0,"",INDEX([1]ListadoFichasDeProduccion!LQ:MB,MATCH(A993,[1]ListadoFichasDeProduccion!A:A,0),K993)),""))</f>
        <v/>
      </c>
      <c r="K993" s="11">
        <v>1</v>
      </c>
    </row>
    <row r="994" spans="1:11" hidden="1" x14ac:dyDescent="0.3">
      <c r="A994" s="11">
        <v>1723</v>
      </c>
      <c r="B994" s="8" t="str">
        <f>VLOOKUP(A994,[1]ListadoFichasDeProduccion!$A$2:$LP$3000,328,FALSE)</f>
        <v>COMPLETADO</v>
      </c>
      <c r="C994" s="11">
        <v>8</v>
      </c>
      <c r="D994" t="s">
        <v>33</v>
      </c>
      <c r="E994" t="s">
        <v>115</v>
      </c>
      <c r="G994" s="9">
        <v>45754</v>
      </c>
      <c r="H994" t="s">
        <v>19</v>
      </c>
      <c r="I994" s="11">
        <v>4</v>
      </c>
      <c r="J994" t="str">
        <f>IF(I994="","",IFERROR(IF(INDEX([1]ListadoFichasDeProduccion!LQ:MB,MATCH(A994,[1]ListadoFichasDeProduccion!A:A,0),K994)=0,"",INDEX([1]ListadoFichasDeProduccion!LQ:MB,MATCH(A994,[1]ListadoFichasDeProduccion!A:A,0),K994)),""))</f>
        <v/>
      </c>
      <c r="K994" s="11">
        <v>2</v>
      </c>
    </row>
    <row r="995" spans="1:11" hidden="1" x14ac:dyDescent="0.3">
      <c r="A995" s="11">
        <v>1831</v>
      </c>
      <c r="B995" s="8" t="str">
        <f>VLOOKUP(A995,[1]ListadoFichasDeProduccion!$A$2:$LP$3000,328,FALSE)</f>
        <v>COMPLETADO</v>
      </c>
      <c r="C995" s="11">
        <v>8</v>
      </c>
      <c r="D995" t="s">
        <v>33</v>
      </c>
      <c r="E995" t="s">
        <v>115</v>
      </c>
      <c r="G995" s="9">
        <v>45814</v>
      </c>
      <c r="H995" t="s">
        <v>51</v>
      </c>
      <c r="I995" s="11">
        <v>4</v>
      </c>
      <c r="J995" t="str">
        <f>IF(I995="","",IFERROR(IF(INDEX([1]ListadoFichasDeProduccion!LQ:MB,MATCH(A995,[1]ListadoFichasDeProduccion!A:A,0),K995)=0,"",INDEX([1]ListadoFichasDeProduccion!LQ:MB,MATCH(A995,[1]ListadoFichasDeProduccion!A:A,0),K995)),""))</f>
        <v/>
      </c>
      <c r="K995" s="11">
        <v>1</v>
      </c>
    </row>
    <row r="996" spans="1:11" hidden="1" x14ac:dyDescent="0.3">
      <c r="A996" s="11">
        <v>1831</v>
      </c>
      <c r="B996" s="8" t="str">
        <f>VLOOKUP(A996,[1]ListadoFichasDeProduccion!$A$2:$LP$3000,328,FALSE)</f>
        <v>COMPLETADO</v>
      </c>
      <c r="C996" s="11">
        <v>8</v>
      </c>
      <c r="D996" t="s">
        <v>33</v>
      </c>
      <c r="E996" t="s">
        <v>115</v>
      </c>
      <c r="G996" s="9">
        <v>45814</v>
      </c>
      <c r="H996" t="s">
        <v>31</v>
      </c>
      <c r="I996" s="11">
        <v>4</v>
      </c>
      <c r="J996" t="str">
        <f>IF(I996="","",IFERROR(IF(INDEX([1]ListadoFichasDeProduccion!LQ:MB,MATCH(A996,[1]ListadoFichasDeProduccion!A:A,0),K996)=0,"",INDEX([1]ListadoFichasDeProduccion!LQ:MB,MATCH(A996,[1]ListadoFichasDeProduccion!A:A,0),K996)),""))</f>
        <v/>
      </c>
      <c r="K996" s="11">
        <v>2</v>
      </c>
    </row>
    <row r="997" spans="1:11" hidden="1" x14ac:dyDescent="0.3">
      <c r="A997" s="11">
        <v>1770</v>
      </c>
      <c r="B997" s="8" t="str">
        <f>VLOOKUP(A997,[1]ListadoFichasDeProduccion!$A$2:$LP$3000,328,FALSE)</f>
        <v>COMPLETADO</v>
      </c>
      <c r="C997" s="11">
        <v>26</v>
      </c>
      <c r="D997" t="s">
        <v>33</v>
      </c>
      <c r="E997" t="s">
        <v>115</v>
      </c>
      <c r="G997" s="9">
        <v>45779</v>
      </c>
      <c r="H997" t="s">
        <v>123</v>
      </c>
      <c r="I997" s="11">
        <v>6</v>
      </c>
      <c r="J997" t="str">
        <f>IF(I997="","",IFERROR(IF(INDEX([1]ListadoFichasDeProduccion!LQ:MB,MATCH(A997,[1]ListadoFichasDeProduccion!A:A,0),K997)=0,"",INDEX([1]ListadoFichasDeProduccion!LQ:MB,MATCH(A997,[1]ListadoFichasDeProduccion!A:A,0),K997)),""))</f>
        <v/>
      </c>
      <c r="K997" s="11">
        <v>1</v>
      </c>
    </row>
    <row r="998" spans="1:11" hidden="1" x14ac:dyDescent="0.3">
      <c r="A998" s="11">
        <v>1770</v>
      </c>
      <c r="B998" s="8" t="str">
        <f>VLOOKUP(A998,[1]ListadoFichasDeProduccion!$A$2:$LP$3000,328,FALSE)</f>
        <v>COMPLETADO</v>
      </c>
      <c r="C998" s="11">
        <v>26</v>
      </c>
      <c r="D998" t="s">
        <v>33</v>
      </c>
      <c r="E998" t="s">
        <v>115</v>
      </c>
      <c r="G998" s="9">
        <v>45779</v>
      </c>
      <c r="H998" t="s">
        <v>19</v>
      </c>
      <c r="I998" s="11">
        <v>6</v>
      </c>
      <c r="J998" t="str">
        <f>IF(I998="","",IFERROR(IF(INDEX([1]ListadoFichasDeProduccion!LQ:MB,MATCH(A998,[1]ListadoFichasDeProduccion!A:A,0),K998)=0,"",INDEX([1]ListadoFichasDeProduccion!LQ:MB,MATCH(A998,[1]ListadoFichasDeProduccion!A:A,0),K998)),""))</f>
        <v/>
      </c>
      <c r="K998" s="11">
        <v>2</v>
      </c>
    </row>
    <row r="999" spans="1:11" hidden="1" x14ac:dyDescent="0.3">
      <c r="A999" s="11">
        <v>1770</v>
      </c>
      <c r="B999" s="8" t="str">
        <f>VLOOKUP(A999,[1]ListadoFichasDeProduccion!$A$2:$LP$3000,328,FALSE)</f>
        <v>COMPLETADO</v>
      </c>
      <c r="C999" s="11">
        <v>26</v>
      </c>
      <c r="D999" t="s">
        <v>33</v>
      </c>
      <c r="E999" t="s">
        <v>115</v>
      </c>
      <c r="G999" s="9">
        <v>45779</v>
      </c>
      <c r="H999" t="s">
        <v>31</v>
      </c>
      <c r="I999" s="11">
        <v>8</v>
      </c>
      <c r="J999" t="str">
        <f>IF(I999="","",IFERROR(IF(INDEX([1]ListadoFichasDeProduccion!LQ:MB,MATCH(A999,[1]ListadoFichasDeProduccion!A:A,0),K999)=0,"",INDEX([1]ListadoFichasDeProduccion!LQ:MB,MATCH(A999,[1]ListadoFichasDeProduccion!A:A,0),K999)),""))</f>
        <v/>
      </c>
      <c r="K999" s="11">
        <v>3</v>
      </c>
    </row>
    <row r="1000" spans="1:11" hidden="1" x14ac:dyDescent="0.3">
      <c r="A1000" s="11">
        <v>1770</v>
      </c>
      <c r="B1000" s="8" t="str">
        <f>VLOOKUP(A1000,[1]ListadoFichasDeProduccion!$A$2:$LP$3000,328,FALSE)</f>
        <v>COMPLETADO</v>
      </c>
      <c r="C1000" s="11">
        <v>26</v>
      </c>
      <c r="D1000" t="s">
        <v>33</v>
      </c>
      <c r="E1000" t="s">
        <v>115</v>
      </c>
      <c r="G1000" s="9">
        <v>45779</v>
      </c>
      <c r="H1000" t="s">
        <v>50</v>
      </c>
      <c r="I1000" s="11">
        <v>2</v>
      </c>
      <c r="J1000" t="str">
        <f>IF(I1000="","",IFERROR(IF(INDEX([1]ListadoFichasDeProduccion!LQ:MB,MATCH(A1000,[1]ListadoFichasDeProduccion!A:A,0),K1000)=0,"",INDEX([1]ListadoFichasDeProduccion!LQ:MB,MATCH(A1000,[1]ListadoFichasDeProduccion!A:A,0),K1000)),""))</f>
        <v/>
      </c>
      <c r="K1000" s="11">
        <v>4</v>
      </c>
    </row>
    <row r="1001" spans="1:11" hidden="1" x14ac:dyDescent="0.3">
      <c r="A1001" s="11">
        <v>1770</v>
      </c>
      <c r="B1001" s="8" t="str">
        <f>VLOOKUP(A1001,[1]ListadoFichasDeProduccion!$A$2:$LP$3000,328,FALSE)</f>
        <v>COMPLETADO</v>
      </c>
      <c r="C1001" s="11">
        <v>26</v>
      </c>
      <c r="D1001" t="s">
        <v>33</v>
      </c>
      <c r="E1001" t="s">
        <v>115</v>
      </c>
      <c r="G1001" s="9">
        <v>45779</v>
      </c>
      <c r="H1001" t="s">
        <v>51</v>
      </c>
      <c r="I1001" s="11">
        <v>4</v>
      </c>
      <c r="J1001" t="str">
        <f>IF(I1001="","",IFERROR(IF(INDEX([1]ListadoFichasDeProduccion!LQ:MB,MATCH(A1001,[1]ListadoFichasDeProduccion!A:A,0),K1001)=0,"",INDEX([1]ListadoFichasDeProduccion!LQ:MB,MATCH(A1001,[1]ListadoFichasDeProduccion!A:A,0),K1001)),""))</f>
        <v/>
      </c>
      <c r="K1001" s="11">
        <v>5</v>
      </c>
    </row>
    <row r="1002" spans="1:11" hidden="1" x14ac:dyDescent="0.3">
      <c r="A1002" s="11">
        <v>1885</v>
      </c>
      <c r="B1002" s="8" t="str">
        <f>VLOOKUP(A1002,[1]ListadoFichasDeProduccion!$A$2:$LP$3000,328,FALSE)</f>
        <v>COMPLETADO</v>
      </c>
      <c r="C1002" s="11">
        <v>14</v>
      </c>
      <c r="D1002" t="s">
        <v>33</v>
      </c>
      <c r="E1002" t="s">
        <v>115</v>
      </c>
      <c r="G1002" s="9">
        <v>45841</v>
      </c>
      <c r="H1002" t="s">
        <v>123</v>
      </c>
      <c r="I1002" s="11">
        <v>6</v>
      </c>
      <c r="J1002" t="str">
        <f>IF(I1002="","",IFERROR(IF(INDEX([1]ListadoFichasDeProduccion!LQ:MB,MATCH(A1002,[1]ListadoFichasDeProduccion!A:A,0),K1002)=0,"",INDEX([1]ListadoFichasDeProduccion!LQ:MB,MATCH(A1002,[1]ListadoFichasDeProduccion!A:A,0),K1002)),""))</f>
        <v>QUE SE VEA LA MANCHA SI NO SALE DE RETAZOS USAR PLACA</v>
      </c>
      <c r="K1002" s="11">
        <v>1</v>
      </c>
    </row>
    <row r="1003" spans="1:11" hidden="1" x14ac:dyDescent="0.3">
      <c r="A1003" s="11">
        <v>1885</v>
      </c>
      <c r="B1003" s="8" t="str">
        <f>VLOOKUP(A1003,[1]ListadoFichasDeProduccion!$A$2:$LP$3000,328,FALSE)</f>
        <v>COMPLETADO</v>
      </c>
      <c r="C1003" s="11">
        <v>14</v>
      </c>
      <c r="D1003" t="s">
        <v>33</v>
      </c>
      <c r="E1003" t="s">
        <v>115</v>
      </c>
      <c r="G1003" s="9">
        <v>45841</v>
      </c>
      <c r="H1003" t="s">
        <v>19</v>
      </c>
      <c r="I1003" s="11">
        <v>2</v>
      </c>
      <c r="J1003" t="str">
        <f>IF(I1003="","",IFERROR(IF(INDEX([1]ListadoFichasDeProduccion!LQ:MB,MATCH(A1003,[1]ListadoFichasDeProduccion!A:A,0),K1003)=0,"",INDEX([1]ListadoFichasDeProduccion!LQ:MB,MATCH(A1003,[1]ListadoFichasDeProduccion!A:A,0),K1003)),""))</f>
        <v>QUE SE VEA LA MANCHA SI NO SALE DE RETAZOS USAR PLACA</v>
      </c>
      <c r="K1003" s="11">
        <v>2</v>
      </c>
    </row>
    <row r="1004" spans="1:11" hidden="1" x14ac:dyDescent="0.3">
      <c r="A1004" s="11">
        <v>1885</v>
      </c>
      <c r="B1004" s="8" t="str">
        <f>VLOOKUP(A1004,[1]ListadoFichasDeProduccion!$A$2:$LP$3000,328,FALSE)</f>
        <v>COMPLETADO</v>
      </c>
      <c r="C1004" s="11">
        <v>14</v>
      </c>
      <c r="D1004" t="s">
        <v>33</v>
      </c>
      <c r="E1004" t="s">
        <v>115</v>
      </c>
      <c r="G1004" s="9">
        <v>45841</v>
      </c>
      <c r="H1004" t="s">
        <v>27</v>
      </c>
      <c r="I1004" s="11">
        <v>6</v>
      </c>
      <c r="J1004" t="str">
        <f>IF(I1004="","",IFERROR(IF(INDEX([1]ListadoFichasDeProduccion!LQ:MB,MATCH(A1004,[1]ListadoFichasDeProduccion!A:A,0),K1004)=0,"",INDEX([1]ListadoFichasDeProduccion!LQ:MB,MATCH(A1004,[1]ListadoFichasDeProduccion!A:A,0),K1004)),""))</f>
        <v/>
      </c>
      <c r="K1004" s="11">
        <v>3</v>
      </c>
    </row>
    <row r="1005" spans="1:11" hidden="1" x14ac:dyDescent="0.3">
      <c r="A1005" s="11">
        <v>1918</v>
      </c>
      <c r="B1005" s="8" t="str">
        <f>VLOOKUP(A1005,[1]ListadoFichasDeProduccion!$A$2:$LP$3000,328,FALSE)</f>
        <v>COMPLETADO</v>
      </c>
      <c r="C1005" s="11">
        <v>21</v>
      </c>
      <c r="D1005" t="s">
        <v>33</v>
      </c>
      <c r="E1005" t="s">
        <v>115</v>
      </c>
      <c r="G1005" s="9">
        <v>45868</v>
      </c>
      <c r="H1005" t="s">
        <v>31</v>
      </c>
      <c r="I1005" s="11">
        <v>12</v>
      </c>
      <c r="J1005" t="str">
        <f>IF(I1005="","",IFERROR(IF(INDEX([1]ListadoFichasDeProduccion!LQ:MB,MATCH(A1005,[1]ListadoFichasDeProduccion!A:A,0),K1005)=0,"",INDEX([1]ListadoFichasDeProduccion!LQ:MB,MATCH(A1005,[1]ListadoFichasDeProduccion!A:A,0),K1005)),""))</f>
        <v/>
      </c>
      <c r="K1005" s="11">
        <v>1</v>
      </c>
    </row>
    <row r="1006" spans="1:11" hidden="1" x14ac:dyDescent="0.3">
      <c r="A1006" s="11">
        <v>1918</v>
      </c>
      <c r="B1006" s="8" t="str">
        <f>VLOOKUP(A1006,[1]ListadoFichasDeProduccion!$A$2:$LP$3000,328,FALSE)</f>
        <v>COMPLETADO</v>
      </c>
      <c r="C1006" s="11">
        <v>21</v>
      </c>
      <c r="D1006" t="s">
        <v>33</v>
      </c>
      <c r="E1006" t="s">
        <v>115</v>
      </c>
      <c r="G1006" s="9">
        <v>45868</v>
      </c>
      <c r="H1006" t="s">
        <v>50</v>
      </c>
      <c r="I1006" s="11">
        <v>6</v>
      </c>
      <c r="J1006" t="str">
        <f>IF(I1006="","",IFERROR(IF(INDEX([1]ListadoFichasDeProduccion!LQ:MB,MATCH(A1006,[1]ListadoFichasDeProduccion!A:A,0),K1006)=0,"",INDEX([1]ListadoFichasDeProduccion!LQ:MB,MATCH(A1006,[1]ListadoFichasDeProduccion!A:A,0),K1006)),""))</f>
        <v/>
      </c>
      <c r="K1006" s="11">
        <v>2</v>
      </c>
    </row>
    <row r="1007" spans="1:11" hidden="1" x14ac:dyDescent="0.3">
      <c r="A1007" s="11">
        <v>1918</v>
      </c>
      <c r="B1007" s="8" t="str">
        <f>VLOOKUP(A1007,[1]ListadoFichasDeProduccion!$A$2:$LP$3000,328,FALSE)</f>
        <v>COMPLETADO</v>
      </c>
      <c r="C1007" s="11">
        <v>21</v>
      </c>
      <c r="D1007" t="s">
        <v>33</v>
      </c>
      <c r="E1007" t="s">
        <v>115</v>
      </c>
      <c r="G1007" s="9">
        <v>45868</v>
      </c>
      <c r="H1007" t="s">
        <v>27</v>
      </c>
      <c r="I1007" s="11">
        <v>3</v>
      </c>
      <c r="J1007" t="str">
        <f>IF(I1007="","",IFERROR(IF(INDEX([1]ListadoFichasDeProduccion!LQ:MB,MATCH(A1007,[1]ListadoFichasDeProduccion!A:A,0),K1007)=0,"",INDEX([1]ListadoFichasDeProduccion!LQ:MB,MATCH(A1007,[1]ListadoFichasDeProduccion!A:A,0),K1007)),""))</f>
        <v/>
      </c>
      <c r="K1007" s="11">
        <v>3</v>
      </c>
    </row>
    <row r="1008" spans="1:11" hidden="1" x14ac:dyDescent="0.3">
      <c r="A1008" s="11" t="s">
        <v>370</v>
      </c>
      <c r="B1008" t="str">
        <f>VLOOKUP(A1008,[1]ListadoFichasDeProduccion!$A$2:$LP$3000,328,FALSE)</f>
        <v>COMPLETADO</v>
      </c>
      <c r="C1008" s="11">
        <v>24</v>
      </c>
      <c r="D1008" t="s">
        <v>33</v>
      </c>
      <c r="E1008" t="s">
        <v>115</v>
      </c>
      <c r="G1008" s="9">
        <v>45917</v>
      </c>
      <c r="H1008" t="s">
        <v>31</v>
      </c>
      <c r="I1008" s="11">
        <v>9</v>
      </c>
      <c r="J1008" t="str">
        <f>IF(I1008="","",IFERROR(IF(INDEX([1]ListadoFichasDeProduccion!LQ:MB,MATCH(A1008,[1]ListadoFichasDeProduccion!A:A,0),K1008)=0,"",INDEX([1]ListadoFichasDeProduccion!LQ:MB,MATCH(A1008,[1]ListadoFichasDeProduccion!A:A,0),K1008)),""))</f>
        <v/>
      </c>
      <c r="K1008" s="11">
        <v>1</v>
      </c>
    </row>
    <row r="1009" spans="1:11" hidden="1" x14ac:dyDescent="0.3">
      <c r="A1009" s="11" t="s">
        <v>370</v>
      </c>
      <c r="B1009" t="str">
        <f>VLOOKUP(A1009,[1]ListadoFichasDeProduccion!$A$2:$LP$3000,328,FALSE)</f>
        <v>COMPLETADO</v>
      </c>
      <c r="C1009" s="11">
        <v>24</v>
      </c>
      <c r="D1009" t="s">
        <v>33</v>
      </c>
      <c r="E1009" t="s">
        <v>115</v>
      </c>
      <c r="G1009" s="9">
        <v>45917</v>
      </c>
      <c r="H1009" t="s">
        <v>50</v>
      </c>
      <c r="I1009" s="11">
        <v>4</v>
      </c>
      <c r="J1009" t="str">
        <f>IF(I1009="","",IFERROR(IF(INDEX([1]ListadoFichasDeProduccion!LQ:MB,MATCH(A1009,[1]ListadoFichasDeProduccion!A:A,0),K1009)=0,"",INDEX([1]ListadoFichasDeProduccion!LQ:MB,MATCH(A1009,[1]ListadoFichasDeProduccion!A:A,0),K1009)),""))</f>
        <v/>
      </c>
      <c r="K1009" s="11">
        <v>2</v>
      </c>
    </row>
    <row r="1010" spans="1:11" hidden="1" x14ac:dyDescent="0.3">
      <c r="A1010" s="11" t="s">
        <v>370</v>
      </c>
      <c r="B1010" t="str">
        <f>VLOOKUP(A1010,[1]ListadoFichasDeProduccion!$A$2:$LP$3000,328,FALSE)</f>
        <v>COMPLETADO</v>
      </c>
      <c r="C1010" s="11">
        <v>24</v>
      </c>
      <c r="D1010" t="s">
        <v>33</v>
      </c>
      <c r="E1010" t="s">
        <v>115</v>
      </c>
      <c r="G1010" s="9">
        <v>45917</v>
      </c>
      <c r="H1010" t="s">
        <v>27</v>
      </c>
      <c r="I1010" s="11">
        <v>9</v>
      </c>
      <c r="J1010" t="str">
        <f>IF(I1010="","",IFERROR(IF(INDEX([1]ListadoFichasDeProduccion!LQ:MB,MATCH(A1010,[1]ListadoFichasDeProduccion!A:A,0),K1010)=0,"",INDEX([1]ListadoFichasDeProduccion!LQ:MB,MATCH(A1010,[1]ListadoFichasDeProduccion!A:A,0),K1010)),""))</f>
        <v/>
      </c>
      <c r="K1010" s="11">
        <v>3</v>
      </c>
    </row>
    <row r="1011" spans="1:11" hidden="1" x14ac:dyDescent="0.3">
      <c r="A1011" s="11" t="s">
        <v>370</v>
      </c>
      <c r="B1011" t="str">
        <f>VLOOKUP(A1011,[1]ListadoFichasDeProduccion!$A$2:$LP$3000,328,FALSE)</f>
        <v>COMPLETADO</v>
      </c>
      <c r="C1011" s="11">
        <v>24</v>
      </c>
      <c r="D1011" t="s">
        <v>33</v>
      </c>
      <c r="E1011" t="s">
        <v>115</v>
      </c>
      <c r="G1011" s="9">
        <v>45917</v>
      </c>
      <c r="H1011" t="s">
        <v>51</v>
      </c>
      <c r="I1011" s="11">
        <v>2</v>
      </c>
      <c r="J1011" t="str">
        <f>IF(I1011="","",IFERROR(IF(INDEX([1]ListadoFichasDeProduccion!LQ:MB,MATCH(A1011,[1]ListadoFichasDeProduccion!A:A,0),K1011)=0,"",INDEX([1]ListadoFichasDeProduccion!LQ:MB,MATCH(A1011,[1]ListadoFichasDeProduccion!A:A,0),K1011)),""))</f>
        <v/>
      </c>
      <c r="K1011" s="11">
        <v>4</v>
      </c>
    </row>
    <row r="1012" spans="1:11" hidden="1" x14ac:dyDescent="0.3">
      <c r="A1012" s="11" t="s">
        <v>371</v>
      </c>
      <c r="B1012" t="str">
        <f>VLOOKUP(A1012,[1]ListadoFichasDeProduccion!$A$2:$LP$3000,328,FALSE)</f>
        <v>COMPLETADO</v>
      </c>
      <c r="C1012" s="11">
        <v>6</v>
      </c>
      <c r="D1012" t="s">
        <v>33</v>
      </c>
      <c r="E1012" t="s">
        <v>115</v>
      </c>
      <c r="G1012" s="9">
        <v>45936</v>
      </c>
      <c r="H1012" t="s">
        <v>31</v>
      </c>
      <c r="I1012" s="11">
        <v>4</v>
      </c>
      <c r="J1012" t="str">
        <f>IF(I1012="","",IFERROR(IF(INDEX([1]ListadoFichasDeProduccion!LQ:MB,MATCH(A1012,[1]ListadoFichasDeProduccion!A:A,0),K1012)=0,"",INDEX([1]ListadoFichasDeProduccion!LQ:MB,MATCH(A1012,[1]ListadoFichasDeProduccion!A:A,0),K1012)),""))</f>
        <v/>
      </c>
      <c r="K1012" s="11">
        <v>1</v>
      </c>
    </row>
    <row r="1013" spans="1:11" hidden="1" x14ac:dyDescent="0.3">
      <c r="A1013" s="11" t="s">
        <v>371</v>
      </c>
      <c r="B1013" t="str">
        <f>VLOOKUP(A1013,[1]ListadoFichasDeProduccion!$A$2:$LP$3000,328,FALSE)</f>
        <v>COMPLETADO</v>
      </c>
      <c r="C1013" s="11">
        <v>6</v>
      </c>
      <c r="D1013" t="s">
        <v>33</v>
      </c>
      <c r="E1013" t="s">
        <v>115</v>
      </c>
      <c r="G1013" s="9">
        <v>45936</v>
      </c>
      <c r="H1013" t="s">
        <v>50</v>
      </c>
      <c r="I1013" s="11">
        <v>2</v>
      </c>
      <c r="J1013" t="str">
        <f>IF(I1013="","",IFERROR(IF(INDEX([1]ListadoFichasDeProduccion!LQ:MB,MATCH(A1013,[1]ListadoFichasDeProduccion!A:A,0),K1013)=0,"",INDEX([1]ListadoFichasDeProduccion!LQ:MB,MATCH(A1013,[1]ListadoFichasDeProduccion!A:A,0),K1013)),""))</f>
        <v/>
      </c>
      <c r="K1013" s="11">
        <v>2</v>
      </c>
    </row>
    <row r="1014" spans="1:11" hidden="1" x14ac:dyDescent="0.3">
      <c r="A1014" s="11" t="s">
        <v>408</v>
      </c>
      <c r="B1014" t="str">
        <f>VLOOKUP(A1014,[1]ListadoFichasDeProduccion!$A$2:$LP$3000,328,FALSE)</f>
        <v>COMPLETADO</v>
      </c>
      <c r="C1014" s="11">
        <v>6</v>
      </c>
      <c r="D1014" t="s">
        <v>33</v>
      </c>
      <c r="E1014" t="s">
        <v>115</v>
      </c>
      <c r="G1014" s="9">
        <v>45951</v>
      </c>
      <c r="H1014" t="s">
        <v>123</v>
      </c>
      <c r="I1014" s="11">
        <v>6</v>
      </c>
      <c r="J1014" t="str">
        <f>IF(I1014="","",IFERROR(IF(INDEX([1]ListadoFichasDeProduccion!LQ:MB,MATCH(A1014,[1]ListadoFichasDeProduccion!A:A,0),K1014)=0,"",INDEX([1]ListadoFichasDeProduccion!LQ:MB,MATCH(A1014,[1]ListadoFichasDeProduccion!A:A,0),K1014)),""))</f>
        <v>QUE SE VEA LA MANCHA SI NO SALE DE RETAZOS USAR PLACA</v>
      </c>
      <c r="K1014" s="11">
        <v>1</v>
      </c>
    </row>
    <row r="1015" spans="1:11" hidden="1" x14ac:dyDescent="0.3">
      <c r="A1015" s="11" t="s">
        <v>416</v>
      </c>
      <c r="B1015" t="str">
        <f>VLOOKUP(A1015,[1]ListadoFichasDeProduccion!$A$2:$LP$3000,328,FALSE)</f>
        <v>COMPLETADO</v>
      </c>
      <c r="C1015" s="11">
        <v>6</v>
      </c>
      <c r="D1015" t="s">
        <v>33</v>
      </c>
      <c r="E1015" t="s">
        <v>115</v>
      </c>
      <c r="G1015" s="9">
        <v>45951</v>
      </c>
      <c r="H1015" t="s">
        <v>27</v>
      </c>
      <c r="I1015" s="11">
        <v>6</v>
      </c>
      <c r="J1015" t="str">
        <f>IF(I1015="","",IFERROR(IF(INDEX([1]ListadoFichasDeProduccion!LQ:MB,MATCH(A1015,[1]ListadoFichasDeProduccion!A:A,0),K1015)=0,"",INDEX([1]ListadoFichasDeProduccion!LQ:MB,MATCH(A1015,[1]ListadoFichasDeProduccion!A:A,0),K1015)),""))</f>
        <v>QUE SE VEA LA MANCHA SI NO SALE DE RETAZOS USAR PLACA</v>
      </c>
      <c r="K1015" s="11">
        <v>1</v>
      </c>
    </row>
    <row r="1016" spans="1:11" x14ac:dyDescent="0.3">
      <c r="A1016" s="11" t="s">
        <v>479</v>
      </c>
      <c r="B1016" t="str">
        <f>VLOOKUP(A1016,[1]ListadoFichasDeProduccion!$A$2:$LP$3000,328,FALSE)</f>
        <v>NO COMENZADO</v>
      </c>
      <c r="C1016" s="11">
        <v>6</v>
      </c>
      <c r="D1016" t="s">
        <v>33</v>
      </c>
      <c r="E1016" t="s">
        <v>115</v>
      </c>
      <c r="H1016" t="s">
        <v>123</v>
      </c>
      <c r="I1016" s="11">
        <v>6</v>
      </c>
      <c r="J1016" t="str">
        <f>IF(I1016="","",IFERROR(IF(INDEX([1]ListadoFichasDeProduccion!LQ:MB,MATCH(A1016,[1]ListadoFichasDeProduccion!A:A,0),K1016)=0,"",INDEX([1]ListadoFichasDeProduccion!LQ:MB,MATCH(A1016,[1]ListadoFichasDeProduccion!A:A,0),K1016)),""))</f>
        <v/>
      </c>
      <c r="K1016" s="11">
        <v>1</v>
      </c>
    </row>
    <row r="1017" spans="1:11" hidden="1" x14ac:dyDescent="0.3">
      <c r="A1017" s="11">
        <v>1675</v>
      </c>
      <c r="B1017" s="8" t="str">
        <f>VLOOKUP(A1017,[1]ListadoFichasDeProduccion!$A$2:$LP$3000,328,FALSE)</f>
        <v>COMPLETADO</v>
      </c>
      <c r="C1017" s="11">
        <v>26</v>
      </c>
      <c r="D1017" t="s">
        <v>33</v>
      </c>
      <c r="E1017" t="s">
        <v>117</v>
      </c>
      <c r="F1017" t="s">
        <v>118</v>
      </c>
      <c r="G1017" s="9">
        <v>45734</v>
      </c>
      <c r="H1017" t="s">
        <v>119</v>
      </c>
      <c r="I1017" s="11">
        <v>8</v>
      </c>
      <c r="J1017" t="str">
        <f>IF(I1017="","",IFERROR(IF(INDEX([1]ListadoFichasDeProduccion!LQ:MB,MATCH(A1017,[1]ListadoFichasDeProduccion!A:A,0),K1017)=0,"",INDEX([1]ListadoFichasDeProduccion!LQ:MB,MATCH(A1017,[1]ListadoFichasDeProduccion!A:A,0),K1017)),""))</f>
        <v/>
      </c>
      <c r="K1017" s="11">
        <v>1</v>
      </c>
    </row>
    <row r="1018" spans="1:11" hidden="1" x14ac:dyDescent="0.3">
      <c r="A1018" s="11">
        <v>1675</v>
      </c>
      <c r="B1018" s="8" t="str">
        <f>VLOOKUP(A1018,[1]ListadoFichasDeProduccion!$A$2:$LP$3000,328,FALSE)</f>
        <v>COMPLETADO</v>
      </c>
      <c r="C1018" s="11">
        <v>26</v>
      </c>
      <c r="D1018" t="s">
        <v>33</v>
      </c>
      <c r="E1018" t="s">
        <v>117</v>
      </c>
      <c r="F1018" t="s">
        <v>118</v>
      </c>
      <c r="G1018" s="9">
        <v>45734</v>
      </c>
      <c r="H1018" t="s">
        <v>120</v>
      </c>
      <c r="I1018" s="11">
        <v>10</v>
      </c>
      <c r="J1018" t="str">
        <f>IF(I1018="","",IFERROR(IF(INDEX([1]ListadoFichasDeProduccion!LQ:MB,MATCH(A1018,[1]ListadoFichasDeProduccion!A:A,0),K1018)=0,"",INDEX([1]ListadoFichasDeProduccion!LQ:MB,MATCH(A1018,[1]ListadoFichasDeProduccion!A:A,0),K1018)),""))</f>
        <v/>
      </c>
      <c r="K1018" s="11">
        <v>2</v>
      </c>
    </row>
    <row r="1019" spans="1:11" hidden="1" x14ac:dyDescent="0.3">
      <c r="A1019" s="11">
        <v>1675</v>
      </c>
      <c r="B1019" s="8" t="str">
        <f>VLOOKUP(A1019,[1]ListadoFichasDeProduccion!$A$2:$LP$3000,328,FALSE)</f>
        <v>COMPLETADO</v>
      </c>
      <c r="C1019" s="11">
        <v>26</v>
      </c>
      <c r="D1019" t="s">
        <v>33</v>
      </c>
      <c r="E1019" t="s">
        <v>117</v>
      </c>
      <c r="F1019" t="s">
        <v>118</v>
      </c>
      <c r="G1019" s="9">
        <v>45734</v>
      </c>
      <c r="H1019" t="s">
        <v>121</v>
      </c>
      <c r="I1019" s="11">
        <v>8</v>
      </c>
      <c r="J1019" t="str">
        <f>IF(I1019="","",IFERROR(IF(INDEX([1]ListadoFichasDeProduccion!LQ:MB,MATCH(A1019,[1]ListadoFichasDeProduccion!A:A,0),K1019)=0,"",INDEX([1]ListadoFichasDeProduccion!LQ:MB,MATCH(A1019,[1]ListadoFichasDeProduccion!A:A,0),K1019)),""))</f>
        <v/>
      </c>
      <c r="K1019" s="11">
        <v>3</v>
      </c>
    </row>
    <row r="1020" spans="1:11" hidden="1" x14ac:dyDescent="0.3">
      <c r="A1020" s="11">
        <v>1771</v>
      </c>
      <c r="B1020" s="8" t="str">
        <f>VLOOKUP(A1020,[1]ListadoFichasDeProduccion!$A$2:$LP$3000,328,FALSE)</f>
        <v>COMPLETADO</v>
      </c>
      <c r="C1020" s="11">
        <v>10</v>
      </c>
      <c r="D1020" t="s">
        <v>33</v>
      </c>
      <c r="E1020" t="s">
        <v>117</v>
      </c>
      <c r="F1020" t="s">
        <v>118</v>
      </c>
      <c r="G1020" s="9">
        <v>45779</v>
      </c>
      <c r="H1020" t="s">
        <v>119</v>
      </c>
      <c r="I1020" s="11">
        <v>2</v>
      </c>
      <c r="J1020" t="str">
        <f>IF(I1020="","",IFERROR(IF(INDEX([1]ListadoFichasDeProduccion!LQ:MB,MATCH(A1020,[1]ListadoFichasDeProduccion!A:A,0),K1020)=0,"",INDEX([1]ListadoFichasDeProduccion!LQ:MB,MATCH(A1020,[1]ListadoFichasDeProduccion!A:A,0),K1020)),""))</f>
        <v/>
      </c>
      <c r="K1020" s="11">
        <v>1</v>
      </c>
    </row>
    <row r="1021" spans="1:11" hidden="1" x14ac:dyDescent="0.3">
      <c r="A1021" s="11">
        <v>1771</v>
      </c>
      <c r="B1021" s="8" t="str">
        <f>VLOOKUP(A1021,[1]ListadoFichasDeProduccion!$A$2:$LP$3000,328,FALSE)</f>
        <v>COMPLETADO</v>
      </c>
      <c r="C1021" s="11">
        <v>10</v>
      </c>
      <c r="D1021" t="s">
        <v>33</v>
      </c>
      <c r="E1021" t="s">
        <v>117</v>
      </c>
      <c r="F1021" t="s">
        <v>118</v>
      </c>
      <c r="G1021" s="9">
        <v>45779</v>
      </c>
      <c r="H1021" t="s">
        <v>120</v>
      </c>
      <c r="I1021" s="11">
        <v>4</v>
      </c>
      <c r="J1021" t="str">
        <f>IF(I1021="","",IFERROR(IF(INDEX([1]ListadoFichasDeProduccion!LQ:MB,MATCH(A1021,[1]ListadoFichasDeProduccion!A:A,0),K1021)=0,"",INDEX([1]ListadoFichasDeProduccion!LQ:MB,MATCH(A1021,[1]ListadoFichasDeProduccion!A:A,0),K1021)),""))</f>
        <v/>
      </c>
      <c r="K1021" s="11">
        <v>2</v>
      </c>
    </row>
    <row r="1022" spans="1:11" hidden="1" x14ac:dyDescent="0.3">
      <c r="A1022" s="11">
        <v>1771</v>
      </c>
      <c r="B1022" s="8" t="str">
        <f>VLOOKUP(A1022,[1]ListadoFichasDeProduccion!$A$2:$LP$3000,328,FALSE)</f>
        <v>COMPLETADO</v>
      </c>
      <c r="C1022" s="11">
        <v>10</v>
      </c>
      <c r="D1022" t="s">
        <v>33</v>
      </c>
      <c r="E1022" t="s">
        <v>117</v>
      </c>
      <c r="F1022" t="s">
        <v>118</v>
      </c>
      <c r="G1022" s="9">
        <v>45779</v>
      </c>
      <c r="H1022" t="s">
        <v>121</v>
      </c>
      <c r="I1022" s="11">
        <v>4</v>
      </c>
      <c r="J1022" t="str">
        <f>IF(I1022="","",IFERROR(IF(INDEX([1]ListadoFichasDeProduccion!LQ:MB,MATCH(A1022,[1]ListadoFichasDeProduccion!A:A,0),K1022)=0,"",INDEX([1]ListadoFichasDeProduccion!LQ:MB,MATCH(A1022,[1]ListadoFichasDeProduccion!A:A,0),K1022)),""))</f>
        <v/>
      </c>
      <c r="K1022" s="11">
        <v>3</v>
      </c>
    </row>
    <row r="1023" spans="1:11" x14ac:dyDescent="0.3">
      <c r="A1023" s="11" t="s">
        <v>509</v>
      </c>
      <c r="B1023" t="str">
        <f>VLOOKUP(A1023,[1]ListadoFichasDeProduccion!$A$2:$LP$3000,328,FALSE)</f>
        <v>NO COMENZADO</v>
      </c>
      <c r="C1023" s="11">
        <v>8</v>
      </c>
      <c r="D1023" t="s">
        <v>33</v>
      </c>
      <c r="E1023" t="s">
        <v>117</v>
      </c>
      <c r="F1023" t="s">
        <v>118</v>
      </c>
      <c r="H1023" t="s">
        <v>119</v>
      </c>
      <c r="I1023" s="11">
        <v>4</v>
      </c>
      <c r="J1023" t="str">
        <f>IF(I1023="","",IFERROR(IF(INDEX([1]ListadoFichasDeProduccion!LQ:MB,MATCH(A1023,[1]ListadoFichasDeProduccion!A:A,0),K1023)=0,"",INDEX([1]ListadoFichasDeProduccion!LQ:MB,MATCH(A1023,[1]ListadoFichasDeProduccion!A:A,0),K1023)),""))</f>
        <v/>
      </c>
      <c r="K1023" s="11">
        <v>1</v>
      </c>
    </row>
    <row r="1024" spans="1:11" x14ac:dyDescent="0.3">
      <c r="A1024" s="11" t="s">
        <v>509</v>
      </c>
      <c r="B1024" t="str">
        <f>VLOOKUP(A1024,[1]ListadoFichasDeProduccion!$A$2:$LP$3000,328,FALSE)</f>
        <v>NO COMENZADO</v>
      </c>
      <c r="C1024" s="11">
        <v>8</v>
      </c>
      <c r="D1024" t="s">
        <v>33</v>
      </c>
      <c r="E1024" t="s">
        <v>117</v>
      </c>
      <c r="F1024" t="s">
        <v>118</v>
      </c>
      <c r="H1024" t="s">
        <v>121</v>
      </c>
      <c r="I1024" s="11">
        <v>4</v>
      </c>
      <c r="J1024" t="str">
        <f>IF(I1024="","",IFERROR(IF(INDEX([1]ListadoFichasDeProduccion!LQ:MB,MATCH(A1024,[1]ListadoFichasDeProduccion!A:A,0),K1024)=0,"",INDEX([1]ListadoFichasDeProduccion!LQ:MB,MATCH(A1024,[1]ListadoFichasDeProduccion!A:A,0),K1024)),""))</f>
        <v/>
      </c>
      <c r="K1024" s="11">
        <v>2</v>
      </c>
    </row>
    <row r="1025" spans="1:11" hidden="1" x14ac:dyDescent="0.3">
      <c r="A1025" s="11">
        <v>1669</v>
      </c>
      <c r="B1025" s="8" t="str">
        <f>VLOOKUP(A1025,[1]ListadoFichasDeProduccion!$A$2:$LP$3000,328,FALSE)</f>
        <v>COMPLETADO</v>
      </c>
      <c r="C1025" s="11">
        <v>36</v>
      </c>
      <c r="D1025" t="s">
        <v>33</v>
      </c>
      <c r="E1025" t="s">
        <v>116</v>
      </c>
      <c r="G1025" s="9">
        <v>45708</v>
      </c>
      <c r="H1025" t="s">
        <v>50</v>
      </c>
      <c r="I1025" s="11">
        <v>12</v>
      </c>
      <c r="J1025" t="str">
        <f>IF(I1025="","",IFERROR(IF(INDEX([1]ListadoFichasDeProduccion!LQ:MB,MATCH(A1025,[1]ListadoFichasDeProduccion!A:A,0),K1025)=0,"",INDEX([1]ListadoFichasDeProduccion!LQ:MB,MATCH(A1025,[1]ListadoFichasDeProduccion!A:A,0),K1025)),""))</f>
        <v/>
      </c>
      <c r="K1025" s="11">
        <v>1</v>
      </c>
    </row>
    <row r="1026" spans="1:11" hidden="1" x14ac:dyDescent="0.3">
      <c r="A1026" s="11">
        <v>1669</v>
      </c>
      <c r="B1026" s="8" t="str">
        <f>VLOOKUP(A1026,[1]ListadoFichasDeProduccion!$A$2:$LP$3000,328,FALSE)</f>
        <v>COMPLETADO</v>
      </c>
      <c r="C1026" s="11">
        <v>36</v>
      </c>
      <c r="D1026" t="s">
        <v>33</v>
      </c>
      <c r="E1026" t="s">
        <v>116</v>
      </c>
      <c r="G1026" s="9">
        <v>45708</v>
      </c>
      <c r="H1026" t="s">
        <v>31</v>
      </c>
      <c r="I1026" s="11">
        <v>12</v>
      </c>
      <c r="J1026" t="str">
        <f>IF(I1026="","",IFERROR(IF(INDEX([1]ListadoFichasDeProduccion!LQ:MB,MATCH(A1026,[1]ListadoFichasDeProduccion!A:A,0),K1026)=0,"",INDEX([1]ListadoFichasDeProduccion!LQ:MB,MATCH(A1026,[1]ListadoFichasDeProduccion!A:A,0),K1026)),""))</f>
        <v/>
      </c>
      <c r="K1026" s="11">
        <v>2</v>
      </c>
    </row>
    <row r="1027" spans="1:11" hidden="1" x14ac:dyDescent="0.3">
      <c r="A1027" s="11">
        <v>1669</v>
      </c>
      <c r="B1027" s="8" t="str">
        <f>VLOOKUP(A1027,[1]ListadoFichasDeProduccion!$A$2:$LP$3000,328,FALSE)</f>
        <v>COMPLETADO</v>
      </c>
      <c r="C1027" s="11">
        <v>36</v>
      </c>
      <c r="D1027" t="s">
        <v>33</v>
      </c>
      <c r="E1027" t="s">
        <v>116</v>
      </c>
      <c r="G1027" s="9">
        <v>45708</v>
      </c>
      <c r="H1027" t="s">
        <v>51</v>
      </c>
      <c r="I1027" s="11">
        <v>12</v>
      </c>
      <c r="J1027" t="str">
        <f>IF(I1027="","",IFERROR(IF(INDEX([1]ListadoFichasDeProduccion!LQ:MB,MATCH(A1027,[1]ListadoFichasDeProduccion!A:A,0),K1027)=0,"",INDEX([1]ListadoFichasDeProduccion!LQ:MB,MATCH(A1027,[1]ListadoFichasDeProduccion!A:A,0),K1027)),""))</f>
        <v/>
      </c>
      <c r="K1027" s="11">
        <v>3</v>
      </c>
    </row>
    <row r="1028" spans="1:11" hidden="1" x14ac:dyDescent="0.3">
      <c r="A1028" s="11">
        <v>1711</v>
      </c>
      <c r="B1028" s="8" t="str">
        <f>VLOOKUP(A1028,[1]ListadoFichasDeProduccion!$A$2:$LP$3000,328,FALSE)</f>
        <v>COMPLETADO</v>
      </c>
      <c r="C1028" s="11">
        <v>20</v>
      </c>
      <c r="D1028" t="s">
        <v>33</v>
      </c>
      <c r="E1028" t="s">
        <v>116</v>
      </c>
      <c r="G1028" s="9">
        <v>45741</v>
      </c>
      <c r="H1028" t="s">
        <v>50</v>
      </c>
      <c r="I1028" s="11">
        <v>4</v>
      </c>
      <c r="J1028" t="str">
        <f>IF(I1028="","",IFERROR(IF(INDEX([1]ListadoFichasDeProduccion!LQ:MB,MATCH(A1028,[1]ListadoFichasDeProduccion!A:A,0),K1028)=0,"",INDEX([1]ListadoFichasDeProduccion!LQ:MB,MATCH(A1028,[1]ListadoFichasDeProduccion!A:A,0),K1028)),""))</f>
        <v/>
      </c>
      <c r="K1028" s="11">
        <v>1</v>
      </c>
    </row>
    <row r="1029" spans="1:11" hidden="1" x14ac:dyDescent="0.3">
      <c r="A1029" s="11">
        <v>1711</v>
      </c>
      <c r="B1029" s="8" t="str">
        <f>VLOOKUP(A1029,[1]ListadoFichasDeProduccion!$A$2:$LP$3000,328,FALSE)</f>
        <v>COMPLETADO</v>
      </c>
      <c r="C1029" s="11">
        <v>20</v>
      </c>
      <c r="D1029" t="s">
        <v>33</v>
      </c>
      <c r="E1029" t="s">
        <v>116</v>
      </c>
      <c r="G1029" s="9">
        <v>45741</v>
      </c>
      <c r="H1029" t="s">
        <v>31</v>
      </c>
      <c r="I1029" s="11">
        <v>4</v>
      </c>
      <c r="J1029" t="str">
        <f>IF(I1029="","",IFERROR(IF(INDEX([1]ListadoFichasDeProduccion!LQ:MB,MATCH(A1029,[1]ListadoFichasDeProduccion!A:A,0),K1029)=0,"",INDEX([1]ListadoFichasDeProduccion!LQ:MB,MATCH(A1029,[1]ListadoFichasDeProduccion!A:A,0),K1029)),""))</f>
        <v/>
      </c>
      <c r="K1029" s="11">
        <v>2</v>
      </c>
    </row>
    <row r="1030" spans="1:11" hidden="1" x14ac:dyDescent="0.3">
      <c r="A1030" s="11">
        <v>1711</v>
      </c>
      <c r="B1030" s="8" t="str">
        <f>VLOOKUP(A1030,[1]ListadoFichasDeProduccion!$A$2:$LP$3000,328,FALSE)</f>
        <v>COMPLETADO</v>
      </c>
      <c r="C1030" s="11">
        <v>20</v>
      </c>
      <c r="D1030" t="s">
        <v>33</v>
      </c>
      <c r="E1030" t="s">
        <v>116</v>
      </c>
      <c r="G1030" s="9">
        <v>45741</v>
      </c>
      <c r="H1030" t="s">
        <v>51</v>
      </c>
      <c r="I1030" s="11">
        <v>4</v>
      </c>
      <c r="J1030" t="str">
        <f>IF(I1030="","",IFERROR(IF(INDEX([1]ListadoFichasDeProduccion!LQ:MB,MATCH(A1030,[1]ListadoFichasDeProduccion!A:A,0),K1030)=0,"",INDEX([1]ListadoFichasDeProduccion!LQ:MB,MATCH(A1030,[1]ListadoFichasDeProduccion!A:A,0),K1030)),""))</f>
        <v/>
      </c>
      <c r="K1030" s="11">
        <v>3</v>
      </c>
    </row>
    <row r="1031" spans="1:11" hidden="1" x14ac:dyDescent="0.3">
      <c r="A1031" s="11">
        <v>1711</v>
      </c>
      <c r="B1031" s="8" t="str">
        <f>VLOOKUP(A1031,[1]ListadoFichasDeProduccion!$A$2:$LP$3000,328,FALSE)</f>
        <v>COMPLETADO</v>
      </c>
      <c r="C1031" s="11">
        <v>20</v>
      </c>
      <c r="D1031" t="s">
        <v>33</v>
      </c>
      <c r="E1031" t="s">
        <v>116</v>
      </c>
      <c r="G1031" s="9">
        <v>45741</v>
      </c>
      <c r="H1031" t="s">
        <v>27</v>
      </c>
      <c r="I1031" s="11">
        <v>8</v>
      </c>
      <c r="J1031" t="str">
        <f>IF(I1031="","",IFERROR(IF(INDEX([1]ListadoFichasDeProduccion!LQ:MB,MATCH(A1031,[1]ListadoFichasDeProduccion!A:A,0),K1031)=0,"",INDEX([1]ListadoFichasDeProduccion!LQ:MB,MATCH(A1031,[1]ListadoFichasDeProduccion!A:A,0),K1031)),""))</f>
        <v/>
      </c>
      <c r="K1031" s="11">
        <v>4</v>
      </c>
    </row>
    <row r="1032" spans="1:11" hidden="1" x14ac:dyDescent="0.3">
      <c r="A1032" s="11">
        <v>1724</v>
      </c>
      <c r="B1032" s="8" t="str">
        <f>VLOOKUP(A1032,[1]ListadoFichasDeProduccion!$A$2:$LP$3000,328,FALSE)</f>
        <v>COMPLETADO</v>
      </c>
      <c r="C1032" s="11">
        <v>12</v>
      </c>
      <c r="D1032" t="s">
        <v>33</v>
      </c>
      <c r="E1032" t="s">
        <v>116</v>
      </c>
      <c r="G1032" s="9">
        <v>45754</v>
      </c>
      <c r="H1032" t="s">
        <v>123</v>
      </c>
      <c r="I1032" s="11">
        <v>4</v>
      </c>
      <c r="J1032" t="str">
        <f>IF(I1032="","",IFERROR(IF(INDEX([1]ListadoFichasDeProduccion!LQ:MB,MATCH(A1032,[1]ListadoFichasDeProduccion!A:A,0),K1032)=0,"",INDEX([1]ListadoFichasDeProduccion!LQ:MB,MATCH(A1032,[1]ListadoFichasDeProduccion!A:A,0),K1032)),""))</f>
        <v/>
      </c>
      <c r="K1032" s="11">
        <v>1</v>
      </c>
    </row>
    <row r="1033" spans="1:11" hidden="1" x14ac:dyDescent="0.3">
      <c r="A1033" s="11">
        <v>1724</v>
      </c>
      <c r="B1033" s="8" t="str">
        <f>VLOOKUP(A1033,[1]ListadoFichasDeProduccion!$A$2:$LP$3000,328,FALSE)</f>
        <v>COMPLETADO</v>
      </c>
      <c r="C1033" s="11">
        <v>12</v>
      </c>
      <c r="D1033" t="s">
        <v>33</v>
      </c>
      <c r="E1033" t="s">
        <v>116</v>
      </c>
      <c r="G1033" s="9">
        <v>45754</v>
      </c>
      <c r="H1033" t="s">
        <v>19</v>
      </c>
      <c r="I1033" s="11">
        <v>4</v>
      </c>
      <c r="J1033" t="str">
        <f>IF(I1033="","",IFERROR(IF(INDEX([1]ListadoFichasDeProduccion!LQ:MB,MATCH(A1033,[1]ListadoFichasDeProduccion!A:A,0),K1033)=0,"",INDEX([1]ListadoFichasDeProduccion!LQ:MB,MATCH(A1033,[1]ListadoFichasDeProduccion!A:A,0),K1033)),""))</f>
        <v/>
      </c>
      <c r="K1033" s="11">
        <v>2</v>
      </c>
    </row>
    <row r="1034" spans="1:11" hidden="1" x14ac:dyDescent="0.3">
      <c r="A1034" s="11">
        <v>1724</v>
      </c>
      <c r="B1034" s="8" t="str">
        <f>VLOOKUP(A1034,[1]ListadoFichasDeProduccion!$A$2:$LP$3000,328,FALSE)</f>
        <v>COMPLETADO</v>
      </c>
      <c r="C1034" s="11">
        <v>12</v>
      </c>
      <c r="D1034" t="s">
        <v>33</v>
      </c>
      <c r="E1034" t="s">
        <v>116</v>
      </c>
      <c r="G1034" s="9">
        <v>45754</v>
      </c>
      <c r="H1034" t="s">
        <v>144</v>
      </c>
      <c r="I1034" s="11">
        <v>4</v>
      </c>
      <c r="J1034" t="str">
        <f>IF(I1034="","",IFERROR(IF(INDEX([1]ListadoFichasDeProduccion!LQ:MB,MATCH(A1034,[1]ListadoFichasDeProduccion!A:A,0),K1034)=0,"",INDEX([1]ListadoFichasDeProduccion!LQ:MB,MATCH(A1034,[1]ListadoFichasDeProduccion!A:A,0),K1034)),""))</f>
        <v/>
      </c>
      <c r="K1034" s="11">
        <v>3</v>
      </c>
    </row>
    <row r="1035" spans="1:11" hidden="1" x14ac:dyDescent="0.3">
      <c r="A1035" s="11">
        <v>1772</v>
      </c>
      <c r="B1035" s="8" t="str">
        <f>VLOOKUP(A1035,[1]ListadoFichasDeProduccion!$A$2:$LP$3000,328,FALSE)</f>
        <v>COMPLETADO</v>
      </c>
      <c r="C1035" s="11">
        <v>16</v>
      </c>
      <c r="D1035" t="s">
        <v>33</v>
      </c>
      <c r="E1035" t="s">
        <v>116</v>
      </c>
      <c r="G1035" s="9">
        <v>45779</v>
      </c>
      <c r="H1035" t="s">
        <v>123</v>
      </c>
      <c r="I1035" s="11">
        <v>2</v>
      </c>
      <c r="J1035" t="str">
        <f>IF(I1035="","",IFERROR(IF(INDEX([1]ListadoFichasDeProduccion!LQ:MB,MATCH(A1035,[1]ListadoFichasDeProduccion!A:A,0),K1035)=0,"",INDEX([1]ListadoFichasDeProduccion!LQ:MB,MATCH(A1035,[1]ListadoFichasDeProduccion!A:A,0),K1035)),""))</f>
        <v/>
      </c>
      <c r="K1035" s="11">
        <v>1</v>
      </c>
    </row>
    <row r="1036" spans="1:11" hidden="1" x14ac:dyDescent="0.3">
      <c r="A1036" s="11">
        <v>1772</v>
      </c>
      <c r="B1036" s="8" t="str">
        <f>VLOOKUP(A1036,[1]ListadoFichasDeProduccion!$A$2:$LP$3000,328,FALSE)</f>
        <v>COMPLETADO</v>
      </c>
      <c r="C1036" s="11">
        <v>16</v>
      </c>
      <c r="D1036" t="s">
        <v>33</v>
      </c>
      <c r="E1036" t="s">
        <v>116</v>
      </c>
      <c r="G1036" s="9">
        <v>45779</v>
      </c>
      <c r="H1036" t="s">
        <v>19</v>
      </c>
      <c r="I1036" s="11">
        <v>4</v>
      </c>
      <c r="J1036" t="str">
        <f>IF(I1036="","",IFERROR(IF(INDEX([1]ListadoFichasDeProduccion!LQ:MB,MATCH(A1036,[1]ListadoFichasDeProduccion!A:A,0),K1036)=0,"",INDEX([1]ListadoFichasDeProduccion!LQ:MB,MATCH(A1036,[1]ListadoFichasDeProduccion!A:A,0),K1036)),""))</f>
        <v/>
      </c>
      <c r="K1036" s="11">
        <v>2</v>
      </c>
    </row>
    <row r="1037" spans="1:11" hidden="1" x14ac:dyDescent="0.3">
      <c r="A1037" s="11">
        <v>1772</v>
      </c>
      <c r="B1037" s="8" t="str">
        <f>VLOOKUP(A1037,[1]ListadoFichasDeProduccion!$A$2:$LP$3000,328,FALSE)</f>
        <v>COMPLETADO</v>
      </c>
      <c r="C1037" s="11">
        <v>16</v>
      </c>
      <c r="D1037" t="s">
        <v>33</v>
      </c>
      <c r="E1037" t="s">
        <v>116</v>
      </c>
      <c r="G1037" s="9">
        <v>45779</v>
      </c>
      <c r="H1037" t="s">
        <v>144</v>
      </c>
      <c r="I1037" s="11">
        <v>4</v>
      </c>
      <c r="J1037" t="str">
        <f>IF(I1037="","",IFERROR(IF(INDEX([1]ListadoFichasDeProduccion!LQ:MB,MATCH(A1037,[1]ListadoFichasDeProduccion!A:A,0),K1037)=0,"",INDEX([1]ListadoFichasDeProduccion!LQ:MB,MATCH(A1037,[1]ListadoFichasDeProduccion!A:A,0),K1037)),""))</f>
        <v/>
      </c>
      <c r="K1037" s="11">
        <v>3</v>
      </c>
    </row>
    <row r="1038" spans="1:11" hidden="1" x14ac:dyDescent="0.3">
      <c r="A1038" s="11">
        <v>1772</v>
      </c>
      <c r="B1038" s="8" t="str">
        <f>VLOOKUP(A1038,[1]ListadoFichasDeProduccion!$A$2:$LP$3000,328,FALSE)</f>
        <v>COMPLETADO</v>
      </c>
      <c r="C1038" s="11">
        <v>16</v>
      </c>
      <c r="D1038" t="s">
        <v>33</v>
      </c>
      <c r="E1038" t="s">
        <v>116</v>
      </c>
      <c r="G1038" s="9">
        <v>45779</v>
      </c>
      <c r="H1038" t="s">
        <v>31</v>
      </c>
      <c r="I1038" s="11">
        <v>4</v>
      </c>
      <c r="J1038" t="str">
        <f>IF(I1038="","",IFERROR(IF(INDEX([1]ListadoFichasDeProduccion!LQ:MB,MATCH(A1038,[1]ListadoFichasDeProduccion!A:A,0),K1038)=0,"",INDEX([1]ListadoFichasDeProduccion!LQ:MB,MATCH(A1038,[1]ListadoFichasDeProduccion!A:A,0),K1038)),""))</f>
        <v/>
      </c>
      <c r="K1038" s="11">
        <v>4</v>
      </c>
    </row>
    <row r="1039" spans="1:11" hidden="1" x14ac:dyDescent="0.3">
      <c r="A1039" s="11">
        <v>1772</v>
      </c>
      <c r="B1039" s="8" t="str">
        <f>VLOOKUP(A1039,[1]ListadoFichasDeProduccion!$A$2:$LP$3000,328,FALSE)</f>
        <v>COMPLETADO</v>
      </c>
      <c r="C1039" s="11">
        <v>16</v>
      </c>
      <c r="D1039" t="s">
        <v>33</v>
      </c>
      <c r="E1039" t="s">
        <v>116</v>
      </c>
      <c r="G1039" s="9">
        <v>45779</v>
      </c>
      <c r="H1039" t="s">
        <v>50</v>
      </c>
      <c r="I1039" s="11">
        <v>2</v>
      </c>
      <c r="J1039" t="str">
        <f>IF(I1039="","",IFERROR(IF(INDEX([1]ListadoFichasDeProduccion!LQ:MB,MATCH(A1039,[1]ListadoFichasDeProduccion!A:A,0),K1039)=0,"",INDEX([1]ListadoFichasDeProduccion!LQ:MB,MATCH(A1039,[1]ListadoFichasDeProduccion!A:A,0),K1039)),""))</f>
        <v/>
      </c>
      <c r="K1039" s="11">
        <v>5</v>
      </c>
    </row>
    <row r="1040" spans="1:11" hidden="1" x14ac:dyDescent="0.3">
      <c r="A1040" s="11">
        <v>1832</v>
      </c>
      <c r="B1040" s="8" t="str">
        <f>VLOOKUP(A1040,[1]ListadoFichasDeProduccion!$A$2:$LP$3000,328,FALSE)</f>
        <v>COMPLETADO</v>
      </c>
      <c r="C1040" s="11">
        <v>4</v>
      </c>
      <c r="D1040" t="s">
        <v>33</v>
      </c>
      <c r="E1040" t="s">
        <v>116</v>
      </c>
      <c r="G1040" s="9">
        <v>45814</v>
      </c>
      <c r="H1040" t="s">
        <v>50</v>
      </c>
      <c r="I1040" s="11">
        <v>1</v>
      </c>
      <c r="J1040" t="str">
        <f>IF(I1040="","",IFERROR(IF(INDEX([1]ListadoFichasDeProduccion!LQ:MB,MATCH(A1040,[1]ListadoFichasDeProduccion!A:A,0),K1040)=0,"",INDEX([1]ListadoFichasDeProduccion!LQ:MB,MATCH(A1040,[1]ListadoFichasDeProduccion!A:A,0),K1040)),""))</f>
        <v/>
      </c>
      <c r="K1040" s="11">
        <v>1</v>
      </c>
    </row>
    <row r="1041" spans="1:11" hidden="1" x14ac:dyDescent="0.3">
      <c r="A1041" s="11">
        <v>1832</v>
      </c>
      <c r="B1041" s="8" t="str">
        <f>VLOOKUP(A1041,[1]ListadoFichasDeProduccion!$A$2:$LP$3000,328,FALSE)</f>
        <v>COMPLETADO</v>
      </c>
      <c r="C1041" s="11">
        <v>4</v>
      </c>
      <c r="D1041" t="s">
        <v>33</v>
      </c>
      <c r="E1041" t="s">
        <v>116</v>
      </c>
      <c r="G1041" s="9">
        <v>45814</v>
      </c>
      <c r="H1041" t="s">
        <v>31</v>
      </c>
      <c r="I1041" s="11">
        <v>3</v>
      </c>
      <c r="J1041" t="str">
        <f>IF(I1041="","",IFERROR(IF(INDEX([1]ListadoFichasDeProduccion!LQ:MB,MATCH(A1041,[1]ListadoFichasDeProduccion!A:A,0),K1041)=0,"",INDEX([1]ListadoFichasDeProduccion!LQ:MB,MATCH(A1041,[1]ListadoFichasDeProduccion!A:A,0),K1041)),""))</f>
        <v/>
      </c>
      <c r="K1041" s="11">
        <v>2</v>
      </c>
    </row>
    <row r="1042" spans="1:11" hidden="1" x14ac:dyDescent="0.3">
      <c r="A1042" s="11">
        <v>1884</v>
      </c>
      <c r="B1042" s="8" t="str">
        <f>VLOOKUP(A1042,[1]ListadoFichasDeProduccion!$A$2:$LP$3000,328,FALSE)</f>
        <v>COMPLETADO</v>
      </c>
      <c r="C1042" s="11">
        <v>22</v>
      </c>
      <c r="D1042" t="s">
        <v>33</v>
      </c>
      <c r="E1042" t="s">
        <v>116</v>
      </c>
      <c r="G1042" s="9">
        <v>45841</v>
      </c>
      <c r="H1042" t="s">
        <v>144</v>
      </c>
      <c r="I1042" s="11">
        <v>2</v>
      </c>
      <c r="J1042" t="str">
        <f>IF(I1042="","",IFERROR(IF(INDEX([1]ListadoFichasDeProduccion!LQ:MB,MATCH(A1042,[1]ListadoFichasDeProduccion!A:A,0),K1042)=0,"",INDEX([1]ListadoFichasDeProduccion!LQ:MB,MATCH(A1042,[1]ListadoFichasDeProduccion!A:A,0),K1042)),""))</f>
        <v>QUE SE VEA LA MANCHA SI NO SALE DE RETAZOS USAR PLACA</v>
      </c>
      <c r="K1042" s="11">
        <v>1</v>
      </c>
    </row>
    <row r="1043" spans="1:11" hidden="1" x14ac:dyDescent="0.3">
      <c r="A1043" s="11">
        <v>1884</v>
      </c>
      <c r="B1043" s="8" t="str">
        <f>VLOOKUP(A1043,[1]ListadoFichasDeProduccion!$A$2:$LP$3000,328,FALSE)</f>
        <v>COMPLETADO</v>
      </c>
      <c r="C1043" s="11">
        <v>22</v>
      </c>
      <c r="D1043" t="s">
        <v>33</v>
      </c>
      <c r="E1043" t="s">
        <v>116</v>
      </c>
      <c r="G1043" s="9">
        <v>45841</v>
      </c>
      <c r="H1043" t="s">
        <v>19</v>
      </c>
      <c r="I1043" s="11">
        <v>4</v>
      </c>
      <c r="J1043" t="str">
        <f>IF(I1043="","",IFERROR(IF(INDEX([1]ListadoFichasDeProduccion!LQ:MB,MATCH(A1043,[1]ListadoFichasDeProduccion!A:A,0),K1043)=0,"",INDEX([1]ListadoFichasDeProduccion!LQ:MB,MATCH(A1043,[1]ListadoFichasDeProduccion!A:A,0),K1043)),""))</f>
        <v>QUE SE VEA LA MANCHA SI NO SALE DE RETAZOS USAR PLACA</v>
      </c>
      <c r="K1043" s="11">
        <v>2</v>
      </c>
    </row>
    <row r="1044" spans="1:11" hidden="1" x14ac:dyDescent="0.3">
      <c r="A1044" s="11">
        <v>1884</v>
      </c>
      <c r="B1044" s="8" t="str">
        <f>VLOOKUP(A1044,[1]ListadoFichasDeProduccion!$A$2:$LP$3000,328,FALSE)</f>
        <v>COMPLETADO</v>
      </c>
      <c r="C1044" s="11">
        <v>22</v>
      </c>
      <c r="D1044" t="s">
        <v>33</v>
      </c>
      <c r="E1044" t="s">
        <v>116</v>
      </c>
      <c r="G1044" s="9">
        <v>45841</v>
      </c>
      <c r="H1044" t="s">
        <v>51</v>
      </c>
      <c r="I1044" s="11">
        <v>3</v>
      </c>
      <c r="J1044" t="str">
        <f>IF(I1044="","",IFERROR(IF(INDEX([1]ListadoFichasDeProduccion!LQ:MB,MATCH(A1044,[1]ListadoFichasDeProduccion!A:A,0),K1044)=0,"",INDEX([1]ListadoFichasDeProduccion!LQ:MB,MATCH(A1044,[1]ListadoFichasDeProduccion!A:A,0),K1044)),""))</f>
        <v/>
      </c>
      <c r="K1044" s="11">
        <v>3</v>
      </c>
    </row>
    <row r="1045" spans="1:11" hidden="1" x14ac:dyDescent="0.3">
      <c r="A1045" s="11">
        <v>1884</v>
      </c>
      <c r="B1045" s="8" t="str">
        <f>VLOOKUP(A1045,[1]ListadoFichasDeProduccion!$A$2:$LP$3000,328,FALSE)</f>
        <v>COMPLETADO</v>
      </c>
      <c r="C1045" s="11">
        <v>22</v>
      </c>
      <c r="D1045" t="s">
        <v>33</v>
      </c>
      <c r="E1045" t="s">
        <v>116</v>
      </c>
      <c r="G1045" s="9">
        <v>45841</v>
      </c>
      <c r="H1045" t="s">
        <v>31</v>
      </c>
      <c r="I1045" s="11">
        <v>10</v>
      </c>
      <c r="J1045" t="str">
        <f>IF(I1045="","",IFERROR(IF(INDEX([1]ListadoFichasDeProduccion!LQ:MB,MATCH(A1045,[1]ListadoFichasDeProduccion!A:A,0),K1045)=0,"",INDEX([1]ListadoFichasDeProduccion!LQ:MB,MATCH(A1045,[1]ListadoFichasDeProduccion!A:A,0),K1045)),""))</f>
        <v/>
      </c>
      <c r="K1045" s="11">
        <v>4</v>
      </c>
    </row>
    <row r="1046" spans="1:11" hidden="1" x14ac:dyDescent="0.3">
      <c r="A1046" s="11">
        <v>1884</v>
      </c>
      <c r="B1046" s="8" t="str">
        <f>VLOOKUP(A1046,[1]ListadoFichasDeProduccion!$A$2:$LP$3000,328,FALSE)</f>
        <v>COMPLETADO</v>
      </c>
      <c r="C1046" s="11">
        <v>22</v>
      </c>
      <c r="D1046" t="s">
        <v>33</v>
      </c>
      <c r="E1046" t="s">
        <v>116</v>
      </c>
      <c r="G1046" s="9">
        <v>45841</v>
      </c>
      <c r="H1046" t="s">
        <v>27</v>
      </c>
      <c r="I1046" s="11">
        <v>3</v>
      </c>
      <c r="J1046" t="str">
        <f>IF(I1046="","",IFERROR(IF(INDEX([1]ListadoFichasDeProduccion!LQ:MB,MATCH(A1046,[1]ListadoFichasDeProduccion!A:A,0),K1046)=0,"",INDEX([1]ListadoFichasDeProduccion!LQ:MB,MATCH(A1046,[1]ListadoFichasDeProduccion!A:A,0),K1046)),""))</f>
        <v/>
      </c>
      <c r="K1046" s="11">
        <v>5</v>
      </c>
    </row>
    <row r="1047" spans="1:11" hidden="1" x14ac:dyDescent="0.3">
      <c r="A1047" s="11">
        <v>1920</v>
      </c>
      <c r="B1047" s="8" t="str">
        <f>VLOOKUP(A1047,[1]ListadoFichasDeProduccion!$A$2:$LP$3000,328,FALSE)</f>
        <v>COMPLETADO</v>
      </c>
      <c r="C1047" s="11">
        <v>7</v>
      </c>
      <c r="D1047" t="s">
        <v>33</v>
      </c>
      <c r="E1047" t="s">
        <v>116</v>
      </c>
      <c r="G1047" s="9">
        <v>45868</v>
      </c>
      <c r="H1047" t="s">
        <v>123</v>
      </c>
      <c r="I1047" s="11">
        <v>4</v>
      </c>
      <c r="J1047" t="str">
        <f>IF(I1047="","",IFERROR(IF(INDEX([1]ListadoFichasDeProduccion!LQ:MB,MATCH(A1047,[1]ListadoFichasDeProduccion!A:A,0),K1047)=0,"",INDEX([1]ListadoFichasDeProduccion!LQ:MB,MATCH(A1047,[1]ListadoFichasDeProduccion!A:A,0),K1047)),""))</f>
        <v xml:space="preserve"> QUE SE VEA LA MANCHA SI NO SALE DE RETAZOS USAR PLACA</v>
      </c>
      <c r="K1047" s="11">
        <v>1</v>
      </c>
    </row>
    <row r="1048" spans="1:11" hidden="1" x14ac:dyDescent="0.3">
      <c r="A1048" s="11">
        <v>1920</v>
      </c>
      <c r="B1048" s="8" t="str">
        <f>VLOOKUP(A1048,[1]ListadoFichasDeProduccion!$A$2:$LP$3000,328,FALSE)</f>
        <v>COMPLETADO</v>
      </c>
      <c r="C1048" s="11">
        <v>7</v>
      </c>
      <c r="D1048" t="s">
        <v>33</v>
      </c>
      <c r="E1048" t="s">
        <v>116</v>
      </c>
      <c r="G1048" s="9">
        <v>45868</v>
      </c>
      <c r="H1048" t="s">
        <v>27</v>
      </c>
      <c r="I1048" s="11">
        <v>3</v>
      </c>
      <c r="J1048" t="str">
        <f>IF(I1048="","",IFERROR(IF(INDEX([1]ListadoFichasDeProduccion!LQ:MB,MATCH(A1048,[1]ListadoFichasDeProduccion!A:A,0),K1048)=0,"",INDEX([1]ListadoFichasDeProduccion!LQ:MB,MATCH(A1048,[1]ListadoFichasDeProduccion!A:A,0),K1048)),""))</f>
        <v/>
      </c>
      <c r="K1048" s="11">
        <v>2</v>
      </c>
    </row>
    <row r="1049" spans="1:11" x14ac:dyDescent="0.3">
      <c r="A1049" s="11" t="s">
        <v>510</v>
      </c>
      <c r="B1049" t="str">
        <f>VLOOKUP(A1049,[1]ListadoFichasDeProduccion!$A$2:$LP$3000,328,FALSE)</f>
        <v>NO COMENZADO</v>
      </c>
      <c r="C1049" s="11">
        <v>30</v>
      </c>
      <c r="D1049" t="s">
        <v>33</v>
      </c>
      <c r="E1049" t="s">
        <v>116</v>
      </c>
      <c r="H1049" t="s">
        <v>31</v>
      </c>
      <c r="I1049" s="11">
        <v>10</v>
      </c>
      <c r="J1049" t="str">
        <f>IF(I1049="","",IFERROR(IF(INDEX([1]ListadoFichasDeProduccion!LQ:MB,MATCH(A1049,[1]ListadoFichasDeProduccion!A:A,0),K1049)=0,"",INDEX([1]ListadoFichasDeProduccion!LQ:MB,MATCH(A1049,[1]ListadoFichasDeProduccion!A:A,0),K1049)),""))</f>
        <v/>
      </c>
      <c r="K1049" s="11">
        <v>1</v>
      </c>
    </row>
    <row r="1050" spans="1:11" x14ac:dyDescent="0.3">
      <c r="A1050" s="11" t="s">
        <v>510</v>
      </c>
      <c r="B1050" t="str">
        <f>VLOOKUP(A1050,[1]ListadoFichasDeProduccion!$A$2:$LP$3000,328,FALSE)</f>
        <v>NO COMENZADO</v>
      </c>
      <c r="C1050" s="11">
        <v>30</v>
      </c>
      <c r="D1050" t="s">
        <v>33</v>
      </c>
      <c r="E1050" t="s">
        <v>116</v>
      </c>
      <c r="H1050" t="s">
        <v>50</v>
      </c>
      <c r="I1050" s="11">
        <v>4</v>
      </c>
      <c r="J1050" t="str">
        <f>IF(I1050="","",IFERROR(IF(INDEX([1]ListadoFichasDeProduccion!LQ:MB,MATCH(A1050,[1]ListadoFichasDeProduccion!A:A,0),K1050)=0,"",INDEX([1]ListadoFichasDeProduccion!LQ:MB,MATCH(A1050,[1]ListadoFichasDeProduccion!A:A,0),K1050)),""))</f>
        <v/>
      </c>
      <c r="K1050" s="11">
        <v>2</v>
      </c>
    </row>
    <row r="1051" spans="1:11" x14ac:dyDescent="0.3">
      <c r="A1051" s="11" t="s">
        <v>510</v>
      </c>
      <c r="B1051" t="str">
        <f>VLOOKUP(A1051,[1]ListadoFichasDeProduccion!$A$2:$LP$3000,328,FALSE)</f>
        <v>NO COMENZADO</v>
      </c>
      <c r="C1051" s="11">
        <v>30</v>
      </c>
      <c r="D1051" t="s">
        <v>33</v>
      </c>
      <c r="E1051" t="s">
        <v>116</v>
      </c>
      <c r="H1051" t="s">
        <v>51</v>
      </c>
      <c r="I1051" s="11">
        <v>6</v>
      </c>
      <c r="J1051" t="str">
        <f>IF(I1051="","",IFERROR(IF(INDEX([1]ListadoFichasDeProduccion!LQ:MB,MATCH(A1051,[1]ListadoFichasDeProduccion!A:A,0),K1051)=0,"",INDEX([1]ListadoFichasDeProduccion!LQ:MB,MATCH(A1051,[1]ListadoFichasDeProduccion!A:A,0),K1051)),""))</f>
        <v/>
      </c>
      <c r="K1051" s="11">
        <v>3</v>
      </c>
    </row>
    <row r="1052" spans="1:11" x14ac:dyDescent="0.3">
      <c r="A1052" s="11" t="s">
        <v>510</v>
      </c>
      <c r="B1052" t="str">
        <f>VLOOKUP(A1052,[1]ListadoFichasDeProduccion!$A$2:$LP$3000,328,FALSE)</f>
        <v>NO COMENZADO</v>
      </c>
      <c r="C1052" s="11">
        <v>30</v>
      </c>
      <c r="D1052" t="s">
        <v>33</v>
      </c>
      <c r="E1052" t="s">
        <v>116</v>
      </c>
      <c r="H1052" t="s">
        <v>27</v>
      </c>
      <c r="I1052" s="11">
        <v>10</v>
      </c>
      <c r="J1052" t="str">
        <f>IF(I1052="","",IFERROR(IF(INDEX([1]ListadoFichasDeProduccion!LQ:MB,MATCH(A1052,[1]ListadoFichasDeProduccion!A:A,0),K1052)=0,"",INDEX([1]ListadoFichasDeProduccion!LQ:MB,MATCH(A1052,[1]ListadoFichasDeProduccion!A:A,0),K1052)),""))</f>
        <v/>
      </c>
      <c r="K1052" s="11">
        <v>4</v>
      </c>
    </row>
    <row r="1053" spans="1:11" hidden="1" x14ac:dyDescent="0.3">
      <c r="A1053" s="11">
        <v>1756</v>
      </c>
      <c r="B1053" s="8" t="str">
        <f>VLOOKUP(A1053,[1]ListadoFichasDeProduccion!$A$2:$LP$3000,328,FALSE)</f>
        <v>COMPLETADO</v>
      </c>
      <c r="C1053" s="11">
        <v>32</v>
      </c>
      <c r="D1053" t="s">
        <v>33</v>
      </c>
      <c r="E1053" t="s">
        <v>160</v>
      </c>
      <c r="F1053" t="s">
        <v>161</v>
      </c>
      <c r="G1053" s="9">
        <v>45770</v>
      </c>
      <c r="H1053" t="s">
        <v>123</v>
      </c>
      <c r="I1053" s="11">
        <v>16</v>
      </c>
      <c r="J1053" t="str">
        <f>IF(I1053="","",IFERROR(IF(INDEX([1]ListadoFichasDeProduccion!LQ:MB,MATCH(A1053,[1]ListadoFichasDeProduccion!A:A,0),K1053)=0,"",INDEX([1]ListadoFichasDeProduccion!LQ:MB,MATCH(A1053,[1]ListadoFichasDeProduccion!A:A,0),K1053)),""))</f>
        <v/>
      </c>
      <c r="K1053" s="11">
        <v>1</v>
      </c>
    </row>
    <row r="1054" spans="1:11" hidden="1" x14ac:dyDescent="0.3">
      <c r="A1054" s="11">
        <v>1756</v>
      </c>
      <c r="B1054" s="8" t="str">
        <f>VLOOKUP(A1054,[1]ListadoFichasDeProduccion!$A$2:$LP$3000,328,FALSE)</f>
        <v>COMPLETADO</v>
      </c>
      <c r="C1054" s="11">
        <v>32</v>
      </c>
      <c r="D1054" t="s">
        <v>33</v>
      </c>
      <c r="E1054" t="s">
        <v>160</v>
      </c>
      <c r="F1054" t="s">
        <v>161</v>
      </c>
      <c r="G1054" s="9">
        <v>45770</v>
      </c>
      <c r="H1054" t="s">
        <v>19</v>
      </c>
      <c r="I1054" s="11">
        <v>16</v>
      </c>
      <c r="J1054" t="str">
        <f>IF(I1054="","",IFERROR(IF(INDEX([1]ListadoFichasDeProduccion!LQ:MB,MATCH(A1054,[1]ListadoFichasDeProduccion!A:A,0),K1054)=0,"",INDEX([1]ListadoFichasDeProduccion!LQ:MB,MATCH(A1054,[1]ListadoFichasDeProduccion!A:A,0),K1054)),""))</f>
        <v/>
      </c>
      <c r="K1054" s="11">
        <v>2</v>
      </c>
    </row>
    <row r="1055" spans="1:11" hidden="1" x14ac:dyDescent="0.3">
      <c r="A1055" s="11">
        <v>1955</v>
      </c>
      <c r="B1055" t="str">
        <f>VLOOKUP(A1055,[1]ListadoFichasDeProduccion!$A$2:$LP$3000,328,FALSE)</f>
        <v>COMPLETADO</v>
      </c>
      <c r="C1055" s="11">
        <v>10</v>
      </c>
      <c r="D1055" t="s">
        <v>11</v>
      </c>
      <c r="E1055" t="s">
        <v>276</v>
      </c>
      <c r="G1055" s="9">
        <v>45897</v>
      </c>
      <c r="H1055" t="s">
        <v>31</v>
      </c>
      <c r="I1055" s="11">
        <v>4</v>
      </c>
      <c r="J1055" t="str">
        <f>IF(I1055="","",IFERROR(IF(INDEX([1]ListadoFichasDeProduccion!LQ:MB,MATCH(A1055,[1]ListadoFichasDeProduccion!A:A,0),K1055)=0,"",INDEX([1]ListadoFichasDeProduccion!LQ:MB,MATCH(A1055,[1]ListadoFichasDeProduccion!A:A,0),K1055)),""))</f>
        <v/>
      </c>
      <c r="K1055" s="11">
        <v>1</v>
      </c>
    </row>
    <row r="1056" spans="1:11" hidden="1" x14ac:dyDescent="0.3">
      <c r="A1056" s="11">
        <v>1955</v>
      </c>
      <c r="B1056" t="str">
        <f>VLOOKUP(A1056,[1]ListadoFichasDeProduccion!$A$2:$LP$3000,328,FALSE)</f>
        <v>COMPLETADO</v>
      </c>
      <c r="C1056" s="11">
        <v>10</v>
      </c>
      <c r="D1056" t="s">
        <v>11</v>
      </c>
      <c r="E1056" t="s">
        <v>276</v>
      </c>
      <c r="G1056" s="9">
        <v>45897</v>
      </c>
      <c r="H1056" t="s">
        <v>51</v>
      </c>
      <c r="I1056" s="11">
        <v>2</v>
      </c>
      <c r="J1056" t="str">
        <f>IF(I1056="","",IFERROR(IF(INDEX([1]ListadoFichasDeProduccion!LQ:MB,MATCH(A1056,[1]ListadoFichasDeProduccion!A:A,0),K1056)=0,"",INDEX([1]ListadoFichasDeProduccion!LQ:MB,MATCH(A1056,[1]ListadoFichasDeProduccion!A:A,0),K1056)),""))</f>
        <v/>
      </c>
      <c r="K1056" s="11">
        <v>2</v>
      </c>
    </row>
    <row r="1057" spans="1:11" hidden="1" x14ac:dyDescent="0.3">
      <c r="A1057" s="11">
        <v>1955</v>
      </c>
      <c r="B1057" t="str">
        <f>VLOOKUP(A1057,[1]ListadoFichasDeProduccion!$A$2:$LP$3000,328,FALSE)</f>
        <v>COMPLETADO</v>
      </c>
      <c r="C1057" s="11">
        <v>10</v>
      </c>
      <c r="D1057" t="s">
        <v>11</v>
      </c>
      <c r="E1057" t="s">
        <v>276</v>
      </c>
      <c r="G1057" s="9">
        <v>45897</v>
      </c>
      <c r="H1057" t="s">
        <v>28</v>
      </c>
      <c r="I1057" s="11">
        <v>4</v>
      </c>
      <c r="J1057" t="str">
        <f>IF(I1057="","",IFERROR(IF(INDEX([1]ListadoFichasDeProduccion!LQ:MB,MATCH(A1057,[1]ListadoFichasDeProduccion!A:A,0),K1057)=0,"",INDEX([1]ListadoFichasDeProduccion!LQ:MB,MATCH(A1057,[1]ListadoFichasDeProduccion!A:A,0),K1057)),""))</f>
        <v/>
      </c>
      <c r="K1057" s="11">
        <v>3</v>
      </c>
    </row>
    <row r="1058" spans="1:11" hidden="1" x14ac:dyDescent="0.3">
      <c r="A1058" s="11" t="s">
        <v>401</v>
      </c>
      <c r="B1058" t="str">
        <f>VLOOKUP(A1058,[1]ListadoFichasDeProduccion!$A$2:$LP$3000,328,FALSE)</f>
        <v>COMPLETADO</v>
      </c>
      <c r="C1058" s="11">
        <v>9</v>
      </c>
      <c r="D1058" t="s">
        <v>11</v>
      </c>
      <c r="E1058" t="s">
        <v>276</v>
      </c>
      <c r="G1058" s="9">
        <v>45944</v>
      </c>
      <c r="H1058" t="s">
        <v>31</v>
      </c>
      <c r="I1058" s="11">
        <v>3</v>
      </c>
      <c r="J1058" t="str">
        <f>IF(I1058="","",IFERROR(IF(INDEX([1]ListadoFichasDeProduccion!LQ:MB,MATCH(A1058,[1]ListadoFichasDeProduccion!A:A,0),K1058)=0,"",INDEX([1]ListadoFichasDeProduccion!LQ:MB,MATCH(A1058,[1]ListadoFichasDeProduccion!A:A,0),K1058)),""))</f>
        <v/>
      </c>
      <c r="K1058" s="11">
        <v>1</v>
      </c>
    </row>
    <row r="1059" spans="1:11" hidden="1" x14ac:dyDescent="0.3">
      <c r="A1059" s="11" t="s">
        <v>401</v>
      </c>
      <c r="B1059" t="str">
        <f>VLOOKUP(A1059,[1]ListadoFichasDeProduccion!$A$2:$LP$3000,328,FALSE)</f>
        <v>COMPLETADO</v>
      </c>
      <c r="C1059" s="11">
        <v>9</v>
      </c>
      <c r="D1059" t="s">
        <v>11</v>
      </c>
      <c r="E1059" t="s">
        <v>276</v>
      </c>
      <c r="G1059" s="9">
        <v>45944</v>
      </c>
      <c r="H1059" t="s">
        <v>51</v>
      </c>
      <c r="I1059" s="11">
        <v>6</v>
      </c>
      <c r="J1059" t="str">
        <f>IF(I1059="","",IFERROR(IF(INDEX([1]ListadoFichasDeProduccion!LQ:MB,MATCH(A1059,[1]ListadoFichasDeProduccion!A:A,0),K1059)=0,"",INDEX([1]ListadoFichasDeProduccion!LQ:MB,MATCH(A1059,[1]ListadoFichasDeProduccion!A:A,0),K1059)),""))</f>
        <v/>
      </c>
      <c r="K1059" s="11">
        <v>2</v>
      </c>
    </row>
    <row r="1060" spans="1:11" hidden="1" x14ac:dyDescent="0.3">
      <c r="A1060" s="11" t="s">
        <v>414</v>
      </c>
      <c r="B1060" t="str">
        <f>VLOOKUP(A1060,[1]ListadoFichasDeProduccion!$A$2:$LP$3000,328,FALSE)</f>
        <v>COMPLETADO</v>
      </c>
      <c r="C1060" s="11">
        <v>6</v>
      </c>
      <c r="D1060" t="s">
        <v>11</v>
      </c>
      <c r="E1060" t="s">
        <v>276</v>
      </c>
      <c r="G1060" s="9">
        <v>45951</v>
      </c>
      <c r="H1060" t="s">
        <v>28</v>
      </c>
      <c r="I1060" s="11">
        <v>6</v>
      </c>
      <c r="J1060" t="str">
        <f>IF(I1060="","",IFERROR(IF(INDEX([1]ListadoFichasDeProduccion!LQ:MB,MATCH(A1060,[1]ListadoFichasDeProduccion!A:A,0),K1060)=0,"",INDEX([1]ListadoFichasDeProduccion!LQ:MB,MATCH(A1060,[1]ListadoFichasDeProduccion!A:A,0),K1060)),""))</f>
        <v/>
      </c>
      <c r="K1060" s="11">
        <v>1</v>
      </c>
    </row>
    <row r="1061" spans="1:11" hidden="1" x14ac:dyDescent="0.3">
      <c r="A1061" s="11">
        <v>1956</v>
      </c>
      <c r="B1061" t="str">
        <f>VLOOKUP(A1061,[1]ListadoFichasDeProduccion!$A$2:$LP$3000,328,FALSE)</f>
        <v>COMPLETADO</v>
      </c>
      <c r="C1061" s="11">
        <v>4</v>
      </c>
      <c r="D1061" t="s">
        <v>11</v>
      </c>
      <c r="E1061" t="s">
        <v>277</v>
      </c>
      <c r="G1061" s="9">
        <v>45897</v>
      </c>
      <c r="H1061" t="s">
        <v>51</v>
      </c>
      <c r="I1061" s="11">
        <v>4</v>
      </c>
      <c r="J1061" t="str">
        <f>IF(I1061="","",IFERROR(IF(INDEX([1]ListadoFichasDeProduccion!LQ:MB,MATCH(A1061,[1]ListadoFichasDeProduccion!A:A,0),K1061)=0,"",INDEX([1]ListadoFichasDeProduccion!LQ:MB,MATCH(A1061,[1]ListadoFichasDeProduccion!A:A,0),K1061)),""))</f>
        <v/>
      </c>
      <c r="K1061" s="11">
        <v>1</v>
      </c>
    </row>
    <row r="1062" spans="1:11" hidden="1" x14ac:dyDescent="0.3">
      <c r="A1062" s="11">
        <v>1865</v>
      </c>
      <c r="B1062" s="8" t="str">
        <f>VLOOKUP(A1062,[1]ListadoFichasDeProduccion!$A$2:$LP$3000,328,FALSE)</f>
        <v>COMPLETADO</v>
      </c>
      <c r="C1062" s="11">
        <v>10</v>
      </c>
      <c r="D1062" t="s">
        <v>11</v>
      </c>
      <c r="E1062" t="s">
        <v>234</v>
      </c>
      <c r="G1062" s="9">
        <v>45838</v>
      </c>
      <c r="H1062" t="s">
        <v>51</v>
      </c>
      <c r="I1062" s="11">
        <v>2</v>
      </c>
      <c r="J1062" t="str">
        <f>IF(I1062="","",IFERROR(IF(INDEX([1]ListadoFichasDeProduccion!LQ:MB,MATCH(A1062,[1]ListadoFichasDeProduccion!A:A,0),K1062)=0,"",INDEX([1]ListadoFichasDeProduccion!LQ:MB,MATCH(A1062,[1]ListadoFichasDeProduccion!A:A,0),K1062)),""))</f>
        <v/>
      </c>
      <c r="K1062" s="11">
        <v>1</v>
      </c>
    </row>
    <row r="1063" spans="1:11" hidden="1" x14ac:dyDescent="0.3">
      <c r="A1063" s="11">
        <v>1865</v>
      </c>
      <c r="B1063" s="8" t="str">
        <f>VLOOKUP(A1063,[1]ListadoFichasDeProduccion!$A$2:$LP$3000,328,FALSE)</f>
        <v>COMPLETADO</v>
      </c>
      <c r="C1063" s="11">
        <v>10</v>
      </c>
      <c r="D1063" t="s">
        <v>11</v>
      </c>
      <c r="E1063" t="s">
        <v>234</v>
      </c>
      <c r="G1063" s="9">
        <v>45838</v>
      </c>
      <c r="H1063" t="s">
        <v>28</v>
      </c>
      <c r="I1063" s="11">
        <v>4</v>
      </c>
      <c r="J1063" t="str">
        <f>IF(I1063="","",IFERROR(IF(INDEX([1]ListadoFichasDeProduccion!LQ:MB,MATCH(A1063,[1]ListadoFichasDeProduccion!A:A,0),K1063)=0,"",INDEX([1]ListadoFichasDeProduccion!LQ:MB,MATCH(A1063,[1]ListadoFichasDeProduccion!A:A,0),K1063)),""))</f>
        <v/>
      </c>
      <c r="K1063" s="11">
        <v>2</v>
      </c>
    </row>
    <row r="1064" spans="1:11" hidden="1" x14ac:dyDescent="0.3">
      <c r="A1064" s="11">
        <v>1865</v>
      </c>
      <c r="B1064" s="8" t="str">
        <f>VLOOKUP(A1064,[1]ListadoFichasDeProduccion!$A$2:$LP$3000,328,FALSE)</f>
        <v>COMPLETADO</v>
      </c>
      <c r="C1064" s="11">
        <v>10</v>
      </c>
      <c r="D1064" t="s">
        <v>11</v>
      </c>
      <c r="E1064" t="s">
        <v>234</v>
      </c>
      <c r="G1064" s="9">
        <v>45838</v>
      </c>
      <c r="H1064" t="s">
        <v>31</v>
      </c>
      <c r="I1064" s="11">
        <v>4</v>
      </c>
      <c r="J1064" t="str">
        <f>IF(I1064="","",IFERROR(IF(INDEX([1]ListadoFichasDeProduccion!LQ:MB,MATCH(A1064,[1]ListadoFichasDeProduccion!A:A,0),K1064)=0,"",INDEX([1]ListadoFichasDeProduccion!LQ:MB,MATCH(A1064,[1]ListadoFichasDeProduccion!A:A,0),K1064)),""))</f>
        <v/>
      </c>
      <c r="K1064" s="11">
        <v>3</v>
      </c>
    </row>
    <row r="1065" spans="1:11" hidden="1" x14ac:dyDescent="0.3">
      <c r="A1065" s="11">
        <v>1866</v>
      </c>
      <c r="B1065" s="8" t="str">
        <f>VLOOKUP(A1065,[1]ListadoFichasDeProduccion!$A$2:$LP$3000,328,FALSE)</f>
        <v>COMPLETADO</v>
      </c>
      <c r="C1065" s="11">
        <v>4</v>
      </c>
      <c r="D1065" t="s">
        <v>11</v>
      </c>
      <c r="E1065" t="s">
        <v>235</v>
      </c>
      <c r="G1065" s="9">
        <v>45838</v>
      </c>
      <c r="H1065" t="s">
        <v>51</v>
      </c>
      <c r="I1065" s="11">
        <v>4</v>
      </c>
      <c r="J1065" t="str">
        <f>IF(I1065="","",IFERROR(IF(INDEX([1]ListadoFichasDeProduccion!LQ:MB,MATCH(A1065,[1]ListadoFichasDeProduccion!A:A,0),K1065)=0,"",INDEX([1]ListadoFichasDeProduccion!LQ:MB,MATCH(A1065,[1]ListadoFichasDeProduccion!A:A,0),K1065)),""))</f>
        <v/>
      </c>
      <c r="K1065" s="11">
        <v>1</v>
      </c>
    </row>
    <row r="1066" spans="1:11" hidden="1" x14ac:dyDescent="0.3">
      <c r="A1066" s="11" t="s">
        <v>391</v>
      </c>
      <c r="B1066" t="str">
        <f>VLOOKUP(A1066,[1]ListadoFichasDeProduccion!$A$2:$LP$3000,328,FALSE)</f>
        <v>COMPLETADO</v>
      </c>
      <c r="C1066" s="11">
        <v>84</v>
      </c>
      <c r="D1066" t="s">
        <v>33</v>
      </c>
      <c r="E1066" t="s">
        <v>392</v>
      </c>
      <c r="G1066" s="9">
        <v>45939</v>
      </c>
      <c r="H1066" t="s">
        <v>61</v>
      </c>
      <c r="I1066" s="11">
        <v>14</v>
      </c>
      <c r="J1066" t="str">
        <f>IF(I1066="","",IFERROR(IF(INDEX([1]ListadoFichasDeProduccion!LQ:MB,MATCH(A1066,[1]ListadoFichasDeProduccion!A:A,0),K1066)=0,"",INDEX([1]ListadoFichasDeProduccion!LQ:MB,MATCH(A1066,[1]ListadoFichasDeProduccion!A:A,0),K1066)),""))</f>
        <v/>
      </c>
      <c r="K1066" s="11">
        <v>1</v>
      </c>
    </row>
    <row r="1067" spans="1:11" hidden="1" x14ac:dyDescent="0.3">
      <c r="A1067" s="11" t="s">
        <v>391</v>
      </c>
      <c r="B1067" t="str">
        <f>VLOOKUP(A1067,[1]ListadoFichasDeProduccion!$A$2:$LP$3000,328,FALSE)</f>
        <v>COMPLETADO</v>
      </c>
      <c r="C1067" s="11">
        <v>84</v>
      </c>
      <c r="D1067" t="s">
        <v>33</v>
      </c>
      <c r="E1067" t="s">
        <v>392</v>
      </c>
      <c r="G1067" s="9">
        <v>45939</v>
      </c>
      <c r="H1067" t="s">
        <v>335</v>
      </c>
      <c r="I1067" s="11">
        <v>14</v>
      </c>
      <c r="J1067" t="str">
        <f>IF(I1067="","",IFERROR(IF(INDEX([1]ListadoFichasDeProduccion!LQ:MB,MATCH(A1067,[1]ListadoFichasDeProduccion!A:A,0),K1067)=0,"",INDEX([1]ListadoFichasDeProduccion!LQ:MB,MATCH(A1067,[1]ListadoFichasDeProduccion!A:A,0),K1067)),""))</f>
        <v/>
      </c>
      <c r="K1067" s="11">
        <v>2</v>
      </c>
    </row>
    <row r="1068" spans="1:11" hidden="1" x14ac:dyDescent="0.3">
      <c r="A1068" s="11" t="s">
        <v>391</v>
      </c>
      <c r="B1068" t="str">
        <f>VLOOKUP(A1068,[1]ListadoFichasDeProduccion!$A$2:$LP$3000,328,FALSE)</f>
        <v>COMPLETADO</v>
      </c>
      <c r="C1068" s="11">
        <v>84</v>
      </c>
      <c r="D1068" t="s">
        <v>33</v>
      </c>
      <c r="E1068" t="s">
        <v>392</v>
      </c>
      <c r="G1068" s="9">
        <v>45939</v>
      </c>
      <c r="H1068" t="s">
        <v>60</v>
      </c>
      <c r="I1068" s="11">
        <v>14</v>
      </c>
      <c r="J1068" t="str">
        <f>IF(I1068="","",IFERROR(IF(INDEX([1]ListadoFichasDeProduccion!LQ:MB,MATCH(A1068,[1]ListadoFichasDeProduccion!A:A,0),K1068)=0,"",INDEX([1]ListadoFichasDeProduccion!LQ:MB,MATCH(A1068,[1]ListadoFichasDeProduccion!A:A,0),K1068)),""))</f>
        <v/>
      </c>
      <c r="K1068" s="11">
        <v>3</v>
      </c>
    </row>
    <row r="1069" spans="1:11" hidden="1" x14ac:dyDescent="0.3">
      <c r="A1069" s="11" t="s">
        <v>391</v>
      </c>
      <c r="B1069" t="str">
        <f>VLOOKUP(A1069,[1]ListadoFichasDeProduccion!$A$2:$LP$3000,328,FALSE)</f>
        <v>COMPLETADO</v>
      </c>
      <c r="C1069" s="11">
        <v>84</v>
      </c>
      <c r="D1069" t="s">
        <v>33</v>
      </c>
      <c r="E1069" t="s">
        <v>392</v>
      </c>
      <c r="G1069" s="9">
        <v>45939</v>
      </c>
      <c r="H1069" t="s">
        <v>393</v>
      </c>
      <c r="I1069" s="11">
        <v>14</v>
      </c>
      <c r="J1069" t="str">
        <f>IF(I1069="","",IFERROR(IF(INDEX([1]ListadoFichasDeProduccion!LQ:MB,MATCH(A1069,[1]ListadoFichasDeProduccion!A:A,0),K1069)=0,"",INDEX([1]ListadoFichasDeProduccion!LQ:MB,MATCH(A1069,[1]ListadoFichasDeProduccion!A:A,0),K1069)),""))</f>
        <v/>
      </c>
      <c r="K1069" s="11">
        <v>4</v>
      </c>
    </row>
    <row r="1070" spans="1:11" hidden="1" x14ac:dyDescent="0.3">
      <c r="A1070" s="11" t="s">
        <v>391</v>
      </c>
      <c r="B1070" t="str">
        <f>VLOOKUP(A1070,[1]ListadoFichasDeProduccion!$A$2:$LP$3000,328,FALSE)</f>
        <v>COMPLETADO</v>
      </c>
      <c r="C1070" s="11">
        <v>84</v>
      </c>
      <c r="D1070" t="s">
        <v>33</v>
      </c>
      <c r="E1070" t="s">
        <v>392</v>
      </c>
      <c r="G1070" s="9">
        <v>45939</v>
      </c>
      <c r="H1070" t="s">
        <v>334</v>
      </c>
      <c r="I1070" s="11">
        <v>14</v>
      </c>
      <c r="J1070" t="str">
        <f>IF(I1070="","",IFERROR(IF(INDEX([1]ListadoFichasDeProduccion!LQ:MB,MATCH(A1070,[1]ListadoFichasDeProduccion!A:A,0),K1070)=0,"",INDEX([1]ListadoFichasDeProduccion!LQ:MB,MATCH(A1070,[1]ListadoFichasDeProduccion!A:A,0),K1070)),""))</f>
        <v/>
      </c>
      <c r="K1070" s="11">
        <v>5</v>
      </c>
    </row>
    <row r="1071" spans="1:11" hidden="1" x14ac:dyDescent="0.3">
      <c r="A1071" s="11" t="s">
        <v>391</v>
      </c>
      <c r="B1071" t="str">
        <f>VLOOKUP(A1071,[1]ListadoFichasDeProduccion!$A$2:$LP$3000,328,FALSE)</f>
        <v>COMPLETADO</v>
      </c>
      <c r="C1071" s="11">
        <v>84</v>
      </c>
      <c r="D1071" t="s">
        <v>33</v>
      </c>
      <c r="E1071" t="s">
        <v>392</v>
      </c>
      <c r="G1071" s="9">
        <v>45939</v>
      </c>
      <c r="H1071" t="s">
        <v>394</v>
      </c>
      <c r="I1071" s="11">
        <v>14</v>
      </c>
      <c r="J1071" t="str">
        <f>IF(I1071="","",IFERROR(IF(INDEX([1]ListadoFichasDeProduccion!LQ:MB,MATCH(A1071,[1]ListadoFichasDeProduccion!A:A,0),K1071)=0,"",INDEX([1]ListadoFichasDeProduccion!LQ:MB,MATCH(A1071,[1]ListadoFichasDeProduccion!A:A,0),K1071)),""))</f>
        <v/>
      </c>
      <c r="K1071" s="11">
        <v>6</v>
      </c>
    </row>
    <row r="1072" spans="1:11" hidden="1" x14ac:dyDescent="0.3">
      <c r="A1072" s="11">
        <v>1640</v>
      </c>
      <c r="B1072" s="8" t="str">
        <f>VLOOKUP(A1072,[1]ListadoFichasDeProduccion!$A$2:$LP$3000,328,FALSE)</f>
        <v>COMPLETADO</v>
      </c>
      <c r="C1072" s="11">
        <v>24</v>
      </c>
      <c r="D1072" t="s">
        <v>33</v>
      </c>
      <c r="E1072" t="s">
        <v>86</v>
      </c>
      <c r="F1072" s="9" t="s">
        <v>87</v>
      </c>
      <c r="G1072" s="9">
        <v>45714</v>
      </c>
      <c r="H1072" t="s">
        <v>51</v>
      </c>
      <c r="I1072" s="11">
        <v>2</v>
      </c>
      <c r="J1072" t="str">
        <f>IF(I1072="","",IFERROR(IF(INDEX([1]ListadoFichasDeProduccion!LQ:MB,MATCH(A1072,[1]ListadoFichasDeProduccion!A:A,0),K1072)=0,"",INDEX([1]ListadoFichasDeProduccion!LQ:MB,MATCH(A1072,[1]ListadoFichasDeProduccion!A:A,0),K1072)),""))</f>
        <v/>
      </c>
      <c r="K1072" s="11">
        <v>1</v>
      </c>
    </row>
    <row r="1073" spans="1:11" hidden="1" x14ac:dyDescent="0.3">
      <c r="A1073" s="11">
        <v>1640</v>
      </c>
      <c r="B1073" s="8" t="str">
        <f>VLOOKUP(A1073,[1]ListadoFichasDeProduccion!$A$2:$LP$3000,328,FALSE)</f>
        <v>COMPLETADO</v>
      </c>
      <c r="C1073" s="11">
        <v>24</v>
      </c>
      <c r="D1073" t="s">
        <v>33</v>
      </c>
      <c r="E1073" t="s">
        <v>86</v>
      </c>
      <c r="F1073" s="9" t="s">
        <v>87</v>
      </c>
      <c r="G1073" s="9">
        <v>45714</v>
      </c>
      <c r="H1073" t="s">
        <v>31</v>
      </c>
      <c r="I1073" s="11">
        <v>4</v>
      </c>
      <c r="J1073" t="str">
        <f>IF(I1073="","",IFERROR(IF(INDEX([1]ListadoFichasDeProduccion!LQ:MB,MATCH(A1073,[1]ListadoFichasDeProduccion!A:A,0),K1073)=0,"",INDEX([1]ListadoFichasDeProduccion!LQ:MB,MATCH(A1073,[1]ListadoFichasDeProduccion!A:A,0),K1073)),""))</f>
        <v/>
      </c>
      <c r="K1073" s="11">
        <v>2</v>
      </c>
    </row>
    <row r="1074" spans="1:11" hidden="1" x14ac:dyDescent="0.3">
      <c r="A1074" s="11">
        <v>1640</v>
      </c>
      <c r="B1074" s="8" t="str">
        <f>VLOOKUP(A1074,[1]ListadoFichasDeProduccion!$A$2:$LP$3000,328,FALSE)</f>
        <v>COMPLETADO</v>
      </c>
      <c r="C1074" s="11">
        <v>24</v>
      </c>
      <c r="D1074" t="s">
        <v>33</v>
      </c>
      <c r="E1074" t="s">
        <v>86</v>
      </c>
      <c r="F1074" s="9" t="s">
        <v>87</v>
      </c>
      <c r="G1074" s="9">
        <v>45714</v>
      </c>
      <c r="H1074" t="s">
        <v>44</v>
      </c>
      <c r="I1074" s="11">
        <v>2</v>
      </c>
      <c r="J1074" t="str">
        <f>IF(I1074="","",IFERROR(IF(INDEX([1]ListadoFichasDeProduccion!LQ:MB,MATCH(A1074,[1]ListadoFichasDeProduccion!A:A,0),K1074)=0,"",INDEX([1]ListadoFichasDeProduccion!LQ:MB,MATCH(A1074,[1]ListadoFichasDeProduccion!A:A,0),K1074)),""))</f>
        <v/>
      </c>
      <c r="K1074" s="11">
        <v>3</v>
      </c>
    </row>
    <row r="1075" spans="1:11" hidden="1" x14ac:dyDescent="0.3">
      <c r="A1075" s="11">
        <v>1640</v>
      </c>
      <c r="B1075" s="8" t="str">
        <f>VLOOKUP(A1075,[1]ListadoFichasDeProduccion!$A$2:$LP$3000,328,FALSE)</f>
        <v>COMPLETADO</v>
      </c>
      <c r="C1075" s="11">
        <v>24</v>
      </c>
      <c r="D1075" t="s">
        <v>33</v>
      </c>
      <c r="E1075" t="s">
        <v>86</v>
      </c>
      <c r="F1075" s="9" t="s">
        <v>87</v>
      </c>
      <c r="G1075" s="9">
        <v>45714</v>
      </c>
      <c r="H1075" t="s">
        <v>28</v>
      </c>
      <c r="I1075" s="11">
        <v>10</v>
      </c>
      <c r="J1075" t="str">
        <f>IF(I1075="","",IFERROR(IF(INDEX([1]ListadoFichasDeProduccion!LQ:MB,MATCH(A1075,[1]ListadoFichasDeProduccion!A:A,0),K1075)=0,"",INDEX([1]ListadoFichasDeProduccion!LQ:MB,MATCH(A1075,[1]ListadoFichasDeProduccion!A:A,0),K1075)),""))</f>
        <v/>
      </c>
      <c r="K1075" s="11">
        <v>4</v>
      </c>
    </row>
    <row r="1076" spans="1:11" hidden="1" x14ac:dyDescent="0.3">
      <c r="A1076" s="11">
        <v>1640</v>
      </c>
      <c r="B1076" s="8" t="str">
        <f>VLOOKUP(A1076,[1]ListadoFichasDeProduccion!$A$2:$LP$3000,328,FALSE)</f>
        <v>COMPLETADO</v>
      </c>
      <c r="C1076" s="11">
        <v>24</v>
      </c>
      <c r="D1076" t="s">
        <v>33</v>
      </c>
      <c r="E1076" t="s">
        <v>86</v>
      </c>
      <c r="F1076" s="9" t="s">
        <v>87</v>
      </c>
      <c r="G1076" s="9">
        <v>45714</v>
      </c>
      <c r="H1076" t="s">
        <v>39</v>
      </c>
      <c r="I1076" s="11">
        <v>2</v>
      </c>
      <c r="J1076" t="str">
        <f>IF(I1076="","",IFERROR(IF(INDEX([1]ListadoFichasDeProduccion!LQ:MB,MATCH(A1076,[1]ListadoFichasDeProduccion!A:A,0),K1076)=0,"",INDEX([1]ListadoFichasDeProduccion!LQ:MB,MATCH(A1076,[1]ListadoFichasDeProduccion!A:A,0),K1076)),""))</f>
        <v/>
      </c>
      <c r="K1076" s="11">
        <v>5</v>
      </c>
    </row>
    <row r="1077" spans="1:11" hidden="1" x14ac:dyDescent="0.3">
      <c r="A1077" s="11">
        <v>1640</v>
      </c>
      <c r="B1077" s="8" t="str">
        <f>VLOOKUP(A1077,[1]ListadoFichasDeProduccion!$A$2:$LP$3000,328,FALSE)</f>
        <v>COMPLETADO</v>
      </c>
      <c r="C1077" s="11">
        <v>24</v>
      </c>
      <c r="D1077" t="s">
        <v>33</v>
      </c>
      <c r="E1077" t="s">
        <v>86</v>
      </c>
      <c r="F1077" s="9" t="s">
        <v>87</v>
      </c>
      <c r="G1077" s="9">
        <v>45714</v>
      </c>
      <c r="H1077" t="s">
        <v>88</v>
      </c>
      <c r="I1077" s="11">
        <v>4</v>
      </c>
      <c r="J1077" t="str">
        <f>IF(I1077="","",IFERROR(IF(INDEX([1]ListadoFichasDeProduccion!LQ:MB,MATCH(A1077,[1]ListadoFichasDeProduccion!A:A,0),K1077)=0,"",INDEX([1]ListadoFichasDeProduccion!LQ:MB,MATCH(A1077,[1]ListadoFichasDeProduccion!A:A,0),K1077)),""))</f>
        <v/>
      </c>
      <c r="K1077" s="11">
        <v>6</v>
      </c>
    </row>
    <row r="1078" spans="1:11" hidden="1" x14ac:dyDescent="0.3">
      <c r="A1078" s="11">
        <v>1729</v>
      </c>
      <c r="B1078" s="8" t="str">
        <f>VLOOKUP(A1078,[1]ListadoFichasDeProduccion!$A$2:$LP$3000,328,FALSE)</f>
        <v>COMPLETADO</v>
      </c>
      <c r="C1078" s="11">
        <v>16</v>
      </c>
      <c r="D1078" t="s">
        <v>33</v>
      </c>
      <c r="E1078" t="s">
        <v>86</v>
      </c>
      <c r="F1078" t="s">
        <v>87</v>
      </c>
      <c r="G1078" s="9">
        <v>45754</v>
      </c>
      <c r="H1078" t="s">
        <v>19</v>
      </c>
      <c r="I1078" s="11">
        <v>4</v>
      </c>
      <c r="J1078" t="str">
        <f>IF(I1078="","",IFERROR(IF(INDEX([1]ListadoFichasDeProduccion!LQ:MB,MATCH(A1078,[1]ListadoFichasDeProduccion!A:A,0),K1078)=0,"",INDEX([1]ListadoFichasDeProduccion!LQ:MB,MATCH(A1078,[1]ListadoFichasDeProduccion!A:A,0),K1078)),""))</f>
        <v/>
      </c>
      <c r="K1078" s="11">
        <v>1</v>
      </c>
    </row>
    <row r="1079" spans="1:11" hidden="1" x14ac:dyDescent="0.3">
      <c r="A1079" s="11">
        <v>1729</v>
      </c>
      <c r="B1079" s="8" t="str">
        <f>VLOOKUP(A1079,[1]ListadoFichasDeProduccion!$A$2:$LP$3000,328,FALSE)</f>
        <v>COMPLETADO</v>
      </c>
      <c r="C1079" s="11">
        <v>16</v>
      </c>
      <c r="D1079" t="s">
        <v>33</v>
      </c>
      <c r="E1079" t="s">
        <v>86</v>
      </c>
      <c r="F1079" t="s">
        <v>87</v>
      </c>
      <c r="G1079" s="9">
        <v>45754</v>
      </c>
      <c r="H1079" t="s">
        <v>144</v>
      </c>
      <c r="I1079" s="11">
        <v>4</v>
      </c>
      <c r="J1079" t="str">
        <f>IF(I1079="","",IFERROR(IF(INDEX([1]ListadoFichasDeProduccion!LQ:MB,MATCH(A1079,[1]ListadoFichasDeProduccion!A:A,0),K1079)=0,"",INDEX([1]ListadoFichasDeProduccion!LQ:MB,MATCH(A1079,[1]ListadoFichasDeProduccion!A:A,0),K1079)),""))</f>
        <v/>
      </c>
      <c r="K1079" s="11">
        <v>2</v>
      </c>
    </row>
    <row r="1080" spans="1:11" hidden="1" x14ac:dyDescent="0.3">
      <c r="A1080" s="11">
        <v>1729</v>
      </c>
      <c r="B1080" s="8" t="str">
        <f>VLOOKUP(A1080,[1]ListadoFichasDeProduccion!$A$2:$LP$3000,328,FALSE)</f>
        <v>COMPLETADO</v>
      </c>
      <c r="C1080" s="11">
        <v>16</v>
      </c>
      <c r="D1080" t="s">
        <v>33</v>
      </c>
      <c r="E1080" t="s">
        <v>86</v>
      </c>
      <c r="F1080" t="s">
        <v>87</v>
      </c>
      <c r="G1080" s="9">
        <v>45754</v>
      </c>
      <c r="H1080" t="s">
        <v>18</v>
      </c>
      <c r="I1080" s="11">
        <v>4</v>
      </c>
      <c r="J1080" t="str">
        <f>IF(I1080="","",IFERROR(IF(INDEX([1]ListadoFichasDeProduccion!LQ:MB,MATCH(A1080,[1]ListadoFichasDeProduccion!A:A,0),K1080)=0,"",INDEX([1]ListadoFichasDeProduccion!LQ:MB,MATCH(A1080,[1]ListadoFichasDeProduccion!A:A,0),K1080)),""))</f>
        <v/>
      </c>
      <c r="K1080" s="11">
        <v>3</v>
      </c>
    </row>
    <row r="1081" spans="1:11" hidden="1" x14ac:dyDescent="0.3">
      <c r="A1081" s="11">
        <v>1729</v>
      </c>
      <c r="B1081" s="8" t="str">
        <f>VLOOKUP(A1081,[1]ListadoFichasDeProduccion!$A$2:$LP$3000,328,FALSE)</f>
        <v>COMPLETADO</v>
      </c>
      <c r="C1081" s="11">
        <v>16</v>
      </c>
      <c r="D1081" t="s">
        <v>33</v>
      </c>
      <c r="E1081" t="s">
        <v>86</v>
      </c>
      <c r="F1081" t="s">
        <v>87</v>
      </c>
      <c r="G1081" s="9">
        <v>45754</v>
      </c>
      <c r="H1081" t="s">
        <v>123</v>
      </c>
      <c r="I1081" s="11">
        <v>4</v>
      </c>
      <c r="J1081" t="str">
        <f>IF(I1081="","",IFERROR(IF(INDEX([1]ListadoFichasDeProduccion!LQ:MB,MATCH(A1081,[1]ListadoFichasDeProduccion!A:A,0),K1081)=0,"",INDEX([1]ListadoFichasDeProduccion!LQ:MB,MATCH(A1081,[1]ListadoFichasDeProduccion!A:A,0),K1081)),""))</f>
        <v/>
      </c>
      <c r="K1081" s="11">
        <v>4</v>
      </c>
    </row>
    <row r="1082" spans="1:11" hidden="1" x14ac:dyDescent="0.3">
      <c r="A1082" s="11">
        <v>1812</v>
      </c>
      <c r="B1082" s="8" t="str">
        <f>VLOOKUP(A1082,[1]ListadoFichasDeProduccion!$A$2:$LP$3000,328,FALSE)</f>
        <v>COMPLETADO</v>
      </c>
      <c r="C1082" s="11">
        <v>7</v>
      </c>
      <c r="D1082" t="s">
        <v>33</v>
      </c>
      <c r="E1082" t="s">
        <v>86</v>
      </c>
      <c r="F1082" t="s">
        <v>87</v>
      </c>
      <c r="G1082" s="9">
        <v>45805</v>
      </c>
      <c r="H1082" t="s">
        <v>31</v>
      </c>
      <c r="I1082" s="11">
        <v>2</v>
      </c>
      <c r="J1082" t="str">
        <f>IF(I1082="","",IFERROR(IF(INDEX([1]ListadoFichasDeProduccion!LQ:MB,MATCH(A1082,[1]ListadoFichasDeProduccion!A:A,0),K1082)=0,"",INDEX([1]ListadoFichasDeProduccion!LQ:MB,MATCH(A1082,[1]ListadoFichasDeProduccion!A:A,0),K1082)),""))</f>
        <v/>
      </c>
      <c r="K1082" s="11">
        <v>1</v>
      </c>
    </row>
    <row r="1083" spans="1:11" hidden="1" x14ac:dyDescent="0.3">
      <c r="A1083" s="11">
        <v>1812</v>
      </c>
      <c r="B1083" s="8" t="str">
        <f>VLOOKUP(A1083,[1]ListadoFichasDeProduccion!$A$2:$LP$3000,328,FALSE)</f>
        <v>COMPLETADO</v>
      </c>
      <c r="C1083" s="11">
        <v>7</v>
      </c>
      <c r="D1083" t="s">
        <v>33</v>
      </c>
      <c r="E1083" t="s">
        <v>86</v>
      </c>
      <c r="F1083" t="s">
        <v>87</v>
      </c>
      <c r="G1083" s="9">
        <v>45805</v>
      </c>
      <c r="H1083" t="s">
        <v>51</v>
      </c>
      <c r="I1083" s="11">
        <v>4</v>
      </c>
      <c r="J1083" t="str">
        <f>IF(I1083="","",IFERROR(IF(INDEX([1]ListadoFichasDeProduccion!LQ:MB,MATCH(A1083,[1]ListadoFichasDeProduccion!A:A,0),K1083)=0,"",INDEX([1]ListadoFichasDeProduccion!LQ:MB,MATCH(A1083,[1]ListadoFichasDeProduccion!A:A,0),K1083)),""))</f>
        <v/>
      </c>
      <c r="K1083" s="11">
        <v>2</v>
      </c>
    </row>
    <row r="1084" spans="1:11" hidden="1" x14ac:dyDescent="0.3">
      <c r="A1084" s="11">
        <v>1812</v>
      </c>
      <c r="B1084" s="8" t="str">
        <f>VLOOKUP(A1084,[1]ListadoFichasDeProduccion!$A$2:$LP$3000,328,FALSE)</f>
        <v>COMPLETADO</v>
      </c>
      <c r="C1084" s="11">
        <v>7</v>
      </c>
      <c r="D1084" t="s">
        <v>33</v>
      </c>
      <c r="E1084" t="s">
        <v>86</v>
      </c>
      <c r="F1084" t="s">
        <v>87</v>
      </c>
      <c r="G1084" s="9">
        <v>45805</v>
      </c>
      <c r="H1084" t="s">
        <v>27</v>
      </c>
      <c r="I1084" s="11">
        <v>1</v>
      </c>
      <c r="J1084" t="str">
        <f>IF(I1084="","",IFERROR(IF(INDEX([1]ListadoFichasDeProduccion!LQ:MB,MATCH(A1084,[1]ListadoFichasDeProduccion!A:A,0),K1084)=0,"",INDEX([1]ListadoFichasDeProduccion!LQ:MB,MATCH(A1084,[1]ListadoFichasDeProduccion!A:A,0),K1084)),""))</f>
        <v/>
      </c>
      <c r="K1084" s="11">
        <v>3</v>
      </c>
    </row>
    <row r="1085" spans="1:11" hidden="1" x14ac:dyDescent="0.3">
      <c r="A1085" s="11" t="s">
        <v>462</v>
      </c>
      <c r="B1085" t="str">
        <f>VLOOKUP(A1085,[1]ListadoFichasDeProduccion!$A$2:$LP$3000,328,FALSE)</f>
        <v>COMPLETADO</v>
      </c>
      <c r="C1085" s="11">
        <v>4</v>
      </c>
      <c r="D1085" t="s">
        <v>33</v>
      </c>
      <c r="E1085" t="s">
        <v>86</v>
      </c>
      <c r="F1085" t="s">
        <v>87</v>
      </c>
      <c r="G1085" s="9">
        <v>45966</v>
      </c>
      <c r="H1085" t="s">
        <v>31</v>
      </c>
      <c r="I1085" s="11">
        <v>4</v>
      </c>
      <c r="J1085" t="str">
        <f>IF(I1085="","",IFERROR(IF(INDEX([1]ListadoFichasDeProduccion!LQ:MB,MATCH(A1085,[1]ListadoFichasDeProduccion!A:A,0),K1085)=0,"",INDEX([1]ListadoFichasDeProduccion!LQ:MB,MATCH(A1085,[1]ListadoFichasDeProduccion!A:A,0),K1085)),""))</f>
        <v/>
      </c>
      <c r="K1085" s="11">
        <v>1</v>
      </c>
    </row>
    <row r="1086" spans="1:11" hidden="1" x14ac:dyDescent="0.3">
      <c r="A1086" s="11">
        <v>1641</v>
      </c>
      <c r="B1086" s="8" t="str">
        <f>VLOOKUP(A1086,[1]ListadoFichasDeProduccion!$A$2:$LP$3000,328,FALSE)</f>
        <v>COMPLETADO</v>
      </c>
      <c r="C1086" s="11">
        <v>20</v>
      </c>
      <c r="D1086" t="s">
        <v>33</v>
      </c>
      <c r="E1086" t="s">
        <v>89</v>
      </c>
      <c r="F1086" s="9"/>
      <c r="G1086" s="9">
        <v>45714</v>
      </c>
      <c r="H1086" t="s">
        <v>51</v>
      </c>
      <c r="I1086" s="11">
        <v>4</v>
      </c>
      <c r="J1086" t="str">
        <f>IF(I1086="","",IFERROR(IF(INDEX([1]ListadoFichasDeProduccion!LQ:MB,MATCH(A1086,[1]ListadoFichasDeProduccion!A:A,0),K1086)=0,"",INDEX([1]ListadoFichasDeProduccion!LQ:MB,MATCH(A1086,[1]ListadoFichasDeProduccion!A:A,0),K1086)),""))</f>
        <v/>
      </c>
      <c r="K1086" s="11">
        <v>1</v>
      </c>
    </row>
    <row r="1087" spans="1:11" hidden="1" x14ac:dyDescent="0.3">
      <c r="A1087" s="11">
        <v>1641</v>
      </c>
      <c r="B1087" s="8" t="str">
        <f>VLOOKUP(A1087,[1]ListadoFichasDeProduccion!$A$2:$LP$3000,328,FALSE)</f>
        <v>COMPLETADO</v>
      </c>
      <c r="C1087" s="11">
        <v>20</v>
      </c>
      <c r="D1087" t="s">
        <v>33</v>
      </c>
      <c r="E1087" t="s">
        <v>89</v>
      </c>
      <c r="F1087" s="9"/>
      <c r="G1087" s="9">
        <v>45714</v>
      </c>
      <c r="H1087" t="s">
        <v>28</v>
      </c>
      <c r="I1087" s="11">
        <v>10</v>
      </c>
      <c r="J1087" t="str">
        <f>IF(I1087="","",IFERROR(IF(INDEX([1]ListadoFichasDeProduccion!LQ:MB,MATCH(A1087,[1]ListadoFichasDeProduccion!A:A,0),K1087)=0,"",INDEX([1]ListadoFichasDeProduccion!LQ:MB,MATCH(A1087,[1]ListadoFichasDeProduccion!A:A,0),K1087)),""))</f>
        <v/>
      </c>
      <c r="K1087" s="11">
        <v>2</v>
      </c>
    </row>
    <row r="1088" spans="1:11" hidden="1" x14ac:dyDescent="0.3">
      <c r="A1088" s="11">
        <v>1641</v>
      </c>
      <c r="B1088" s="8" t="str">
        <f>VLOOKUP(A1088,[1]ListadoFichasDeProduccion!$A$2:$LP$3000,328,FALSE)</f>
        <v>COMPLETADO</v>
      </c>
      <c r="C1088" s="11">
        <v>20</v>
      </c>
      <c r="D1088" t="s">
        <v>33</v>
      </c>
      <c r="E1088" t="s">
        <v>89</v>
      </c>
      <c r="F1088" s="9"/>
      <c r="G1088" s="9">
        <v>45714</v>
      </c>
      <c r="H1088" t="s">
        <v>44</v>
      </c>
      <c r="I1088" s="11">
        <v>2</v>
      </c>
      <c r="J1088" t="str">
        <f>IF(I1088="","",IFERROR(IF(INDEX([1]ListadoFichasDeProduccion!LQ:MB,MATCH(A1088,[1]ListadoFichasDeProduccion!A:A,0),K1088)=0,"",INDEX([1]ListadoFichasDeProduccion!LQ:MB,MATCH(A1088,[1]ListadoFichasDeProduccion!A:A,0),K1088)),""))</f>
        <v/>
      </c>
      <c r="K1088" s="11">
        <v>3</v>
      </c>
    </row>
    <row r="1089" spans="1:11" hidden="1" x14ac:dyDescent="0.3">
      <c r="A1089" s="11">
        <v>1641</v>
      </c>
      <c r="B1089" s="8" t="str">
        <f>VLOOKUP(A1089,[1]ListadoFichasDeProduccion!$A$2:$LP$3000,328,FALSE)</f>
        <v>COMPLETADO</v>
      </c>
      <c r="C1089" s="11">
        <v>20</v>
      </c>
      <c r="D1089" t="s">
        <v>33</v>
      </c>
      <c r="E1089" t="s">
        <v>89</v>
      </c>
      <c r="F1089" s="9"/>
      <c r="G1089" s="9">
        <v>45714</v>
      </c>
      <c r="H1089" t="s">
        <v>27</v>
      </c>
      <c r="I1089" s="11">
        <v>4</v>
      </c>
      <c r="J1089" t="str">
        <f>IF(I1089="","",IFERROR(IF(INDEX([1]ListadoFichasDeProduccion!LQ:MB,MATCH(A1089,[1]ListadoFichasDeProduccion!A:A,0),K1089)=0,"",INDEX([1]ListadoFichasDeProduccion!LQ:MB,MATCH(A1089,[1]ListadoFichasDeProduccion!A:A,0),K1089)),""))</f>
        <v/>
      </c>
      <c r="K1089" s="11">
        <v>4</v>
      </c>
    </row>
    <row r="1090" spans="1:11" hidden="1" x14ac:dyDescent="0.3">
      <c r="A1090" s="11">
        <v>1730</v>
      </c>
      <c r="B1090" s="8" t="str">
        <f>VLOOKUP(A1090,[1]ListadoFichasDeProduccion!$A$2:$LP$3000,328,FALSE)</f>
        <v>COMPLETADO</v>
      </c>
      <c r="C1090" s="11">
        <v>16</v>
      </c>
      <c r="D1090" t="s">
        <v>33</v>
      </c>
      <c r="E1090" t="s">
        <v>89</v>
      </c>
      <c r="G1090" s="9">
        <v>45754</v>
      </c>
      <c r="H1090" t="s">
        <v>19</v>
      </c>
      <c r="I1090" s="11">
        <v>4</v>
      </c>
      <c r="J1090" t="str">
        <f>IF(I1090="","",IFERROR(IF(INDEX([1]ListadoFichasDeProduccion!LQ:MB,MATCH(A1090,[1]ListadoFichasDeProduccion!A:A,0),K1090)=0,"",INDEX([1]ListadoFichasDeProduccion!LQ:MB,MATCH(A1090,[1]ListadoFichasDeProduccion!A:A,0),K1090)),""))</f>
        <v/>
      </c>
      <c r="K1090" s="11">
        <v>1</v>
      </c>
    </row>
    <row r="1091" spans="1:11" hidden="1" x14ac:dyDescent="0.3">
      <c r="A1091" s="11">
        <v>1730</v>
      </c>
      <c r="B1091" s="8" t="str">
        <f>VLOOKUP(A1091,[1]ListadoFichasDeProduccion!$A$2:$LP$3000,328,FALSE)</f>
        <v>COMPLETADO</v>
      </c>
      <c r="C1091" s="11">
        <v>16</v>
      </c>
      <c r="D1091" t="s">
        <v>33</v>
      </c>
      <c r="E1091" t="s">
        <v>89</v>
      </c>
      <c r="G1091" s="9">
        <v>45754</v>
      </c>
      <c r="H1091" t="s">
        <v>123</v>
      </c>
      <c r="I1091" s="11">
        <v>4</v>
      </c>
      <c r="J1091" t="str">
        <f>IF(I1091="","",IFERROR(IF(INDEX([1]ListadoFichasDeProduccion!LQ:MB,MATCH(A1091,[1]ListadoFichasDeProduccion!A:A,0),K1091)=0,"",INDEX([1]ListadoFichasDeProduccion!LQ:MB,MATCH(A1091,[1]ListadoFichasDeProduccion!A:A,0),K1091)),""))</f>
        <v/>
      </c>
      <c r="K1091" s="11">
        <v>2</v>
      </c>
    </row>
    <row r="1092" spans="1:11" hidden="1" x14ac:dyDescent="0.3">
      <c r="A1092" s="11">
        <v>1730</v>
      </c>
      <c r="B1092" s="8" t="str">
        <f>VLOOKUP(A1092,[1]ListadoFichasDeProduccion!$A$2:$LP$3000,328,FALSE)</f>
        <v>COMPLETADO</v>
      </c>
      <c r="C1092" s="11">
        <v>16</v>
      </c>
      <c r="D1092" t="s">
        <v>33</v>
      </c>
      <c r="E1092" t="s">
        <v>89</v>
      </c>
      <c r="G1092" s="9">
        <v>45754</v>
      </c>
      <c r="H1092" t="s">
        <v>144</v>
      </c>
      <c r="I1092" s="11">
        <v>4</v>
      </c>
      <c r="J1092" t="str">
        <f>IF(I1092="","",IFERROR(IF(INDEX([1]ListadoFichasDeProduccion!LQ:MB,MATCH(A1092,[1]ListadoFichasDeProduccion!A:A,0),K1092)=0,"",INDEX([1]ListadoFichasDeProduccion!LQ:MB,MATCH(A1092,[1]ListadoFichasDeProduccion!A:A,0),K1092)),""))</f>
        <v/>
      </c>
      <c r="K1092" s="11">
        <v>3</v>
      </c>
    </row>
    <row r="1093" spans="1:11" hidden="1" x14ac:dyDescent="0.3">
      <c r="A1093" s="11">
        <v>1730</v>
      </c>
      <c r="B1093" s="8" t="str">
        <f>VLOOKUP(A1093,[1]ListadoFichasDeProduccion!$A$2:$LP$3000,328,FALSE)</f>
        <v>COMPLETADO</v>
      </c>
      <c r="C1093" s="11">
        <v>16</v>
      </c>
      <c r="D1093" t="s">
        <v>33</v>
      </c>
      <c r="E1093" t="s">
        <v>89</v>
      </c>
      <c r="G1093" s="9">
        <v>45754</v>
      </c>
      <c r="H1093" t="s">
        <v>18</v>
      </c>
      <c r="I1093" s="11">
        <v>4</v>
      </c>
      <c r="J1093" t="str">
        <f>IF(I1093="","",IFERROR(IF(INDEX([1]ListadoFichasDeProduccion!LQ:MB,MATCH(A1093,[1]ListadoFichasDeProduccion!A:A,0),K1093)=0,"",INDEX([1]ListadoFichasDeProduccion!LQ:MB,MATCH(A1093,[1]ListadoFichasDeProduccion!A:A,0),K1093)),""))</f>
        <v/>
      </c>
      <c r="K1093" s="11">
        <v>4</v>
      </c>
    </row>
    <row r="1094" spans="1:11" hidden="1" x14ac:dyDescent="0.3">
      <c r="A1094" s="11">
        <v>1813</v>
      </c>
      <c r="B1094" s="8" t="str">
        <f>VLOOKUP(A1094,[1]ListadoFichasDeProduccion!$A$2:$LP$3000,328,FALSE)</f>
        <v>COMPLETADO</v>
      </c>
      <c r="C1094" s="11">
        <v>11</v>
      </c>
      <c r="D1094" t="s">
        <v>33</v>
      </c>
      <c r="E1094" t="s">
        <v>89</v>
      </c>
      <c r="G1094" s="9">
        <v>45805</v>
      </c>
      <c r="H1094" t="s">
        <v>31</v>
      </c>
      <c r="I1094" s="11">
        <v>4</v>
      </c>
      <c r="J1094" t="str">
        <f>IF(I1094="","",IFERROR(IF(INDEX([1]ListadoFichasDeProduccion!LQ:MB,MATCH(A1094,[1]ListadoFichasDeProduccion!A:A,0),K1094)=0,"",INDEX([1]ListadoFichasDeProduccion!LQ:MB,MATCH(A1094,[1]ListadoFichasDeProduccion!A:A,0),K1094)),""))</f>
        <v/>
      </c>
      <c r="K1094" s="11">
        <v>1</v>
      </c>
    </row>
    <row r="1095" spans="1:11" hidden="1" x14ac:dyDescent="0.3">
      <c r="A1095" s="11">
        <v>1813</v>
      </c>
      <c r="B1095" s="8" t="str">
        <f>VLOOKUP(A1095,[1]ListadoFichasDeProduccion!$A$2:$LP$3000,328,FALSE)</f>
        <v>COMPLETADO</v>
      </c>
      <c r="C1095" s="11">
        <v>11</v>
      </c>
      <c r="D1095" t="s">
        <v>33</v>
      </c>
      <c r="E1095" t="s">
        <v>89</v>
      </c>
      <c r="G1095" s="9">
        <v>45805</v>
      </c>
      <c r="H1095" t="s">
        <v>27</v>
      </c>
      <c r="I1095" s="11">
        <v>2</v>
      </c>
      <c r="J1095" t="str">
        <f>IF(I1095="","",IFERROR(IF(INDEX([1]ListadoFichasDeProduccion!LQ:MB,MATCH(A1095,[1]ListadoFichasDeProduccion!A:A,0),K1095)=0,"",INDEX([1]ListadoFichasDeProduccion!LQ:MB,MATCH(A1095,[1]ListadoFichasDeProduccion!A:A,0),K1095)),""))</f>
        <v/>
      </c>
      <c r="K1095" s="11">
        <v>2</v>
      </c>
    </row>
    <row r="1096" spans="1:11" hidden="1" x14ac:dyDescent="0.3">
      <c r="A1096" s="11">
        <v>1813</v>
      </c>
      <c r="B1096" s="8" t="str">
        <f>VLOOKUP(A1096,[1]ListadoFichasDeProduccion!$A$2:$LP$3000,328,FALSE)</f>
        <v>COMPLETADO</v>
      </c>
      <c r="C1096" s="11">
        <v>11</v>
      </c>
      <c r="D1096" t="s">
        <v>33</v>
      </c>
      <c r="E1096" t="s">
        <v>89</v>
      </c>
      <c r="G1096" s="9">
        <v>45805</v>
      </c>
      <c r="H1096" t="s">
        <v>24</v>
      </c>
      <c r="I1096" s="11">
        <v>1</v>
      </c>
      <c r="J1096" t="str">
        <f>IF(I1096="","",IFERROR(IF(INDEX([1]ListadoFichasDeProduccion!LQ:MB,MATCH(A1096,[1]ListadoFichasDeProduccion!A:A,0),K1096)=0,"",INDEX([1]ListadoFichasDeProduccion!LQ:MB,MATCH(A1096,[1]ListadoFichasDeProduccion!A:A,0),K1096)),""))</f>
        <v/>
      </c>
      <c r="K1096" s="11">
        <v>3</v>
      </c>
    </row>
    <row r="1097" spans="1:11" hidden="1" x14ac:dyDescent="0.3">
      <c r="A1097" s="11">
        <v>1813</v>
      </c>
      <c r="B1097" s="8" t="str">
        <f>VLOOKUP(A1097,[1]ListadoFichasDeProduccion!$A$2:$LP$3000,328,FALSE)</f>
        <v>COMPLETADO</v>
      </c>
      <c r="C1097" s="11">
        <v>11</v>
      </c>
      <c r="D1097" t="s">
        <v>33</v>
      </c>
      <c r="E1097" t="s">
        <v>89</v>
      </c>
      <c r="G1097" s="9">
        <v>45805</v>
      </c>
      <c r="H1097" t="s">
        <v>39</v>
      </c>
      <c r="I1097" s="11">
        <v>4</v>
      </c>
      <c r="J1097" t="str">
        <f>IF(I1097="","",IFERROR(IF(INDEX([1]ListadoFichasDeProduccion!LQ:MB,MATCH(A1097,[1]ListadoFichasDeProduccion!A:A,0),K1097)=0,"",INDEX([1]ListadoFichasDeProduccion!LQ:MB,MATCH(A1097,[1]ListadoFichasDeProduccion!A:A,0),K1097)),""))</f>
        <v/>
      </c>
      <c r="K1097" s="11">
        <v>4</v>
      </c>
    </row>
    <row r="1098" spans="1:11" hidden="1" x14ac:dyDescent="0.3">
      <c r="A1098" s="11">
        <v>1889</v>
      </c>
      <c r="B1098" s="8" t="str">
        <f>VLOOKUP(A1098,[1]ListadoFichasDeProduccion!$A$2:$LP$3000,328,FALSE)</f>
        <v>COMPLETADO</v>
      </c>
      <c r="C1098" s="11">
        <v>8</v>
      </c>
      <c r="D1098" t="s">
        <v>33</v>
      </c>
      <c r="E1098" t="s">
        <v>243</v>
      </c>
      <c r="G1098" s="9">
        <v>45848</v>
      </c>
      <c r="H1098" t="s">
        <v>123</v>
      </c>
      <c r="I1098" s="11">
        <v>6</v>
      </c>
      <c r="J1098" t="str">
        <f>IF(I1098="","",IFERROR(IF(INDEX([1]ListadoFichasDeProduccion!LQ:MB,MATCH(A1098,[1]ListadoFichasDeProduccion!A:A,0),K1098)=0,"",INDEX([1]ListadoFichasDeProduccion!LQ:MB,MATCH(A1098,[1]ListadoFichasDeProduccion!A:A,0),K1098)),""))</f>
        <v xml:space="preserve"> QUE SE VEA LA MANCHA SI NO SALE DE RETAZOS, USAR PLACA! - CORDON  CONTORNO CUERO  NAPADO COLOR TABACO</v>
      </c>
      <c r="K1098" s="11">
        <v>1</v>
      </c>
    </row>
    <row r="1099" spans="1:11" hidden="1" x14ac:dyDescent="0.3">
      <c r="A1099" s="11">
        <v>1889</v>
      </c>
      <c r="B1099" s="8" t="str">
        <f>VLOOKUP(A1099,[1]ListadoFichasDeProduccion!$A$2:$LP$3000,328,FALSE)</f>
        <v>COMPLETADO</v>
      </c>
      <c r="C1099" s="11">
        <v>8</v>
      </c>
      <c r="D1099" t="s">
        <v>33</v>
      </c>
      <c r="E1099" t="s">
        <v>243</v>
      </c>
      <c r="G1099" s="9">
        <v>45848</v>
      </c>
      <c r="H1099" t="s">
        <v>19</v>
      </c>
      <c r="I1099" s="11">
        <v>2</v>
      </c>
      <c r="J1099" t="str">
        <f>IF(I1099="","",IFERROR(IF(INDEX([1]ListadoFichasDeProduccion!LQ:MB,MATCH(A1099,[1]ListadoFichasDeProduccion!A:A,0),K1099)=0,"",INDEX([1]ListadoFichasDeProduccion!LQ:MB,MATCH(A1099,[1]ListadoFichasDeProduccion!A:A,0),K1099)),""))</f>
        <v/>
      </c>
      <c r="K1099" s="11">
        <v>2</v>
      </c>
    </row>
    <row r="1100" spans="1:11" x14ac:dyDescent="0.3">
      <c r="A1100" s="11">
        <v>1947</v>
      </c>
      <c r="B1100" t="str">
        <f>VLOOKUP(A1100,[1]ListadoFichasDeProduccion!$A$2:$LP$3000,328,FALSE)</f>
        <v>NO COMENZADO</v>
      </c>
      <c r="C1100" s="11">
        <v>6</v>
      </c>
      <c r="D1100" t="s">
        <v>33</v>
      </c>
      <c r="E1100" t="s">
        <v>243</v>
      </c>
      <c r="G1100" s="9"/>
      <c r="H1100" t="s">
        <v>123</v>
      </c>
      <c r="I1100" s="11">
        <v>6</v>
      </c>
      <c r="J1100" t="str">
        <f>IF(I1100="","",IFERROR(IF(INDEX([1]ListadoFichasDeProduccion!LQ:MB,MATCH(A1100,[1]ListadoFichasDeProduccion!A:A,0),K1100)=0,"",INDEX([1]ListadoFichasDeProduccion!LQ:MB,MATCH(A1100,[1]ListadoFichasDeProduccion!A:A,0),K1100)),""))</f>
        <v/>
      </c>
      <c r="K1100" s="11">
        <v>1</v>
      </c>
    </row>
    <row r="1101" spans="1:11" hidden="1" x14ac:dyDescent="0.3">
      <c r="A1101" s="11" t="s">
        <v>376</v>
      </c>
      <c r="B1101" t="str">
        <f>VLOOKUP(A1101,[1]ListadoFichasDeProduccion!$A$2:$LP$3000,328,FALSE)</f>
        <v>COMPLETADO</v>
      </c>
      <c r="C1101" s="11">
        <v>20</v>
      </c>
      <c r="D1101" t="s">
        <v>33</v>
      </c>
      <c r="E1101" t="s">
        <v>243</v>
      </c>
      <c r="G1101" s="9">
        <v>45939</v>
      </c>
      <c r="H1101" t="s">
        <v>123</v>
      </c>
      <c r="I1101" s="11">
        <v>14</v>
      </c>
      <c r="J1101" t="str">
        <f>IF(I1101="","",IFERROR(IF(INDEX([1]ListadoFichasDeProduccion!LQ:MB,MATCH(A1101,[1]ListadoFichasDeProduccion!A:A,0),K1101)=0,"",INDEX([1]ListadoFichasDeProduccion!LQ:MB,MATCH(A1101,[1]ListadoFichasDeProduccion!A:A,0),K1101)),""))</f>
        <v/>
      </c>
      <c r="K1101" s="11">
        <v>1</v>
      </c>
    </row>
    <row r="1102" spans="1:11" hidden="1" x14ac:dyDescent="0.3">
      <c r="A1102" s="11" t="s">
        <v>376</v>
      </c>
      <c r="B1102" t="str">
        <f>VLOOKUP(A1102,[1]ListadoFichasDeProduccion!$A$2:$LP$3000,328,FALSE)</f>
        <v>COMPLETADO</v>
      </c>
      <c r="C1102" s="11">
        <v>20</v>
      </c>
      <c r="D1102" t="s">
        <v>33</v>
      </c>
      <c r="E1102" t="s">
        <v>243</v>
      </c>
      <c r="G1102" s="9">
        <v>45939</v>
      </c>
      <c r="H1102" t="s">
        <v>19</v>
      </c>
      <c r="I1102" s="11">
        <v>6</v>
      </c>
      <c r="J1102" t="str">
        <f>IF(I1102="","",IFERROR(IF(INDEX([1]ListadoFichasDeProduccion!LQ:MB,MATCH(A1102,[1]ListadoFichasDeProduccion!A:A,0),K1102)=0,"",INDEX([1]ListadoFichasDeProduccion!LQ:MB,MATCH(A1102,[1]ListadoFichasDeProduccion!A:A,0),K1102)),""))</f>
        <v/>
      </c>
      <c r="K1102" s="11">
        <v>2</v>
      </c>
    </row>
    <row r="1103" spans="1:11" hidden="1" x14ac:dyDescent="0.3">
      <c r="A1103" s="11">
        <v>1795</v>
      </c>
      <c r="B1103" s="8" t="str">
        <f>VLOOKUP(A1103,[1]ListadoFichasDeProduccion!$A$2:$LP$3000,328,FALSE)</f>
        <v>COMPLETADO</v>
      </c>
      <c r="C1103" s="11">
        <v>12</v>
      </c>
      <c r="D1103" t="s">
        <v>33</v>
      </c>
      <c r="E1103" t="s">
        <v>198</v>
      </c>
      <c r="G1103" s="9">
        <v>45803</v>
      </c>
      <c r="H1103" t="s">
        <v>123</v>
      </c>
      <c r="I1103" s="11">
        <v>6</v>
      </c>
      <c r="J1103" t="str">
        <f>IF(I1103="","",IFERROR(IF(INDEX([1]ListadoFichasDeProduccion!LQ:MB,MATCH(A1103,[1]ListadoFichasDeProduccion!A:A,0),K1103)=0,"",INDEX([1]ListadoFichasDeProduccion!LQ:MB,MATCH(A1103,[1]ListadoFichasDeProduccion!A:A,0),K1103)),""))</f>
        <v>CORDON  CONTORNO CUERO  NAPADO COLOR TABACO /  QUE SE VEA LA MANCHA SI NO SALE DE RETAZOS, USAR PLACA!</v>
      </c>
      <c r="K1103" s="11">
        <v>1</v>
      </c>
    </row>
    <row r="1104" spans="1:11" hidden="1" x14ac:dyDescent="0.3">
      <c r="A1104" s="11">
        <v>1795</v>
      </c>
      <c r="B1104" s="8" t="str">
        <f>VLOOKUP(A1104,[1]ListadoFichasDeProduccion!$A$2:$LP$3000,328,FALSE)</f>
        <v>COMPLETADO</v>
      </c>
      <c r="C1104" s="11">
        <v>12</v>
      </c>
      <c r="D1104" t="s">
        <v>33</v>
      </c>
      <c r="E1104" t="s">
        <v>198</v>
      </c>
      <c r="G1104" s="9">
        <v>45803</v>
      </c>
      <c r="H1104" t="s">
        <v>19</v>
      </c>
      <c r="I1104" s="11">
        <v>6</v>
      </c>
      <c r="J1104" t="str">
        <f>IF(I1104="","",IFERROR(IF(INDEX([1]ListadoFichasDeProduccion!LQ:MB,MATCH(A1104,[1]ListadoFichasDeProduccion!A:A,0),K1104)=0,"",INDEX([1]ListadoFichasDeProduccion!LQ:MB,MATCH(A1104,[1]ListadoFichasDeProduccion!A:A,0),K1104)),""))</f>
        <v>CORDON  CONTORNO CUERO  NAPADO COLOR NEGRO /  QUE SE VEA LA MANCHA SI NO SALE DE RETAZOS, USAR PLACA!</v>
      </c>
      <c r="K1104" s="11">
        <v>2</v>
      </c>
    </row>
    <row r="1105" spans="1:11" hidden="1" x14ac:dyDescent="0.3">
      <c r="A1105" s="11">
        <v>1598</v>
      </c>
      <c r="B1105" s="8" t="str">
        <f>VLOOKUP(A1105,[1]ListadoFichasDeProduccion!$A$2:$LP$3000,328,FALSE)</f>
        <v>COMPLETADO</v>
      </c>
      <c r="C1105" s="11">
        <v>62</v>
      </c>
      <c r="D1105" t="s">
        <v>33</v>
      </c>
      <c r="E1105" t="s">
        <v>45</v>
      </c>
      <c r="F1105" s="9"/>
      <c r="G1105" s="9">
        <v>45674</v>
      </c>
      <c r="H1105" t="s">
        <v>44</v>
      </c>
      <c r="I1105" s="11">
        <v>12</v>
      </c>
      <c r="J1105" t="str">
        <f>IF(I1105="","",IFERROR(IF(INDEX([1]ListadoFichasDeProduccion!LQ:MB,MATCH(A1105,[1]ListadoFichasDeProduccion!A:A,0),K1105)=0,"",INDEX([1]ListadoFichasDeProduccion!LQ:MB,MATCH(A1105,[1]ListadoFichasDeProduccion!A:A,0),K1105)),""))</f>
        <v/>
      </c>
      <c r="K1105" s="11">
        <v>1</v>
      </c>
    </row>
    <row r="1106" spans="1:11" hidden="1" x14ac:dyDescent="0.3">
      <c r="A1106" s="11">
        <v>1598</v>
      </c>
      <c r="B1106" s="8" t="str">
        <f>VLOOKUP(A1106,[1]ListadoFichasDeProduccion!$A$2:$LP$3000,328,FALSE)</f>
        <v>COMPLETADO</v>
      </c>
      <c r="C1106" s="11">
        <v>62</v>
      </c>
      <c r="D1106" t="s">
        <v>33</v>
      </c>
      <c r="E1106" t="s">
        <v>45</v>
      </c>
      <c r="F1106" s="9"/>
      <c r="G1106" s="9">
        <v>45674</v>
      </c>
      <c r="H1106" t="s">
        <v>26</v>
      </c>
      <c r="I1106" s="11">
        <v>15</v>
      </c>
      <c r="J1106" t="str">
        <f>IF(I1106="","",IFERROR(IF(INDEX([1]ListadoFichasDeProduccion!LQ:MB,MATCH(A1106,[1]ListadoFichasDeProduccion!A:A,0),K1106)=0,"",INDEX([1]ListadoFichasDeProduccion!LQ:MB,MATCH(A1106,[1]ListadoFichasDeProduccion!A:A,0),K1106)),""))</f>
        <v/>
      </c>
      <c r="K1106" s="11">
        <v>2</v>
      </c>
    </row>
    <row r="1107" spans="1:11" hidden="1" x14ac:dyDescent="0.3">
      <c r="A1107" s="11">
        <v>1598</v>
      </c>
      <c r="B1107" s="8" t="str">
        <f>VLOOKUP(A1107,[1]ListadoFichasDeProduccion!$A$2:$LP$3000,328,FALSE)</f>
        <v>COMPLETADO</v>
      </c>
      <c r="C1107" s="11">
        <v>62</v>
      </c>
      <c r="D1107" t="s">
        <v>33</v>
      </c>
      <c r="E1107" t="s">
        <v>45</v>
      </c>
      <c r="F1107" s="9"/>
      <c r="G1107" s="9">
        <v>45674</v>
      </c>
      <c r="H1107" t="s">
        <v>32</v>
      </c>
      <c r="I1107" s="11">
        <v>15</v>
      </c>
      <c r="J1107" t="str">
        <f>IF(I1107="","",IFERROR(IF(INDEX([1]ListadoFichasDeProduccion!LQ:MB,MATCH(A1107,[1]ListadoFichasDeProduccion!A:A,0),K1107)=0,"",INDEX([1]ListadoFichasDeProduccion!LQ:MB,MATCH(A1107,[1]ListadoFichasDeProduccion!A:A,0),K1107)),""))</f>
        <v/>
      </c>
      <c r="K1107" s="11">
        <v>3</v>
      </c>
    </row>
    <row r="1108" spans="1:11" hidden="1" x14ac:dyDescent="0.3">
      <c r="A1108" s="11">
        <v>1598</v>
      </c>
      <c r="B1108" s="8" t="str">
        <f>VLOOKUP(A1108,[1]ListadoFichasDeProduccion!$A$2:$LP$3000,328,FALSE)</f>
        <v>COMPLETADO</v>
      </c>
      <c r="C1108" s="11">
        <v>62</v>
      </c>
      <c r="D1108" t="s">
        <v>33</v>
      </c>
      <c r="E1108" t="s">
        <v>45</v>
      </c>
      <c r="F1108" s="9"/>
      <c r="G1108" s="9">
        <v>45674</v>
      </c>
      <c r="H1108" t="s">
        <v>46</v>
      </c>
      <c r="I1108" s="11">
        <v>10</v>
      </c>
      <c r="J1108" t="str">
        <f>IF(I1108="","",IFERROR(IF(INDEX([1]ListadoFichasDeProduccion!LQ:MB,MATCH(A1108,[1]ListadoFichasDeProduccion!A:A,0),K1108)=0,"",INDEX([1]ListadoFichasDeProduccion!LQ:MB,MATCH(A1108,[1]ListadoFichasDeProduccion!A:A,0),K1108)),""))</f>
        <v/>
      </c>
      <c r="K1108" s="11">
        <v>4</v>
      </c>
    </row>
    <row r="1109" spans="1:11" hidden="1" x14ac:dyDescent="0.3">
      <c r="A1109" s="11">
        <v>1598</v>
      </c>
      <c r="B1109" s="8" t="str">
        <f>VLOOKUP(A1109,[1]ListadoFichasDeProduccion!$A$2:$LP$3000,328,FALSE)</f>
        <v>COMPLETADO</v>
      </c>
      <c r="C1109" s="11">
        <v>62</v>
      </c>
      <c r="D1109" t="s">
        <v>33</v>
      </c>
      <c r="E1109" t="s">
        <v>45</v>
      </c>
      <c r="F1109" s="9"/>
      <c r="G1109" s="9">
        <v>45674</v>
      </c>
      <c r="H1109" t="s">
        <v>47</v>
      </c>
      <c r="I1109" s="11">
        <v>10</v>
      </c>
      <c r="J1109" t="str">
        <f>IF(I1109="","",IFERROR(IF(INDEX([1]ListadoFichasDeProduccion!LQ:MB,MATCH(A1109,[1]ListadoFichasDeProduccion!A:A,0),K1109)=0,"",INDEX([1]ListadoFichasDeProduccion!LQ:MB,MATCH(A1109,[1]ListadoFichasDeProduccion!A:A,0),K1109)),""))</f>
        <v/>
      </c>
      <c r="K1109" s="11">
        <v>5</v>
      </c>
    </row>
    <row r="1110" spans="1:11" hidden="1" x14ac:dyDescent="0.3">
      <c r="A1110" s="11">
        <v>1717</v>
      </c>
      <c r="B1110" s="8" t="str">
        <f>VLOOKUP(A1110,[1]ListadoFichasDeProduccion!$A$2:$LP$3000,328,FALSE)</f>
        <v>COMPLETADO</v>
      </c>
      <c r="C1110" s="11">
        <v>42</v>
      </c>
      <c r="D1110" t="s">
        <v>33</v>
      </c>
      <c r="E1110" t="s">
        <v>45</v>
      </c>
      <c r="G1110" s="9">
        <v>45741</v>
      </c>
      <c r="H1110" t="s">
        <v>27</v>
      </c>
      <c r="I1110" s="11">
        <v>14</v>
      </c>
      <c r="J1110" t="str">
        <f>IF(I1110="","",IFERROR(IF(INDEX([1]ListadoFichasDeProduccion!LQ:MB,MATCH(A1110,[1]ListadoFichasDeProduccion!A:A,0),K1110)=0,"",INDEX([1]ListadoFichasDeProduccion!LQ:MB,MATCH(A1110,[1]ListadoFichasDeProduccion!A:A,0),K1110)),""))</f>
        <v/>
      </c>
      <c r="K1110" s="11">
        <v>1</v>
      </c>
    </row>
    <row r="1111" spans="1:11" hidden="1" x14ac:dyDescent="0.3">
      <c r="A1111" s="11">
        <v>1717</v>
      </c>
      <c r="B1111" s="8" t="str">
        <f>VLOOKUP(A1111,[1]ListadoFichasDeProduccion!$A$2:$LP$3000,328,FALSE)</f>
        <v>COMPLETADO</v>
      </c>
      <c r="C1111" s="11">
        <v>42</v>
      </c>
      <c r="D1111" t="s">
        <v>33</v>
      </c>
      <c r="E1111" t="s">
        <v>45</v>
      </c>
      <c r="G1111" s="9">
        <v>45741</v>
      </c>
      <c r="H1111" t="s">
        <v>51</v>
      </c>
      <c r="I1111" s="11">
        <v>8</v>
      </c>
      <c r="J1111" t="str">
        <f>IF(I1111="","",IFERROR(IF(INDEX([1]ListadoFichasDeProduccion!LQ:MB,MATCH(A1111,[1]ListadoFichasDeProduccion!A:A,0),K1111)=0,"",INDEX([1]ListadoFichasDeProduccion!LQ:MB,MATCH(A1111,[1]ListadoFichasDeProduccion!A:A,0),K1111)),""))</f>
        <v/>
      </c>
      <c r="K1111" s="11">
        <v>2</v>
      </c>
    </row>
    <row r="1112" spans="1:11" hidden="1" x14ac:dyDescent="0.3">
      <c r="A1112" s="11">
        <v>1717</v>
      </c>
      <c r="B1112" s="8" t="str">
        <f>VLOOKUP(A1112,[1]ListadoFichasDeProduccion!$A$2:$LP$3000,328,FALSE)</f>
        <v>COMPLETADO</v>
      </c>
      <c r="C1112" s="11">
        <v>42</v>
      </c>
      <c r="D1112" t="s">
        <v>33</v>
      </c>
      <c r="E1112" t="s">
        <v>45</v>
      </c>
      <c r="G1112" s="9">
        <v>45741</v>
      </c>
      <c r="H1112" t="s">
        <v>138</v>
      </c>
      <c r="I1112" s="11">
        <v>20</v>
      </c>
      <c r="J1112" t="str">
        <f>IF(I1112="","",IFERROR(IF(INDEX([1]ListadoFichasDeProduccion!LQ:MB,MATCH(A1112,[1]ListadoFichasDeProduccion!A:A,0),K1112)=0,"",INDEX([1]ListadoFichasDeProduccion!LQ:MB,MATCH(A1112,[1]ListadoFichasDeProduccion!A:A,0),K1112)),""))</f>
        <v/>
      </c>
      <c r="K1112" s="11">
        <v>3</v>
      </c>
    </row>
    <row r="1113" spans="1:11" hidden="1" x14ac:dyDescent="0.3">
      <c r="A1113" s="11">
        <v>1736</v>
      </c>
      <c r="B1113" s="8" t="str">
        <f>VLOOKUP(A1113,[1]ListadoFichasDeProduccion!$A$2:$LP$3000,328,FALSE)</f>
        <v>COMPLETADO</v>
      </c>
      <c r="C1113" s="11">
        <v>50</v>
      </c>
      <c r="D1113" t="s">
        <v>33</v>
      </c>
      <c r="E1113" t="s">
        <v>45</v>
      </c>
      <c r="G1113" s="9">
        <v>45756</v>
      </c>
      <c r="H1113" t="s">
        <v>27</v>
      </c>
      <c r="I1113" s="11">
        <v>9</v>
      </c>
      <c r="J1113" t="str">
        <f>IF(I1113="","",IFERROR(IF(INDEX([1]ListadoFichasDeProduccion!LQ:MB,MATCH(A1113,[1]ListadoFichasDeProduccion!A:A,0),K1113)=0,"",INDEX([1]ListadoFichasDeProduccion!LQ:MB,MATCH(A1113,[1]ListadoFichasDeProduccion!A:A,0),K1113)),""))</f>
        <v/>
      </c>
      <c r="K1113" s="11">
        <v>1</v>
      </c>
    </row>
    <row r="1114" spans="1:11" hidden="1" x14ac:dyDescent="0.3">
      <c r="A1114" s="11">
        <v>1736</v>
      </c>
      <c r="B1114" s="8" t="str">
        <f>VLOOKUP(A1114,[1]ListadoFichasDeProduccion!$A$2:$LP$3000,328,FALSE)</f>
        <v>COMPLETADO</v>
      </c>
      <c r="C1114" s="11">
        <v>50</v>
      </c>
      <c r="D1114" t="s">
        <v>33</v>
      </c>
      <c r="E1114" t="s">
        <v>45</v>
      </c>
      <c r="G1114" s="9">
        <v>45756</v>
      </c>
      <c r="H1114" t="s">
        <v>51</v>
      </c>
      <c r="I1114" s="11">
        <v>12</v>
      </c>
      <c r="J1114" t="str">
        <f>IF(I1114="","",IFERROR(IF(INDEX([1]ListadoFichasDeProduccion!LQ:MB,MATCH(A1114,[1]ListadoFichasDeProduccion!A:A,0),K1114)=0,"",INDEX([1]ListadoFichasDeProduccion!LQ:MB,MATCH(A1114,[1]ListadoFichasDeProduccion!A:A,0),K1114)),""))</f>
        <v/>
      </c>
      <c r="K1114" s="11">
        <v>2</v>
      </c>
    </row>
    <row r="1115" spans="1:11" hidden="1" x14ac:dyDescent="0.3">
      <c r="A1115" s="11">
        <v>1736</v>
      </c>
      <c r="B1115" s="8" t="str">
        <f>VLOOKUP(A1115,[1]ListadoFichasDeProduccion!$A$2:$LP$3000,328,FALSE)</f>
        <v>COMPLETADO</v>
      </c>
      <c r="C1115" s="11">
        <v>50</v>
      </c>
      <c r="D1115" t="s">
        <v>33</v>
      </c>
      <c r="E1115" t="s">
        <v>45</v>
      </c>
      <c r="G1115" s="9">
        <v>45756</v>
      </c>
      <c r="H1115" t="s">
        <v>138</v>
      </c>
      <c r="I1115" s="11">
        <v>20</v>
      </c>
      <c r="J1115" t="str">
        <f>IF(I1115="","",IFERROR(IF(INDEX([1]ListadoFichasDeProduccion!LQ:MB,MATCH(A1115,[1]ListadoFichasDeProduccion!A:A,0),K1115)=0,"",INDEX([1]ListadoFichasDeProduccion!LQ:MB,MATCH(A1115,[1]ListadoFichasDeProduccion!A:A,0),K1115)),""))</f>
        <v/>
      </c>
      <c r="K1115" s="11">
        <v>3</v>
      </c>
    </row>
    <row r="1116" spans="1:11" hidden="1" x14ac:dyDescent="0.3">
      <c r="A1116" s="11">
        <v>1736</v>
      </c>
      <c r="B1116" s="8" t="str">
        <f>VLOOKUP(A1116,[1]ListadoFichasDeProduccion!$A$2:$LP$3000,328,FALSE)</f>
        <v>COMPLETADO</v>
      </c>
      <c r="C1116" s="11">
        <v>50</v>
      </c>
      <c r="D1116" t="s">
        <v>33</v>
      </c>
      <c r="E1116" t="s">
        <v>45</v>
      </c>
      <c r="G1116" s="9">
        <v>45756</v>
      </c>
      <c r="H1116" t="s">
        <v>137</v>
      </c>
      <c r="I1116" s="11">
        <v>9</v>
      </c>
      <c r="J1116" t="str">
        <f>IF(I1116="","",IFERROR(IF(INDEX([1]ListadoFichasDeProduccion!LQ:MB,MATCH(A1116,[1]ListadoFichasDeProduccion!A:A,0),K1116)=0,"",INDEX([1]ListadoFichasDeProduccion!LQ:MB,MATCH(A1116,[1]ListadoFichasDeProduccion!A:A,0),K1116)),""))</f>
        <v/>
      </c>
      <c r="K1116" s="11">
        <v>4</v>
      </c>
    </row>
    <row r="1117" spans="1:11" hidden="1" x14ac:dyDescent="0.3">
      <c r="A1117" s="11">
        <v>1787</v>
      </c>
      <c r="B1117" s="8" t="str">
        <f>VLOOKUP(A1117,[1]ListadoFichasDeProduccion!$A$2:$LP$3000,328,FALSE)</f>
        <v>COMPLETADO</v>
      </c>
      <c r="C1117" s="11">
        <v>57</v>
      </c>
      <c r="D1117" t="s">
        <v>33</v>
      </c>
      <c r="E1117" t="s">
        <v>45</v>
      </c>
      <c r="G1117" s="9">
        <v>45789</v>
      </c>
      <c r="H1117" t="s">
        <v>27</v>
      </c>
      <c r="I1117" s="11">
        <v>10</v>
      </c>
      <c r="J1117" t="str">
        <f>IF(I1117="","",IFERROR(IF(INDEX([1]ListadoFichasDeProduccion!LQ:MB,MATCH(A1117,[1]ListadoFichasDeProduccion!A:A,0),K1117)=0,"",INDEX([1]ListadoFichasDeProduccion!LQ:MB,MATCH(A1117,[1]ListadoFichasDeProduccion!A:A,0),K1117)),""))</f>
        <v/>
      </c>
      <c r="K1117" s="11">
        <v>1</v>
      </c>
    </row>
    <row r="1118" spans="1:11" hidden="1" x14ac:dyDescent="0.3">
      <c r="A1118" s="11">
        <v>1787</v>
      </c>
      <c r="B1118" s="8" t="str">
        <f>VLOOKUP(A1118,[1]ListadoFichasDeProduccion!$A$2:$LP$3000,328,FALSE)</f>
        <v>COMPLETADO</v>
      </c>
      <c r="C1118" s="11">
        <v>57</v>
      </c>
      <c r="D1118" t="s">
        <v>33</v>
      </c>
      <c r="E1118" t="s">
        <v>45</v>
      </c>
      <c r="G1118" s="9">
        <v>45789</v>
      </c>
      <c r="H1118" t="s">
        <v>44</v>
      </c>
      <c r="I1118" s="11">
        <v>24</v>
      </c>
      <c r="J1118" t="str">
        <f>IF(I1118="","",IFERROR(IF(INDEX([1]ListadoFichasDeProduccion!LQ:MB,MATCH(A1118,[1]ListadoFichasDeProduccion!A:A,0),K1118)=0,"",INDEX([1]ListadoFichasDeProduccion!LQ:MB,MATCH(A1118,[1]ListadoFichasDeProduccion!A:A,0),K1118)),""))</f>
        <v/>
      </c>
      <c r="K1118" s="11">
        <v>2</v>
      </c>
    </row>
    <row r="1119" spans="1:11" hidden="1" x14ac:dyDescent="0.3">
      <c r="A1119" s="11">
        <v>1787</v>
      </c>
      <c r="B1119" s="8" t="str">
        <f>VLOOKUP(A1119,[1]ListadoFichasDeProduccion!$A$2:$LP$3000,328,FALSE)</f>
        <v>COMPLETADO</v>
      </c>
      <c r="C1119" s="11">
        <v>57</v>
      </c>
      <c r="D1119" t="s">
        <v>33</v>
      </c>
      <c r="E1119" t="s">
        <v>45</v>
      </c>
      <c r="G1119" s="9">
        <v>45789</v>
      </c>
      <c r="H1119" t="s">
        <v>31</v>
      </c>
      <c r="I1119" s="11">
        <v>6</v>
      </c>
      <c r="J1119" t="str">
        <f>IF(I1119="","",IFERROR(IF(INDEX([1]ListadoFichasDeProduccion!LQ:MB,MATCH(A1119,[1]ListadoFichasDeProduccion!A:A,0),K1119)=0,"",INDEX([1]ListadoFichasDeProduccion!LQ:MB,MATCH(A1119,[1]ListadoFichasDeProduccion!A:A,0),K1119)),""))</f>
        <v/>
      </c>
      <c r="K1119" s="11">
        <v>3</v>
      </c>
    </row>
    <row r="1120" spans="1:11" hidden="1" x14ac:dyDescent="0.3">
      <c r="A1120" s="11">
        <v>1787</v>
      </c>
      <c r="B1120" s="8" t="str">
        <f>VLOOKUP(A1120,[1]ListadoFichasDeProduccion!$A$2:$LP$3000,328,FALSE)</f>
        <v>COMPLETADO</v>
      </c>
      <c r="C1120" s="11">
        <v>57</v>
      </c>
      <c r="D1120" t="s">
        <v>33</v>
      </c>
      <c r="E1120" t="s">
        <v>45</v>
      </c>
      <c r="G1120" s="9">
        <v>45789</v>
      </c>
      <c r="H1120" t="s">
        <v>46</v>
      </c>
      <c r="I1120" s="11">
        <v>9</v>
      </c>
      <c r="J1120" t="str">
        <f>IF(I1120="","",IFERROR(IF(INDEX([1]ListadoFichasDeProduccion!LQ:MB,MATCH(A1120,[1]ListadoFichasDeProduccion!A:A,0),K1120)=0,"",INDEX([1]ListadoFichasDeProduccion!LQ:MB,MATCH(A1120,[1]ListadoFichasDeProduccion!A:A,0),K1120)),""))</f>
        <v/>
      </c>
      <c r="K1120" s="11">
        <v>4</v>
      </c>
    </row>
    <row r="1121" spans="1:11" hidden="1" x14ac:dyDescent="0.3">
      <c r="A1121" s="11">
        <v>1787</v>
      </c>
      <c r="B1121" s="8" t="str">
        <f>VLOOKUP(A1121,[1]ListadoFichasDeProduccion!$A$2:$LP$3000,328,FALSE)</f>
        <v>COMPLETADO</v>
      </c>
      <c r="C1121" s="11">
        <v>57</v>
      </c>
      <c r="D1121" t="s">
        <v>33</v>
      </c>
      <c r="E1121" t="s">
        <v>45</v>
      </c>
      <c r="G1121" s="9">
        <v>45789</v>
      </c>
      <c r="H1121" t="s">
        <v>180</v>
      </c>
      <c r="I1121" s="11">
        <v>4</v>
      </c>
      <c r="J1121" t="str">
        <f>IF(I1121="","",IFERROR(IF(INDEX([1]ListadoFichasDeProduccion!LQ:MB,MATCH(A1121,[1]ListadoFichasDeProduccion!A:A,0),K1121)=0,"",INDEX([1]ListadoFichasDeProduccion!LQ:MB,MATCH(A1121,[1]ListadoFichasDeProduccion!A:A,0),K1121)),""))</f>
        <v/>
      </c>
      <c r="K1121" s="11">
        <v>5</v>
      </c>
    </row>
    <row r="1122" spans="1:11" hidden="1" x14ac:dyDescent="0.3">
      <c r="A1122" s="11">
        <v>1787</v>
      </c>
      <c r="B1122" s="8" t="str">
        <f>VLOOKUP(A1122,[1]ListadoFichasDeProduccion!$A$2:$LP$3000,328,FALSE)</f>
        <v>COMPLETADO</v>
      </c>
      <c r="C1122" s="11">
        <v>57</v>
      </c>
      <c r="D1122" t="s">
        <v>33</v>
      </c>
      <c r="E1122" t="s">
        <v>45</v>
      </c>
      <c r="G1122" s="9">
        <v>45789</v>
      </c>
      <c r="H1122" t="s">
        <v>181</v>
      </c>
      <c r="I1122" s="11">
        <v>4</v>
      </c>
      <c r="J1122" t="str">
        <f>IF(I1122="","",IFERROR(IF(INDEX([1]ListadoFichasDeProduccion!LQ:MB,MATCH(A1122,[1]ListadoFichasDeProduccion!A:A,0),K1122)=0,"",INDEX([1]ListadoFichasDeProduccion!LQ:MB,MATCH(A1122,[1]ListadoFichasDeProduccion!A:A,0),K1122)),""))</f>
        <v/>
      </c>
      <c r="K1122" s="11">
        <v>6</v>
      </c>
    </row>
    <row r="1123" spans="1:11" hidden="1" x14ac:dyDescent="0.3">
      <c r="A1123" s="11">
        <v>1811</v>
      </c>
      <c r="B1123" s="8" t="str">
        <f>VLOOKUP(A1123,[1]ListadoFichasDeProduccion!$A$2:$LP$3000,328,FALSE)</f>
        <v>COMPLETADO</v>
      </c>
      <c r="C1123" s="11">
        <v>68</v>
      </c>
      <c r="D1123" t="s">
        <v>33</v>
      </c>
      <c r="E1123" t="s">
        <v>45</v>
      </c>
      <c r="G1123" s="9">
        <v>45804</v>
      </c>
      <c r="H1123" t="s">
        <v>44</v>
      </c>
      <c r="I1123" s="11">
        <v>20</v>
      </c>
      <c r="J1123" t="str">
        <f>IF(I1123="","",IFERROR(IF(INDEX([1]ListadoFichasDeProduccion!LQ:MB,MATCH(A1123,[1]ListadoFichasDeProduccion!A:A,0),K1123)=0,"",INDEX([1]ListadoFichasDeProduccion!LQ:MB,MATCH(A1123,[1]ListadoFichasDeProduccion!A:A,0),K1123)),""))</f>
        <v/>
      </c>
      <c r="K1123" s="11">
        <v>1</v>
      </c>
    </row>
    <row r="1124" spans="1:11" hidden="1" x14ac:dyDescent="0.3">
      <c r="A1124" s="11">
        <v>1811</v>
      </c>
      <c r="B1124" s="8" t="str">
        <f>VLOOKUP(A1124,[1]ListadoFichasDeProduccion!$A$2:$LP$3000,328,FALSE)</f>
        <v>COMPLETADO</v>
      </c>
      <c r="C1124" s="11">
        <v>68</v>
      </c>
      <c r="D1124" t="s">
        <v>33</v>
      </c>
      <c r="E1124" t="s">
        <v>45</v>
      </c>
      <c r="G1124" s="9">
        <v>45804</v>
      </c>
      <c r="H1124" t="s">
        <v>31</v>
      </c>
      <c r="I1124" s="11">
        <v>12</v>
      </c>
      <c r="J1124" t="str">
        <f>IF(I1124="","",IFERROR(IF(INDEX([1]ListadoFichasDeProduccion!LQ:MB,MATCH(A1124,[1]ListadoFichasDeProduccion!A:A,0),K1124)=0,"",INDEX([1]ListadoFichasDeProduccion!LQ:MB,MATCH(A1124,[1]ListadoFichasDeProduccion!A:A,0),K1124)),""))</f>
        <v/>
      </c>
      <c r="K1124" s="11">
        <v>2</v>
      </c>
    </row>
    <row r="1125" spans="1:11" hidden="1" x14ac:dyDescent="0.3">
      <c r="A1125" s="11">
        <v>1811</v>
      </c>
      <c r="B1125" s="8" t="str">
        <f>VLOOKUP(A1125,[1]ListadoFichasDeProduccion!$A$2:$LP$3000,328,FALSE)</f>
        <v>COMPLETADO</v>
      </c>
      <c r="C1125" s="11">
        <v>68</v>
      </c>
      <c r="D1125" t="s">
        <v>33</v>
      </c>
      <c r="E1125" t="s">
        <v>45</v>
      </c>
      <c r="G1125" s="9">
        <v>45804</v>
      </c>
      <c r="H1125" t="s">
        <v>51</v>
      </c>
      <c r="I1125" s="11">
        <v>14</v>
      </c>
      <c r="J1125" t="str">
        <f>IF(I1125="","",IFERROR(IF(INDEX([1]ListadoFichasDeProduccion!LQ:MB,MATCH(A1125,[1]ListadoFichasDeProduccion!A:A,0),K1125)=0,"",INDEX([1]ListadoFichasDeProduccion!LQ:MB,MATCH(A1125,[1]ListadoFichasDeProduccion!A:A,0),K1125)),""))</f>
        <v/>
      </c>
      <c r="K1125" s="11">
        <v>3</v>
      </c>
    </row>
    <row r="1126" spans="1:11" hidden="1" x14ac:dyDescent="0.3">
      <c r="A1126" s="11">
        <v>1811</v>
      </c>
      <c r="B1126" s="8" t="str">
        <f>VLOOKUP(A1126,[1]ListadoFichasDeProduccion!$A$2:$LP$3000,328,FALSE)</f>
        <v>COMPLETADO</v>
      </c>
      <c r="C1126" s="11">
        <v>68</v>
      </c>
      <c r="D1126" t="s">
        <v>33</v>
      </c>
      <c r="E1126" t="s">
        <v>45</v>
      </c>
      <c r="G1126" s="9">
        <v>45804</v>
      </c>
      <c r="H1126" t="s">
        <v>138</v>
      </c>
      <c r="I1126" s="11">
        <v>10</v>
      </c>
      <c r="J1126" t="str">
        <f>IF(I1126="","",IFERROR(IF(INDEX([1]ListadoFichasDeProduccion!LQ:MB,MATCH(A1126,[1]ListadoFichasDeProduccion!A:A,0),K1126)=0,"",INDEX([1]ListadoFichasDeProduccion!LQ:MB,MATCH(A1126,[1]ListadoFichasDeProduccion!A:A,0),K1126)),""))</f>
        <v/>
      </c>
      <c r="K1126" s="11">
        <v>4</v>
      </c>
    </row>
    <row r="1127" spans="1:11" hidden="1" x14ac:dyDescent="0.3">
      <c r="A1127" s="11">
        <v>1811</v>
      </c>
      <c r="B1127" s="8" t="str">
        <f>VLOOKUP(A1127,[1]ListadoFichasDeProduccion!$A$2:$LP$3000,328,FALSE)</f>
        <v>COMPLETADO</v>
      </c>
      <c r="C1127" s="11">
        <v>68</v>
      </c>
      <c r="D1127" t="s">
        <v>33</v>
      </c>
      <c r="E1127" t="s">
        <v>45</v>
      </c>
      <c r="G1127" s="9">
        <v>45804</v>
      </c>
      <c r="H1127" t="s">
        <v>26</v>
      </c>
      <c r="I1127" s="11">
        <v>12</v>
      </c>
      <c r="J1127" t="str">
        <f>IF(I1127="","",IFERROR(IF(INDEX([1]ListadoFichasDeProduccion!LQ:MB,MATCH(A1127,[1]ListadoFichasDeProduccion!A:A,0),K1127)=0,"",INDEX([1]ListadoFichasDeProduccion!LQ:MB,MATCH(A1127,[1]ListadoFichasDeProduccion!A:A,0),K1127)),""))</f>
        <v/>
      </c>
      <c r="K1127" s="11">
        <v>5</v>
      </c>
    </row>
    <row r="1128" spans="1:11" hidden="1" x14ac:dyDescent="0.3">
      <c r="A1128" s="11">
        <v>1895</v>
      </c>
      <c r="B1128" s="8" t="str">
        <f>VLOOKUP(A1128,[1]ListadoFichasDeProduccion!$A$2:$LP$3000,328,FALSE)</f>
        <v>COMPLETADO</v>
      </c>
      <c r="C1128" s="11">
        <v>12</v>
      </c>
      <c r="D1128" t="s">
        <v>33</v>
      </c>
      <c r="E1128" t="s">
        <v>45</v>
      </c>
      <c r="G1128" s="9">
        <v>45839</v>
      </c>
      <c r="H1128" t="s">
        <v>51</v>
      </c>
      <c r="I1128" s="11">
        <v>6</v>
      </c>
      <c r="J1128" t="str">
        <f>IF(I1128="","",IFERROR(IF(INDEX([1]ListadoFichasDeProduccion!LQ:MB,MATCH(A1128,[1]ListadoFichasDeProduccion!A:A,0),K1128)=0,"",INDEX([1]ListadoFichasDeProduccion!LQ:MB,MATCH(A1128,[1]ListadoFichasDeProduccion!A:A,0),K1128)),""))</f>
        <v/>
      </c>
      <c r="K1128" s="11">
        <v>1</v>
      </c>
    </row>
    <row r="1129" spans="1:11" hidden="1" x14ac:dyDescent="0.3">
      <c r="A1129" s="11">
        <v>1895</v>
      </c>
      <c r="B1129" s="8" t="str">
        <f>VLOOKUP(A1129,[1]ListadoFichasDeProduccion!$A$2:$LP$3000,328,FALSE)</f>
        <v>COMPLETADO</v>
      </c>
      <c r="C1129" s="11">
        <v>12</v>
      </c>
      <c r="D1129" t="s">
        <v>33</v>
      </c>
      <c r="E1129" t="s">
        <v>45</v>
      </c>
      <c r="G1129" s="9">
        <v>45839</v>
      </c>
      <c r="H1129" t="s">
        <v>31</v>
      </c>
      <c r="I1129" s="11">
        <v>6</v>
      </c>
      <c r="J1129" t="str">
        <f>IF(I1129="","",IFERROR(IF(INDEX([1]ListadoFichasDeProduccion!LQ:MB,MATCH(A1129,[1]ListadoFichasDeProduccion!A:A,0),K1129)=0,"",INDEX([1]ListadoFichasDeProduccion!LQ:MB,MATCH(A1129,[1]ListadoFichasDeProduccion!A:A,0),K1129)),""))</f>
        <v/>
      </c>
      <c r="K1129" s="11">
        <v>2</v>
      </c>
    </row>
    <row r="1130" spans="1:11" hidden="1" x14ac:dyDescent="0.3">
      <c r="A1130" s="11">
        <v>18952</v>
      </c>
      <c r="B1130" s="8" t="str">
        <f>VLOOKUP(A1130,[1]ListadoFichasDeProduccion!$A$2:$LP$3000,328,FALSE)</f>
        <v>COMPLETADO</v>
      </c>
      <c r="C1130" s="11">
        <v>12</v>
      </c>
      <c r="D1130" t="s">
        <v>33</v>
      </c>
      <c r="E1130" t="s">
        <v>45</v>
      </c>
      <c r="G1130" s="9">
        <v>45839</v>
      </c>
      <c r="H1130" t="s">
        <v>138</v>
      </c>
      <c r="I1130" s="11">
        <v>12</v>
      </c>
      <c r="J1130" t="str">
        <f>IF(I1130="","",IFERROR(IF(INDEX([1]ListadoFichasDeProduccion!LQ:MB,MATCH(A1130,[1]ListadoFichasDeProduccion!A:A,0),K1130)=0,"",INDEX([1]ListadoFichasDeProduccion!LQ:MB,MATCH(A1130,[1]ListadoFichasDeProduccion!A:A,0),K1130)),""))</f>
        <v/>
      </c>
      <c r="K1130" s="11">
        <v>1</v>
      </c>
    </row>
    <row r="1131" spans="1:11" x14ac:dyDescent="0.3">
      <c r="A1131" s="11">
        <v>1950</v>
      </c>
      <c r="B1131" t="str">
        <f>VLOOKUP(A1131,[1]ListadoFichasDeProduccion!$A$2:$LP$3000,328,FALSE)</f>
        <v>NO COMENZADO</v>
      </c>
      <c r="C1131" s="11">
        <v>11</v>
      </c>
      <c r="D1131" t="s">
        <v>33</v>
      </c>
      <c r="E1131" t="s">
        <v>45</v>
      </c>
      <c r="H1131" t="s">
        <v>27</v>
      </c>
      <c r="I1131" s="11">
        <v>11</v>
      </c>
      <c r="J1131" t="str">
        <f>IF(I1131="","",IFERROR(IF(INDEX([1]ListadoFichasDeProduccion!LQ:MB,MATCH(A1131,[1]ListadoFichasDeProduccion!A:A,0),K1131)=0,"",INDEX([1]ListadoFichasDeProduccion!LQ:MB,MATCH(A1131,[1]ListadoFichasDeProduccion!A:A,0),K1131)),""))</f>
        <v/>
      </c>
      <c r="K1131" s="11">
        <v>1</v>
      </c>
    </row>
    <row r="1132" spans="1:11" hidden="1" x14ac:dyDescent="0.3">
      <c r="A1132" s="11">
        <v>18254</v>
      </c>
      <c r="B1132" t="str">
        <f>VLOOKUP(A1132,[1]ListadoFichasDeProduccion!$A$2:$LP$3000,328,FALSE)</f>
        <v>COMPLETADO</v>
      </c>
      <c r="C1132" s="11">
        <v>16</v>
      </c>
      <c r="D1132" t="s">
        <v>33</v>
      </c>
      <c r="E1132" t="s">
        <v>45</v>
      </c>
      <c r="G1132" s="9">
        <v>45905</v>
      </c>
      <c r="H1132" t="s">
        <v>138</v>
      </c>
      <c r="I1132" s="11">
        <v>10</v>
      </c>
      <c r="J1132" t="str">
        <f>IF(I1132="","",IFERROR(IF(INDEX([1]ListadoFichasDeProduccion!LQ:MB,MATCH(A1132,[1]ListadoFichasDeProduccion!A:A,0),K1132)=0,"",INDEX([1]ListadoFichasDeProduccion!LQ:MB,MATCH(A1132,[1]ListadoFichasDeProduccion!A:A,0),K1132)),""))</f>
        <v/>
      </c>
      <c r="K1132" s="11">
        <v>1</v>
      </c>
    </row>
    <row r="1133" spans="1:11" hidden="1" x14ac:dyDescent="0.3">
      <c r="A1133" s="11">
        <v>18254</v>
      </c>
      <c r="B1133" t="str">
        <f>VLOOKUP(A1133,[1]ListadoFichasDeProduccion!$A$2:$LP$3000,328,FALSE)</f>
        <v>COMPLETADO</v>
      </c>
      <c r="C1133" s="11">
        <v>16</v>
      </c>
      <c r="D1133" t="s">
        <v>33</v>
      </c>
      <c r="E1133" t="s">
        <v>45</v>
      </c>
      <c r="G1133" s="9">
        <v>45905</v>
      </c>
      <c r="H1133" t="s">
        <v>26</v>
      </c>
      <c r="I1133" s="11">
        <v>6</v>
      </c>
      <c r="J1133" t="str">
        <f>IF(I1133="","",IFERROR(IF(INDEX([1]ListadoFichasDeProduccion!LQ:MB,MATCH(A1133,[1]ListadoFichasDeProduccion!A:A,0),K1133)=0,"",INDEX([1]ListadoFichasDeProduccion!LQ:MB,MATCH(A1133,[1]ListadoFichasDeProduccion!A:A,0),K1133)),""))</f>
        <v/>
      </c>
      <c r="K1133" s="11">
        <v>2</v>
      </c>
    </row>
    <row r="1134" spans="1:11" hidden="1" x14ac:dyDescent="0.3">
      <c r="A1134" s="11" t="s">
        <v>281</v>
      </c>
      <c r="B1134" t="str">
        <f>VLOOKUP(A1134,[1]ListadoFichasDeProduccion!$A$2:$LP$3000,328,FALSE)</f>
        <v>COMPLETADO</v>
      </c>
      <c r="C1134" s="11">
        <v>120</v>
      </c>
      <c r="D1134" t="s">
        <v>33</v>
      </c>
      <c r="E1134" t="s">
        <v>45</v>
      </c>
      <c r="G1134" s="9">
        <v>45911</v>
      </c>
      <c r="H1134" t="s">
        <v>51</v>
      </c>
      <c r="I1134" s="11">
        <v>20</v>
      </c>
      <c r="J1134" t="str">
        <f>IF(I1134="","",IFERROR(IF(INDEX([1]ListadoFichasDeProduccion!LQ:MB,MATCH(A1134,[1]ListadoFichasDeProduccion!A:A,0),K1134)=0,"",INDEX([1]ListadoFichasDeProduccion!LQ:MB,MATCH(A1134,[1]ListadoFichasDeProduccion!A:A,0),K1134)),""))</f>
        <v/>
      </c>
      <c r="K1134" s="11">
        <v>1</v>
      </c>
    </row>
    <row r="1135" spans="1:11" hidden="1" x14ac:dyDescent="0.3">
      <c r="A1135" s="11" t="s">
        <v>281</v>
      </c>
      <c r="B1135" t="str">
        <f>VLOOKUP(A1135,[1]ListadoFichasDeProduccion!$A$2:$LP$3000,328,FALSE)</f>
        <v>COMPLETADO</v>
      </c>
      <c r="C1135" s="11">
        <v>120</v>
      </c>
      <c r="D1135" t="s">
        <v>33</v>
      </c>
      <c r="E1135" t="s">
        <v>45</v>
      </c>
      <c r="G1135" s="9">
        <v>45911</v>
      </c>
      <c r="H1135" t="s">
        <v>27</v>
      </c>
      <c r="I1135" s="11">
        <v>24</v>
      </c>
      <c r="J1135" t="str">
        <f>IF(I1135="","",IFERROR(IF(INDEX([1]ListadoFichasDeProduccion!LQ:MB,MATCH(A1135,[1]ListadoFichasDeProduccion!A:A,0),K1135)=0,"",INDEX([1]ListadoFichasDeProduccion!LQ:MB,MATCH(A1135,[1]ListadoFichasDeProduccion!A:A,0),K1135)),""))</f>
        <v/>
      </c>
      <c r="K1135" s="11">
        <v>2</v>
      </c>
    </row>
    <row r="1136" spans="1:11" hidden="1" x14ac:dyDescent="0.3">
      <c r="A1136" s="11" t="s">
        <v>281</v>
      </c>
      <c r="B1136" t="str">
        <f>VLOOKUP(A1136,[1]ListadoFichasDeProduccion!$A$2:$LP$3000,328,FALSE)</f>
        <v>COMPLETADO</v>
      </c>
      <c r="C1136" s="11">
        <v>120</v>
      </c>
      <c r="D1136" t="s">
        <v>33</v>
      </c>
      <c r="E1136" t="s">
        <v>45</v>
      </c>
      <c r="G1136" s="9">
        <v>45911</v>
      </c>
      <c r="H1136" t="s">
        <v>31</v>
      </c>
      <c r="I1136" s="11">
        <v>24</v>
      </c>
      <c r="J1136" t="str">
        <f>IF(I1136="","",IFERROR(IF(INDEX([1]ListadoFichasDeProduccion!LQ:MB,MATCH(A1136,[1]ListadoFichasDeProduccion!A:A,0),K1136)=0,"",INDEX([1]ListadoFichasDeProduccion!LQ:MB,MATCH(A1136,[1]ListadoFichasDeProduccion!A:A,0),K1136)),""))</f>
        <v/>
      </c>
      <c r="K1136" s="11">
        <v>3</v>
      </c>
    </row>
    <row r="1137" spans="1:11" hidden="1" x14ac:dyDescent="0.3">
      <c r="A1137" s="11" t="s">
        <v>281</v>
      </c>
      <c r="B1137" t="str">
        <f>VLOOKUP(A1137,[1]ListadoFichasDeProduccion!$A$2:$LP$3000,328,FALSE)</f>
        <v>COMPLETADO</v>
      </c>
      <c r="C1137" s="11">
        <v>120</v>
      </c>
      <c r="D1137" t="s">
        <v>33</v>
      </c>
      <c r="E1137" t="s">
        <v>45</v>
      </c>
      <c r="G1137" s="9">
        <v>45911</v>
      </c>
      <c r="H1137" t="s">
        <v>50</v>
      </c>
      <c r="I1137" s="11">
        <v>24</v>
      </c>
      <c r="J1137" t="str">
        <f>IF(I1137="","",IFERROR(IF(INDEX([1]ListadoFichasDeProduccion!LQ:MB,MATCH(A1137,[1]ListadoFichasDeProduccion!A:A,0),K1137)=0,"",INDEX([1]ListadoFichasDeProduccion!LQ:MB,MATCH(A1137,[1]ListadoFichasDeProduccion!A:A,0),K1137)),""))</f>
        <v/>
      </c>
      <c r="K1137" s="11">
        <v>4</v>
      </c>
    </row>
    <row r="1138" spans="1:11" hidden="1" x14ac:dyDescent="0.3">
      <c r="A1138" s="11" t="s">
        <v>281</v>
      </c>
      <c r="B1138" t="str">
        <f>VLOOKUP(A1138,[1]ListadoFichasDeProduccion!$A$2:$LP$3000,328,FALSE)</f>
        <v>COMPLETADO</v>
      </c>
      <c r="C1138" s="11">
        <v>120</v>
      </c>
      <c r="D1138" t="s">
        <v>33</v>
      </c>
      <c r="E1138" t="s">
        <v>45</v>
      </c>
      <c r="G1138" s="9">
        <v>45911</v>
      </c>
      <c r="H1138" t="s">
        <v>26</v>
      </c>
      <c r="I1138" s="11">
        <v>14</v>
      </c>
      <c r="J1138" t="str">
        <f>IF(I1138="","",IFERROR(IF(INDEX([1]ListadoFichasDeProduccion!LQ:MB,MATCH(A1138,[1]ListadoFichasDeProduccion!A:A,0),K1138)=0,"",INDEX([1]ListadoFichasDeProduccion!LQ:MB,MATCH(A1138,[1]ListadoFichasDeProduccion!A:A,0),K1138)),""))</f>
        <v/>
      </c>
      <c r="K1138" s="11">
        <v>5</v>
      </c>
    </row>
    <row r="1139" spans="1:11" hidden="1" x14ac:dyDescent="0.3">
      <c r="A1139" s="11" t="s">
        <v>281</v>
      </c>
      <c r="B1139" t="str">
        <f>VLOOKUP(A1139,[1]ListadoFichasDeProduccion!$A$2:$LP$3000,328,FALSE)</f>
        <v>COMPLETADO</v>
      </c>
      <c r="C1139" s="11">
        <v>120</v>
      </c>
      <c r="D1139" t="s">
        <v>33</v>
      </c>
      <c r="E1139" t="s">
        <v>45</v>
      </c>
      <c r="G1139" s="9">
        <v>45911</v>
      </c>
      <c r="H1139" t="s">
        <v>282</v>
      </c>
      <c r="I1139" s="11">
        <v>14</v>
      </c>
      <c r="J1139" t="str">
        <f>IF(I1139="","",IFERROR(IF(INDEX([1]ListadoFichasDeProduccion!LQ:MB,MATCH(A1139,[1]ListadoFichasDeProduccion!A:A,0),K1139)=0,"",INDEX([1]ListadoFichasDeProduccion!LQ:MB,MATCH(A1139,[1]ListadoFichasDeProduccion!A:A,0),K1139)),""))</f>
        <v/>
      </c>
      <c r="K1139" s="11">
        <v>6</v>
      </c>
    </row>
    <row r="1140" spans="1:11" hidden="1" x14ac:dyDescent="0.3">
      <c r="A1140" s="11">
        <v>17172</v>
      </c>
      <c r="B1140" t="str">
        <f>VLOOKUP(A1140,[1]ListadoFichasDeProduccion!$A$2:$LP$3000,328,FALSE)</f>
        <v>COMPLETADO</v>
      </c>
      <c r="C1140" s="11">
        <v>20</v>
      </c>
      <c r="D1140" t="s">
        <v>33</v>
      </c>
      <c r="E1140" t="s">
        <v>45</v>
      </c>
      <c r="G1140" s="9">
        <v>45953</v>
      </c>
      <c r="H1140" t="s">
        <v>64</v>
      </c>
      <c r="I1140" s="11">
        <v>20</v>
      </c>
      <c r="J1140" t="str">
        <f>IF(I1140="","",IFERROR(IF(INDEX([1]ListadoFichasDeProduccion!LQ:MB,MATCH(A1140,[1]ListadoFichasDeProduccion!A:A,0),K1140)=0,"",INDEX([1]ListadoFichasDeProduccion!LQ:MB,MATCH(A1140,[1]ListadoFichasDeProduccion!A:A,0),K1140)),""))</f>
        <v/>
      </c>
      <c r="K1140" s="11">
        <v>1</v>
      </c>
    </row>
    <row r="1141" spans="1:11" hidden="1" x14ac:dyDescent="0.3">
      <c r="A1141" s="11">
        <v>1810</v>
      </c>
      <c r="B1141" s="8" t="str">
        <f>VLOOKUP(A1141,[1]ListadoFichasDeProduccion!$A$2:$LP$3000,328,FALSE)</f>
        <v>COMPLETADO</v>
      </c>
      <c r="C1141" s="11">
        <v>19</v>
      </c>
      <c r="D1141" t="s">
        <v>33</v>
      </c>
      <c r="E1141" t="s">
        <v>203</v>
      </c>
      <c r="G1141" s="9">
        <v>45852</v>
      </c>
      <c r="H1141" t="s">
        <v>180</v>
      </c>
      <c r="I1141" s="11">
        <v>3</v>
      </c>
      <c r="J1141" t="str">
        <f>IF(I1141="","",IFERROR(IF(INDEX([1]ListadoFichasDeProduccion!LQ:MB,MATCH(A1141,[1]ListadoFichasDeProduccion!A:A,0),K1141)=0,"",INDEX([1]ListadoFichasDeProduccion!LQ:MB,MATCH(A1141,[1]ListadoFichasDeProduccion!A:A,0),K1141)),""))</f>
        <v/>
      </c>
      <c r="K1141" s="11">
        <v>1</v>
      </c>
    </row>
    <row r="1142" spans="1:11" hidden="1" x14ac:dyDescent="0.3">
      <c r="A1142" s="11">
        <v>1810</v>
      </c>
      <c r="B1142" s="8" t="str">
        <f>VLOOKUP(A1142,[1]ListadoFichasDeProduccion!$A$2:$LP$3000,328,FALSE)</f>
        <v>COMPLETADO</v>
      </c>
      <c r="C1142" s="11">
        <v>19</v>
      </c>
      <c r="D1142" t="s">
        <v>33</v>
      </c>
      <c r="E1142" t="s">
        <v>203</v>
      </c>
      <c r="G1142" s="9">
        <v>45852</v>
      </c>
      <c r="H1142" t="s">
        <v>204</v>
      </c>
      <c r="I1142" s="11">
        <v>6</v>
      </c>
      <c r="J1142" t="str">
        <f>IF(I1142="","",IFERROR(IF(INDEX([1]ListadoFichasDeProduccion!LQ:MB,MATCH(A1142,[1]ListadoFichasDeProduccion!A:A,0),K1142)=0,"",INDEX([1]ListadoFichasDeProduccion!LQ:MB,MATCH(A1142,[1]ListadoFichasDeProduccion!A:A,0),K1142)),""))</f>
        <v/>
      </c>
      <c r="K1142" s="11">
        <v>2</v>
      </c>
    </row>
    <row r="1143" spans="1:11" hidden="1" x14ac:dyDescent="0.3">
      <c r="A1143" s="11">
        <v>1810</v>
      </c>
      <c r="B1143" s="8" t="str">
        <f>VLOOKUP(A1143,[1]ListadoFichasDeProduccion!$A$2:$LP$3000,328,FALSE)</f>
        <v>COMPLETADO</v>
      </c>
      <c r="C1143" s="11">
        <v>19</v>
      </c>
      <c r="D1143" t="s">
        <v>33</v>
      </c>
      <c r="E1143" t="s">
        <v>203</v>
      </c>
      <c r="G1143" s="9">
        <v>45852</v>
      </c>
      <c r="H1143" t="s">
        <v>205</v>
      </c>
      <c r="I1143" s="11">
        <v>10</v>
      </c>
      <c r="J1143" t="str">
        <f>IF(I1143="","",IFERROR(IF(INDEX([1]ListadoFichasDeProduccion!LQ:MB,MATCH(A1143,[1]ListadoFichasDeProduccion!A:A,0),K1143)=0,"",INDEX([1]ListadoFichasDeProduccion!LQ:MB,MATCH(A1143,[1]ListadoFichasDeProduccion!A:A,0),K1143)),""))</f>
        <v/>
      </c>
      <c r="K1143" s="11">
        <v>3</v>
      </c>
    </row>
    <row r="1144" spans="1:11" hidden="1" x14ac:dyDescent="0.3">
      <c r="A1144" s="11">
        <v>1825</v>
      </c>
      <c r="B1144" s="8" t="str">
        <f>VLOOKUP(A1144,[1]ListadoFichasDeProduccion!$A$2:$LP$3000,328,FALSE)</f>
        <v>COMPLETADO</v>
      </c>
      <c r="C1144" s="11">
        <v>36</v>
      </c>
      <c r="D1144" t="s">
        <v>33</v>
      </c>
      <c r="E1144" t="s">
        <v>203</v>
      </c>
      <c r="G1144" s="9">
        <v>45814</v>
      </c>
      <c r="H1144" t="s">
        <v>51</v>
      </c>
      <c r="I1144" s="11">
        <v>6</v>
      </c>
      <c r="J1144" t="str">
        <f>IF(I1144="","",IFERROR(IF(INDEX([1]ListadoFichasDeProduccion!LQ:MB,MATCH(A1144,[1]ListadoFichasDeProduccion!A:A,0),K1144)=0,"",INDEX([1]ListadoFichasDeProduccion!LQ:MB,MATCH(A1144,[1]ListadoFichasDeProduccion!A:A,0),K1144)),""))</f>
        <v/>
      </c>
      <c r="K1144" s="11">
        <v>1</v>
      </c>
    </row>
    <row r="1145" spans="1:11" hidden="1" x14ac:dyDescent="0.3">
      <c r="A1145" s="11">
        <v>1825</v>
      </c>
      <c r="B1145" s="8" t="str">
        <f>VLOOKUP(A1145,[1]ListadoFichasDeProduccion!$A$2:$LP$3000,328,FALSE)</f>
        <v>COMPLETADO</v>
      </c>
      <c r="C1145" s="11">
        <v>36</v>
      </c>
      <c r="D1145" t="s">
        <v>33</v>
      </c>
      <c r="E1145" t="s">
        <v>203</v>
      </c>
      <c r="G1145" s="9">
        <v>45814</v>
      </c>
      <c r="H1145" t="s">
        <v>44</v>
      </c>
      <c r="I1145" s="11">
        <v>14</v>
      </c>
      <c r="J1145" t="str">
        <f>IF(I1145="","",IFERROR(IF(INDEX([1]ListadoFichasDeProduccion!LQ:MB,MATCH(A1145,[1]ListadoFichasDeProduccion!A:A,0),K1145)=0,"",INDEX([1]ListadoFichasDeProduccion!LQ:MB,MATCH(A1145,[1]ListadoFichasDeProduccion!A:A,0),K1145)),""))</f>
        <v/>
      </c>
      <c r="K1145" s="11">
        <v>2</v>
      </c>
    </row>
    <row r="1146" spans="1:11" hidden="1" x14ac:dyDescent="0.3">
      <c r="A1146" s="11">
        <v>1825</v>
      </c>
      <c r="B1146" s="8" t="str">
        <f>VLOOKUP(A1146,[1]ListadoFichasDeProduccion!$A$2:$LP$3000,328,FALSE)</f>
        <v>COMPLETADO</v>
      </c>
      <c r="C1146" s="11">
        <v>36</v>
      </c>
      <c r="D1146" t="s">
        <v>33</v>
      </c>
      <c r="E1146" t="s">
        <v>203</v>
      </c>
      <c r="G1146" s="9">
        <v>45814</v>
      </c>
      <c r="H1146" t="s">
        <v>31</v>
      </c>
      <c r="I1146" s="11">
        <v>10</v>
      </c>
      <c r="J1146" t="str">
        <f>IF(I1146="","",IFERROR(IF(INDEX([1]ListadoFichasDeProduccion!LQ:MB,MATCH(A1146,[1]ListadoFichasDeProduccion!A:A,0),K1146)=0,"",INDEX([1]ListadoFichasDeProduccion!LQ:MB,MATCH(A1146,[1]ListadoFichasDeProduccion!A:A,0),K1146)),""))</f>
        <v/>
      </c>
      <c r="K1146" s="11">
        <v>3</v>
      </c>
    </row>
    <row r="1147" spans="1:11" hidden="1" x14ac:dyDescent="0.3">
      <c r="A1147" s="11">
        <v>1825</v>
      </c>
      <c r="B1147" s="8" t="str">
        <f>VLOOKUP(A1147,[1]ListadoFichasDeProduccion!$A$2:$LP$3000,328,FALSE)</f>
        <v>COMPLETADO</v>
      </c>
      <c r="C1147" s="11">
        <v>36</v>
      </c>
      <c r="D1147" t="s">
        <v>33</v>
      </c>
      <c r="E1147" t="s">
        <v>203</v>
      </c>
      <c r="G1147" s="9">
        <v>45814</v>
      </c>
      <c r="H1147" t="s">
        <v>26</v>
      </c>
      <c r="I1147" s="11">
        <v>6</v>
      </c>
      <c r="J1147" t="str">
        <f>IF(I1147="","",IFERROR(IF(INDEX([1]ListadoFichasDeProduccion!LQ:MB,MATCH(A1147,[1]ListadoFichasDeProduccion!A:A,0),K1147)=0,"",INDEX([1]ListadoFichasDeProduccion!LQ:MB,MATCH(A1147,[1]ListadoFichasDeProduccion!A:A,0),K1147)),""))</f>
        <v/>
      </c>
      <c r="K1147" s="11">
        <v>4</v>
      </c>
    </row>
    <row r="1148" spans="1:11" hidden="1" x14ac:dyDescent="0.3">
      <c r="A1148" s="11">
        <v>1896</v>
      </c>
      <c r="B1148" s="8" t="str">
        <f>VLOOKUP(A1148,[1]ListadoFichasDeProduccion!$A$2:$LP$3000,328,FALSE)</f>
        <v>COMPLETADO</v>
      </c>
      <c r="C1148" s="11">
        <v>24</v>
      </c>
      <c r="D1148" t="s">
        <v>33</v>
      </c>
      <c r="E1148" t="s">
        <v>203</v>
      </c>
      <c r="G1148" s="9">
        <v>45855</v>
      </c>
      <c r="H1148" t="s">
        <v>205</v>
      </c>
      <c r="I1148" s="11">
        <v>12</v>
      </c>
      <c r="J1148" t="str">
        <f>IF(I1148="","",IFERROR(IF(INDEX([1]ListadoFichasDeProduccion!LQ:MB,MATCH(A1148,[1]ListadoFichasDeProduccion!A:A,0),K1148)=0,"",INDEX([1]ListadoFichasDeProduccion!LQ:MB,MATCH(A1148,[1]ListadoFichasDeProduccion!A:A,0),K1148)),""))</f>
        <v/>
      </c>
      <c r="K1148" s="11">
        <v>1</v>
      </c>
    </row>
    <row r="1149" spans="1:11" hidden="1" x14ac:dyDescent="0.3">
      <c r="A1149" s="11">
        <v>1896</v>
      </c>
      <c r="B1149" s="8" t="str">
        <f>VLOOKUP(A1149,[1]ListadoFichasDeProduccion!$A$2:$LP$3000,328,FALSE)</f>
        <v>COMPLETADO</v>
      </c>
      <c r="C1149" s="11">
        <v>24</v>
      </c>
      <c r="D1149" t="s">
        <v>33</v>
      </c>
      <c r="E1149" t="s">
        <v>203</v>
      </c>
      <c r="G1149" s="9">
        <v>45855</v>
      </c>
      <c r="H1149" t="s">
        <v>204</v>
      </c>
      <c r="I1149" s="11">
        <v>12</v>
      </c>
      <c r="J1149" t="str">
        <f>IF(I1149="","",IFERROR(IF(INDEX([1]ListadoFichasDeProduccion!LQ:MB,MATCH(A1149,[1]ListadoFichasDeProduccion!A:A,0),K1149)=0,"",INDEX([1]ListadoFichasDeProduccion!LQ:MB,MATCH(A1149,[1]ListadoFichasDeProduccion!A:A,0),K1149)),""))</f>
        <v/>
      </c>
      <c r="K1149" s="11">
        <v>2</v>
      </c>
    </row>
    <row r="1150" spans="1:11" hidden="1" x14ac:dyDescent="0.3">
      <c r="A1150" s="11">
        <v>18253</v>
      </c>
      <c r="B1150" s="8" t="str">
        <f>VLOOKUP(A1150,[1]ListadoFichasDeProduccion!$A$2:$LP$3000,328,FALSE)</f>
        <v>COMPLETADO</v>
      </c>
      <c r="C1150" s="11">
        <v>12</v>
      </c>
      <c r="D1150" t="s">
        <v>33</v>
      </c>
      <c r="E1150" t="s">
        <v>203</v>
      </c>
      <c r="G1150" s="9">
        <v>45855</v>
      </c>
      <c r="H1150" t="s">
        <v>138</v>
      </c>
      <c r="I1150" s="11">
        <v>12</v>
      </c>
      <c r="J1150" t="str">
        <f>IF(I1150="","",IFERROR(IF(INDEX([1]ListadoFichasDeProduccion!LQ:MB,MATCH(A1150,[1]ListadoFichasDeProduccion!A:A,0),K1150)=0,"",INDEX([1]ListadoFichasDeProduccion!LQ:MB,MATCH(A1150,[1]ListadoFichasDeProduccion!A:A,0),K1150)),""))</f>
        <v/>
      </c>
      <c r="K1150" s="11">
        <v>1</v>
      </c>
    </row>
    <row r="1151" spans="1:11" hidden="1" x14ac:dyDescent="0.3">
      <c r="A1151" s="11" t="s">
        <v>283</v>
      </c>
      <c r="B1151" t="str">
        <f>VLOOKUP(A1151,[1]ListadoFichasDeProduccion!$A$2:$LP$3000,328,FALSE)</f>
        <v>COMPLETADO</v>
      </c>
      <c r="C1151" s="11">
        <v>30</v>
      </c>
      <c r="D1151" t="s">
        <v>33</v>
      </c>
      <c r="E1151" t="s">
        <v>203</v>
      </c>
      <c r="G1151" s="9">
        <v>45911</v>
      </c>
      <c r="H1151" t="s">
        <v>205</v>
      </c>
      <c r="I1151" s="11">
        <v>9</v>
      </c>
      <c r="J1151" t="str">
        <f>IF(I1151="","",IFERROR(IF(INDEX([1]ListadoFichasDeProduccion!LQ:MB,MATCH(A1151,[1]ListadoFichasDeProduccion!A:A,0),K1151)=0,"",INDEX([1]ListadoFichasDeProduccion!LQ:MB,MATCH(A1151,[1]ListadoFichasDeProduccion!A:A,0),K1151)),""))</f>
        <v/>
      </c>
      <c r="K1151" s="11">
        <v>1</v>
      </c>
    </row>
    <row r="1152" spans="1:11" hidden="1" x14ac:dyDescent="0.3">
      <c r="A1152" s="11" t="s">
        <v>283</v>
      </c>
      <c r="B1152" t="str">
        <f>VLOOKUP(A1152,[1]ListadoFichasDeProduccion!$A$2:$LP$3000,328,FALSE)</f>
        <v>COMPLETADO</v>
      </c>
      <c r="C1152" s="11">
        <v>30</v>
      </c>
      <c r="D1152" t="s">
        <v>33</v>
      </c>
      <c r="E1152" t="s">
        <v>203</v>
      </c>
      <c r="G1152" s="9">
        <v>45911</v>
      </c>
      <c r="H1152" t="s">
        <v>204</v>
      </c>
      <c r="I1152" s="11">
        <v>12</v>
      </c>
      <c r="J1152" t="str">
        <f>IF(I1152="","",IFERROR(IF(INDEX([1]ListadoFichasDeProduccion!LQ:MB,MATCH(A1152,[1]ListadoFichasDeProduccion!A:A,0),K1152)=0,"",INDEX([1]ListadoFichasDeProduccion!LQ:MB,MATCH(A1152,[1]ListadoFichasDeProduccion!A:A,0),K1152)),""))</f>
        <v/>
      </c>
      <c r="K1152" s="11">
        <v>2</v>
      </c>
    </row>
    <row r="1153" spans="1:11" hidden="1" x14ac:dyDescent="0.3">
      <c r="A1153" s="11" t="s">
        <v>283</v>
      </c>
      <c r="B1153" t="str">
        <f>VLOOKUP(A1153,[1]ListadoFichasDeProduccion!$A$2:$LP$3000,328,FALSE)</f>
        <v>COMPLETADO</v>
      </c>
      <c r="C1153" s="11">
        <v>30</v>
      </c>
      <c r="D1153" t="s">
        <v>33</v>
      </c>
      <c r="E1153" t="s">
        <v>203</v>
      </c>
      <c r="G1153" s="9">
        <v>45911</v>
      </c>
      <c r="H1153" t="s">
        <v>180</v>
      </c>
      <c r="I1153" s="11">
        <v>9</v>
      </c>
      <c r="J1153" t="str">
        <f>IF(I1153="","",IFERROR(IF(INDEX([1]ListadoFichasDeProduccion!LQ:MB,MATCH(A1153,[1]ListadoFichasDeProduccion!A:A,0),K1153)=0,"",INDEX([1]ListadoFichasDeProduccion!LQ:MB,MATCH(A1153,[1]ListadoFichasDeProduccion!A:A,0),K1153)),""))</f>
        <v/>
      </c>
      <c r="K1153" s="11">
        <v>3</v>
      </c>
    </row>
    <row r="1154" spans="1:11" hidden="1" x14ac:dyDescent="0.3">
      <c r="A1154" s="11">
        <v>1599</v>
      </c>
      <c r="B1154" s="8" t="str">
        <f>VLOOKUP(A1154,[1]ListadoFichasDeProduccion!$A$2:$LP$3000,328,FALSE)</f>
        <v>COMPLETADO</v>
      </c>
      <c r="C1154" s="11">
        <v>32</v>
      </c>
      <c r="D1154" t="s">
        <v>33</v>
      </c>
      <c r="E1154" t="s">
        <v>48</v>
      </c>
      <c r="F1154" s="9"/>
      <c r="G1154" s="9">
        <v>45667</v>
      </c>
      <c r="H1154" t="s">
        <v>36</v>
      </c>
      <c r="I1154" s="11">
        <v>10</v>
      </c>
      <c r="J1154" t="str">
        <f>IF(I1154="","",IFERROR(IF(INDEX([1]ListadoFichasDeProduccion!LQ:MB,MATCH(A1154,[1]ListadoFichasDeProduccion!A:A,0),K1154)=0,"",INDEX([1]ListadoFichasDeProduccion!LQ:MB,MATCH(A1154,[1]ListadoFichasDeProduccion!A:A,0),K1154)),""))</f>
        <v/>
      </c>
      <c r="K1154" s="11">
        <v>1</v>
      </c>
    </row>
    <row r="1155" spans="1:11" hidden="1" x14ac:dyDescent="0.3">
      <c r="A1155" s="11">
        <v>1599</v>
      </c>
      <c r="B1155" s="8" t="str">
        <f>VLOOKUP(A1155,[1]ListadoFichasDeProduccion!$A$2:$LP$3000,328,FALSE)</f>
        <v>COMPLETADO</v>
      </c>
      <c r="C1155" s="11">
        <v>32</v>
      </c>
      <c r="D1155" t="s">
        <v>33</v>
      </c>
      <c r="E1155" t="s">
        <v>48</v>
      </c>
      <c r="F1155" s="9"/>
      <c r="G1155" s="9">
        <v>45667</v>
      </c>
      <c r="H1155" t="s">
        <v>32</v>
      </c>
      <c r="I1155" s="11">
        <v>10</v>
      </c>
      <c r="J1155" t="str">
        <f>IF(I1155="","",IFERROR(IF(INDEX([1]ListadoFichasDeProduccion!LQ:MB,MATCH(A1155,[1]ListadoFichasDeProduccion!A:A,0),K1155)=0,"",INDEX([1]ListadoFichasDeProduccion!LQ:MB,MATCH(A1155,[1]ListadoFichasDeProduccion!A:A,0),K1155)),""))</f>
        <v/>
      </c>
      <c r="K1155" s="11">
        <v>2</v>
      </c>
    </row>
    <row r="1156" spans="1:11" hidden="1" x14ac:dyDescent="0.3">
      <c r="A1156" s="11">
        <v>1599</v>
      </c>
      <c r="B1156" s="8" t="str">
        <f>VLOOKUP(A1156,[1]ListadoFichasDeProduccion!$A$2:$LP$3000,328,FALSE)</f>
        <v>COMPLETADO</v>
      </c>
      <c r="C1156" s="11">
        <v>32</v>
      </c>
      <c r="D1156" t="s">
        <v>33</v>
      </c>
      <c r="E1156" t="s">
        <v>48</v>
      </c>
      <c r="F1156" s="9"/>
      <c r="G1156" s="9">
        <v>45667</v>
      </c>
      <c r="H1156" t="s">
        <v>35</v>
      </c>
      <c r="I1156" s="11">
        <v>12</v>
      </c>
      <c r="J1156" t="str">
        <f>IF(I1156="","",IFERROR(IF(INDEX([1]ListadoFichasDeProduccion!LQ:MB,MATCH(A1156,[1]ListadoFichasDeProduccion!A:A,0),K1156)=0,"",INDEX([1]ListadoFichasDeProduccion!LQ:MB,MATCH(A1156,[1]ListadoFichasDeProduccion!A:A,0),K1156)),""))</f>
        <v/>
      </c>
      <c r="K1156" s="11">
        <v>3</v>
      </c>
    </row>
    <row r="1157" spans="1:11" hidden="1" x14ac:dyDescent="0.3">
      <c r="A1157" s="11">
        <v>1642</v>
      </c>
      <c r="B1157" s="8" t="str">
        <f>VLOOKUP(A1157,[1]ListadoFichasDeProduccion!$A$2:$LP$3000,328,FALSE)</f>
        <v>COMPLETADO</v>
      </c>
      <c r="C1157" s="11">
        <v>28</v>
      </c>
      <c r="D1157" t="s">
        <v>33</v>
      </c>
      <c r="E1157" t="s">
        <v>48</v>
      </c>
      <c r="F1157" s="9"/>
      <c r="G1157" s="9">
        <v>45714</v>
      </c>
      <c r="H1157" t="s">
        <v>40</v>
      </c>
      <c r="I1157" s="11">
        <v>12</v>
      </c>
      <c r="J1157" t="str">
        <f>IF(I1157="","",IFERROR(IF(INDEX([1]ListadoFichasDeProduccion!LQ:MB,MATCH(A1157,[1]ListadoFichasDeProduccion!A:A,0),K1157)=0,"",INDEX([1]ListadoFichasDeProduccion!LQ:MB,MATCH(A1157,[1]ListadoFichasDeProduccion!A:A,0),K1157)),""))</f>
        <v/>
      </c>
      <c r="K1157" s="11">
        <v>1</v>
      </c>
    </row>
    <row r="1158" spans="1:11" hidden="1" x14ac:dyDescent="0.3">
      <c r="A1158" s="11">
        <v>1642</v>
      </c>
      <c r="B1158" s="8" t="str">
        <f>VLOOKUP(A1158,[1]ListadoFichasDeProduccion!$A$2:$LP$3000,328,FALSE)</f>
        <v>COMPLETADO</v>
      </c>
      <c r="C1158" s="11">
        <v>28</v>
      </c>
      <c r="D1158" t="s">
        <v>33</v>
      </c>
      <c r="E1158" t="s">
        <v>48</v>
      </c>
      <c r="F1158" s="9"/>
      <c r="G1158" s="9">
        <v>45714</v>
      </c>
      <c r="H1158" t="s">
        <v>32</v>
      </c>
      <c r="I1158" s="11">
        <v>6</v>
      </c>
      <c r="J1158" t="str">
        <f>IF(I1158="","",IFERROR(IF(INDEX([1]ListadoFichasDeProduccion!LQ:MB,MATCH(A1158,[1]ListadoFichasDeProduccion!A:A,0),K1158)=0,"",INDEX([1]ListadoFichasDeProduccion!LQ:MB,MATCH(A1158,[1]ListadoFichasDeProduccion!A:A,0),K1158)),""))</f>
        <v/>
      </c>
      <c r="K1158" s="11">
        <v>2</v>
      </c>
    </row>
    <row r="1159" spans="1:11" hidden="1" x14ac:dyDescent="0.3">
      <c r="A1159" s="11">
        <v>1642</v>
      </c>
      <c r="B1159" s="8" t="str">
        <f>VLOOKUP(A1159,[1]ListadoFichasDeProduccion!$A$2:$LP$3000,328,FALSE)</f>
        <v>COMPLETADO</v>
      </c>
      <c r="C1159" s="11">
        <v>28</v>
      </c>
      <c r="D1159" t="s">
        <v>33</v>
      </c>
      <c r="E1159" t="s">
        <v>48</v>
      </c>
      <c r="F1159" s="9"/>
      <c r="G1159" s="9">
        <v>45714</v>
      </c>
      <c r="H1159" t="s">
        <v>35</v>
      </c>
      <c r="I1159" s="11">
        <v>10</v>
      </c>
      <c r="J1159" t="str">
        <f>IF(I1159="","",IFERROR(IF(INDEX([1]ListadoFichasDeProduccion!LQ:MB,MATCH(A1159,[1]ListadoFichasDeProduccion!A:A,0),K1159)=0,"",INDEX([1]ListadoFichasDeProduccion!LQ:MB,MATCH(A1159,[1]ListadoFichasDeProduccion!A:A,0),K1159)),""))</f>
        <v/>
      </c>
      <c r="K1159" s="11">
        <v>3</v>
      </c>
    </row>
    <row r="1160" spans="1:11" hidden="1" x14ac:dyDescent="0.3">
      <c r="A1160" s="11">
        <v>1737</v>
      </c>
      <c r="B1160" s="8" t="str">
        <f>VLOOKUP(A1160,[1]ListadoFichasDeProduccion!$A$2:$LP$3000,328,FALSE)</f>
        <v>COMPLETADO</v>
      </c>
      <c r="C1160" s="11">
        <v>12</v>
      </c>
      <c r="D1160" t="s">
        <v>33</v>
      </c>
      <c r="E1160" t="s">
        <v>48</v>
      </c>
      <c r="G1160" s="9">
        <v>45755</v>
      </c>
      <c r="H1160" t="s">
        <v>51</v>
      </c>
      <c r="I1160" s="11">
        <v>12</v>
      </c>
      <c r="J1160" t="str">
        <f>IF(I1160="","",IFERROR(IF(INDEX([1]ListadoFichasDeProduccion!LQ:MB,MATCH(A1160,[1]ListadoFichasDeProduccion!A:A,0),K1160)=0,"",INDEX([1]ListadoFichasDeProduccion!LQ:MB,MATCH(A1160,[1]ListadoFichasDeProduccion!A:A,0),K1160)),""))</f>
        <v/>
      </c>
      <c r="K1160" s="11">
        <v>1</v>
      </c>
    </row>
    <row r="1161" spans="1:11" hidden="1" x14ac:dyDescent="0.3">
      <c r="A1161" s="11" t="s">
        <v>279</v>
      </c>
      <c r="B1161" t="str">
        <f>VLOOKUP(A1161,[1]ListadoFichasDeProduccion!$A$2:$LP$3000,328,FALSE)</f>
        <v>COMPLETADO</v>
      </c>
      <c r="C1161" s="11">
        <v>30</v>
      </c>
      <c r="D1161" t="s">
        <v>33</v>
      </c>
      <c r="E1161" t="s">
        <v>48</v>
      </c>
      <c r="G1161" s="9">
        <v>45911</v>
      </c>
      <c r="H1161" t="s">
        <v>137</v>
      </c>
      <c r="I1161" s="11">
        <v>12</v>
      </c>
      <c r="J1161" t="str">
        <f>IF(I1161="","",IFERROR(IF(INDEX([1]ListadoFichasDeProduccion!LQ:MB,MATCH(A1161,[1]ListadoFichasDeProduccion!A:A,0),K1161)=0,"",INDEX([1]ListadoFichasDeProduccion!LQ:MB,MATCH(A1161,[1]ListadoFichasDeProduccion!A:A,0),K1161)),""))</f>
        <v/>
      </c>
      <c r="K1161" s="11">
        <v>1</v>
      </c>
    </row>
    <row r="1162" spans="1:11" hidden="1" x14ac:dyDescent="0.3">
      <c r="A1162" s="11" t="s">
        <v>279</v>
      </c>
      <c r="B1162" t="str">
        <f>VLOOKUP(A1162,[1]ListadoFichasDeProduccion!$A$2:$LP$3000,328,FALSE)</f>
        <v>COMPLETADO</v>
      </c>
      <c r="C1162" s="11">
        <v>30</v>
      </c>
      <c r="D1162" t="s">
        <v>33</v>
      </c>
      <c r="E1162" t="s">
        <v>48</v>
      </c>
      <c r="G1162" s="9">
        <v>45911</v>
      </c>
      <c r="H1162" t="s">
        <v>50</v>
      </c>
      <c r="I1162" s="11">
        <v>12</v>
      </c>
      <c r="J1162" t="str">
        <f>IF(I1162="","",IFERROR(IF(INDEX([1]ListadoFichasDeProduccion!LQ:MB,MATCH(A1162,[1]ListadoFichasDeProduccion!A:A,0),K1162)=0,"",INDEX([1]ListadoFichasDeProduccion!LQ:MB,MATCH(A1162,[1]ListadoFichasDeProduccion!A:A,0),K1162)),""))</f>
        <v/>
      </c>
      <c r="K1162" s="11">
        <v>2</v>
      </c>
    </row>
    <row r="1163" spans="1:11" hidden="1" x14ac:dyDescent="0.3">
      <c r="A1163" s="11" t="s">
        <v>279</v>
      </c>
      <c r="B1163" t="str">
        <f>VLOOKUP(A1163,[1]ListadoFichasDeProduccion!$A$2:$LP$3000,328,FALSE)</f>
        <v>COMPLETADO</v>
      </c>
      <c r="C1163" s="11">
        <v>30</v>
      </c>
      <c r="D1163" t="s">
        <v>33</v>
      </c>
      <c r="E1163" t="s">
        <v>48</v>
      </c>
      <c r="G1163" s="9">
        <v>45911</v>
      </c>
      <c r="H1163" t="s">
        <v>51</v>
      </c>
      <c r="I1163" s="11">
        <v>6</v>
      </c>
      <c r="J1163" t="str">
        <f>IF(I1163="","",IFERROR(IF(INDEX([1]ListadoFichasDeProduccion!LQ:MB,MATCH(A1163,[1]ListadoFichasDeProduccion!A:A,0),K1163)=0,"",INDEX([1]ListadoFichasDeProduccion!LQ:MB,MATCH(A1163,[1]ListadoFichasDeProduccion!A:A,0),K1163)),""))</f>
        <v/>
      </c>
      <c r="K1163" s="11">
        <v>3</v>
      </c>
    </row>
    <row r="1164" spans="1:11" hidden="1" x14ac:dyDescent="0.3">
      <c r="A1164" s="11" t="s">
        <v>366</v>
      </c>
      <c r="B1164" t="str">
        <f>VLOOKUP(A1164,[1]ListadoFichasDeProduccion!$A$2:$LP$3000,328,FALSE)</f>
        <v>COMPLETADO</v>
      </c>
      <c r="C1164" s="11">
        <v>28</v>
      </c>
      <c r="D1164" t="s">
        <v>33</v>
      </c>
      <c r="E1164" t="s">
        <v>48</v>
      </c>
      <c r="G1164" s="9">
        <v>45939</v>
      </c>
      <c r="H1164" t="s">
        <v>50</v>
      </c>
      <c r="I1164" s="11">
        <v>4</v>
      </c>
      <c r="J1164" t="str">
        <f>IF(I1164="","",IFERROR(IF(INDEX([1]ListadoFichasDeProduccion!LQ:MB,MATCH(A1164,[1]ListadoFichasDeProduccion!A:A,0),K1164)=0,"",INDEX([1]ListadoFichasDeProduccion!LQ:MB,MATCH(A1164,[1]ListadoFichasDeProduccion!A:A,0),K1164)),""))</f>
        <v/>
      </c>
      <c r="K1164" s="11">
        <v>1</v>
      </c>
    </row>
    <row r="1165" spans="1:11" hidden="1" x14ac:dyDescent="0.3">
      <c r="A1165" s="11" t="s">
        <v>366</v>
      </c>
      <c r="B1165" t="str">
        <f>VLOOKUP(A1165,[1]ListadoFichasDeProduccion!$A$2:$LP$3000,328,FALSE)</f>
        <v>COMPLETADO</v>
      </c>
      <c r="C1165" s="11">
        <v>28</v>
      </c>
      <c r="D1165" t="s">
        <v>33</v>
      </c>
      <c r="E1165" t="s">
        <v>48</v>
      </c>
      <c r="G1165" s="9">
        <v>45939</v>
      </c>
      <c r="H1165" t="s">
        <v>44</v>
      </c>
      <c r="I1165" s="11">
        <v>12</v>
      </c>
      <c r="J1165" t="str">
        <f>IF(I1165="","",IFERROR(IF(INDEX([1]ListadoFichasDeProduccion!LQ:MB,MATCH(A1165,[1]ListadoFichasDeProduccion!A:A,0),K1165)=0,"",INDEX([1]ListadoFichasDeProduccion!LQ:MB,MATCH(A1165,[1]ListadoFichasDeProduccion!A:A,0),K1165)),""))</f>
        <v/>
      </c>
      <c r="K1165" s="11">
        <v>2</v>
      </c>
    </row>
    <row r="1166" spans="1:11" hidden="1" x14ac:dyDescent="0.3">
      <c r="A1166" s="11" t="s">
        <v>366</v>
      </c>
      <c r="B1166" t="str">
        <f>VLOOKUP(A1166,[1]ListadoFichasDeProduccion!$A$2:$LP$3000,328,FALSE)</f>
        <v>COMPLETADO</v>
      </c>
      <c r="C1166" s="11">
        <v>28</v>
      </c>
      <c r="D1166" t="s">
        <v>33</v>
      </c>
      <c r="E1166" t="s">
        <v>48</v>
      </c>
      <c r="G1166" s="9">
        <v>45939</v>
      </c>
      <c r="H1166" t="s">
        <v>35</v>
      </c>
      <c r="I1166" s="11">
        <v>12</v>
      </c>
      <c r="J1166" t="str">
        <f>IF(I1166="","",IFERROR(IF(INDEX([1]ListadoFichasDeProduccion!LQ:MB,MATCH(A1166,[1]ListadoFichasDeProduccion!A:A,0),K1166)=0,"",INDEX([1]ListadoFichasDeProduccion!LQ:MB,MATCH(A1166,[1]ListadoFichasDeProduccion!A:A,0),K1166)),""))</f>
        <v/>
      </c>
      <c r="K1166" s="11">
        <v>3</v>
      </c>
    </row>
    <row r="1167" spans="1:11" hidden="1" x14ac:dyDescent="0.3">
      <c r="A1167" s="11">
        <v>1600</v>
      </c>
      <c r="B1167" s="8" t="str">
        <f>VLOOKUP(A1167,[1]ListadoFichasDeProduccion!$A$2:$LP$3000,328,FALSE)</f>
        <v>COMPLETADO</v>
      </c>
      <c r="C1167" s="11">
        <v>107</v>
      </c>
      <c r="D1167" t="s">
        <v>33</v>
      </c>
      <c r="E1167" t="s">
        <v>49</v>
      </c>
      <c r="F1167" s="9"/>
      <c r="G1167" s="9">
        <v>45680</v>
      </c>
      <c r="H1167" s="12" t="s">
        <v>50</v>
      </c>
      <c r="I1167" s="11">
        <v>15</v>
      </c>
      <c r="J1167" t="str">
        <f>IF(I1167="","",IFERROR(IF(INDEX([1]ListadoFichasDeProduccion!LQ:MB,MATCH(A1167,[1]ListadoFichasDeProduccion!A:A,0),K1167)=0,"",INDEX([1]ListadoFichasDeProduccion!LQ:MB,MATCH(A1167,[1]ListadoFichasDeProduccion!A:A,0),K1167)),""))</f>
        <v/>
      </c>
      <c r="K1167" s="11">
        <v>1</v>
      </c>
    </row>
    <row r="1168" spans="1:11" hidden="1" x14ac:dyDescent="0.3">
      <c r="A1168" s="11">
        <v>1600</v>
      </c>
      <c r="B1168" s="8" t="str">
        <f>VLOOKUP(A1168,[1]ListadoFichasDeProduccion!$A$2:$LP$3000,328,FALSE)</f>
        <v>COMPLETADO</v>
      </c>
      <c r="C1168" s="11">
        <v>107</v>
      </c>
      <c r="D1168" t="s">
        <v>33</v>
      </c>
      <c r="E1168" t="s">
        <v>49</v>
      </c>
      <c r="F1168" s="9"/>
      <c r="G1168" s="9">
        <v>45680</v>
      </c>
      <c r="H1168" t="s">
        <v>51</v>
      </c>
      <c r="I1168" s="11">
        <v>15</v>
      </c>
      <c r="J1168" t="str">
        <f>IF(I1168="","",IFERROR(IF(INDEX([1]ListadoFichasDeProduccion!LQ:MB,MATCH(A1168,[1]ListadoFichasDeProduccion!A:A,0),K1168)=0,"",INDEX([1]ListadoFichasDeProduccion!LQ:MB,MATCH(A1168,[1]ListadoFichasDeProduccion!A:A,0),K1168)),""))</f>
        <v/>
      </c>
      <c r="K1168" s="11">
        <v>2</v>
      </c>
    </row>
    <row r="1169" spans="1:11" hidden="1" x14ac:dyDescent="0.3">
      <c r="A1169" s="11">
        <v>1600</v>
      </c>
      <c r="B1169" s="8" t="str">
        <f>VLOOKUP(A1169,[1]ListadoFichasDeProduccion!$A$2:$LP$3000,328,FALSE)</f>
        <v>COMPLETADO</v>
      </c>
      <c r="C1169" s="11">
        <v>107</v>
      </c>
      <c r="D1169" t="s">
        <v>33</v>
      </c>
      <c r="E1169" t="s">
        <v>49</v>
      </c>
      <c r="F1169" s="9"/>
      <c r="G1169" s="9">
        <v>45680</v>
      </c>
      <c r="H1169" t="s">
        <v>27</v>
      </c>
      <c r="I1169" s="11">
        <v>15</v>
      </c>
      <c r="J1169" t="str">
        <f>IF(I1169="","",IFERROR(IF(INDEX([1]ListadoFichasDeProduccion!LQ:MB,MATCH(A1169,[1]ListadoFichasDeProduccion!A:A,0),K1169)=0,"",INDEX([1]ListadoFichasDeProduccion!LQ:MB,MATCH(A1169,[1]ListadoFichasDeProduccion!A:A,0),K1169)),""))</f>
        <v/>
      </c>
      <c r="K1169" s="11">
        <v>3</v>
      </c>
    </row>
    <row r="1170" spans="1:11" hidden="1" x14ac:dyDescent="0.3">
      <c r="A1170" s="11">
        <v>1600</v>
      </c>
      <c r="B1170" s="8" t="str">
        <f>VLOOKUP(A1170,[1]ListadoFichasDeProduccion!$A$2:$LP$3000,328,FALSE)</f>
        <v>COMPLETADO</v>
      </c>
      <c r="C1170" s="11">
        <v>107</v>
      </c>
      <c r="D1170" t="s">
        <v>33</v>
      </c>
      <c r="E1170" t="s">
        <v>49</v>
      </c>
      <c r="F1170" s="9"/>
      <c r="G1170" s="9">
        <v>45680</v>
      </c>
      <c r="H1170" t="s">
        <v>44</v>
      </c>
      <c r="I1170" s="11">
        <v>10</v>
      </c>
      <c r="J1170" t="str">
        <f>IF(I1170="","",IFERROR(IF(INDEX([1]ListadoFichasDeProduccion!LQ:MB,MATCH(A1170,[1]ListadoFichasDeProduccion!A:A,0),K1170)=0,"",INDEX([1]ListadoFichasDeProduccion!LQ:MB,MATCH(A1170,[1]ListadoFichasDeProduccion!A:A,0),K1170)),""))</f>
        <v/>
      </c>
      <c r="K1170" s="11">
        <v>4</v>
      </c>
    </row>
    <row r="1171" spans="1:11" hidden="1" x14ac:dyDescent="0.3">
      <c r="A1171" s="11">
        <v>1600</v>
      </c>
      <c r="B1171" s="8" t="str">
        <f>VLOOKUP(A1171,[1]ListadoFichasDeProduccion!$A$2:$LP$3000,328,FALSE)</f>
        <v>COMPLETADO</v>
      </c>
      <c r="C1171" s="11">
        <v>107</v>
      </c>
      <c r="D1171" t="s">
        <v>33</v>
      </c>
      <c r="E1171" t="s">
        <v>49</v>
      </c>
      <c r="F1171" s="9"/>
      <c r="G1171" s="9">
        <v>45680</v>
      </c>
      <c r="H1171" t="s">
        <v>32</v>
      </c>
      <c r="I1171" s="11">
        <v>20</v>
      </c>
      <c r="J1171" t="str">
        <f>IF(I1171="","",IFERROR(IF(INDEX([1]ListadoFichasDeProduccion!LQ:MB,MATCH(A1171,[1]ListadoFichasDeProduccion!A:A,0),K1171)=0,"",INDEX([1]ListadoFichasDeProduccion!LQ:MB,MATCH(A1171,[1]ListadoFichasDeProduccion!A:A,0),K1171)),""))</f>
        <v/>
      </c>
      <c r="K1171" s="11">
        <v>5</v>
      </c>
    </row>
    <row r="1172" spans="1:11" hidden="1" x14ac:dyDescent="0.3">
      <c r="A1172" s="11">
        <v>1600</v>
      </c>
      <c r="B1172" s="8" t="str">
        <f>VLOOKUP(A1172,[1]ListadoFichasDeProduccion!$A$2:$LP$3000,328,FALSE)</f>
        <v>COMPLETADO</v>
      </c>
      <c r="C1172" s="11">
        <v>107</v>
      </c>
      <c r="D1172" t="s">
        <v>33</v>
      </c>
      <c r="E1172" t="s">
        <v>49</v>
      </c>
      <c r="F1172" s="9"/>
      <c r="G1172" s="9">
        <v>45680</v>
      </c>
      <c r="H1172" t="s">
        <v>52</v>
      </c>
      <c r="I1172" s="11">
        <v>20</v>
      </c>
      <c r="J1172" t="str">
        <f>IF(I1172="","",IFERROR(IF(INDEX([1]ListadoFichasDeProduccion!LQ:MB,MATCH(A1172,[1]ListadoFichasDeProduccion!A:A,0),K1172)=0,"",INDEX([1]ListadoFichasDeProduccion!LQ:MB,MATCH(A1172,[1]ListadoFichasDeProduccion!A:A,0),K1172)),""))</f>
        <v/>
      </c>
      <c r="K1172" s="11">
        <v>6</v>
      </c>
    </row>
    <row r="1173" spans="1:11" hidden="1" x14ac:dyDescent="0.3">
      <c r="A1173" s="11">
        <v>1600</v>
      </c>
      <c r="B1173" s="8" t="str">
        <f>VLOOKUP(A1173,[1]ListadoFichasDeProduccion!$A$2:$LP$3000,328,FALSE)</f>
        <v>COMPLETADO</v>
      </c>
      <c r="C1173" s="11">
        <v>107</v>
      </c>
      <c r="D1173" t="s">
        <v>33</v>
      </c>
      <c r="E1173" t="s">
        <v>49</v>
      </c>
      <c r="F1173" s="9"/>
      <c r="G1173" s="9">
        <v>45680</v>
      </c>
      <c r="H1173" t="s">
        <v>53</v>
      </c>
      <c r="I1173" s="11">
        <v>12</v>
      </c>
      <c r="J1173" t="str">
        <f>IF(I1173="","",IFERROR(IF(INDEX([1]ListadoFichasDeProduccion!LQ:MB,MATCH(A1173,[1]ListadoFichasDeProduccion!A:A,0),K1173)=0,"",INDEX([1]ListadoFichasDeProduccion!LQ:MB,MATCH(A1173,[1]ListadoFichasDeProduccion!A:A,0),K1173)),""))</f>
        <v/>
      </c>
      <c r="K1173" s="11">
        <v>7</v>
      </c>
    </row>
    <row r="1174" spans="1:11" hidden="1" x14ac:dyDescent="0.3">
      <c r="A1174" s="11">
        <v>1643</v>
      </c>
      <c r="B1174" s="8" t="str">
        <f>VLOOKUP(A1174,[1]ListadoFichasDeProduccion!$A$2:$LP$3000,328,FALSE)</f>
        <v>COMPLETADO</v>
      </c>
      <c r="C1174" s="11">
        <v>32</v>
      </c>
      <c r="D1174" t="s">
        <v>33</v>
      </c>
      <c r="E1174" t="s">
        <v>49</v>
      </c>
      <c r="F1174" s="9"/>
      <c r="G1174" s="9">
        <v>45713</v>
      </c>
      <c r="H1174" t="s">
        <v>39</v>
      </c>
      <c r="I1174" s="11">
        <v>8</v>
      </c>
      <c r="J1174" t="str">
        <f>IF(I1174="","",IFERROR(IF(INDEX([1]ListadoFichasDeProduccion!LQ:MB,MATCH(A1174,[1]ListadoFichasDeProduccion!A:A,0),K1174)=0,"",INDEX([1]ListadoFichasDeProduccion!LQ:MB,MATCH(A1174,[1]ListadoFichasDeProduccion!A:A,0),K1174)),""))</f>
        <v/>
      </c>
      <c r="K1174" s="11">
        <v>1</v>
      </c>
    </row>
    <row r="1175" spans="1:11" hidden="1" x14ac:dyDescent="0.3">
      <c r="A1175" s="11">
        <v>1643</v>
      </c>
      <c r="B1175" s="8" t="str">
        <f>VLOOKUP(A1175,[1]ListadoFichasDeProduccion!$A$2:$LP$3000,328,FALSE)</f>
        <v>COMPLETADO</v>
      </c>
      <c r="C1175" s="11">
        <v>32</v>
      </c>
      <c r="D1175" t="s">
        <v>33</v>
      </c>
      <c r="E1175" t="s">
        <v>49</v>
      </c>
      <c r="F1175" s="9"/>
      <c r="G1175" s="9">
        <v>45713</v>
      </c>
      <c r="H1175" t="s">
        <v>24</v>
      </c>
      <c r="I1175" s="11">
        <v>8</v>
      </c>
      <c r="J1175" t="str">
        <f>IF(I1175="","",IFERROR(IF(INDEX([1]ListadoFichasDeProduccion!LQ:MB,MATCH(A1175,[1]ListadoFichasDeProduccion!A:A,0),K1175)=0,"",INDEX([1]ListadoFichasDeProduccion!LQ:MB,MATCH(A1175,[1]ListadoFichasDeProduccion!A:A,0),K1175)),""))</f>
        <v/>
      </c>
      <c r="K1175" s="11">
        <v>2</v>
      </c>
    </row>
    <row r="1176" spans="1:11" hidden="1" x14ac:dyDescent="0.3">
      <c r="A1176" s="11">
        <v>1643</v>
      </c>
      <c r="B1176" s="8" t="str">
        <f>VLOOKUP(A1176,[1]ListadoFichasDeProduccion!$A$2:$LP$3000,328,FALSE)</f>
        <v>COMPLETADO</v>
      </c>
      <c r="C1176" s="11">
        <v>32</v>
      </c>
      <c r="D1176" t="s">
        <v>33</v>
      </c>
      <c r="E1176" t="s">
        <v>49</v>
      </c>
      <c r="F1176" s="9"/>
      <c r="G1176" s="9">
        <v>45713</v>
      </c>
      <c r="H1176" t="s">
        <v>35</v>
      </c>
      <c r="I1176" s="11">
        <v>8</v>
      </c>
      <c r="J1176" t="str">
        <f>IF(I1176="","",IFERROR(IF(INDEX([1]ListadoFichasDeProduccion!LQ:MB,MATCH(A1176,[1]ListadoFichasDeProduccion!A:A,0),K1176)=0,"",INDEX([1]ListadoFichasDeProduccion!LQ:MB,MATCH(A1176,[1]ListadoFichasDeProduccion!A:A,0),K1176)),""))</f>
        <v/>
      </c>
      <c r="K1176" s="11">
        <v>3</v>
      </c>
    </row>
    <row r="1177" spans="1:11" hidden="1" x14ac:dyDescent="0.3">
      <c r="A1177" s="11">
        <v>1643</v>
      </c>
      <c r="B1177" s="8" t="str">
        <f>VLOOKUP(A1177,[1]ListadoFichasDeProduccion!$A$2:$LP$3000,328,FALSE)</f>
        <v>COMPLETADO</v>
      </c>
      <c r="C1177" s="11">
        <v>32</v>
      </c>
      <c r="D1177" t="s">
        <v>33</v>
      </c>
      <c r="E1177" t="s">
        <v>49</v>
      </c>
      <c r="F1177" s="9"/>
      <c r="G1177" s="9">
        <v>45713</v>
      </c>
      <c r="H1177" t="s">
        <v>40</v>
      </c>
      <c r="I1177" s="11">
        <v>8</v>
      </c>
      <c r="J1177" t="str">
        <f>IF(I1177="","",IFERROR(IF(INDEX([1]ListadoFichasDeProduccion!LQ:MB,MATCH(A1177,[1]ListadoFichasDeProduccion!A:A,0),K1177)=0,"",INDEX([1]ListadoFichasDeProduccion!LQ:MB,MATCH(A1177,[1]ListadoFichasDeProduccion!A:A,0),K1177)),""))</f>
        <v/>
      </c>
      <c r="K1177" s="11">
        <v>4</v>
      </c>
    </row>
    <row r="1178" spans="1:11" x14ac:dyDescent="0.3">
      <c r="A1178" s="11">
        <v>1691</v>
      </c>
      <c r="B1178" s="8" t="str">
        <f>VLOOKUP(A1178,[1]ListadoFichasDeProduccion!$A$2:$LP$3000,328,FALSE)</f>
        <v>NO COMENZADO</v>
      </c>
      <c r="C1178" s="11">
        <v>30</v>
      </c>
      <c r="D1178" t="s">
        <v>33</v>
      </c>
      <c r="E1178" t="s">
        <v>49</v>
      </c>
      <c r="G1178" s="9"/>
      <c r="H1178" t="s">
        <v>26</v>
      </c>
      <c r="I1178" s="11">
        <v>6</v>
      </c>
      <c r="J1178" t="str">
        <f>IF(I1178="","",IFERROR(IF(INDEX([1]ListadoFichasDeProduccion!LQ:MB,MATCH(A1178,[1]ListadoFichasDeProduccion!A:A,0),K1178)=0,"",INDEX([1]ListadoFichasDeProduccion!LQ:MB,MATCH(A1178,[1]ListadoFichasDeProduccion!A:A,0),K1178)),""))</f>
        <v/>
      </c>
      <c r="K1178" s="11">
        <v>1</v>
      </c>
    </row>
    <row r="1179" spans="1:11" x14ac:dyDescent="0.3">
      <c r="A1179" s="11">
        <v>1691</v>
      </c>
      <c r="B1179" s="8" t="str">
        <f>VLOOKUP(A1179,[1]ListadoFichasDeProduccion!$A$2:$LP$3000,328,FALSE)</f>
        <v>NO COMENZADO</v>
      </c>
      <c r="C1179" s="11">
        <v>30</v>
      </c>
      <c r="D1179" t="s">
        <v>33</v>
      </c>
      <c r="E1179" t="s">
        <v>49</v>
      </c>
      <c r="G1179" s="9"/>
      <c r="H1179" t="s">
        <v>32</v>
      </c>
      <c r="I1179" s="11">
        <v>10</v>
      </c>
      <c r="J1179" t="str">
        <f>IF(I1179="","",IFERROR(IF(INDEX([1]ListadoFichasDeProduccion!LQ:MB,MATCH(A1179,[1]ListadoFichasDeProduccion!A:A,0),K1179)=0,"",INDEX([1]ListadoFichasDeProduccion!LQ:MB,MATCH(A1179,[1]ListadoFichasDeProduccion!A:A,0),K1179)),""))</f>
        <v/>
      </c>
      <c r="K1179" s="11">
        <v>2</v>
      </c>
    </row>
    <row r="1180" spans="1:11" x14ac:dyDescent="0.3">
      <c r="A1180" s="11">
        <v>1691</v>
      </c>
      <c r="B1180" s="8" t="str">
        <f>VLOOKUP(A1180,[1]ListadoFichasDeProduccion!$A$2:$LP$3000,328,FALSE)</f>
        <v>NO COMENZADO</v>
      </c>
      <c r="C1180" s="11">
        <v>30</v>
      </c>
      <c r="D1180" t="s">
        <v>33</v>
      </c>
      <c r="E1180" t="s">
        <v>49</v>
      </c>
      <c r="G1180" s="9"/>
      <c r="H1180" t="s">
        <v>36</v>
      </c>
      <c r="I1180" s="11">
        <v>14</v>
      </c>
      <c r="J1180" t="str">
        <f>IF(I1180="","",IFERROR(IF(INDEX([1]ListadoFichasDeProduccion!LQ:MB,MATCH(A1180,[1]ListadoFichasDeProduccion!A:A,0),K1180)=0,"",INDEX([1]ListadoFichasDeProduccion!LQ:MB,MATCH(A1180,[1]ListadoFichasDeProduccion!A:A,0),K1180)),""))</f>
        <v/>
      </c>
      <c r="K1180" s="11">
        <v>3</v>
      </c>
    </row>
    <row r="1181" spans="1:11" hidden="1" x14ac:dyDescent="0.3">
      <c r="A1181" s="11">
        <v>1778</v>
      </c>
      <c r="B1181" s="8" t="str">
        <f>VLOOKUP(A1181,[1]ListadoFichasDeProduccion!$A$2:$LP$3000,328,FALSE)</f>
        <v>COMPLETADO</v>
      </c>
      <c r="C1181" s="11">
        <v>42</v>
      </c>
      <c r="D1181" t="s">
        <v>33</v>
      </c>
      <c r="E1181" t="s">
        <v>49</v>
      </c>
      <c r="G1181" s="9">
        <v>45777</v>
      </c>
      <c r="H1181" t="s">
        <v>27</v>
      </c>
      <c r="I1181" s="11">
        <v>10</v>
      </c>
      <c r="J1181" t="str">
        <f>IF(I1181="","",IFERROR(IF(INDEX([1]ListadoFichasDeProduccion!LQ:MB,MATCH(A1181,[1]ListadoFichasDeProduccion!A:A,0),K1181)=0,"",INDEX([1]ListadoFichasDeProduccion!LQ:MB,MATCH(A1181,[1]ListadoFichasDeProduccion!A:A,0),K1181)),""))</f>
        <v/>
      </c>
      <c r="K1181" s="11">
        <v>1</v>
      </c>
    </row>
    <row r="1182" spans="1:11" hidden="1" x14ac:dyDescent="0.3">
      <c r="A1182" s="11">
        <v>1778</v>
      </c>
      <c r="B1182" s="8" t="str">
        <f>VLOOKUP(A1182,[1]ListadoFichasDeProduccion!$A$2:$LP$3000,328,FALSE)</f>
        <v>COMPLETADO</v>
      </c>
      <c r="C1182" s="11">
        <v>42</v>
      </c>
      <c r="D1182" t="s">
        <v>33</v>
      </c>
      <c r="E1182" t="s">
        <v>49</v>
      </c>
      <c r="G1182" s="9">
        <v>45777</v>
      </c>
      <c r="H1182" t="s">
        <v>51</v>
      </c>
      <c r="I1182" s="11">
        <v>12</v>
      </c>
      <c r="J1182" t="str">
        <f>IF(I1182="","",IFERROR(IF(INDEX([1]ListadoFichasDeProduccion!LQ:MB,MATCH(A1182,[1]ListadoFichasDeProduccion!A:A,0),K1182)=0,"",INDEX([1]ListadoFichasDeProduccion!LQ:MB,MATCH(A1182,[1]ListadoFichasDeProduccion!A:A,0),K1182)),""))</f>
        <v/>
      </c>
      <c r="K1182" s="11">
        <v>2</v>
      </c>
    </row>
    <row r="1183" spans="1:11" hidden="1" x14ac:dyDescent="0.3">
      <c r="A1183" s="11">
        <v>1778</v>
      </c>
      <c r="B1183" s="8" t="str">
        <f>VLOOKUP(A1183,[1]ListadoFichasDeProduccion!$A$2:$LP$3000,328,FALSE)</f>
        <v>COMPLETADO</v>
      </c>
      <c r="C1183" s="11">
        <v>42</v>
      </c>
      <c r="D1183" t="s">
        <v>33</v>
      </c>
      <c r="E1183" t="s">
        <v>49</v>
      </c>
      <c r="G1183" s="9">
        <v>45777</v>
      </c>
      <c r="H1183" t="s">
        <v>44</v>
      </c>
      <c r="I1183" s="11">
        <v>10</v>
      </c>
      <c r="J1183" t="str">
        <f>IF(I1183="","",IFERROR(IF(INDEX([1]ListadoFichasDeProduccion!LQ:MB,MATCH(A1183,[1]ListadoFichasDeProduccion!A:A,0),K1183)=0,"",INDEX([1]ListadoFichasDeProduccion!LQ:MB,MATCH(A1183,[1]ListadoFichasDeProduccion!A:A,0),K1183)),""))</f>
        <v/>
      </c>
      <c r="K1183" s="11">
        <v>3</v>
      </c>
    </row>
    <row r="1184" spans="1:11" hidden="1" x14ac:dyDescent="0.3">
      <c r="A1184" s="11">
        <v>1778</v>
      </c>
      <c r="B1184" s="8" t="str">
        <f>VLOOKUP(A1184,[1]ListadoFichasDeProduccion!$A$2:$LP$3000,328,FALSE)</f>
        <v>COMPLETADO</v>
      </c>
      <c r="C1184" s="11">
        <v>42</v>
      </c>
      <c r="D1184" t="s">
        <v>33</v>
      </c>
      <c r="E1184" t="s">
        <v>49</v>
      </c>
      <c r="G1184" s="9">
        <v>45777</v>
      </c>
      <c r="H1184" t="s">
        <v>31</v>
      </c>
      <c r="I1184" s="11">
        <v>10</v>
      </c>
      <c r="J1184" t="str">
        <f>IF(I1184="","",IFERROR(IF(INDEX([1]ListadoFichasDeProduccion!LQ:MB,MATCH(A1184,[1]ListadoFichasDeProduccion!A:A,0),K1184)=0,"",INDEX([1]ListadoFichasDeProduccion!LQ:MB,MATCH(A1184,[1]ListadoFichasDeProduccion!A:A,0),K1184)),""))</f>
        <v/>
      </c>
      <c r="K1184" s="11">
        <v>4</v>
      </c>
    </row>
    <row r="1185" spans="1:11" hidden="1" x14ac:dyDescent="0.3">
      <c r="A1185" s="11">
        <v>1809</v>
      </c>
      <c r="B1185" s="8" t="str">
        <f>VLOOKUP(A1185,[1]ListadoFichasDeProduccion!$A$2:$LP$3000,328,FALSE)</f>
        <v>COMPLETADO</v>
      </c>
      <c r="C1185" s="11">
        <v>90</v>
      </c>
      <c r="D1185" t="s">
        <v>33</v>
      </c>
      <c r="E1185" t="s">
        <v>49</v>
      </c>
      <c r="G1185" s="9">
        <v>45804</v>
      </c>
      <c r="H1185" t="s">
        <v>26</v>
      </c>
      <c r="I1185" s="11">
        <v>12</v>
      </c>
      <c r="J1185" t="str">
        <f>IF(I1185="","",IFERROR(IF(INDEX([1]ListadoFichasDeProduccion!LQ:MB,MATCH(A1185,[1]ListadoFichasDeProduccion!A:A,0),K1185)=0,"",INDEX([1]ListadoFichasDeProduccion!LQ:MB,MATCH(A1185,[1]ListadoFichasDeProduccion!A:A,0),K1185)),""))</f>
        <v/>
      </c>
      <c r="K1185" s="11">
        <v>1</v>
      </c>
    </row>
    <row r="1186" spans="1:11" hidden="1" x14ac:dyDescent="0.3">
      <c r="A1186" s="11">
        <v>1809</v>
      </c>
      <c r="B1186" s="8" t="str">
        <f>VLOOKUP(A1186,[1]ListadoFichasDeProduccion!$A$2:$LP$3000,328,FALSE)</f>
        <v>COMPLETADO</v>
      </c>
      <c r="C1186" s="11">
        <v>90</v>
      </c>
      <c r="D1186" t="s">
        <v>33</v>
      </c>
      <c r="E1186" t="s">
        <v>49</v>
      </c>
      <c r="G1186" s="9">
        <v>45804</v>
      </c>
      <c r="H1186" t="s">
        <v>138</v>
      </c>
      <c r="I1186" s="11">
        <v>14</v>
      </c>
      <c r="J1186" t="str">
        <f>IF(I1186="","",IFERROR(IF(INDEX([1]ListadoFichasDeProduccion!LQ:MB,MATCH(A1186,[1]ListadoFichasDeProduccion!A:A,0),K1186)=0,"",INDEX([1]ListadoFichasDeProduccion!LQ:MB,MATCH(A1186,[1]ListadoFichasDeProduccion!A:A,0),K1186)),""))</f>
        <v/>
      </c>
      <c r="K1186" s="11">
        <v>2</v>
      </c>
    </row>
    <row r="1187" spans="1:11" hidden="1" x14ac:dyDescent="0.3">
      <c r="A1187" s="11">
        <v>1809</v>
      </c>
      <c r="B1187" s="8" t="str">
        <f>VLOOKUP(A1187,[1]ListadoFichasDeProduccion!$A$2:$LP$3000,328,FALSE)</f>
        <v>COMPLETADO</v>
      </c>
      <c r="C1187" s="11">
        <v>90</v>
      </c>
      <c r="D1187" t="s">
        <v>33</v>
      </c>
      <c r="E1187" t="s">
        <v>49</v>
      </c>
      <c r="G1187" s="9">
        <v>45804</v>
      </c>
      <c r="H1187" t="s">
        <v>51</v>
      </c>
      <c r="I1187" s="11">
        <v>16</v>
      </c>
      <c r="J1187" t="str">
        <f>IF(I1187="","",IFERROR(IF(INDEX([1]ListadoFichasDeProduccion!LQ:MB,MATCH(A1187,[1]ListadoFichasDeProduccion!A:A,0),K1187)=0,"",INDEX([1]ListadoFichasDeProduccion!LQ:MB,MATCH(A1187,[1]ListadoFichasDeProduccion!A:A,0),K1187)),""))</f>
        <v/>
      </c>
      <c r="K1187" s="11">
        <v>3</v>
      </c>
    </row>
    <row r="1188" spans="1:11" hidden="1" x14ac:dyDescent="0.3">
      <c r="A1188" s="11">
        <v>1809</v>
      </c>
      <c r="B1188" s="8" t="str">
        <f>VLOOKUP(A1188,[1]ListadoFichasDeProduccion!$A$2:$LP$3000,328,FALSE)</f>
        <v>COMPLETADO</v>
      </c>
      <c r="C1188" s="11">
        <v>90</v>
      </c>
      <c r="D1188" t="s">
        <v>33</v>
      </c>
      <c r="E1188" t="s">
        <v>49</v>
      </c>
      <c r="G1188" s="9">
        <v>45804</v>
      </c>
      <c r="H1188" t="s">
        <v>31</v>
      </c>
      <c r="I1188" s="11">
        <v>4</v>
      </c>
      <c r="J1188" t="str">
        <f>IF(I1188="","",IFERROR(IF(INDEX([1]ListadoFichasDeProduccion!LQ:MB,MATCH(A1188,[1]ListadoFichasDeProduccion!A:A,0),K1188)=0,"",INDEX([1]ListadoFichasDeProduccion!LQ:MB,MATCH(A1188,[1]ListadoFichasDeProduccion!A:A,0),K1188)),""))</f>
        <v/>
      </c>
      <c r="K1188" s="11">
        <v>4</v>
      </c>
    </row>
    <row r="1189" spans="1:11" hidden="1" x14ac:dyDescent="0.3">
      <c r="A1189" s="11">
        <v>1809</v>
      </c>
      <c r="B1189" s="8" t="str">
        <f>VLOOKUP(A1189,[1]ListadoFichasDeProduccion!$A$2:$LP$3000,328,FALSE)</f>
        <v>COMPLETADO</v>
      </c>
      <c r="C1189" s="11">
        <v>90</v>
      </c>
      <c r="D1189" t="s">
        <v>33</v>
      </c>
      <c r="E1189" t="s">
        <v>49</v>
      </c>
      <c r="G1189" s="9">
        <v>45804</v>
      </c>
      <c r="H1189" t="s">
        <v>39</v>
      </c>
      <c r="I1189" s="11">
        <v>12</v>
      </c>
      <c r="J1189" t="str">
        <f>IF(I1189="","",IFERROR(IF(INDEX([1]ListadoFichasDeProduccion!LQ:MB,MATCH(A1189,[1]ListadoFichasDeProduccion!A:A,0),K1189)=0,"",INDEX([1]ListadoFichasDeProduccion!LQ:MB,MATCH(A1189,[1]ListadoFichasDeProduccion!A:A,0),K1189)),""))</f>
        <v/>
      </c>
      <c r="K1189" s="11">
        <v>5</v>
      </c>
    </row>
    <row r="1190" spans="1:11" hidden="1" x14ac:dyDescent="0.3">
      <c r="A1190" s="11">
        <v>1809</v>
      </c>
      <c r="B1190" s="8" t="str">
        <f>VLOOKUP(A1190,[1]ListadoFichasDeProduccion!$A$2:$LP$3000,328,FALSE)</f>
        <v>COMPLETADO</v>
      </c>
      <c r="C1190" s="11">
        <v>90</v>
      </c>
      <c r="D1190" t="s">
        <v>33</v>
      </c>
      <c r="E1190" t="s">
        <v>49</v>
      </c>
      <c r="G1190" s="9">
        <v>45804</v>
      </c>
      <c r="H1190" t="s">
        <v>158</v>
      </c>
      <c r="I1190" s="11">
        <v>12</v>
      </c>
      <c r="J1190" t="str">
        <f>IF(I1190="","",IFERROR(IF(INDEX([1]ListadoFichasDeProduccion!LQ:MB,MATCH(A1190,[1]ListadoFichasDeProduccion!A:A,0),K1190)=0,"",INDEX([1]ListadoFichasDeProduccion!LQ:MB,MATCH(A1190,[1]ListadoFichasDeProduccion!A:A,0),K1190)),""))</f>
        <v/>
      </c>
      <c r="K1190" s="11">
        <v>6</v>
      </c>
    </row>
    <row r="1191" spans="1:11" hidden="1" x14ac:dyDescent="0.3">
      <c r="A1191" s="11">
        <v>1809</v>
      </c>
      <c r="B1191" s="8" t="str">
        <f>VLOOKUP(A1191,[1]ListadoFichasDeProduccion!$A$2:$LP$3000,328,FALSE)</f>
        <v>COMPLETADO</v>
      </c>
      <c r="C1191" s="11">
        <v>90</v>
      </c>
      <c r="D1191" t="s">
        <v>33</v>
      </c>
      <c r="E1191" t="s">
        <v>49</v>
      </c>
      <c r="G1191" s="9">
        <v>45804</v>
      </c>
      <c r="H1191" t="s">
        <v>149</v>
      </c>
      <c r="I1191" s="11">
        <v>10</v>
      </c>
      <c r="J1191" t="str">
        <f>IF(I1191="","",IFERROR(IF(INDEX([1]ListadoFichasDeProduccion!LQ:MB,MATCH(A1191,[1]ListadoFichasDeProduccion!A:A,0),K1191)=0,"",INDEX([1]ListadoFichasDeProduccion!LQ:MB,MATCH(A1191,[1]ListadoFichasDeProduccion!A:A,0),K1191)),""))</f>
        <v/>
      </c>
      <c r="K1191" s="11">
        <v>7</v>
      </c>
    </row>
    <row r="1192" spans="1:11" hidden="1" x14ac:dyDescent="0.3">
      <c r="A1192" s="11">
        <v>1809</v>
      </c>
      <c r="B1192" s="8" t="str">
        <f>VLOOKUP(A1192,[1]ListadoFichasDeProduccion!$A$2:$LP$3000,328,FALSE)</f>
        <v>COMPLETADO</v>
      </c>
      <c r="C1192" s="11">
        <v>90</v>
      </c>
      <c r="D1192" t="s">
        <v>33</v>
      </c>
      <c r="E1192" t="s">
        <v>49</v>
      </c>
      <c r="G1192" s="9">
        <v>45804</v>
      </c>
      <c r="H1192" t="s">
        <v>81</v>
      </c>
      <c r="I1192" s="11">
        <v>10</v>
      </c>
      <c r="J1192" t="str">
        <f>IF(I1192="","",IFERROR(IF(INDEX([1]ListadoFichasDeProduccion!LQ:MB,MATCH(A1192,[1]ListadoFichasDeProduccion!A:A,0),K1192)=0,"",INDEX([1]ListadoFichasDeProduccion!LQ:MB,MATCH(A1192,[1]ListadoFichasDeProduccion!A:A,0),K1192)),""))</f>
        <v/>
      </c>
      <c r="K1192" s="11">
        <v>8</v>
      </c>
    </row>
    <row r="1193" spans="1:11" hidden="1" x14ac:dyDescent="0.3">
      <c r="A1193" s="11">
        <v>1897</v>
      </c>
      <c r="B1193" s="8" t="str">
        <f>VLOOKUP(A1193,[1]ListadoFichasDeProduccion!$A$2:$LP$3000,328,FALSE)</f>
        <v>COMPLETADO</v>
      </c>
      <c r="C1193" s="11">
        <v>27</v>
      </c>
      <c r="D1193" t="s">
        <v>33</v>
      </c>
      <c r="E1193" t="s">
        <v>49</v>
      </c>
      <c r="G1193" s="9">
        <v>45839</v>
      </c>
      <c r="H1193" t="s">
        <v>50</v>
      </c>
      <c r="I1193" s="11">
        <v>6</v>
      </c>
      <c r="J1193" t="str">
        <f>IF(I1193="","",IFERROR(IF(INDEX([1]ListadoFichasDeProduccion!LQ:MB,MATCH(A1193,[1]ListadoFichasDeProduccion!A:A,0),K1193)=0,"",INDEX([1]ListadoFichasDeProduccion!LQ:MB,MATCH(A1193,[1]ListadoFichasDeProduccion!A:A,0),K1193)),""))</f>
        <v/>
      </c>
      <c r="K1193" s="11">
        <v>1</v>
      </c>
    </row>
    <row r="1194" spans="1:11" hidden="1" x14ac:dyDescent="0.3">
      <c r="A1194" s="11">
        <v>1897</v>
      </c>
      <c r="B1194" s="8" t="str">
        <f>VLOOKUP(A1194,[1]ListadoFichasDeProduccion!$A$2:$LP$3000,328,FALSE)</f>
        <v>COMPLETADO</v>
      </c>
      <c r="C1194" s="11">
        <v>27</v>
      </c>
      <c r="D1194" t="s">
        <v>33</v>
      </c>
      <c r="E1194" t="s">
        <v>49</v>
      </c>
      <c r="G1194" s="9">
        <v>45839</v>
      </c>
      <c r="H1194" t="s">
        <v>51</v>
      </c>
      <c r="I1194" s="11">
        <v>6</v>
      </c>
      <c r="J1194" t="str">
        <f>IF(I1194="","",IFERROR(IF(INDEX([1]ListadoFichasDeProduccion!LQ:MB,MATCH(A1194,[1]ListadoFichasDeProduccion!A:A,0),K1194)=0,"",INDEX([1]ListadoFichasDeProduccion!LQ:MB,MATCH(A1194,[1]ListadoFichasDeProduccion!A:A,0),K1194)),""))</f>
        <v/>
      </c>
      <c r="K1194" s="11">
        <v>2</v>
      </c>
    </row>
    <row r="1195" spans="1:11" hidden="1" x14ac:dyDescent="0.3">
      <c r="A1195" s="11">
        <v>1897</v>
      </c>
      <c r="B1195" s="8" t="str">
        <f>VLOOKUP(A1195,[1]ListadoFichasDeProduccion!$A$2:$LP$3000,328,FALSE)</f>
        <v>COMPLETADO</v>
      </c>
      <c r="C1195" s="11">
        <v>27</v>
      </c>
      <c r="D1195" t="s">
        <v>33</v>
      </c>
      <c r="E1195" t="s">
        <v>49</v>
      </c>
      <c r="G1195" s="9">
        <v>45839</v>
      </c>
      <c r="H1195" t="s">
        <v>44</v>
      </c>
      <c r="I1195" s="11">
        <v>3</v>
      </c>
      <c r="J1195" t="str">
        <f>IF(I1195="","",IFERROR(IF(INDEX([1]ListadoFichasDeProduccion!LQ:MB,MATCH(A1195,[1]ListadoFichasDeProduccion!A:A,0),K1195)=0,"",INDEX([1]ListadoFichasDeProduccion!LQ:MB,MATCH(A1195,[1]ListadoFichasDeProduccion!A:A,0),K1195)),""))</f>
        <v/>
      </c>
      <c r="K1195" s="11">
        <v>3</v>
      </c>
    </row>
    <row r="1196" spans="1:11" hidden="1" x14ac:dyDescent="0.3">
      <c r="A1196" s="11">
        <v>1897</v>
      </c>
      <c r="B1196" s="8" t="str">
        <f>VLOOKUP(A1196,[1]ListadoFichasDeProduccion!$A$2:$LP$3000,328,FALSE)</f>
        <v>COMPLETADO</v>
      </c>
      <c r="C1196" s="11">
        <v>27</v>
      </c>
      <c r="D1196" t="s">
        <v>33</v>
      </c>
      <c r="E1196" t="s">
        <v>49</v>
      </c>
      <c r="G1196" s="9">
        <v>45839</v>
      </c>
      <c r="H1196" t="s">
        <v>31</v>
      </c>
      <c r="I1196" s="11">
        <v>12</v>
      </c>
      <c r="J1196" t="str">
        <f>IF(I1196="","",IFERROR(IF(INDEX([1]ListadoFichasDeProduccion!LQ:MB,MATCH(A1196,[1]ListadoFichasDeProduccion!A:A,0),K1196)=0,"",INDEX([1]ListadoFichasDeProduccion!LQ:MB,MATCH(A1196,[1]ListadoFichasDeProduccion!A:A,0),K1196)),""))</f>
        <v/>
      </c>
      <c r="K1196" s="11">
        <v>4</v>
      </c>
    </row>
    <row r="1197" spans="1:11" x14ac:dyDescent="0.3">
      <c r="A1197" s="11">
        <v>18972</v>
      </c>
      <c r="B1197" s="8" t="str">
        <f>VLOOKUP(A1197,[1]ListadoFichasDeProduccion!$A$2:$LP$3000,328,FALSE)</f>
        <v>EN PRODUCCION</v>
      </c>
      <c r="C1197" s="11">
        <v>8</v>
      </c>
      <c r="D1197" t="s">
        <v>33</v>
      </c>
      <c r="E1197" t="s">
        <v>49</v>
      </c>
      <c r="G1197" s="9">
        <v>45855</v>
      </c>
      <c r="H1197" t="s">
        <v>138</v>
      </c>
      <c r="I1197" s="11">
        <v>8</v>
      </c>
      <c r="J1197" t="str">
        <f>IF(I1197="","",IFERROR(IF(INDEX([1]ListadoFichasDeProduccion!LQ:MB,MATCH(A1197,[1]ListadoFichasDeProduccion!A:A,0),K1197)=0,"",INDEX([1]ListadoFichasDeProduccion!LQ:MB,MATCH(A1197,[1]ListadoFichasDeProduccion!A:A,0),K1197)),""))</f>
        <v/>
      </c>
      <c r="K1197" s="11">
        <v>1</v>
      </c>
    </row>
    <row r="1198" spans="1:11" hidden="1" x14ac:dyDescent="0.3">
      <c r="A1198" s="11">
        <v>1928</v>
      </c>
      <c r="B1198" t="str">
        <f>VLOOKUP(A1198,[1]ListadoFichasDeProduccion!$A$2:$LP$3000,328,FALSE)</f>
        <v>COMPLETADO</v>
      </c>
      <c r="C1198" s="11">
        <v>20</v>
      </c>
      <c r="D1198" t="s">
        <v>33</v>
      </c>
      <c r="E1198" t="s">
        <v>49</v>
      </c>
      <c r="G1198" s="9">
        <v>45877</v>
      </c>
      <c r="H1198" t="s">
        <v>65</v>
      </c>
      <c r="I1198" s="11">
        <v>20</v>
      </c>
      <c r="J1198" t="str">
        <f>IF(I1198="","",IFERROR(IF(INDEX([1]ListadoFichasDeProduccion!LQ:MB,MATCH(A1198,[1]ListadoFichasDeProduccion!A:A,0),K1198)=0,"",INDEX([1]ListadoFichasDeProduccion!LQ:MB,MATCH(A1198,[1]ListadoFichasDeProduccion!A:A,0),K1198)),""))</f>
        <v/>
      </c>
      <c r="K1198" s="11">
        <v>1</v>
      </c>
    </row>
    <row r="1199" spans="1:11" hidden="1" x14ac:dyDescent="0.3">
      <c r="A1199" s="11" t="s">
        <v>312</v>
      </c>
      <c r="B1199" t="str">
        <f>VLOOKUP(A1199,[1]ListadoFichasDeProduccion!$A$2:$LP$3000,328,FALSE)</f>
        <v>COMPLETADO</v>
      </c>
      <c r="C1199" s="11">
        <v>74</v>
      </c>
      <c r="D1199" t="s">
        <v>33</v>
      </c>
      <c r="E1199" t="s">
        <v>49</v>
      </c>
      <c r="G1199" s="9">
        <v>45923</v>
      </c>
      <c r="H1199" t="s">
        <v>27</v>
      </c>
      <c r="I1199" s="11">
        <v>9</v>
      </c>
      <c r="J1199" t="str">
        <f>IF(I1199="","",IFERROR(IF(INDEX([1]ListadoFichasDeProduccion!LQ:MB,MATCH(A1199,[1]ListadoFichasDeProduccion!A:A,0),K1199)=0,"",INDEX([1]ListadoFichasDeProduccion!LQ:MB,MATCH(A1199,[1]ListadoFichasDeProduccion!A:A,0),K1199)),""))</f>
        <v/>
      </c>
      <c r="K1199" s="11">
        <v>1</v>
      </c>
    </row>
    <row r="1200" spans="1:11" hidden="1" x14ac:dyDescent="0.3">
      <c r="A1200" s="11" t="s">
        <v>312</v>
      </c>
      <c r="B1200" t="str">
        <f>VLOOKUP(A1200,[1]ListadoFichasDeProduccion!$A$2:$LP$3000,328,FALSE)</f>
        <v>COMPLETADO</v>
      </c>
      <c r="C1200" s="11">
        <v>74</v>
      </c>
      <c r="D1200" t="s">
        <v>33</v>
      </c>
      <c r="E1200" t="s">
        <v>49</v>
      </c>
      <c r="G1200" s="9">
        <v>45923</v>
      </c>
      <c r="H1200" t="s">
        <v>51</v>
      </c>
      <c r="I1200" s="11">
        <v>14</v>
      </c>
      <c r="J1200" t="str">
        <f>IF(I1200="","",IFERROR(IF(INDEX([1]ListadoFichasDeProduccion!LQ:MB,MATCH(A1200,[1]ListadoFichasDeProduccion!A:A,0),K1200)=0,"",INDEX([1]ListadoFichasDeProduccion!LQ:MB,MATCH(A1200,[1]ListadoFichasDeProduccion!A:A,0),K1200)),""))</f>
        <v/>
      </c>
      <c r="K1200" s="11">
        <v>2</v>
      </c>
    </row>
    <row r="1201" spans="1:11" hidden="1" x14ac:dyDescent="0.3">
      <c r="A1201" s="11" t="s">
        <v>312</v>
      </c>
      <c r="B1201" t="str">
        <f>VLOOKUP(A1201,[1]ListadoFichasDeProduccion!$A$2:$LP$3000,328,FALSE)</f>
        <v>COMPLETADO</v>
      </c>
      <c r="C1201" s="11">
        <v>74</v>
      </c>
      <c r="D1201" t="s">
        <v>33</v>
      </c>
      <c r="E1201" t="s">
        <v>49</v>
      </c>
      <c r="G1201" s="9">
        <v>45923</v>
      </c>
      <c r="H1201" t="s">
        <v>44</v>
      </c>
      <c r="I1201" s="11">
        <v>9</v>
      </c>
      <c r="J1201" t="str">
        <f>IF(I1201="","",IFERROR(IF(INDEX([1]ListadoFichasDeProduccion!LQ:MB,MATCH(A1201,[1]ListadoFichasDeProduccion!A:A,0),K1201)=0,"",INDEX([1]ListadoFichasDeProduccion!LQ:MB,MATCH(A1201,[1]ListadoFichasDeProduccion!A:A,0),K1201)),""))</f>
        <v/>
      </c>
      <c r="K1201" s="11">
        <v>3</v>
      </c>
    </row>
    <row r="1202" spans="1:11" hidden="1" x14ac:dyDescent="0.3">
      <c r="A1202" s="11" t="s">
        <v>312</v>
      </c>
      <c r="B1202" t="str">
        <f>VLOOKUP(A1202,[1]ListadoFichasDeProduccion!$A$2:$LP$3000,328,FALSE)</f>
        <v>COMPLETADO</v>
      </c>
      <c r="C1202" s="11">
        <v>74</v>
      </c>
      <c r="D1202" t="s">
        <v>33</v>
      </c>
      <c r="E1202" t="s">
        <v>49</v>
      </c>
      <c r="G1202" s="9">
        <v>45923</v>
      </c>
      <c r="H1202" t="s">
        <v>31</v>
      </c>
      <c r="I1202" s="11">
        <v>6</v>
      </c>
      <c r="J1202" t="str">
        <f>IF(I1202="","",IFERROR(IF(INDEX([1]ListadoFichasDeProduccion!LQ:MB,MATCH(A1202,[1]ListadoFichasDeProduccion!A:A,0),K1202)=0,"",INDEX([1]ListadoFichasDeProduccion!LQ:MB,MATCH(A1202,[1]ListadoFichasDeProduccion!A:A,0),K1202)),""))</f>
        <v/>
      </c>
      <c r="K1202" s="11">
        <v>4</v>
      </c>
    </row>
    <row r="1203" spans="1:11" hidden="1" x14ac:dyDescent="0.3">
      <c r="A1203" s="11" t="s">
        <v>312</v>
      </c>
      <c r="B1203" t="str">
        <f>VLOOKUP(A1203,[1]ListadoFichasDeProduccion!$A$2:$LP$3000,328,FALSE)</f>
        <v>COMPLETADO</v>
      </c>
      <c r="C1203" s="11">
        <v>74</v>
      </c>
      <c r="D1203" t="s">
        <v>33</v>
      </c>
      <c r="E1203" t="s">
        <v>49</v>
      </c>
      <c r="G1203" s="9">
        <v>45923</v>
      </c>
      <c r="H1203" t="s">
        <v>158</v>
      </c>
      <c r="I1203" s="11">
        <v>12</v>
      </c>
      <c r="J1203" t="str">
        <f>IF(I1203="","",IFERROR(IF(INDEX([1]ListadoFichasDeProduccion!LQ:MB,MATCH(A1203,[1]ListadoFichasDeProduccion!A:A,0),K1203)=0,"",INDEX([1]ListadoFichasDeProduccion!LQ:MB,MATCH(A1203,[1]ListadoFichasDeProduccion!A:A,0),K1203)),""))</f>
        <v/>
      </c>
      <c r="K1203" s="11">
        <v>6</v>
      </c>
    </row>
    <row r="1204" spans="1:11" hidden="1" x14ac:dyDescent="0.3">
      <c r="A1204" s="11" t="s">
        <v>312</v>
      </c>
      <c r="B1204" t="str">
        <f>VLOOKUP(A1204,[1]ListadoFichasDeProduccion!$A$2:$LP$3000,328,FALSE)</f>
        <v>COMPLETADO</v>
      </c>
      <c r="C1204" s="11">
        <v>74</v>
      </c>
      <c r="D1204" t="s">
        <v>33</v>
      </c>
      <c r="E1204" t="s">
        <v>49</v>
      </c>
      <c r="G1204" s="9">
        <v>45923</v>
      </c>
      <c r="H1204" t="s">
        <v>81</v>
      </c>
      <c r="I1204" s="11">
        <v>12</v>
      </c>
      <c r="J1204" t="str">
        <f>IF(I1204="","",IFERROR(IF(INDEX([1]ListadoFichasDeProduccion!LQ:MB,MATCH(A1204,[1]ListadoFichasDeProduccion!A:A,0),K1204)=0,"",INDEX([1]ListadoFichasDeProduccion!LQ:MB,MATCH(A1204,[1]ListadoFichasDeProduccion!A:A,0),K1204)),""))</f>
        <v/>
      </c>
      <c r="K1204" s="11">
        <v>7</v>
      </c>
    </row>
    <row r="1205" spans="1:11" hidden="1" x14ac:dyDescent="0.3">
      <c r="A1205" s="11" t="s">
        <v>312</v>
      </c>
      <c r="B1205" t="str">
        <f>VLOOKUP(A1205,[1]ListadoFichasDeProduccion!$A$2:$LP$3000,328,FALSE)</f>
        <v>COMPLETADO</v>
      </c>
      <c r="C1205" s="11">
        <v>74</v>
      </c>
      <c r="D1205" t="s">
        <v>33</v>
      </c>
      <c r="E1205" t="s">
        <v>49</v>
      </c>
      <c r="G1205" s="9">
        <v>45923</v>
      </c>
      <c r="H1205" t="s">
        <v>149</v>
      </c>
      <c r="I1205" s="11">
        <v>12</v>
      </c>
      <c r="J1205" t="str">
        <f>IF(I1205="","",IFERROR(IF(INDEX([1]ListadoFichasDeProduccion!LQ:MB,MATCH(A1205,[1]ListadoFichasDeProduccion!A:A,0),K1205)=0,"",INDEX([1]ListadoFichasDeProduccion!LQ:MB,MATCH(A1205,[1]ListadoFichasDeProduccion!A:A,0),K1205)),""))</f>
        <v/>
      </c>
      <c r="K1205" s="11">
        <v>8</v>
      </c>
    </row>
    <row r="1206" spans="1:11" hidden="1" x14ac:dyDescent="0.3">
      <c r="A1206" s="11" t="s">
        <v>451</v>
      </c>
      <c r="B1206" t="str">
        <f>VLOOKUP(A1206,[1]ListadoFichasDeProduccion!$A$2:$LP$3000,328,FALSE)</f>
        <v>COMPLETADO</v>
      </c>
      <c r="C1206" s="11">
        <v>40</v>
      </c>
      <c r="D1206" t="s">
        <v>33</v>
      </c>
      <c r="E1206" t="s">
        <v>49</v>
      </c>
      <c r="G1206" s="9">
        <v>45961</v>
      </c>
      <c r="H1206" t="s">
        <v>27</v>
      </c>
      <c r="I1206" s="11">
        <v>12</v>
      </c>
      <c r="J1206" t="str">
        <f>IF(I1206="","",IFERROR(IF(INDEX([1]ListadoFichasDeProduccion!LQ:MB,MATCH(A1206,[1]ListadoFichasDeProduccion!A:A,0),K1206)=0,"",INDEX([1]ListadoFichasDeProduccion!LQ:MB,MATCH(A1206,[1]ListadoFichasDeProduccion!A:A,0),K1206)),""))</f>
        <v/>
      </c>
      <c r="K1206" s="11">
        <v>1</v>
      </c>
    </row>
    <row r="1207" spans="1:11" hidden="1" x14ac:dyDescent="0.3">
      <c r="A1207" s="11" t="s">
        <v>451</v>
      </c>
      <c r="B1207" t="str">
        <f>VLOOKUP(A1207,[1]ListadoFichasDeProduccion!$A$2:$LP$3000,328,FALSE)</f>
        <v>COMPLETADO</v>
      </c>
      <c r="C1207" s="11">
        <v>40</v>
      </c>
      <c r="D1207" t="s">
        <v>33</v>
      </c>
      <c r="E1207" t="s">
        <v>49</v>
      </c>
      <c r="G1207" s="9">
        <v>45961</v>
      </c>
      <c r="H1207" t="s">
        <v>51</v>
      </c>
      <c r="I1207" s="11">
        <v>14</v>
      </c>
      <c r="J1207" t="str">
        <f>IF(I1207="","",IFERROR(IF(INDEX([1]ListadoFichasDeProduccion!LQ:MB,MATCH(A1207,[1]ListadoFichasDeProduccion!A:A,0),K1207)=0,"",INDEX([1]ListadoFichasDeProduccion!LQ:MB,MATCH(A1207,[1]ListadoFichasDeProduccion!A:A,0),K1207)),""))</f>
        <v/>
      </c>
      <c r="K1207" s="11">
        <v>2</v>
      </c>
    </row>
    <row r="1208" spans="1:11" hidden="1" x14ac:dyDescent="0.3">
      <c r="A1208" s="11" t="s">
        <v>451</v>
      </c>
      <c r="B1208" t="str">
        <f>VLOOKUP(A1208,[1]ListadoFichasDeProduccion!$A$2:$LP$3000,328,FALSE)</f>
        <v>COMPLETADO</v>
      </c>
      <c r="C1208" s="11">
        <v>40</v>
      </c>
      <c r="D1208" t="s">
        <v>33</v>
      </c>
      <c r="E1208" t="s">
        <v>49</v>
      </c>
      <c r="G1208" s="9">
        <v>45961</v>
      </c>
      <c r="H1208" t="s">
        <v>44</v>
      </c>
      <c r="I1208" s="11">
        <v>14</v>
      </c>
      <c r="J1208" t="str">
        <f>IF(I1208="","",IFERROR(IF(INDEX([1]ListadoFichasDeProduccion!LQ:MB,MATCH(A1208,[1]ListadoFichasDeProduccion!A:A,0),K1208)=0,"",INDEX([1]ListadoFichasDeProduccion!LQ:MB,MATCH(A1208,[1]ListadoFichasDeProduccion!A:A,0),K1208)),""))</f>
        <v/>
      </c>
      <c r="K1208" s="11">
        <v>3</v>
      </c>
    </row>
    <row r="1209" spans="1:11" hidden="1" x14ac:dyDescent="0.3">
      <c r="A1209" s="11">
        <v>1601</v>
      </c>
      <c r="B1209" s="8" t="str">
        <f>VLOOKUP(A1209,[1]ListadoFichasDeProduccion!$A$2:$LP$3000,328,FALSE)</f>
        <v>COMPLETADO</v>
      </c>
      <c r="C1209" s="11">
        <v>62</v>
      </c>
      <c r="D1209" t="s">
        <v>33</v>
      </c>
      <c r="E1209" t="s">
        <v>54</v>
      </c>
      <c r="F1209" s="9"/>
      <c r="G1209" s="9">
        <v>45667</v>
      </c>
      <c r="H1209" t="s">
        <v>36</v>
      </c>
      <c r="I1209" s="11">
        <v>20</v>
      </c>
      <c r="J1209" t="str">
        <f>IF(I1209="","",IFERROR(IF(INDEX([1]ListadoFichasDeProduccion!LQ:MB,MATCH(A1209,[1]ListadoFichasDeProduccion!A:A,0),K1209)=0,"",INDEX([1]ListadoFichasDeProduccion!LQ:MB,MATCH(A1209,[1]ListadoFichasDeProduccion!A:A,0),K1209)),""))</f>
        <v/>
      </c>
      <c r="K1209" s="11">
        <v>1</v>
      </c>
    </row>
    <row r="1210" spans="1:11" hidden="1" x14ac:dyDescent="0.3">
      <c r="A1210" s="11">
        <v>1601</v>
      </c>
      <c r="B1210" s="8" t="str">
        <f>VLOOKUP(A1210,[1]ListadoFichasDeProduccion!$A$2:$LP$3000,328,FALSE)</f>
        <v>COMPLETADO</v>
      </c>
      <c r="C1210" s="11">
        <v>62</v>
      </c>
      <c r="D1210" t="s">
        <v>33</v>
      </c>
      <c r="E1210" t="s">
        <v>54</v>
      </c>
      <c r="F1210" s="9"/>
      <c r="G1210" s="9">
        <v>45667</v>
      </c>
      <c r="H1210" t="s">
        <v>32</v>
      </c>
      <c r="I1210" s="11">
        <v>20</v>
      </c>
      <c r="J1210" t="str">
        <f>IF(I1210="","",IFERROR(IF(INDEX([1]ListadoFichasDeProduccion!LQ:MB,MATCH(A1210,[1]ListadoFichasDeProduccion!A:A,0),K1210)=0,"",INDEX([1]ListadoFichasDeProduccion!LQ:MB,MATCH(A1210,[1]ListadoFichasDeProduccion!A:A,0),K1210)),""))</f>
        <v/>
      </c>
      <c r="K1210" s="11">
        <v>2</v>
      </c>
    </row>
    <row r="1211" spans="1:11" hidden="1" x14ac:dyDescent="0.3">
      <c r="A1211" s="11">
        <v>1601</v>
      </c>
      <c r="B1211" s="8" t="str">
        <f>VLOOKUP(A1211,[1]ListadoFichasDeProduccion!$A$2:$LP$3000,328,FALSE)</f>
        <v>COMPLETADO</v>
      </c>
      <c r="C1211" s="11">
        <v>62</v>
      </c>
      <c r="D1211" t="s">
        <v>33</v>
      </c>
      <c r="E1211" t="s">
        <v>54</v>
      </c>
      <c r="F1211" s="9"/>
      <c r="G1211" s="9">
        <v>45667</v>
      </c>
      <c r="H1211" t="s">
        <v>44</v>
      </c>
      <c r="I1211" s="11">
        <v>10</v>
      </c>
      <c r="J1211" t="str">
        <f>IF(I1211="","",IFERROR(IF(INDEX([1]ListadoFichasDeProduccion!LQ:MB,MATCH(A1211,[1]ListadoFichasDeProduccion!A:A,0),K1211)=0,"",INDEX([1]ListadoFichasDeProduccion!LQ:MB,MATCH(A1211,[1]ListadoFichasDeProduccion!A:A,0),K1211)),""))</f>
        <v/>
      </c>
      <c r="K1211" s="11">
        <v>3</v>
      </c>
    </row>
    <row r="1212" spans="1:11" hidden="1" x14ac:dyDescent="0.3">
      <c r="A1212" s="11">
        <v>1601</v>
      </c>
      <c r="B1212" s="8" t="str">
        <f>VLOOKUP(A1212,[1]ListadoFichasDeProduccion!$A$2:$LP$3000,328,FALSE)</f>
        <v>COMPLETADO</v>
      </c>
      <c r="C1212" s="11">
        <v>62</v>
      </c>
      <c r="D1212" t="s">
        <v>33</v>
      </c>
      <c r="E1212" t="s">
        <v>54</v>
      </c>
      <c r="F1212" s="9"/>
      <c r="G1212" s="9">
        <v>45667</v>
      </c>
      <c r="H1212" t="s">
        <v>26</v>
      </c>
      <c r="I1212" s="11">
        <v>12</v>
      </c>
      <c r="J1212" t="str">
        <f>IF(I1212="","",IFERROR(IF(INDEX([1]ListadoFichasDeProduccion!LQ:MB,MATCH(A1212,[1]ListadoFichasDeProduccion!A:A,0),K1212)=0,"",INDEX([1]ListadoFichasDeProduccion!LQ:MB,MATCH(A1212,[1]ListadoFichasDeProduccion!A:A,0),K1212)),""))</f>
        <v/>
      </c>
      <c r="K1212" s="11">
        <v>4</v>
      </c>
    </row>
    <row r="1213" spans="1:11" hidden="1" x14ac:dyDescent="0.3">
      <c r="A1213" s="11">
        <v>1644</v>
      </c>
      <c r="B1213" s="8" t="str">
        <f>VLOOKUP(A1213,[1]ListadoFichasDeProduccion!$A$2:$LP$3000,328,FALSE)</f>
        <v>COMPLETADO</v>
      </c>
      <c r="C1213" s="11">
        <v>52</v>
      </c>
      <c r="D1213" t="s">
        <v>33</v>
      </c>
      <c r="E1213" t="s">
        <v>54</v>
      </c>
      <c r="F1213" s="9"/>
      <c r="G1213" s="9">
        <v>45727</v>
      </c>
      <c r="H1213" t="s">
        <v>50</v>
      </c>
      <c r="I1213" s="11">
        <v>6</v>
      </c>
      <c r="J1213" t="str">
        <f>IF(I1213="","",IFERROR(IF(INDEX([1]ListadoFichasDeProduccion!LQ:MB,MATCH(A1213,[1]ListadoFichasDeProduccion!A:A,0),K1213)=0,"",INDEX([1]ListadoFichasDeProduccion!LQ:MB,MATCH(A1213,[1]ListadoFichasDeProduccion!A:A,0),K1213)),""))</f>
        <v/>
      </c>
      <c r="K1213" s="11">
        <v>1</v>
      </c>
    </row>
    <row r="1214" spans="1:11" hidden="1" x14ac:dyDescent="0.3">
      <c r="A1214" s="11">
        <v>1644</v>
      </c>
      <c r="B1214" s="8" t="str">
        <f>VLOOKUP(A1214,[1]ListadoFichasDeProduccion!$A$2:$LP$3000,328,FALSE)</f>
        <v>COMPLETADO</v>
      </c>
      <c r="C1214" s="11">
        <v>52</v>
      </c>
      <c r="D1214" t="s">
        <v>33</v>
      </c>
      <c r="E1214" t="s">
        <v>54</v>
      </c>
      <c r="F1214" s="9"/>
      <c r="G1214" s="9">
        <v>45727</v>
      </c>
      <c r="H1214" t="s">
        <v>35</v>
      </c>
      <c r="I1214" s="11">
        <v>10</v>
      </c>
      <c r="J1214" t="str">
        <f>IF(I1214="","",IFERROR(IF(INDEX([1]ListadoFichasDeProduccion!LQ:MB,MATCH(A1214,[1]ListadoFichasDeProduccion!A:A,0),K1214)=0,"",INDEX([1]ListadoFichasDeProduccion!LQ:MB,MATCH(A1214,[1]ListadoFichasDeProduccion!A:A,0),K1214)),""))</f>
        <v/>
      </c>
      <c r="K1214" s="11">
        <v>2</v>
      </c>
    </row>
    <row r="1215" spans="1:11" hidden="1" x14ac:dyDescent="0.3">
      <c r="A1215" s="11">
        <v>1644</v>
      </c>
      <c r="B1215" s="8" t="str">
        <f>VLOOKUP(A1215,[1]ListadoFichasDeProduccion!$A$2:$LP$3000,328,FALSE)</f>
        <v>COMPLETADO</v>
      </c>
      <c r="C1215" s="11">
        <v>52</v>
      </c>
      <c r="D1215" t="s">
        <v>33</v>
      </c>
      <c r="E1215" t="s">
        <v>54</v>
      </c>
      <c r="F1215" s="9"/>
      <c r="G1215" s="9">
        <v>45727</v>
      </c>
      <c r="H1215" t="s">
        <v>24</v>
      </c>
      <c r="I1215" s="11">
        <v>12</v>
      </c>
      <c r="J1215" t="str">
        <f>IF(I1215="","",IFERROR(IF(INDEX([1]ListadoFichasDeProduccion!LQ:MB,MATCH(A1215,[1]ListadoFichasDeProduccion!A:A,0),K1215)=0,"",INDEX([1]ListadoFichasDeProduccion!LQ:MB,MATCH(A1215,[1]ListadoFichasDeProduccion!A:A,0),K1215)),""))</f>
        <v/>
      </c>
      <c r="K1215" s="11">
        <v>3</v>
      </c>
    </row>
    <row r="1216" spans="1:11" hidden="1" x14ac:dyDescent="0.3">
      <c r="A1216" s="11">
        <v>1644</v>
      </c>
      <c r="B1216" s="8" t="str">
        <f>VLOOKUP(A1216,[1]ListadoFichasDeProduccion!$A$2:$LP$3000,328,FALSE)</f>
        <v>COMPLETADO</v>
      </c>
      <c r="C1216" s="11">
        <v>52</v>
      </c>
      <c r="D1216" t="s">
        <v>33</v>
      </c>
      <c r="E1216" t="s">
        <v>54</v>
      </c>
      <c r="F1216" s="9"/>
      <c r="G1216" s="9">
        <v>45727</v>
      </c>
      <c r="H1216" t="s">
        <v>40</v>
      </c>
      <c r="I1216" s="11">
        <v>10</v>
      </c>
      <c r="J1216" t="str">
        <f>IF(I1216="","",IFERROR(IF(INDEX([1]ListadoFichasDeProduccion!LQ:MB,MATCH(A1216,[1]ListadoFichasDeProduccion!A:A,0),K1216)=0,"",INDEX([1]ListadoFichasDeProduccion!LQ:MB,MATCH(A1216,[1]ListadoFichasDeProduccion!A:A,0),K1216)),""))</f>
        <v/>
      </c>
      <c r="K1216" s="11">
        <v>4</v>
      </c>
    </row>
    <row r="1217" spans="1:11" hidden="1" x14ac:dyDescent="0.3">
      <c r="A1217" s="11">
        <v>1644</v>
      </c>
      <c r="B1217" s="8" t="str">
        <f>VLOOKUP(A1217,[1]ListadoFichasDeProduccion!$A$2:$LP$3000,328,FALSE)</f>
        <v>COMPLETADO</v>
      </c>
      <c r="C1217" s="11">
        <v>52</v>
      </c>
      <c r="D1217" t="s">
        <v>33</v>
      </c>
      <c r="E1217" t="s">
        <v>54</v>
      </c>
      <c r="F1217" s="9"/>
      <c r="G1217" s="9">
        <v>45727</v>
      </c>
      <c r="H1217" t="s">
        <v>32</v>
      </c>
      <c r="I1217" s="11">
        <v>14</v>
      </c>
      <c r="J1217" t="str">
        <f>IF(I1217="","",IFERROR(IF(INDEX([1]ListadoFichasDeProduccion!LQ:MB,MATCH(A1217,[1]ListadoFichasDeProduccion!A:A,0),K1217)=0,"",INDEX([1]ListadoFichasDeProduccion!LQ:MB,MATCH(A1217,[1]ListadoFichasDeProduccion!A:A,0),K1217)),""))</f>
        <v/>
      </c>
      <c r="K1217" s="11">
        <v>5</v>
      </c>
    </row>
    <row r="1218" spans="1:11" hidden="1" x14ac:dyDescent="0.3">
      <c r="A1218" s="11">
        <v>1718</v>
      </c>
      <c r="B1218" s="8" t="str">
        <f>VLOOKUP(A1218,[1]ListadoFichasDeProduccion!$A$2:$LP$3000,328,FALSE)</f>
        <v>COMPLETADO</v>
      </c>
      <c r="C1218" s="11">
        <v>22</v>
      </c>
      <c r="D1218" t="s">
        <v>33</v>
      </c>
      <c r="E1218" t="s">
        <v>54</v>
      </c>
      <c r="G1218" s="9">
        <v>45744</v>
      </c>
      <c r="H1218" t="s">
        <v>27</v>
      </c>
      <c r="I1218" s="11">
        <v>4</v>
      </c>
      <c r="J1218" t="str">
        <f>IF(I1218="","",IFERROR(IF(INDEX([1]ListadoFichasDeProduccion!LQ:MB,MATCH(A1218,[1]ListadoFichasDeProduccion!A:A,0),K1218)=0,"",INDEX([1]ListadoFichasDeProduccion!LQ:MB,MATCH(A1218,[1]ListadoFichasDeProduccion!A:A,0),K1218)),""))</f>
        <v/>
      </c>
      <c r="K1218" s="11">
        <v>1</v>
      </c>
    </row>
    <row r="1219" spans="1:11" hidden="1" x14ac:dyDescent="0.3">
      <c r="A1219" s="11">
        <v>1718</v>
      </c>
      <c r="B1219" s="8" t="str">
        <f>VLOOKUP(A1219,[1]ListadoFichasDeProduccion!$A$2:$LP$3000,328,FALSE)</f>
        <v>COMPLETADO</v>
      </c>
      <c r="C1219" s="11">
        <v>22</v>
      </c>
      <c r="D1219" t="s">
        <v>33</v>
      </c>
      <c r="E1219" t="s">
        <v>54</v>
      </c>
      <c r="G1219" s="9">
        <v>45744</v>
      </c>
      <c r="H1219" t="s">
        <v>51</v>
      </c>
      <c r="I1219" s="11">
        <v>4</v>
      </c>
      <c r="J1219" t="str">
        <f>IF(I1219="","",IFERROR(IF(INDEX([1]ListadoFichasDeProduccion!LQ:MB,MATCH(A1219,[1]ListadoFichasDeProduccion!A:A,0),K1219)=0,"",INDEX([1]ListadoFichasDeProduccion!LQ:MB,MATCH(A1219,[1]ListadoFichasDeProduccion!A:A,0),K1219)),""))</f>
        <v/>
      </c>
      <c r="K1219" s="11">
        <v>2</v>
      </c>
    </row>
    <row r="1220" spans="1:11" hidden="1" x14ac:dyDescent="0.3">
      <c r="A1220" s="11">
        <v>1718</v>
      </c>
      <c r="B1220" s="8" t="str">
        <f>VLOOKUP(A1220,[1]ListadoFichasDeProduccion!$A$2:$LP$3000,328,FALSE)</f>
        <v>COMPLETADO</v>
      </c>
      <c r="C1220" s="11">
        <v>22</v>
      </c>
      <c r="D1220" t="s">
        <v>33</v>
      </c>
      <c r="E1220" t="s">
        <v>54</v>
      </c>
      <c r="G1220" s="9">
        <v>45744</v>
      </c>
      <c r="H1220" t="s">
        <v>138</v>
      </c>
      <c r="I1220" s="11">
        <v>14</v>
      </c>
      <c r="J1220" t="str">
        <f>IF(I1220="","",IFERROR(IF(INDEX([1]ListadoFichasDeProduccion!LQ:MB,MATCH(A1220,[1]ListadoFichasDeProduccion!A:A,0),K1220)=0,"",INDEX([1]ListadoFichasDeProduccion!LQ:MB,MATCH(A1220,[1]ListadoFichasDeProduccion!A:A,0),K1220)),""))</f>
        <v/>
      </c>
      <c r="K1220" s="11">
        <v>3</v>
      </c>
    </row>
    <row r="1221" spans="1:11" hidden="1" x14ac:dyDescent="0.3">
      <c r="A1221" s="11">
        <v>1738</v>
      </c>
      <c r="B1221" s="8" t="str">
        <f>VLOOKUP(A1221,[1]ListadoFichasDeProduccion!$A$2:$LP$3000,328,FALSE)</f>
        <v>COMPLETADO</v>
      </c>
      <c r="C1221" s="11">
        <v>29</v>
      </c>
      <c r="D1221" t="s">
        <v>33</v>
      </c>
      <c r="E1221" t="s">
        <v>54</v>
      </c>
      <c r="G1221" s="9">
        <v>45755</v>
      </c>
      <c r="H1221" t="s">
        <v>27</v>
      </c>
      <c r="I1221" s="11">
        <v>6</v>
      </c>
      <c r="J1221" t="str">
        <f>IF(I1221="","",IFERROR(IF(INDEX([1]ListadoFichasDeProduccion!LQ:MB,MATCH(A1221,[1]ListadoFichasDeProduccion!A:A,0),K1221)=0,"",INDEX([1]ListadoFichasDeProduccion!LQ:MB,MATCH(A1221,[1]ListadoFichasDeProduccion!A:A,0),K1221)),""))</f>
        <v/>
      </c>
      <c r="K1221" s="11">
        <v>1</v>
      </c>
    </row>
    <row r="1222" spans="1:11" hidden="1" x14ac:dyDescent="0.3">
      <c r="A1222" s="11">
        <v>1738</v>
      </c>
      <c r="B1222" s="8" t="str">
        <f>VLOOKUP(A1222,[1]ListadoFichasDeProduccion!$A$2:$LP$3000,328,FALSE)</f>
        <v>COMPLETADO</v>
      </c>
      <c r="C1222" s="11">
        <v>29</v>
      </c>
      <c r="D1222" t="s">
        <v>33</v>
      </c>
      <c r="E1222" t="s">
        <v>54</v>
      </c>
      <c r="G1222" s="9">
        <v>45755</v>
      </c>
      <c r="H1222" t="s">
        <v>51</v>
      </c>
      <c r="I1222" s="11">
        <v>9</v>
      </c>
      <c r="J1222" t="str">
        <f>IF(I1222="","",IFERROR(IF(INDEX([1]ListadoFichasDeProduccion!LQ:MB,MATCH(A1222,[1]ListadoFichasDeProduccion!A:A,0),K1222)=0,"",INDEX([1]ListadoFichasDeProduccion!LQ:MB,MATCH(A1222,[1]ListadoFichasDeProduccion!A:A,0),K1222)),""))</f>
        <v/>
      </c>
      <c r="K1222" s="11">
        <v>2</v>
      </c>
    </row>
    <row r="1223" spans="1:11" hidden="1" x14ac:dyDescent="0.3">
      <c r="A1223" s="11">
        <v>1738</v>
      </c>
      <c r="B1223" s="8" t="str">
        <f>VLOOKUP(A1223,[1]ListadoFichasDeProduccion!$A$2:$LP$3000,328,FALSE)</f>
        <v>COMPLETADO</v>
      </c>
      <c r="C1223" s="11">
        <v>29</v>
      </c>
      <c r="D1223" t="s">
        <v>33</v>
      </c>
      <c r="E1223" t="s">
        <v>54</v>
      </c>
      <c r="G1223" s="9">
        <v>45755</v>
      </c>
      <c r="H1223" t="s">
        <v>138</v>
      </c>
      <c r="I1223" s="11">
        <v>14</v>
      </c>
      <c r="J1223" t="str">
        <f>IF(I1223="","",IFERROR(IF(INDEX([1]ListadoFichasDeProduccion!LQ:MB,MATCH(A1223,[1]ListadoFichasDeProduccion!A:A,0),K1223)=0,"",INDEX([1]ListadoFichasDeProduccion!LQ:MB,MATCH(A1223,[1]ListadoFichasDeProduccion!A:A,0),K1223)),""))</f>
        <v/>
      </c>
      <c r="K1223" s="11">
        <v>3</v>
      </c>
    </row>
    <row r="1224" spans="1:11" hidden="1" x14ac:dyDescent="0.3">
      <c r="A1224" s="11">
        <v>1808</v>
      </c>
      <c r="B1224" s="8" t="str">
        <f>VLOOKUP(A1224,[1]ListadoFichasDeProduccion!$A$2:$LP$3000,328,FALSE)</f>
        <v>COMPLETADO</v>
      </c>
      <c r="C1224" s="11">
        <v>32</v>
      </c>
      <c r="D1224" t="s">
        <v>33</v>
      </c>
      <c r="E1224" t="s">
        <v>54</v>
      </c>
      <c r="G1224" s="9">
        <v>45804</v>
      </c>
      <c r="H1224" t="s">
        <v>35</v>
      </c>
      <c r="I1224" s="11">
        <v>6</v>
      </c>
      <c r="J1224" t="str">
        <f>IF(I1224="","",IFERROR(IF(INDEX([1]ListadoFichasDeProduccion!LQ:MB,MATCH(A1224,[1]ListadoFichasDeProduccion!A:A,0),K1224)=0,"",INDEX([1]ListadoFichasDeProduccion!LQ:MB,MATCH(A1224,[1]ListadoFichasDeProduccion!A:A,0),K1224)),""))</f>
        <v/>
      </c>
      <c r="K1224" s="11">
        <v>1</v>
      </c>
    </row>
    <row r="1225" spans="1:11" hidden="1" x14ac:dyDescent="0.3">
      <c r="A1225" s="11">
        <v>1808</v>
      </c>
      <c r="B1225" s="8" t="str">
        <f>VLOOKUP(A1225,[1]ListadoFichasDeProduccion!$A$2:$LP$3000,328,FALSE)</f>
        <v>COMPLETADO</v>
      </c>
      <c r="C1225" s="11">
        <v>32</v>
      </c>
      <c r="D1225" t="s">
        <v>33</v>
      </c>
      <c r="E1225" t="s">
        <v>54</v>
      </c>
      <c r="G1225" s="9">
        <v>45804</v>
      </c>
      <c r="H1225" t="s">
        <v>24</v>
      </c>
      <c r="I1225" s="11">
        <v>12</v>
      </c>
      <c r="J1225" t="str">
        <f>IF(I1225="","",IFERROR(IF(INDEX([1]ListadoFichasDeProduccion!LQ:MB,MATCH(A1225,[1]ListadoFichasDeProduccion!A:A,0),K1225)=0,"",INDEX([1]ListadoFichasDeProduccion!LQ:MB,MATCH(A1225,[1]ListadoFichasDeProduccion!A:A,0),K1225)),""))</f>
        <v/>
      </c>
      <c r="K1225" s="11">
        <v>2</v>
      </c>
    </row>
    <row r="1226" spans="1:11" hidden="1" x14ac:dyDescent="0.3">
      <c r="A1226" s="11">
        <v>1808</v>
      </c>
      <c r="B1226" s="8" t="str">
        <f>VLOOKUP(A1226,[1]ListadoFichasDeProduccion!$A$2:$LP$3000,328,FALSE)</f>
        <v>COMPLETADO</v>
      </c>
      <c r="C1226" s="11">
        <v>32</v>
      </c>
      <c r="D1226" t="s">
        <v>33</v>
      </c>
      <c r="E1226" t="s">
        <v>54</v>
      </c>
      <c r="G1226" s="9">
        <v>45804</v>
      </c>
      <c r="H1226" t="s">
        <v>138</v>
      </c>
      <c r="I1226" s="11">
        <v>14</v>
      </c>
      <c r="J1226" t="str">
        <f>IF(I1226="","",IFERROR(IF(INDEX([1]ListadoFichasDeProduccion!LQ:MB,MATCH(A1226,[1]ListadoFichasDeProduccion!A:A,0),K1226)=0,"",INDEX([1]ListadoFichasDeProduccion!LQ:MB,MATCH(A1226,[1]ListadoFichasDeProduccion!A:A,0),K1226)),""))</f>
        <v/>
      </c>
      <c r="K1226" s="11">
        <v>3</v>
      </c>
    </row>
    <row r="1227" spans="1:11" hidden="1" x14ac:dyDescent="0.3">
      <c r="A1227" s="11" t="s">
        <v>295</v>
      </c>
      <c r="B1227" t="str">
        <f>VLOOKUP(A1227,[1]ListadoFichasDeProduccion!$A$2:$LP$3000,328,FALSE)</f>
        <v>COMPLETADO</v>
      </c>
      <c r="C1227" s="11">
        <v>62</v>
      </c>
      <c r="D1227" t="s">
        <v>33</v>
      </c>
      <c r="E1227" t="s">
        <v>54</v>
      </c>
      <c r="G1227" s="9">
        <v>45911</v>
      </c>
      <c r="H1227" t="s">
        <v>35</v>
      </c>
      <c r="I1227" s="11">
        <v>10</v>
      </c>
      <c r="J1227" t="str">
        <f>IF(I1227="","",IFERROR(IF(INDEX([1]ListadoFichasDeProduccion!LQ:MB,MATCH(A1227,[1]ListadoFichasDeProduccion!A:A,0),K1227)=0,"",INDEX([1]ListadoFichasDeProduccion!LQ:MB,MATCH(A1227,[1]ListadoFichasDeProduccion!A:A,0),K1227)),""))</f>
        <v/>
      </c>
      <c r="K1227" s="11">
        <v>1</v>
      </c>
    </row>
    <row r="1228" spans="1:11" hidden="1" x14ac:dyDescent="0.3">
      <c r="A1228" s="11" t="s">
        <v>295</v>
      </c>
      <c r="B1228" t="str">
        <f>VLOOKUP(A1228,[1]ListadoFichasDeProduccion!$A$2:$LP$3000,328,FALSE)</f>
        <v>COMPLETADO</v>
      </c>
      <c r="C1228" s="11">
        <v>62</v>
      </c>
      <c r="D1228" t="s">
        <v>33</v>
      </c>
      <c r="E1228" t="s">
        <v>54</v>
      </c>
      <c r="G1228" s="9">
        <v>45911</v>
      </c>
      <c r="H1228" t="s">
        <v>24</v>
      </c>
      <c r="I1228" s="11">
        <v>14</v>
      </c>
      <c r="J1228" t="str">
        <f>IF(I1228="","",IFERROR(IF(INDEX([1]ListadoFichasDeProduccion!LQ:MB,MATCH(A1228,[1]ListadoFichasDeProduccion!A:A,0),K1228)=0,"",INDEX([1]ListadoFichasDeProduccion!LQ:MB,MATCH(A1228,[1]ListadoFichasDeProduccion!A:A,0),K1228)),""))</f>
        <v/>
      </c>
      <c r="K1228" s="11">
        <v>2</v>
      </c>
    </row>
    <row r="1229" spans="1:11" hidden="1" x14ac:dyDescent="0.3">
      <c r="A1229" s="11" t="s">
        <v>295</v>
      </c>
      <c r="B1229" t="str">
        <f>VLOOKUP(A1229,[1]ListadoFichasDeProduccion!$A$2:$LP$3000,328,FALSE)</f>
        <v>COMPLETADO</v>
      </c>
      <c r="C1229" s="11">
        <v>62</v>
      </c>
      <c r="D1229" t="s">
        <v>33</v>
      </c>
      <c r="E1229" t="s">
        <v>54</v>
      </c>
      <c r="G1229" s="9">
        <v>45911</v>
      </c>
      <c r="H1229" t="s">
        <v>50</v>
      </c>
      <c r="I1229" s="11">
        <v>10</v>
      </c>
      <c r="J1229" t="str">
        <f>IF(I1229="","",IFERROR(IF(INDEX([1]ListadoFichasDeProduccion!LQ:MB,MATCH(A1229,[1]ListadoFichasDeProduccion!A:A,0),K1229)=0,"",INDEX([1]ListadoFichasDeProduccion!LQ:MB,MATCH(A1229,[1]ListadoFichasDeProduccion!A:A,0),K1229)),""))</f>
        <v/>
      </c>
      <c r="K1229" s="11">
        <v>3</v>
      </c>
    </row>
    <row r="1230" spans="1:11" hidden="1" x14ac:dyDescent="0.3">
      <c r="A1230" s="11" t="s">
        <v>295</v>
      </c>
      <c r="B1230" t="str">
        <f>VLOOKUP(A1230,[1]ListadoFichasDeProduccion!$A$2:$LP$3000,328,FALSE)</f>
        <v>COMPLETADO</v>
      </c>
      <c r="C1230" s="11">
        <v>62</v>
      </c>
      <c r="D1230" t="s">
        <v>33</v>
      </c>
      <c r="E1230" t="s">
        <v>54</v>
      </c>
      <c r="G1230" s="9">
        <v>45911</v>
      </c>
      <c r="H1230" t="s">
        <v>27</v>
      </c>
      <c r="I1230" s="11">
        <v>10</v>
      </c>
      <c r="J1230" t="str">
        <f>IF(I1230="","",IFERROR(IF(INDEX([1]ListadoFichasDeProduccion!LQ:MB,MATCH(A1230,[1]ListadoFichasDeProduccion!A:A,0),K1230)=0,"",INDEX([1]ListadoFichasDeProduccion!LQ:MB,MATCH(A1230,[1]ListadoFichasDeProduccion!A:A,0),K1230)),""))</f>
        <v/>
      </c>
      <c r="K1230" s="11">
        <v>4</v>
      </c>
    </row>
    <row r="1231" spans="1:11" hidden="1" x14ac:dyDescent="0.3">
      <c r="A1231" s="11" t="s">
        <v>295</v>
      </c>
      <c r="B1231" t="str">
        <f>VLOOKUP(A1231,[1]ListadoFichasDeProduccion!$A$2:$LP$3000,328,FALSE)</f>
        <v>COMPLETADO</v>
      </c>
      <c r="C1231" s="11">
        <v>62</v>
      </c>
      <c r="D1231" t="s">
        <v>33</v>
      </c>
      <c r="E1231" t="s">
        <v>54</v>
      </c>
      <c r="G1231" s="9">
        <v>45911</v>
      </c>
      <c r="H1231" t="s">
        <v>51</v>
      </c>
      <c r="I1231" s="11">
        <v>6</v>
      </c>
      <c r="J1231" t="str">
        <f>IF(I1231="","",IFERROR(IF(INDEX([1]ListadoFichasDeProduccion!LQ:MB,MATCH(A1231,[1]ListadoFichasDeProduccion!A:A,0),K1231)=0,"",INDEX([1]ListadoFichasDeProduccion!LQ:MB,MATCH(A1231,[1]ListadoFichasDeProduccion!A:A,0),K1231)),""))</f>
        <v/>
      </c>
      <c r="K1231" s="11">
        <v>5</v>
      </c>
    </row>
    <row r="1232" spans="1:11" hidden="1" x14ac:dyDescent="0.3">
      <c r="A1232" s="11" t="s">
        <v>295</v>
      </c>
      <c r="B1232" t="str">
        <f>VLOOKUP(A1232,[1]ListadoFichasDeProduccion!$A$2:$LP$3000,328,FALSE)</f>
        <v>COMPLETADO</v>
      </c>
      <c r="C1232" s="11">
        <v>62</v>
      </c>
      <c r="D1232" t="s">
        <v>33</v>
      </c>
      <c r="E1232" t="s">
        <v>54</v>
      </c>
      <c r="G1232" s="9">
        <v>45911</v>
      </c>
      <c r="H1232" t="s">
        <v>53</v>
      </c>
      <c r="I1232" s="11">
        <v>12</v>
      </c>
      <c r="J1232" t="str">
        <f>IF(I1232="","",IFERROR(IF(INDEX([1]ListadoFichasDeProduccion!LQ:MB,MATCH(A1232,[1]ListadoFichasDeProduccion!A:A,0),K1232)=0,"",INDEX([1]ListadoFichasDeProduccion!LQ:MB,MATCH(A1232,[1]ListadoFichasDeProduccion!A:A,0),K1232)),""))</f>
        <v/>
      </c>
      <c r="K1232" s="11">
        <v>6</v>
      </c>
    </row>
    <row r="1233" spans="1:11" hidden="1" x14ac:dyDescent="0.3">
      <c r="A1233" s="11" t="s">
        <v>452</v>
      </c>
      <c r="B1233" t="str">
        <f>VLOOKUP(A1233,[1]ListadoFichasDeProduccion!$A$2:$LP$3000,328,FALSE)</f>
        <v>COMPLETADO</v>
      </c>
      <c r="C1233" s="11">
        <v>50</v>
      </c>
      <c r="D1233" t="s">
        <v>33</v>
      </c>
      <c r="E1233" t="s">
        <v>54</v>
      </c>
      <c r="G1233" s="9">
        <v>45971</v>
      </c>
      <c r="H1233" t="s">
        <v>27</v>
      </c>
      <c r="I1233" s="11">
        <v>6</v>
      </c>
      <c r="J1233" t="str">
        <f>IF(I1233="","",IFERROR(IF(INDEX([1]ListadoFichasDeProduccion!LQ:MB,MATCH(A1233,[1]ListadoFichasDeProduccion!A:A,0),K1233)=0,"",INDEX([1]ListadoFichasDeProduccion!LQ:MB,MATCH(A1233,[1]ListadoFichasDeProduccion!A:A,0),K1233)),""))</f>
        <v/>
      </c>
      <c r="K1233" s="11">
        <v>1</v>
      </c>
    </row>
    <row r="1234" spans="1:11" hidden="1" x14ac:dyDescent="0.3">
      <c r="A1234" s="11" t="s">
        <v>452</v>
      </c>
      <c r="B1234" t="str">
        <f>VLOOKUP(A1234,[1]ListadoFichasDeProduccion!$A$2:$LP$3000,328,FALSE)</f>
        <v>COMPLETADO</v>
      </c>
      <c r="C1234" s="11">
        <v>50</v>
      </c>
      <c r="D1234" t="s">
        <v>33</v>
      </c>
      <c r="E1234" t="s">
        <v>54</v>
      </c>
      <c r="G1234" s="9">
        <v>45971</v>
      </c>
      <c r="H1234" t="s">
        <v>51</v>
      </c>
      <c r="I1234" s="11">
        <v>14</v>
      </c>
      <c r="J1234" t="str">
        <f>IF(I1234="","",IFERROR(IF(INDEX([1]ListadoFichasDeProduccion!LQ:MB,MATCH(A1234,[1]ListadoFichasDeProduccion!A:A,0),K1234)=0,"",INDEX([1]ListadoFichasDeProduccion!LQ:MB,MATCH(A1234,[1]ListadoFichasDeProduccion!A:A,0),K1234)),""))</f>
        <v/>
      </c>
      <c r="K1234" s="11">
        <v>2</v>
      </c>
    </row>
    <row r="1235" spans="1:11" hidden="1" x14ac:dyDescent="0.3">
      <c r="A1235" s="11" t="s">
        <v>452</v>
      </c>
      <c r="B1235" t="str">
        <f>VLOOKUP(A1235,[1]ListadoFichasDeProduccion!$A$2:$LP$3000,328,FALSE)</f>
        <v>COMPLETADO</v>
      </c>
      <c r="C1235" s="11">
        <v>50</v>
      </c>
      <c r="D1235" t="s">
        <v>33</v>
      </c>
      <c r="E1235" t="s">
        <v>54</v>
      </c>
      <c r="G1235" s="9">
        <v>45971</v>
      </c>
      <c r="H1235" t="s">
        <v>44</v>
      </c>
      <c r="I1235" s="11">
        <v>20</v>
      </c>
      <c r="J1235" t="str">
        <f>IF(I1235="","",IFERROR(IF(INDEX([1]ListadoFichasDeProduccion!LQ:MB,MATCH(A1235,[1]ListadoFichasDeProduccion!A:A,0),K1235)=0,"",INDEX([1]ListadoFichasDeProduccion!LQ:MB,MATCH(A1235,[1]ListadoFichasDeProduccion!A:A,0),K1235)),""))</f>
        <v/>
      </c>
      <c r="K1235" s="11">
        <v>3</v>
      </c>
    </row>
    <row r="1236" spans="1:11" hidden="1" x14ac:dyDescent="0.3">
      <c r="A1236" s="11" t="s">
        <v>452</v>
      </c>
      <c r="B1236" t="str">
        <f>VLOOKUP(A1236,[1]ListadoFichasDeProduccion!$A$2:$LP$3000,328,FALSE)</f>
        <v>COMPLETADO</v>
      </c>
      <c r="C1236" s="11">
        <v>50</v>
      </c>
      <c r="D1236" t="s">
        <v>33</v>
      </c>
      <c r="E1236" t="s">
        <v>54</v>
      </c>
      <c r="G1236" s="9">
        <v>45971</v>
      </c>
      <c r="H1236" t="s">
        <v>31</v>
      </c>
      <c r="I1236" s="11">
        <v>10</v>
      </c>
      <c r="J1236" t="str">
        <f>IF(I1236="","",IFERROR(IF(INDEX([1]ListadoFichasDeProduccion!LQ:MB,MATCH(A1236,[1]ListadoFichasDeProduccion!A:A,0),K1236)=0,"",INDEX([1]ListadoFichasDeProduccion!LQ:MB,MATCH(A1236,[1]ListadoFichasDeProduccion!A:A,0),K1236)),""))</f>
        <v/>
      </c>
      <c r="K1236" s="11">
        <v>4</v>
      </c>
    </row>
    <row r="1237" spans="1:11" hidden="1" x14ac:dyDescent="0.3">
      <c r="A1237" s="11">
        <v>1645</v>
      </c>
      <c r="B1237" s="8" t="str">
        <f>VLOOKUP(A1237,[1]ListadoFichasDeProduccion!$A$2:$LP$3000,328,FALSE)</f>
        <v>COMPLETADO</v>
      </c>
      <c r="C1237" s="11">
        <v>6</v>
      </c>
      <c r="D1237" t="s">
        <v>33</v>
      </c>
      <c r="E1237" t="s">
        <v>90</v>
      </c>
      <c r="F1237" s="9"/>
      <c r="G1237" s="9">
        <v>45695</v>
      </c>
      <c r="H1237" t="s">
        <v>22</v>
      </c>
      <c r="I1237" s="11">
        <v>3</v>
      </c>
      <c r="J1237" t="str">
        <f>IF(I1237="","",IFERROR(IF(INDEX([1]ListadoFichasDeProduccion!LQ:MB,MATCH(A1237,[1]ListadoFichasDeProduccion!A:A,0),K1237)=0,"",INDEX([1]ListadoFichasDeProduccion!LQ:MB,MATCH(A1237,[1]ListadoFichasDeProduccion!A:A,0),K1237)),""))</f>
        <v/>
      </c>
      <c r="K1237" s="11">
        <v>1</v>
      </c>
    </row>
    <row r="1238" spans="1:11" hidden="1" x14ac:dyDescent="0.3">
      <c r="A1238" s="11">
        <v>1645</v>
      </c>
      <c r="B1238" s="8" t="str">
        <f>VLOOKUP(A1238,[1]ListadoFichasDeProduccion!$A$2:$LP$3000,328,FALSE)</f>
        <v>COMPLETADO</v>
      </c>
      <c r="C1238" s="11">
        <v>6</v>
      </c>
      <c r="D1238" t="s">
        <v>33</v>
      </c>
      <c r="E1238" t="s">
        <v>90</v>
      </c>
      <c r="F1238" s="9"/>
      <c r="G1238" s="9">
        <v>45695</v>
      </c>
      <c r="H1238" t="s">
        <v>91</v>
      </c>
      <c r="I1238" s="11">
        <v>3</v>
      </c>
      <c r="J1238" t="str">
        <f>IF(I1238="","",IFERROR(IF(INDEX([1]ListadoFichasDeProduccion!LQ:MB,MATCH(A1238,[1]ListadoFichasDeProduccion!A:A,0),K1238)=0,"",INDEX([1]ListadoFichasDeProduccion!LQ:MB,MATCH(A1238,[1]ListadoFichasDeProduccion!A:A,0),K1238)),""))</f>
        <v/>
      </c>
      <c r="K1238" s="11">
        <v>2</v>
      </c>
    </row>
    <row r="1239" spans="1:11" hidden="1" x14ac:dyDescent="0.3">
      <c r="A1239" s="11" t="s">
        <v>296</v>
      </c>
      <c r="B1239" t="str">
        <f>VLOOKUP(A1239,[1]ListadoFichasDeProduccion!$A$2:$LP$3000,328,FALSE)</f>
        <v>COMPLETADO</v>
      </c>
      <c r="C1239" s="11">
        <v>2</v>
      </c>
      <c r="D1239" t="s">
        <v>33</v>
      </c>
      <c r="E1239" t="s">
        <v>90</v>
      </c>
      <c r="G1239" s="9">
        <v>45911</v>
      </c>
      <c r="H1239" t="s">
        <v>39</v>
      </c>
      <c r="I1239" s="11">
        <v>2</v>
      </c>
      <c r="J1239" t="str">
        <f>IF(I1239="","",IFERROR(IF(INDEX([1]ListadoFichasDeProduccion!LQ:MB,MATCH(A1239,[1]ListadoFichasDeProduccion!A:A,0),K1239)=0,"",INDEX([1]ListadoFichasDeProduccion!LQ:MB,MATCH(A1239,[1]ListadoFichasDeProduccion!A:A,0),K1239)),""))</f>
        <v/>
      </c>
      <c r="K1239" s="11">
        <v>1</v>
      </c>
    </row>
    <row r="1240" spans="1:11" hidden="1" x14ac:dyDescent="0.3">
      <c r="A1240" s="11">
        <v>1602</v>
      </c>
      <c r="B1240" s="8" t="str">
        <f>VLOOKUP(A1240,[1]ListadoFichasDeProduccion!$A$2:$LP$3000,328,FALSE)</f>
        <v>COMPLETADO</v>
      </c>
      <c r="C1240" s="11">
        <v>70</v>
      </c>
      <c r="D1240" t="s">
        <v>33</v>
      </c>
      <c r="E1240" t="s">
        <v>55</v>
      </c>
      <c r="F1240" s="9"/>
      <c r="G1240" s="9">
        <v>45678</v>
      </c>
      <c r="H1240" t="s">
        <v>56</v>
      </c>
      <c r="I1240" s="11">
        <v>20</v>
      </c>
      <c r="J1240" t="str">
        <f>IF(I1240="","",IFERROR(IF(INDEX([1]ListadoFichasDeProduccion!LQ:MB,MATCH(A1240,[1]ListadoFichasDeProduccion!A:A,0),K1240)=0,"",INDEX([1]ListadoFichasDeProduccion!LQ:MB,MATCH(A1240,[1]ListadoFichasDeProduccion!A:A,0),K1240)),""))</f>
        <v/>
      </c>
      <c r="K1240" s="11">
        <v>1</v>
      </c>
    </row>
    <row r="1241" spans="1:11" hidden="1" x14ac:dyDescent="0.3">
      <c r="A1241" s="11">
        <v>1602</v>
      </c>
      <c r="B1241" s="8" t="str">
        <f>VLOOKUP(A1241,[1]ListadoFichasDeProduccion!$A$2:$LP$3000,328,FALSE)</f>
        <v>COMPLETADO</v>
      </c>
      <c r="C1241" s="11">
        <v>70</v>
      </c>
      <c r="D1241" t="s">
        <v>33</v>
      </c>
      <c r="E1241" t="s">
        <v>55</v>
      </c>
      <c r="F1241" s="9"/>
      <c r="G1241" s="9">
        <v>45678</v>
      </c>
      <c r="H1241" t="s">
        <v>50</v>
      </c>
      <c r="I1241" s="11">
        <v>15</v>
      </c>
      <c r="J1241" t="str">
        <f>IF(I1241="","",IFERROR(IF(INDEX([1]ListadoFichasDeProduccion!LQ:MB,MATCH(A1241,[1]ListadoFichasDeProduccion!A:A,0),K1241)=0,"",INDEX([1]ListadoFichasDeProduccion!LQ:MB,MATCH(A1241,[1]ListadoFichasDeProduccion!A:A,0),K1241)),""))</f>
        <v/>
      </c>
      <c r="K1241" s="11">
        <v>2</v>
      </c>
    </row>
    <row r="1242" spans="1:11" hidden="1" x14ac:dyDescent="0.3">
      <c r="A1242" s="11">
        <v>1602</v>
      </c>
      <c r="B1242" s="8" t="str">
        <f>VLOOKUP(A1242,[1]ListadoFichasDeProduccion!$A$2:$LP$3000,328,FALSE)</f>
        <v>COMPLETADO</v>
      </c>
      <c r="C1242" s="11">
        <v>70</v>
      </c>
      <c r="D1242" t="s">
        <v>33</v>
      </c>
      <c r="E1242" t="s">
        <v>55</v>
      </c>
      <c r="F1242" s="9"/>
      <c r="G1242" s="9">
        <v>45678</v>
      </c>
      <c r="H1242" t="s">
        <v>40</v>
      </c>
      <c r="I1242" s="11">
        <v>15</v>
      </c>
      <c r="J1242" t="str">
        <f>IF(I1242="","",IFERROR(IF(INDEX([1]ListadoFichasDeProduccion!LQ:MB,MATCH(A1242,[1]ListadoFichasDeProduccion!A:A,0),K1242)=0,"",INDEX([1]ListadoFichasDeProduccion!LQ:MB,MATCH(A1242,[1]ListadoFichasDeProduccion!A:A,0),K1242)),""))</f>
        <v/>
      </c>
      <c r="K1242" s="11">
        <v>3</v>
      </c>
    </row>
    <row r="1243" spans="1:11" hidden="1" x14ac:dyDescent="0.3">
      <c r="A1243" s="11">
        <v>1602</v>
      </c>
      <c r="B1243" s="8" t="str">
        <f>VLOOKUP(A1243,[1]ListadoFichasDeProduccion!$A$2:$LP$3000,328,FALSE)</f>
        <v>COMPLETADO</v>
      </c>
      <c r="C1243" s="11">
        <v>70</v>
      </c>
      <c r="D1243" t="s">
        <v>33</v>
      </c>
      <c r="E1243" t="s">
        <v>55</v>
      </c>
      <c r="F1243" s="9"/>
      <c r="G1243" s="9">
        <v>45678</v>
      </c>
      <c r="H1243" t="s">
        <v>31</v>
      </c>
      <c r="I1243" s="11">
        <v>20</v>
      </c>
      <c r="J1243" t="str">
        <f>IF(I1243="","",IFERROR(IF(INDEX([1]ListadoFichasDeProduccion!LQ:MB,MATCH(A1243,[1]ListadoFichasDeProduccion!A:A,0),K1243)=0,"",INDEX([1]ListadoFichasDeProduccion!LQ:MB,MATCH(A1243,[1]ListadoFichasDeProduccion!A:A,0),K1243)),""))</f>
        <v/>
      </c>
      <c r="K1243" s="11">
        <v>4</v>
      </c>
    </row>
    <row r="1244" spans="1:11" hidden="1" x14ac:dyDescent="0.3">
      <c r="A1244" s="11">
        <v>1739</v>
      </c>
      <c r="B1244" s="8" t="str">
        <f>VLOOKUP(A1244,[1]ListadoFichasDeProduccion!$A$2:$LP$3000,328,FALSE)</f>
        <v>COMPLETADO</v>
      </c>
      <c r="C1244" s="11">
        <v>24</v>
      </c>
      <c r="D1244" t="s">
        <v>33</v>
      </c>
      <c r="E1244" t="s">
        <v>55</v>
      </c>
      <c r="G1244" s="9">
        <v>45755</v>
      </c>
      <c r="H1244" t="s">
        <v>27</v>
      </c>
      <c r="I1244" s="11">
        <v>18</v>
      </c>
      <c r="J1244" t="str">
        <f>IF(I1244="","",IFERROR(IF(INDEX([1]ListadoFichasDeProduccion!LQ:MB,MATCH(A1244,[1]ListadoFichasDeProduccion!A:A,0),K1244)=0,"",INDEX([1]ListadoFichasDeProduccion!LQ:MB,MATCH(A1244,[1]ListadoFichasDeProduccion!A:A,0),K1244)),""))</f>
        <v/>
      </c>
      <c r="K1244" s="11">
        <v>1</v>
      </c>
    </row>
    <row r="1245" spans="1:11" hidden="1" x14ac:dyDescent="0.3">
      <c r="A1245" s="11">
        <v>1739</v>
      </c>
      <c r="B1245" s="8" t="str">
        <f>VLOOKUP(A1245,[1]ListadoFichasDeProduccion!$A$2:$LP$3000,328,FALSE)</f>
        <v>COMPLETADO</v>
      </c>
      <c r="C1245" s="11">
        <v>24</v>
      </c>
      <c r="D1245" t="s">
        <v>33</v>
      </c>
      <c r="E1245" t="s">
        <v>55</v>
      </c>
      <c r="G1245" s="9">
        <v>45755</v>
      </c>
      <c r="H1245" t="s">
        <v>50</v>
      </c>
      <c r="I1245" s="11">
        <v>6</v>
      </c>
      <c r="J1245" t="str">
        <f>IF(I1245="","",IFERROR(IF(INDEX([1]ListadoFichasDeProduccion!LQ:MB,MATCH(A1245,[1]ListadoFichasDeProduccion!A:A,0),K1245)=0,"",INDEX([1]ListadoFichasDeProduccion!LQ:MB,MATCH(A1245,[1]ListadoFichasDeProduccion!A:A,0),K1245)),""))</f>
        <v/>
      </c>
      <c r="K1245" s="11">
        <v>2</v>
      </c>
    </row>
    <row r="1246" spans="1:11" hidden="1" x14ac:dyDescent="0.3">
      <c r="A1246" s="11">
        <v>1603</v>
      </c>
      <c r="B1246" s="8" t="str">
        <f>VLOOKUP(A1246,[1]ListadoFichasDeProduccion!$A$2:$LP$3000,328,FALSE)</f>
        <v>COMPLETADO</v>
      </c>
      <c r="C1246" s="11">
        <v>64</v>
      </c>
      <c r="D1246" t="s">
        <v>33</v>
      </c>
      <c r="E1246" t="s">
        <v>57</v>
      </c>
      <c r="F1246" s="9"/>
      <c r="G1246" s="9">
        <v>45678</v>
      </c>
      <c r="H1246" s="12" t="s">
        <v>27</v>
      </c>
      <c r="I1246" s="11">
        <v>20</v>
      </c>
      <c r="J1246" t="str">
        <f>IF(I1246="","",IFERROR(IF(INDEX([1]ListadoFichasDeProduccion!LQ:MB,MATCH(A1246,[1]ListadoFichasDeProduccion!A:A,0),K1246)=0,"",INDEX([1]ListadoFichasDeProduccion!LQ:MB,MATCH(A1246,[1]ListadoFichasDeProduccion!A:A,0),K1246)),""))</f>
        <v/>
      </c>
      <c r="K1246" s="11">
        <v>1</v>
      </c>
    </row>
    <row r="1247" spans="1:11" hidden="1" x14ac:dyDescent="0.3">
      <c r="A1247" s="11">
        <v>1603</v>
      </c>
      <c r="B1247" s="8" t="str">
        <f>VLOOKUP(A1247,[1]ListadoFichasDeProduccion!$A$2:$LP$3000,328,FALSE)</f>
        <v>COMPLETADO</v>
      </c>
      <c r="C1247" s="11">
        <v>64</v>
      </c>
      <c r="D1247" t="s">
        <v>33</v>
      </c>
      <c r="E1247" t="s">
        <v>57</v>
      </c>
      <c r="F1247" s="9"/>
      <c r="G1247" s="9">
        <v>45678</v>
      </c>
      <c r="H1247" t="s">
        <v>58</v>
      </c>
      <c r="I1247" s="11">
        <v>20</v>
      </c>
      <c r="J1247" t="str">
        <f>IF(I1247="","",IFERROR(IF(INDEX([1]ListadoFichasDeProduccion!LQ:MB,MATCH(A1247,[1]ListadoFichasDeProduccion!A:A,0),K1247)=0,"",INDEX([1]ListadoFichasDeProduccion!LQ:MB,MATCH(A1247,[1]ListadoFichasDeProduccion!A:A,0),K1247)),""))</f>
        <v/>
      </c>
      <c r="K1247" s="11">
        <v>2</v>
      </c>
    </row>
    <row r="1248" spans="1:11" hidden="1" x14ac:dyDescent="0.3">
      <c r="A1248" s="11">
        <v>1603</v>
      </c>
      <c r="B1248" s="8" t="str">
        <f>VLOOKUP(A1248,[1]ListadoFichasDeProduccion!$A$2:$LP$3000,328,FALSE)</f>
        <v>COMPLETADO</v>
      </c>
      <c r="C1248" s="11">
        <v>64</v>
      </c>
      <c r="D1248" t="s">
        <v>33</v>
      </c>
      <c r="E1248" t="s">
        <v>57</v>
      </c>
      <c r="F1248" s="9"/>
      <c r="G1248" s="9">
        <v>45678</v>
      </c>
      <c r="H1248" t="s">
        <v>32</v>
      </c>
      <c r="I1248" s="11">
        <v>12</v>
      </c>
      <c r="J1248" t="str">
        <f>IF(I1248="","",IFERROR(IF(INDEX([1]ListadoFichasDeProduccion!LQ:MB,MATCH(A1248,[1]ListadoFichasDeProduccion!A:A,0),K1248)=0,"",INDEX([1]ListadoFichasDeProduccion!LQ:MB,MATCH(A1248,[1]ListadoFichasDeProduccion!A:A,0),K1248)),""))</f>
        <v/>
      </c>
      <c r="K1248" s="11">
        <v>3</v>
      </c>
    </row>
    <row r="1249" spans="1:11" hidden="1" x14ac:dyDescent="0.3">
      <c r="A1249" s="11">
        <v>1603</v>
      </c>
      <c r="B1249" s="8" t="str">
        <f>VLOOKUP(A1249,[1]ListadoFichasDeProduccion!$A$2:$LP$3000,328,FALSE)</f>
        <v>COMPLETADO</v>
      </c>
      <c r="C1249" s="11">
        <v>64</v>
      </c>
      <c r="D1249" t="s">
        <v>33</v>
      </c>
      <c r="E1249" t="s">
        <v>57</v>
      </c>
      <c r="F1249" s="9"/>
      <c r="G1249" s="9">
        <v>45678</v>
      </c>
      <c r="H1249" t="s">
        <v>36</v>
      </c>
      <c r="I1249" s="11">
        <v>12</v>
      </c>
      <c r="J1249" t="str">
        <f>IF(I1249="","",IFERROR(IF(INDEX([1]ListadoFichasDeProduccion!LQ:MB,MATCH(A1249,[1]ListadoFichasDeProduccion!A:A,0),K1249)=0,"",INDEX([1]ListadoFichasDeProduccion!LQ:MB,MATCH(A1249,[1]ListadoFichasDeProduccion!A:A,0),K1249)),""))</f>
        <v/>
      </c>
      <c r="K1249" s="11">
        <v>4</v>
      </c>
    </row>
    <row r="1250" spans="1:11" hidden="1" x14ac:dyDescent="0.3">
      <c r="A1250" s="11">
        <v>1740</v>
      </c>
      <c r="B1250" s="8" t="str">
        <f>VLOOKUP(A1250,[1]ListadoFichasDeProduccion!$A$2:$LP$3000,328,FALSE)</f>
        <v>COMPLETADO</v>
      </c>
      <c r="C1250" s="11">
        <v>29</v>
      </c>
      <c r="D1250" t="s">
        <v>33</v>
      </c>
      <c r="E1250" t="s">
        <v>57</v>
      </c>
      <c r="G1250" s="9">
        <v>45755</v>
      </c>
      <c r="H1250" t="s">
        <v>138</v>
      </c>
      <c r="I1250" s="11">
        <v>9</v>
      </c>
      <c r="J1250" t="str">
        <f>IF(I1250="","",IFERROR(IF(INDEX([1]ListadoFichasDeProduccion!LQ:MB,MATCH(A1250,[1]ListadoFichasDeProduccion!A:A,0),K1250)=0,"",INDEX([1]ListadoFichasDeProduccion!LQ:MB,MATCH(A1250,[1]ListadoFichasDeProduccion!A:A,0),K1250)),""))</f>
        <v/>
      </c>
      <c r="K1250" s="11">
        <v>1</v>
      </c>
    </row>
    <row r="1251" spans="1:11" hidden="1" x14ac:dyDescent="0.3">
      <c r="A1251" s="11">
        <v>1740</v>
      </c>
      <c r="B1251" s="8" t="str">
        <f>VLOOKUP(A1251,[1]ListadoFichasDeProduccion!$A$2:$LP$3000,328,FALSE)</f>
        <v>COMPLETADO</v>
      </c>
      <c r="C1251" s="11">
        <v>29</v>
      </c>
      <c r="D1251" t="s">
        <v>33</v>
      </c>
      <c r="E1251" t="s">
        <v>57</v>
      </c>
      <c r="G1251" s="9">
        <v>45755</v>
      </c>
      <c r="H1251" t="s">
        <v>27</v>
      </c>
      <c r="I1251" s="11">
        <v>20</v>
      </c>
      <c r="J1251" t="str">
        <f>IF(I1251="","",IFERROR(IF(INDEX([1]ListadoFichasDeProduccion!LQ:MB,MATCH(A1251,[1]ListadoFichasDeProduccion!A:A,0),K1251)=0,"",INDEX([1]ListadoFichasDeProduccion!LQ:MB,MATCH(A1251,[1]ListadoFichasDeProduccion!A:A,0),K1251)),""))</f>
        <v/>
      </c>
      <c r="K1251" s="11">
        <v>2</v>
      </c>
    </row>
    <row r="1252" spans="1:11" hidden="1" x14ac:dyDescent="0.3">
      <c r="A1252" s="11">
        <v>1776</v>
      </c>
      <c r="B1252" s="8" t="str">
        <f>VLOOKUP(A1252,[1]ListadoFichasDeProduccion!$A$2:$LP$3000,328,FALSE)</f>
        <v>COMPLETADO</v>
      </c>
      <c r="C1252" s="11">
        <v>36</v>
      </c>
      <c r="D1252" t="s">
        <v>33</v>
      </c>
      <c r="E1252" t="s">
        <v>57</v>
      </c>
      <c r="G1252" s="9">
        <v>45779</v>
      </c>
      <c r="H1252" t="s">
        <v>138</v>
      </c>
      <c r="I1252" s="11">
        <v>6</v>
      </c>
      <c r="J1252" t="str">
        <f>IF(I1252="","",IFERROR(IF(INDEX([1]ListadoFichasDeProduccion!LQ:MB,MATCH(A1252,[1]ListadoFichasDeProduccion!A:A,0),K1252)=0,"",INDEX([1]ListadoFichasDeProduccion!LQ:MB,MATCH(A1252,[1]ListadoFichasDeProduccion!A:A,0),K1252)),""))</f>
        <v/>
      </c>
      <c r="K1252" s="11">
        <v>1</v>
      </c>
    </row>
    <row r="1253" spans="1:11" hidden="1" x14ac:dyDescent="0.3">
      <c r="A1253" s="11">
        <v>1776</v>
      </c>
      <c r="B1253" s="8" t="str">
        <f>VLOOKUP(A1253,[1]ListadoFichasDeProduccion!$A$2:$LP$3000,328,FALSE)</f>
        <v>COMPLETADO</v>
      </c>
      <c r="C1253" s="11">
        <v>36</v>
      </c>
      <c r="D1253" t="s">
        <v>33</v>
      </c>
      <c r="E1253" t="s">
        <v>57</v>
      </c>
      <c r="G1253" s="9">
        <v>45779</v>
      </c>
      <c r="H1253" t="s">
        <v>27</v>
      </c>
      <c r="I1253" s="11">
        <v>6</v>
      </c>
      <c r="J1253" t="str">
        <f>IF(I1253="","",IFERROR(IF(INDEX([1]ListadoFichasDeProduccion!LQ:MB,MATCH(A1253,[1]ListadoFichasDeProduccion!A:A,0),K1253)=0,"",INDEX([1]ListadoFichasDeProduccion!LQ:MB,MATCH(A1253,[1]ListadoFichasDeProduccion!A:A,0),K1253)),""))</f>
        <v/>
      </c>
      <c r="K1253" s="11">
        <v>2</v>
      </c>
    </row>
    <row r="1254" spans="1:11" hidden="1" x14ac:dyDescent="0.3">
      <c r="A1254" s="11">
        <v>1776</v>
      </c>
      <c r="B1254" s="8" t="str">
        <f>VLOOKUP(A1254,[1]ListadoFichasDeProduccion!$A$2:$LP$3000,328,FALSE)</f>
        <v>COMPLETADO</v>
      </c>
      <c r="C1254" s="11">
        <v>36</v>
      </c>
      <c r="D1254" t="s">
        <v>33</v>
      </c>
      <c r="E1254" t="s">
        <v>57</v>
      </c>
      <c r="G1254" s="9">
        <v>45779</v>
      </c>
      <c r="H1254" t="s">
        <v>44</v>
      </c>
      <c r="I1254" s="11">
        <v>12</v>
      </c>
      <c r="J1254" t="str">
        <f>IF(I1254="","",IFERROR(IF(INDEX([1]ListadoFichasDeProduccion!LQ:MB,MATCH(A1254,[1]ListadoFichasDeProduccion!A:A,0),K1254)=0,"",INDEX([1]ListadoFichasDeProduccion!LQ:MB,MATCH(A1254,[1]ListadoFichasDeProduccion!A:A,0),K1254)),""))</f>
        <v/>
      </c>
      <c r="K1254" s="11">
        <v>3</v>
      </c>
    </row>
    <row r="1255" spans="1:11" hidden="1" x14ac:dyDescent="0.3">
      <c r="A1255" s="11">
        <v>1776</v>
      </c>
      <c r="B1255" s="8" t="str">
        <f>VLOOKUP(A1255,[1]ListadoFichasDeProduccion!$A$2:$LP$3000,328,FALSE)</f>
        <v>COMPLETADO</v>
      </c>
      <c r="C1255" s="11">
        <v>36</v>
      </c>
      <c r="D1255" t="s">
        <v>33</v>
      </c>
      <c r="E1255" t="s">
        <v>57</v>
      </c>
      <c r="G1255" s="9">
        <v>45779</v>
      </c>
      <c r="H1255" t="s">
        <v>26</v>
      </c>
      <c r="I1255" s="11">
        <v>12</v>
      </c>
      <c r="J1255" t="str">
        <f>IF(I1255="","",IFERROR(IF(INDEX([1]ListadoFichasDeProduccion!LQ:MB,MATCH(A1255,[1]ListadoFichasDeProduccion!A:A,0),K1255)=0,"",INDEX([1]ListadoFichasDeProduccion!LQ:MB,MATCH(A1255,[1]ListadoFichasDeProduccion!A:A,0),K1255)),""))</f>
        <v/>
      </c>
      <c r="K1255" s="11">
        <v>4</v>
      </c>
    </row>
    <row r="1256" spans="1:11" hidden="1" x14ac:dyDescent="0.3">
      <c r="A1256" s="11">
        <v>1788</v>
      </c>
      <c r="B1256" s="8" t="str">
        <f>VLOOKUP(A1256,[1]ListadoFichasDeProduccion!$A$2:$LP$3000,328,FALSE)</f>
        <v>COMPLETADO</v>
      </c>
      <c r="C1256" s="11">
        <v>45</v>
      </c>
      <c r="D1256" t="s">
        <v>33</v>
      </c>
      <c r="E1256" t="s">
        <v>57</v>
      </c>
      <c r="G1256" s="9">
        <v>45938</v>
      </c>
      <c r="H1256" t="s">
        <v>27</v>
      </c>
      <c r="I1256" s="11">
        <v>12</v>
      </c>
      <c r="J1256" t="str">
        <f>IF(I1256="","",IFERROR(IF(INDEX([1]ListadoFichasDeProduccion!LQ:MB,MATCH(A1256,[1]ListadoFichasDeProduccion!A:A,0),K1256)=0,"",INDEX([1]ListadoFichasDeProduccion!LQ:MB,MATCH(A1256,[1]ListadoFichasDeProduccion!A:A,0),K1256)),""))</f>
        <v/>
      </c>
      <c r="K1256" s="11">
        <v>1</v>
      </c>
    </row>
    <row r="1257" spans="1:11" hidden="1" x14ac:dyDescent="0.3">
      <c r="A1257" s="11">
        <v>1788</v>
      </c>
      <c r="B1257" s="8" t="str">
        <f>VLOOKUP(A1257,[1]ListadoFichasDeProduccion!$A$2:$LP$3000,328,FALSE)</f>
        <v>COMPLETADO</v>
      </c>
      <c r="C1257" s="11">
        <v>45</v>
      </c>
      <c r="D1257" t="s">
        <v>33</v>
      </c>
      <c r="E1257" t="s">
        <v>57</v>
      </c>
      <c r="G1257" s="9">
        <v>45938</v>
      </c>
      <c r="H1257" t="s">
        <v>44</v>
      </c>
      <c r="I1257" s="11">
        <v>12</v>
      </c>
      <c r="J1257" t="str">
        <f>IF(I1257="","",IFERROR(IF(INDEX([1]ListadoFichasDeProduccion!LQ:MB,MATCH(A1257,[1]ListadoFichasDeProduccion!A:A,0),K1257)=0,"",INDEX([1]ListadoFichasDeProduccion!LQ:MB,MATCH(A1257,[1]ListadoFichasDeProduccion!A:A,0),K1257)),""))</f>
        <v/>
      </c>
      <c r="K1257" s="11">
        <v>2</v>
      </c>
    </row>
    <row r="1258" spans="1:11" hidden="1" x14ac:dyDescent="0.3">
      <c r="A1258" s="11">
        <v>1788</v>
      </c>
      <c r="B1258" s="8" t="str">
        <f>VLOOKUP(A1258,[1]ListadoFichasDeProduccion!$A$2:$LP$3000,328,FALSE)</f>
        <v>COMPLETADO</v>
      </c>
      <c r="C1258" s="11">
        <v>45</v>
      </c>
      <c r="D1258" t="s">
        <v>33</v>
      </c>
      <c r="E1258" t="s">
        <v>57</v>
      </c>
      <c r="G1258" s="9">
        <v>45938</v>
      </c>
      <c r="H1258" t="s">
        <v>26</v>
      </c>
      <c r="I1258" s="11">
        <v>9</v>
      </c>
      <c r="J1258" t="str">
        <f>IF(I1258="","",IFERROR(IF(INDEX([1]ListadoFichasDeProduccion!LQ:MB,MATCH(A1258,[1]ListadoFichasDeProduccion!A:A,0),K1258)=0,"",INDEX([1]ListadoFichasDeProduccion!LQ:MB,MATCH(A1258,[1]ListadoFichasDeProduccion!A:A,0),K1258)),""))</f>
        <v/>
      </c>
      <c r="K1258" s="11">
        <v>3</v>
      </c>
    </row>
    <row r="1259" spans="1:11" hidden="1" x14ac:dyDescent="0.3">
      <c r="A1259" s="11">
        <v>1788</v>
      </c>
      <c r="B1259" s="8" t="str">
        <f>VLOOKUP(A1259,[1]ListadoFichasDeProduccion!$A$2:$LP$3000,328,FALSE)</f>
        <v>COMPLETADO</v>
      </c>
      <c r="C1259" s="11">
        <v>45</v>
      </c>
      <c r="D1259" t="s">
        <v>33</v>
      </c>
      <c r="E1259" t="s">
        <v>57</v>
      </c>
      <c r="G1259" s="9">
        <v>45938</v>
      </c>
      <c r="H1259" t="s">
        <v>138</v>
      </c>
      <c r="I1259" s="11">
        <v>12</v>
      </c>
      <c r="J1259" t="str">
        <f>IF(I1259="","",IFERROR(IF(INDEX([1]ListadoFichasDeProduccion!LQ:MB,MATCH(A1259,[1]ListadoFichasDeProduccion!A:A,0),K1259)=0,"",INDEX([1]ListadoFichasDeProduccion!LQ:MB,MATCH(A1259,[1]ListadoFichasDeProduccion!A:A,0),K1259)),""))</f>
        <v/>
      </c>
      <c r="K1259" s="11">
        <v>4</v>
      </c>
    </row>
    <row r="1260" spans="1:11" hidden="1" x14ac:dyDescent="0.3">
      <c r="A1260" s="11">
        <v>1867</v>
      </c>
      <c r="B1260" s="8" t="str">
        <f>VLOOKUP(A1260,[1]ListadoFichasDeProduccion!$A$2:$LP$3000,328,FALSE)</f>
        <v>COMPLETADO</v>
      </c>
      <c r="C1260" s="11">
        <v>12</v>
      </c>
      <c r="D1260" t="s">
        <v>33</v>
      </c>
      <c r="E1260" t="s">
        <v>57</v>
      </c>
      <c r="G1260" s="9">
        <v>45838</v>
      </c>
      <c r="H1260" t="s">
        <v>27</v>
      </c>
      <c r="I1260" s="11">
        <v>12</v>
      </c>
      <c r="J1260" t="str">
        <f>IF(I1260="","",IFERROR(IF(INDEX([1]ListadoFichasDeProduccion!LQ:MB,MATCH(A1260,[1]ListadoFichasDeProduccion!A:A,0),K1260)=0,"",INDEX([1]ListadoFichasDeProduccion!LQ:MB,MATCH(A1260,[1]ListadoFichasDeProduccion!A:A,0),K1260)),""))</f>
        <v/>
      </c>
      <c r="K1260" s="11">
        <v>1</v>
      </c>
    </row>
    <row r="1261" spans="1:11" hidden="1" x14ac:dyDescent="0.3">
      <c r="A1261" s="11">
        <v>1926</v>
      </c>
      <c r="B1261" t="str">
        <f>VLOOKUP(A1261,[1]ListadoFichasDeProduccion!$A$2:$LP$3000,328,FALSE)</f>
        <v>COMPLETADO</v>
      </c>
      <c r="C1261" s="11">
        <v>12</v>
      </c>
      <c r="D1261" t="s">
        <v>33</v>
      </c>
      <c r="E1261" t="s">
        <v>57</v>
      </c>
      <c r="G1261" s="9">
        <v>45877</v>
      </c>
      <c r="H1261" t="s">
        <v>22</v>
      </c>
      <c r="I1261" s="11">
        <v>12</v>
      </c>
      <c r="J1261" t="str">
        <f>IF(I1261="","",IFERROR(IF(INDEX([1]ListadoFichasDeProduccion!LQ:MB,MATCH(A1261,[1]ListadoFichasDeProduccion!A:A,0),K1261)=0,"",INDEX([1]ListadoFichasDeProduccion!LQ:MB,MATCH(A1261,[1]ListadoFichasDeProduccion!A:A,0),K1261)),""))</f>
        <v/>
      </c>
      <c r="K1261" s="11">
        <v>1</v>
      </c>
    </row>
    <row r="1262" spans="1:11" hidden="1" x14ac:dyDescent="0.3">
      <c r="A1262" s="11">
        <v>18672</v>
      </c>
      <c r="B1262" t="str">
        <f>VLOOKUP(A1262,[1]ListadoFichasDeProduccion!$A$2:$LP$3000,328,FALSE)</f>
        <v>COMPLETADO</v>
      </c>
      <c r="C1262" s="11">
        <v>6</v>
      </c>
      <c r="D1262" t="s">
        <v>33</v>
      </c>
      <c r="E1262" t="s">
        <v>57</v>
      </c>
      <c r="G1262" s="9">
        <v>45894</v>
      </c>
      <c r="H1262" t="s">
        <v>26</v>
      </c>
      <c r="I1262" s="11">
        <v>6</v>
      </c>
      <c r="J1262" t="str">
        <f>IF(I1262="","",IFERROR(IF(INDEX([1]ListadoFichasDeProduccion!LQ:MB,MATCH(A1262,[1]ListadoFichasDeProduccion!A:A,0),K1262)=0,"",INDEX([1]ListadoFichasDeProduccion!LQ:MB,MATCH(A1262,[1]ListadoFichasDeProduccion!A:A,0),K1262)),""))</f>
        <v/>
      </c>
      <c r="K1262" s="11">
        <v>1</v>
      </c>
    </row>
    <row r="1263" spans="1:11" x14ac:dyDescent="0.3">
      <c r="A1263" s="11">
        <v>1948</v>
      </c>
      <c r="B1263" t="str">
        <f>VLOOKUP(A1263,[1]ListadoFichasDeProduccion!$A$2:$LP$3000,328,FALSE)</f>
        <v>NO COMENZADO</v>
      </c>
      <c r="C1263" s="11">
        <v>29</v>
      </c>
      <c r="D1263" t="s">
        <v>33</v>
      </c>
      <c r="E1263" t="s">
        <v>57</v>
      </c>
      <c r="H1263" t="s">
        <v>27</v>
      </c>
      <c r="I1263" s="11">
        <v>20</v>
      </c>
      <c r="J1263" t="str">
        <f>IF(I1263="","",IFERROR(IF(INDEX([1]ListadoFichasDeProduccion!LQ:MB,MATCH(A1263,[1]ListadoFichasDeProduccion!A:A,0),K1263)=0,"",INDEX([1]ListadoFichasDeProduccion!LQ:MB,MATCH(A1263,[1]ListadoFichasDeProduccion!A:A,0),K1263)),""))</f>
        <v/>
      </c>
      <c r="K1263" s="11">
        <v>1</v>
      </c>
    </row>
    <row r="1264" spans="1:11" x14ac:dyDescent="0.3">
      <c r="A1264" s="11">
        <v>1948</v>
      </c>
      <c r="B1264" t="str">
        <f>VLOOKUP(A1264,[1]ListadoFichasDeProduccion!$A$2:$LP$3000,328,FALSE)</f>
        <v>NO COMENZADO</v>
      </c>
      <c r="C1264" s="11">
        <v>29</v>
      </c>
      <c r="D1264" t="s">
        <v>33</v>
      </c>
      <c r="E1264" t="s">
        <v>57</v>
      </c>
      <c r="H1264" t="s">
        <v>26</v>
      </c>
      <c r="I1264" s="11">
        <v>9</v>
      </c>
      <c r="J1264" t="str">
        <f>IF(I1264="","",IFERROR(IF(INDEX([1]ListadoFichasDeProduccion!LQ:MB,MATCH(A1264,[1]ListadoFichasDeProduccion!A:A,0),K1264)=0,"",INDEX([1]ListadoFichasDeProduccion!LQ:MB,MATCH(A1264,[1]ListadoFichasDeProduccion!A:A,0),K1264)),""))</f>
        <v/>
      </c>
      <c r="K1264" s="11">
        <v>2</v>
      </c>
    </row>
    <row r="1265" spans="1:11" hidden="1" x14ac:dyDescent="0.3">
      <c r="A1265" s="11" t="s">
        <v>454</v>
      </c>
      <c r="B1265" t="str">
        <f>VLOOKUP(A1265,[1]ListadoFichasDeProduccion!$A$2:$LP$3000,328,FALSE)</f>
        <v>COMPLETADO</v>
      </c>
      <c r="C1265" s="11">
        <v>36</v>
      </c>
      <c r="D1265" t="s">
        <v>33</v>
      </c>
      <c r="E1265" t="s">
        <v>57</v>
      </c>
      <c r="G1265" s="9">
        <v>45964</v>
      </c>
      <c r="H1265" t="s">
        <v>137</v>
      </c>
      <c r="I1265" s="11">
        <v>12</v>
      </c>
      <c r="J1265" t="str">
        <f>IF(I1265="","",IFERROR(IF(INDEX([1]ListadoFichasDeProduccion!LQ:MB,MATCH(A1265,[1]ListadoFichasDeProduccion!A:A,0),K1265)=0,"",INDEX([1]ListadoFichasDeProduccion!LQ:MB,MATCH(A1265,[1]ListadoFichasDeProduccion!A:A,0),K1265)),""))</f>
        <v/>
      </c>
      <c r="K1265" s="11">
        <v>1</v>
      </c>
    </row>
    <row r="1266" spans="1:11" hidden="1" x14ac:dyDescent="0.3">
      <c r="A1266" s="11" t="s">
        <v>454</v>
      </c>
      <c r="B1266" t="str">
        <f>VLOOKUP(A1266,[1]ListadoFichasDeProduccion!$A$2:$LP$3000,328,FALSE)</f>
        <v>COMPLETADO</v>
      </c>
      <c r="C1266" s="11">
        <v>36</v>
      </c>
      <c r="D1266" t="s">
        <v>33</v>
      </c>
      <c r="E1266" t="s">
        <v>57</v>
      </c>
      <c r="G1266" s="9">
        <v>45964</v>
      </c>
      <c r="H1266" t="s">
        <v>138</v>
      </c>
      <c r="I1266" s="11">
        <v>10</v>
      </c>
      <c r="J1266" t="str">
        <f>IF(I1266="","",IFERROR(IF(INDEX([1]ListadoFichasDeProduccion!LQ:MB,MATCH(A1266,[1]ListadoFichasDeProduccion!A:A,0),K1266)=0,"",INDEX([1]ListadoFichasDeProduccion!LQ:MB,MATCH(A1266,[1]ListadoFichasDeProduccion!A:A,0),K1266)),""))</f>
        <v/>
      </c>
      <c r="K1266" s="11">
        <v>2</v>
      </c>
    </row>
    <row r="1267" spans="1:11" hidden="1" x14ac:dyDescent="0.3">
      <c r="A1267" s="11" t="s">
        <v>454</v>
      </c>
      <c r="B1267" t="str">
        <f>VLOOKUP(A1267,[1]ListadoFichasDeProduccion!$A$2:$LP$3000,328,FALSE)</f>
        <v>COMPLETADO</v>
      </c>
      <c r="C1267" s="11">
        <v>36</v>
      </c>
      <c r="D1267" t="s">
        <v>33</v>
      </c>
      <c r="E1267" t="s">
        <v>57</v>
      </c>
      <c r="G1267" s="9">
        <v>45964</v>
      </c>
      <c r="H1267" t="s">
        <v>44</v>
      </c>
      <c r="I1267" s="11">
        <v>14</v>
      </c>
      <c r="J1267" t="str">
        <f>IF(I1267="","",IFERROR(IF(INDEX([1]ListadoFichasDeProduccion!LQ:MB,MATCH(A1267,[1]ListadoFichasDeProduccion!A:A,0),K1267)=0,"",INDEX([1]ListadoFichasDeProduccion!LQ:MB,MATCH(A1267,[1]ListadoFichasDeProduccion!A:A,0),K1267)),""))</f>
        <v/>
      </c>
      <c r="K1267" s="11">
        <v>3</v>
      </c>
    </row>
    <row r="1268" spans="1:11" x14ac:dyDescent="0.3">
      <c r="A1268" s="11" t="s">
        <v>515</v>
      </c>
      <c r="B1268" t="str">
        <f>VLOOKUP(A1268,[1]ListadoFichasDeProduccion!$A$2:$LP$3000,328,FALSE)</f>
        <v>NO COMENZADO</v>
      </c>
      <c r="C1268" s="11">
        <v>12</v>
      </c>
      <c r="D1268" t="s">
        <v>33</v>
      </c>
      <c r="E1268" t="s">
        <v>57</v>
      </c>
      <c r="H1268" t="s">
        <v>138</v>
      </c>
      <c r="I1268" s="11">
        <v>12</v>
      </c>
      <c r="J1268" t="str">
        <f>IF(I1268="","",IFERROR(IF(INDEX([1]ListadoFichasDeProduccion!LQ:MB,MATCH(A1268,[1]ListadoFichasDeProduccion!A:A,0),K1268)=0,"",INDEX([1]ListadoFichasDeProduccion!LQ:MB,MATCH(A1268,[1]ListadoFichasDeProduccion!A:A,0),K1268)),""))</f>
        <v/>
      </c>
      <c r="K1268" s="11">
        <v>1</v>
      </c>
    </row>
    <row r="1269" spans="1:11" hidden="1" x14ac:dyDescent="0.3">
      <c r="A1269" s="11" t="s">
        <v>516</v>
      </c>
      <c r="B1269" t="str">
        <f>VLOOKUP(A1269,[1]ListadoFichasDeProduccion!$A$2:$LP$3000,328,FALSE)</f>
        <v>COMPLETADO</v>
      </c>
      <c r="C1269" s="11">
        <v>6</v>
      </c>
      <c r="D1269" t="s">
        <v>33</v>
      </c>
      <c r="E1269" t="s">
        <v>57</v>
      </c>
      <c r="G1269" s="9">
        <v>45894</v>
      </c>
      <c r="H1269" t="s">
        <v>26</v>
      </c>
      <c r="I1269" s="11">
        <v>6</v>
      </c>
      <c r="J1269" t="str">
        <f>IF(I1269="","",IFERROR(IF(INDEX([1]ListadoFichasDeProduccion!LQ:MB,MATCH(A1269,[1]ListadoFichasDeProduccion!A:A,0),K1269)=0,"",INDEX([1]ListadoFichasDeProduccion!LQ:MB,MATCH(A1269,[1]ListadoFichasDeProduccion!A:A,0),K1269)),""))</f>
        <v/>
      </c>
      <c r="K1269" s="11">
        <v>1</v>
      </c>
    </row>
    <row r="1270" spans="1:11" hidden="1" x14ac:dyDescent="0.3">
      <c r="A1270" s="11">
        <v>1647</v>
      </c>
      <c r="B1270" s="8" t="str">
        <f>VLOOKUP(A1270,[1]ListadoFichasDeProduccion!$A$2:$LP$3000,328,FALSE)</f>
        <v>COMPLETADO</v>
      </c>
      <c r="C1270" s="11">
        <v>27</v>
      </c>
      <c r="D1270" t="s">
        <v>33</v>
      </c>
      <c r="E1270" t="s">
        <v>93</v>
      </c>
      <c r="F1270" s="9"/>
      <c r="G1270" s="9">
        <v>45722</v>
      </c>
      <c r="H1270" t="s">
        <v>28</v>
      </c>
      <c r="I1270" s="11">
        <v>4</v>
      </c>
      <c r="J1270" t="str">
        <f>IF(I1270="","",IFERROR(IF(INDEX([1]ListadoFichasDeProduccion!LQ:MB,MATCH(A1270,[1]ListadoFichasDeProduccion!A:A,0),K1270)=0,"",INDEX([1]ListadoFichasDeProduccion!LQ:MB,MATCH(A1270,[1]ListadoFichasDeProduccion!A:A,0),K1270)),""))</f>
        <v/>
      </c>
      <c r="K1270" s="11">
        <v>1</v>
      </c>
    </row>
    <row r="1271" spans="1:11" hidden="1" x14ac:dyDescent="0.3">
      <c r="A1271" s="11">
        <v>1647</v>
      </c>
      <c r="B1271" s="8" t="str">
        <f>VLOOKUP(A1271,[1]ListadoFichasDeProduccion!$A$2:$LP$3000,328,FALSE)</f>
        <v>COMPLETADO</v>
      </c>
      <c r="C1271" s="11">
        <v>27</v>
      </c>
      <c r="D1271" t="s">
        <v>33</v>
      </c>
      <c r="E1271" t="s">
        <v>93</v>
      </c>
      <c r="F1271" s="9"/>
      <c r="G1271" s="9">
        <v>45722</v>
      </c>
      <c r="H1271" t="s">
        <v>44</v>
      </c>
      <c r="I1271" s="11">
        <v>5</v>
      </c>
      <c r="J1271" t="str">
        <f>IF(I1271="","",IFERROR(IF(INDEX([1]ListadoFichasDeProduccion!LQ:MB,MATCH(A1271,[1]ListadoFichasDeProduccion!A:A,0),K1271)=0,"",INDEX([1]ListadoFichasDeProduccion!LQ:MB,MATCH(A1271,[1]ListadoFichasDeProduccion!A:A,0),K1271)),""))</f>
        <v/>
      </c>
      <c r="K1271" s="11">
        <v>2</v>
      </c>
    </row>
    <row r="1272" spans="1:11" hidden="1" x14ac:dyDescent="0.3">
      <c r="A1272" s="11">
        <v>1647</v>
      </c>
      <c r="B1272" s="8" t="str">
        <f>VLOOKUP(A1272,[1]ListadoFichasDeProduccion!$A$2:$LP$3000,328,FALSE)</f>
        <v>COMPLETADO</v>
      </c>
      <c r="C1272" s="11">
        <v>27</v>
      </c>
      <c r="D1272" t="s">
        <v>33</v>
      </c>
      <c r="E1272" t="s">
        <v>93</v>
      </c>
      <c r="F1272" s="9"/>
      <c r="G1272" s="9">
        <v>45722</v>
      </c>
      <c r="H1272" s="12" t="s">
        <v>50</v>
      </c>
      <c r="I1272" s="11">
        <v>4</v>
      </c>
      <c r="J1272" t="str">
        <f>IF(I1272="","",IFERROR(IF(INDEX([1]ListadoFichasDeProduccion!LQ:MB,MATCH(A1272,[1]ListadoFichasDeProduccion!A:A,0),K1272)=0,"",INDEX([1]ListadoFichasDeProduccion!LQ:MB,MATCH(A1272,[1]ListadoFichasDeProduccion!A:A,0),K1272)),""))</f>
        <v/>
      </c>
      <c r="K1272" s="11">
        <v>3</v>
      </c>
    </row>
    <row r="1273" spans="1:11" hidden="1" x14ac:dyDescent="0.3">
      <c r="A1273" s="11">
        <v>1647</v>
      </c>
      <c r="B1273" s="8" t="str">
        <f>VLOOKUP(A1273,[1]ListadoFichasDeProduccion!$A$2:$LP$3000,328,FALSE)</f>
        <v>COMPLETADO</v>
      </c>
      <c r="C1273" s="11">
        <v>27</v>
      </c>
      <c r="D1273" t="s">
        <v>33</v>
      </c>
      <c r="E1273" t="s">
        <v>93</v>
      </c>
      <c r="F1273" s="9"/>
      <c r="G1273" s="9">
        <v>45722</v>
      </c>
      <c r="H1273" t="s">
        <v>31</v>
      </c>
      <c r="I1273" s="11">
        <v>2</v>
      </c>
      <c r="J1273" t="str">
        <f>IF(I1273="","",IFERROR(IF(INDEX([1]ListadoFichasDeProduccion!LQ:MB,MATCH(A1273,[1]ListadoFichasDeProduccion!A:A,0),K1273)=0,"",INDEX([1]ListadoFichasDeProduccion!LQ:MB,MATCH(A1273,[1]ListadoFichasDeProduccion!A:A,0),K1273)),""))</f>
        <v/>
      </c>
      <c r="K1273" s="11">
        <v>4</v>
      </c>
    </row>
    <row r="1274" spans="1:11" hidden="1" x14ac:dyDescent="0.3">
      <c r="A1274" s="11">
        <v>1647</v>
      </c>
      <c r="B1274" s="8" t="str">
        <f>VLOOKUP(A1274,[1]ListadoFichasDeProduccion!$A$2:$LP$3000,328,FALSE)</f>
        <v>COMPLETADO</v>
      </c>
      <c r="C1274" s="11">
        <v>27</v>
      </c>
      <c r="D1274" t="s">
        <v>33</v>
      </c>
      <c r="E1274" t="s">
        <v>93</v>
      </c>
      <c r="F1274" s="9"/>
      <c r="G1274" s="9">
        <v>45722</v>
      </c>
      <c r="H1274" t="s">
        <v>36</v>
      </c>
      <c r="I1274" s="11">
        <v>6</v>
      </c>
      <c r="J1274" t="str">
        <f>IF(I1274="","",IFERROR(IF(INDEX([1]ListadoFichasDeProduccion!LQ:MB,MATCH(A1274,[1]ListadoFichasDeProduccion!A:A,0),K1274)=0,"",INDEX([1]ListadoFichasDeProduccion!LQ:MB,MATCH(A1274,[1]ListadoFichasDeProduccion!A:A,0),K1274)),""))</f>
        <v/>
      </c>
      <c r="K1274" s="11">
        <v>5</v>
      </c>
    </row>
    <row r="1275" spans="1:11" hidden="1" x14ac:dyDescent="0.3">
      <c r="A1275" s="11">
        <v>1647</v>
      </c>
      <c r="B1275" s="8" t="str">
        <f>VLOOKUP(A1275,[1]ListadoFichasDeProduccion!$A$2:$LP$3000,328,FALSE)</f>
        <v>COMPLETADO</v>
      </c>
      <c r="C1275" s="11">
        <v>27</v>
      </c>
      <c r="D1275" t="s">
        <v>33</v>
      </c>
      <c r="E1275" t="s">
        <v>93</v>
      </c>
      <c r="F1275" s="9"/>
      <c r="G1275" s="9">
        <v>45722</v>
      </c>
      <c r="H1275" t="s">
        <v>94</v>
      </c>
      <c r="I1275" s="11">
        <v>6</v>
      </c>
      <c r="J1275" t="str">
        <f>IF(I1275="","",IFERROR(IF(INDEX([1]ListadoFichasDeProduccion!LQ:MB,MATCH(A1275,[1]ListadoFichasDeProduccion!A:A,0),K1275)=0,"",INDEX([1]ListadoFichasDeProduccion!LQ:MB,MATCH(A1275,[1]ListadoFichasDeProduccion!A:A,0),K1275)),""))</f>
        <v/>
      </c>
      <c r="K1275" s="11">
        <v>6</v>
      </c>
    </row>
    <row r="1276" spans="1:11" hidden="1" x14ac:dyDescent="0.3">
      <c r="A1276" s="11">
        <v>1777</v>
      </c>
      <c r="B1276" s="8" t="str">
        <f>VLOOKUP(A1276,[1]ListadoFichasDeProduccion!$A$2:$LP$3000,328,FALSE)</f>
        <v>COMPLETADO</v>
      </c>
      <c r="C1276" s="11">
        <v>6</v>
      </c>
      <c r="D1276" t="s">
        <v>33</v>
      </c>
      <c r="E1276" t="s">
        <v>93</v>
      </c>
      <c r="G1276" s="9">
        <v>45779</v>
      </c>
      <c r="H1276" t="s">
        <v>31</v>
      </c>
      <c r="I1276" s="11">
        <v>3</v>
      </c>
      <c r="J1276" t="str">
        <f>IF(I1276="","",IFERROR(IF(INDEX([1]ListadoFichasDeProduccion!LQ:MB,MATCH(A1276,[1]ListadoFichasDeProduccion!A:A,0),K1276)=0,"",INDEX([1]ListadoFichasDeProduccion!LQ:MB,MATCH(A1276,[1]ListadoFichasDeProduccion!A:A,0),K1276)),""))</f>
        <v/>
      </c>
      <c r="K1276" s="11">
        <v>1</v>
      </c>
    </row>
    <row r="1277" spans="1:11" hidden="1" x14ac:dyDescent="0.3">
      <c r="A1277" s="11">
        <v>1777</v>
      </c>
      <c r="B1277" s="8" t="str">
        <f>VLOOKUP(A1277,[1]ListadoFichasDeProduccion!$A$2:$LP$3000,328,FALSE)</f>
        <v>COMPLETADO</v>
      </c>
      <c r="C1277" s="11">
        <v>6</v>
      </c>
      <c r="D1277" t="s">
        <v>33</v>
      </c>
      <c r="E1277" t="s">
        <v>93</v>
      </c>
      <c r="G1277" s="9">
        <v>45779</v>
      </c>
      <c r="H1277" t="s">
        <v>44</v>
      </c>
      <c r="I1277" s="11">
        <v>3</v>
      </c>
      <c r="J1277" t="str">
        <f>IF(I1277="","",IFERROR(IF(INDEX([1]ListadoFichasDeProduccion!LQ:MB,MATCH(A1277,[1]ListadoFichasDeProduccion!A:A,0),K1277)=0,"",INDEX([1]ListadoFichasDeProduccion!LQ:MB,MATCH(A1277,[1]ListadoFichasDeProduccion!A:A,0),K1277)),""))</f>
        <v/>
      </c>
      <c r="K1277" s="11">
        <v>2</v>
      </c>
    </row>
    <row r="1278" spans="1:11" hidden="1" x14ac:dyDescent="0.3">
      <c r="A1278" s="11" t="s">
        <v>367</v>
      </c>
      <c r="B1278" t="str">
        <f>VLOOKUP(A1278,[1]ListadoFichasDeProduccion!$A$2:$LP$3000,328,FALSE)</f>
        <v>COMPLETADO</v>
      </c>
      <c r="C1278" s="11">
        <v>27</v>
      </c>
      <c r="D1278" t="s">
        <v>33</v>
      </c>
      <c r="E1278" t="s">
        <v>93</v>
      </c>
      <c r="G1278" s="9">
        <v>45939</v>
      </c>
      <c r="H1278" t="s">
        <v>31</v>
      </c>
      <c r="I1278" s="11">
        <v>2</v>
      </c>
      <c r="J1278" t="str">
        <f>IF(I1278="","",IFERROR(IF(INDEX([1]ListadoFichasDeProduccion!LQ:MB,MATCH(A1278,[1]ListadoFichasDeProduccion!A:A,0),K1278)=0,"",INDEX([1]ListadoFichasDeProduccion!LQ:MB,MATCH(A1278,[1]ListadoFichasDeProduccion!A:A,0),K1278)),""))</f>
        <v/>
      </c>
      <c r="K1278" s="11">
        <v>1</v>
      </c>
    </row>
    <row r="1279" spans="1:11" hidden="1" x14ac:dyDescent="0.3">
      <c r="A1279" s="11" t="s">
        <v>367</v>
      </c>
      <c r="B1279" t="str">
        <f>VLOOKUP(A1279,[1]ListadoFichasDeProduccion!$A$2:$LP$3000,328,FALSE)</f>
        <v>COMPLETADO</v>
      </c>
      <c r="C1279" s="11">
        <v>27</v>
      </c>
      <c r="D1279" t="s">
        <v>33</v>
      </c>
      <c r="E1279" t="s">
        <v>93</v>
      </c>
      <c r="G1279" s="9">
        <v>45939</v>
      </c>
      <c r="H1279" t="s">
        <v>44</v>
      </c>
      <c r="I1279" s="11">
        <v>9</v>
      </c>
      <c r="J1279" t="str">
        <f>IF(I1279="","",IFERROR(IF(INDEX([1]ListadoFichasDeProduccion!LQ:MB,MATCH(A1279,[1]ListadoFichasDeProduccion!A:A,0),K1279)=0,"",INDEX([1]ListadoFichasDeProduccion!LQ:MB,MATCH(A1279,[1]ListadoFichasDeProduccion!A:A,0),K1279)),""))</f>
        <v/>
      </c>
      <c r="K1279" s="11">
        <v>2</v>
      </c>
    </row>
    <row r="1280" spans="1:11" hidden="1" x14ac:dyDescent="0.3">
      <c r="A1280" s="11" t="s">
        <v>367</v>
      </c>
      <c r="B1280" t="str">
        <f>VLOOKUP(A1280,[1]ListadoFichasDeProduccion!$A$2:$LP$3000,328,FALSE)</f>
        <v>COMPLETADO</v>
      </c>
      <c r="C1280" s="11">
        <v>27</v>
      </c>
      <c r="D1280" t="s">
        <v>33</v>
      </c>
      <c r="E1280" t="s">
        <v>93</v>
      </c>
      <c r="G1280" s="9">
        <v>45939</v>
      </c>
      <c r="H1280" t="s">
        <v>51</v>
      </c>
      <c r="I1280" s="11">
        <v>6</v>
      </c>
      <c r="J1280" t="str">
        <f>IF(I1280="","",IFERROR(IF(INDEX([1]ListadoFichasDeProduccion!LQ:MB,MATCH(A1280,[1]ListadoFichasDeProduccion!A:A,0),K1280)=0,"",INDEX([1]ListadoFichasDeProduccion!LQ:MB,MATCH(A1280,[1]ListadoFichasDeProduccion!A:A,0),K1280)),""))</f>
        <v/>
      </c>
      <c r="K1280" s="11">
        <v>3</v>
      </c>
    </row>
    <row r="1281" spans="1:11" hidden="1" x14ac:dyDescent="0.3">
      <c r="A1281" s="11" t="s">
        <v>367</v>
      </c>
      <c r="B1281" t="str">
        <f>VLOOKUP(A1281,[1]ListadoFichasDeProduccion!$A$2:$LP$3000,328,FALSE)</f>
        <v>COMPLETADO</v>
      </c>
      <c r="C1281" s="11">
        <v>27</v>
      </c>
      <c r="D1281" t="s">
        <v>33</v>
      </c>
      <c r="E1281" t="s">
        <v>93</v>
      </c>
      <c r="G1281" s="9">
        <v>45939</v>
      </c>
      <c r="H1281" t="s">
        <v>28</v>
      </c>
      <c r="I1281" s="11">
        <v>6</v>
      </c>
      <c r="J1281" t="str">
        <f>IF(I1281="","",IFERROR(IF(INDEX([1]ListadoFichasDeProduccion!LQ:MB,MATCH(A1281,[1]ListadoFichasDeProduccion!A:A,0),K1281)=0,"",INDEX([1]ListadoFichasDeProduccion!LQ:MB,MATCH(A1281,[1]ListadoFichasDeProduccion!A:A,0),K1281)),""))</f>
        <v/>
      </c>
      <c r="K1281" s="11">
        <v>4</v>
      </c>
    </row>
    <row r="1282" spans="1:11" hidden="1" x14ac:dyDescent="0.3">
      <c r="A1282" s="11" t="s">
        <v>367</v>
      </c>
      <c r="B1282" t="str">
        <f>VLOOKUP(A1282,[1]ListadoFichasDeProduccion!$A$2:$LP$3000,328,FALSE)</f>
        <v>COMPLETADO</v>
      </c>
      <c r="C1282" s="11">
        <v>27</v>
      </c>
      <c r="D1282" t="s">
        <v>33</v>
      </c>
      <c r="E1282" t="s">
        <v>93</v>
      </c>
      <c r="G1282" s="9">
        <v>45939</v>
      </c>
      <c r="H1282" t="s">
        <v>50</v>
      </c>
      <c r="I1282" s="11">
        <v>4</v>
      </c>
      <c r="J1282" t="str">
        <f>IF(I1282="","",IFERROR(IF(INDEX([1]ListadoFichasDeProduccion!LQ:MB,MATCH(A1282,[1]ListadoFichasDeProduccion!A:A,0),K1282)=0,"",INDEX([1]ListadoFichasDeProduccion!LQ:MB,MATCH(A1282,[1]ListadoFichasDeProduccion!A:A,0),K1282)),""))</f>
        <v/>
      </c>
      <c r="K1282" s="11">
        <v>5</v>
      </c>
    </row>
    <row r="1283" spans="1:11" hidden="1" x14ac:dyDescent="0.3">
      <c r="A1283" s="11">
        <v>1742</v>
      </c>
      <c r="B1283" s="8" t="str">
        <f>VLOOKUP(A1283,[1]ListadoFichasDeProduccion!$A$2:$LP$3000,328,FALSE)</f>
        <v>COMPLETADO</v>
      </c>
      <c r="C1283" s="11">
        <v>46</v>
      </c>
      <c r="D1283" t="s">
        <v>11</v>
      </c>
      <c r="E1283" t="s">
        <v>152</v>
      </c>
      <c r="F1283" t="s">
        <v>153</v>
      </c>
      <c r="G1283" s="9">
        <v>45756</v>
      </c>
      <c r="H1283" t="s">
        <v>56</v>
      </c>
      <c r="I1283" s="11">
        <v>12</v>
      </c>
      <c r="J1283" t="str">
        <f>IF(I1283="","",IFERROR(IF(INDEX([1]ListadoFichasDeProduccion!LQ:MB,MATCH(A1283,[1]ListadoFichasDeProduccion!A:A,0),K1283)=0,"",INDEX([1]ListadoFichasDeProduccion!LQ:MB,MATCH(A1283,[1]ListadoFichasDeProduccion!A:A,0),K1283)),""))</f>
        <v/>
      </c>
      <c r="K1283" s="11">
        <v>1</v>
      </c>
    </row>
    <row r="1284" spans="1:11" hidden="1" x14ac:dyDescent="0.3">
      <c r="A1284" s="11">
        <v>1742</v>
      </c>
      <c r="B1284" s="8" t="str">
        <f>VLOOKUP(A1284,[1]ListadoFichasDeProduccion!$A$2:$LP$3000,328,FALSE)</f>
        <v>COMPLETADO</v>
      </c>
      <c r="C1284" s="11">
        <v>46</v>
      </c>
      <c r="D1284" t="s">
        <v>11</v>
      </c>
      <c r="E1284" t="s">
        <v>152</v>
      </c>
      <c r="F1284" t="s">
        <v>153</v>
      </c>
      <c r="G1284" s="9">
        <v>45756</v>
      </c>
      <c r="H1284" t="s">
        <v>35</v>
      </c>
      <c r="I1284" s="11">
        <v>12</v>
      </c>
      <c r="J1284" t="str">
        <f>IF(I1284="","",IFERROR(IF(INDEX([1]ListadoFichasDeProduccion!LQ:MB,MATCH(A1284,[1]ListadoFichasDeProduccion!A:A,0),K1284)=0,"",INDEX([1]ListadoFichasDeProduccion!LQ:MB,MATCH(A1284,[1]ListadoFichasDeProduccion!A:A,0),K1284)),""))</f>
        <v/>
      </c>
      <c r="K1284" s="11">
        <v>2</v>
      </c>
    </row>
    <row r="1285" spans="1:11" hidden="1" x14ac:dyDescent="0.3">
      <c r="A1285" s="11">
        <v>1742</v>
      </c>
      <c r="B1285" s="8" t="str">
        <f>VLOOKUP(A1285,[1]ListadoFichasDeProduccion!$A$2:$LP$3000,328,FALSE)</f>
        <v>COMPLETADO</v>
      </c>
      <c r="C1285" s="11">
        <v>46</v>
      </c>
      <c r="D1285" t="s">
        <v>11</v>
      </c>
      <c r="E1285" t="s">
        <v>152</v>
      </c>
      <c r="F1285" t="s">
        <v>153</v>
      </c>
      <c r="G1285" s="9">
        <v>45756</v>
      </c>
      <c r="H1285" t="s">
        <v>22</v>
      </c>
      <c r="I1285" s="11">
        <v>6</v>
      </c>
      <c r="J1285" t="str">
        <f>IF(I1285="","",IFERROR(IF(INDEX([1]ListadoFichasDeProduccion!LQ:MB,MATCH(A1285,[1]ListadoFichasDeProduccion!A:A,0),K1285)=0,"",INDEX([1]ListadoFichasDeProduccion!LQ:MB,MATCH(A1285,[1]ListadoFichasDeProduccion!A:A,0),K1285)),""))</f>
        <v/>
      </c>
      <c r="K1285" s="11">
        <v>3</v>
      </c>
    </row>
    <row r="1286" spans="1:11" hidden="1" x14ac:dyDescent="0.3">
      <c r="A1286" s="11">
        <v>1742</v>
      </c>
      <c r="B1286" s="8" t="str">
        <f>VLOOKUP(A1286,[1]ListadoFichasDeProduccion!$A$2:$LP$3000,328,FALSE)</f>
        <v>COMPLETADO</v>
      </c>
      <c r="C1286" s="11">
        <v>46</v>
      </c>
      <c r="D1286" t="s">
        <v>11</v>
      </c>
      <c r="E1286" t="s">
        <v>152</v>
      </c>
      <c r="F1286" t="s">
        <v>153</v>
      </c>
      <c r="G1286" s="9">
        <v>45756</v>
      </c>
      <c r="H1286" t="s">
        <v>39</v>
      </c>
      <c r="I1286" s="11">
        <v>6</v>
      </c>
      <c r="J1286" t="str">
        <f>IF(I1286="","",IFERROR(IF(INDEX([1]ListadoFichasDeProduccion!LQ:MB,MATCH(A1286,[1]ListadoFichasDeProduccion!A:A,0),K1286)=0,"",INDEX([1]ListadoFichasDeProduccion!LQ:MB,MATCH(A1286,[1]ListadoFichasDeProduccion!A:A,0),K1286)),""))</f>
        <v/>
      </c>
      <c r="K1286" s="11">
        <v>4</v>
      </c>
    </row>
    <row r="1287" spans="1:11" hidden="1" x14ac:dyDescent="0.3">
      <c r="A1287" s="11">
        <v>1742</v>
      </c>
      <c r="B1287" s="8" t="str">
        <f>VLOOKUP(A1287,[1]ListadoFichasDeProduccion!$A$2:$LP$3000,328,FALSE)</f>
        <v>COMPLETADO</v>
      </c>
      <c r="C1287" s="11">
        <v>46</v>
      </c>
      <c r="D1287" t="s">
        <v>11</v>
      </c>
      <c r="E1287" t="s">
        <v>152</v>
      </c>
      <c r="F1287" t="s">
        <v>153</v>
      </c>
      <c r="G1287" s="9">
        <v>45756</v>
      </c>
      <c r="H1287" t="s">
        <v>154</v>
      </c>
      <c r="I1287" s="11">
        <v>6</v>
      </c>
      <c r="J1287" t="str">
        <f>IF(I1287="","",IFERROR(IF(INDEX([1]ListadoFichasDeProduccion!LQ:MB,MATCH(A1287,[1]ListadoFichasDeProduccion!A:A,0),K1287)=0,"",INDEX([1]ListadoFichasDeProduccion!LQ:MB,MATCH(A1287,[1]ListadoFichasDeProduccion!A:A,0),K1287)),""))</f>
        <v/>
      </c>
      <c r="K1287" s="11">
        <v>5</v>
      </c>
    </row>
    <row r="1288" spans="1:11" hidden="1" x14ac:dyDescent="0.3">
      <c r="A1288" s="11">
        <v>1742</v>
      </c>
      <c r="B1288" s="8" t="str">
        <f>VLOOKUP(A1288,[1]ListadoFichasDeProduccion!$A$2:$LP$3000,328,FALSE)</f>
        <v>COMPLETADO</v>
      </c>
      <c r="C1288" s="11">
        <v>46</v>
      </c>
      <c r="D1288" t="s">
        <v>11</v>
      </c>
      <c r="E1288" t="s">
        <v>152</v>
      </c>
      <c r="F1288" t="s">
        <v>153</v>
      </c>
      <c r="G1288" s="9">
        <v>45756</v>
      </c>
      <c r="H1288" t="s">
        <v>155</v>
      </c>
      <c r="I1288" s="11">
        <v>4</v>
      </c>
      <c r="J1288" t="str">
        <f>IF(I1288="","",IFERROR(IF(INDEX([1]ListadoFichasDeProduccion!LQ:MB,MATCH(A1288,[1]ListadoFichasDeProduccion!A:A,0),K1288)=0,"",INDEX([1]ListadoFichasDeProduccion!LQ:MB,MATCH(A1288,[1]ListadoFichasDeProduccion!A:A,0),K1288)),""))</f>
        <v/>
      </c>
      <c r="K1288" s="11">
        <v>6</v>
      </c>
    </row>
    <row r="1289" spans="1:11" hidden="1" x14ac:dyDescent="0.3">
      <c r="A1289" s="11">
        <v>1780</v>
      </c>
      <c r="B1289" s="8" t="str">
        <f>VLOOKUP(A1289,[1]ListadoFichasDeProduccion!$A$2:$LP$3000,328,FALSE)</f>
        <v>COMPLETADO</v>
      </c>
      <c r="C1289" s="11">
        <v>82</v>
      </c>
      <c r="D1289" t="s">
        <v>11</v>
      </c>
      <c r="E1289" t="s">
        <v>152</v>
      </c>
      <c r="F1289" t="s">
        <v>153</v>
      </c>
      <c r="G1289" s="9">
        <v>45783</v>
      </c>
      <c r="H1289" t="s">
        <v>56</v>
      </c>
      <c r="I1289" s="11">
        <v>12</v>
      </c>
      <c r="J1289" t="str">
        <f>IF(I1289="","",IFERROR(IF(INDEX([1]ListadoFichasDeProduccion!LQ:MB,MATCH(A1289,[1]ListadoFichasDeProduccion!A:A,0),K1289)=0,"",INDEX([1]ListadoFichasDeProduccion!LQ:MB,MATCH(A1289,[1]ListadoFichasDeProduccion!A:A,0),K1289)),""))</f>
        <v/>
      </c>
      <c r="K1289" s="11">
        <v>1</v>
      </c>
    </row>
    <row r="1290" spans="1:11" hidden="1" x14ac:dyDescent="0.3">
      <c r="A1290" s="11">
        <v>1780</v>
      </c>
      <c r="B1290" s="8" t="str">
        <f>VLOOKUP(A1290,[1]ListadoFichasDeProduccion!$A$2:$LP$3000,328,FALSE)</f>
        <v>COMPLETADO</v>
      </c>
      <c r="C1290" s="11">
        <v>82</v>
      </c>
      <c r="D1290" t="s">
        <v>11</v>
      </c>
      <c r="E1290" t="s">
        <v>152</v>
      </c>
      <c r="F1290" t="s">
        <v>153</v>
      </c>
      <c r="G1290" s="9">
        <v>45783</v>
      </c>
      <c r="H1290" t="s">
        <v>35</v>
      </c>
      <c r="I1290" s="11">
        <v>6</v>
      </c>
      <c r="J1290" t="str">
        <f>IF(I1290="","",IFERROR(IF(INDEX([1]ListadoFichasDeProduccion!LQ:MB,MATCH(A1290,[1]ListadoFichasDeProduccion!A:A,0),K1290)=0,"",INDEX([1]ListadoFichasDeProduccion!LQ:MB,MATCH(A1290,[1]ListadoFichasDeProduccion!A:A,0),K1290)),""))</f>
        <v/>
      </c>
      <c r="K1290" s="11">
        <v>2</v>
      </c>
    </row>
    <row r="1291" spans="1:11" hidden="1" x14ac:dyDescent="0.3">
      <c r="A1291" s="11">
        <v>1780</v>
      </c>
      <c r="B1291" s="8" t="str">
        <f>VLOOKUP(A1291,[1]ListadoFichasDeProduccion!$A$2:$LP$3000,328,FALSE)</f>
        <v>COMPLETADO</v>
      </c>
      <c r="C1291" s="11">
        <v>82</v>
      </c>
      <c r="D1291" t="s">
        <v>11</v>
      </c>
      <c r="E1291" t="s">
        <v>152</v>
      </c>
      <c r="F1291" t="s">
        <v>153</v>
      </c>
      <c r="G1291" s="9">
        <v>45783</v>
      </c>
      <c r="H1291" t="s">
        <v>39</v>
      </c>
      <c r="I1291" s="11">
        <v>9</v>
      </c>
      <c r="J1291" t="str">
        <f>IF(I1291="","",IFERROR(IF(INDEX([1]ListadoFichasDeProduccion!LQ:MB,MATCH(A1291,[1]ListadoFichasDeProduccion!A:A,0),K1291)=0,"",INDEX([1]ListadoFichasDeProduccion!LQ:MB,MATCH(A1291,[1]ListadoFichasDeProduccion!A:A,0),K1291)),""))</f>
        <v/>
      </c>
      <c r="K1291" s="11">
        <v>3</v>
      </c>
    </row>
    <row r="1292" spans="1:11" hidden="1" x14ac:dyDescent="0.3">
      <c r="A1292" s="11">
        <v>1780</v>
      </c>
      <c r="B1292" s="8" t="str">
        <f>VLOOKUP(A1292,[1]ListadoFichasDeProduccion!$A$2:$LP$3000,328,FALSE)</f>
        <v>COMPLETADO</v>
      </c>
      <c r="C1292" s="11">
        <v>82</v>
      </c>
      <c r="D1292" t="s">
        <v>11</v>
      </c>
      <c r="E1292" t="s">
        <v>152</v>
      </c>
      <c r="F1292" t="s">
        <v>153</v>
      </c>
      <c r="G1292" s="9">
        <v>45783</v>
      </c>
      <c r="H1292" t="s">
        <v>22</v>
      </c>
      <c r="I1292" s="11">
        <v>4</v>
      </c>
      <c r="J1292" t="str">
        <f>IF(I1292="","",IFERROR(IF(INDEX([1]ListadoFichasDeProduccion!LQ:MB,MATCH(A1292,[1]ListadoFichasDeProduccion!A:A,0),K1292)=0,"",INDEX([1]ListadoFichasDeProduccion!LQ:MB,MATCH(A1292,[1]ListadoFichasDeProduccion!A:A,0),K1292)),""))</f>
        <v/>
      </c>
      <c r="K1292" s="11">
        <v>4</v>
      </c>
    </row>
    <row r="1293" spans="1:11" hidden="1" x14ac:dyDescent="0.3">
      <c r="A1293" s="11">
        <v>1780</v>
      </c>
      <c r="B1293" s="8" t="str">
        <f>VLOOKUP(A1293,[1]ListadoFichasDeProduccion!$A$2:$LP$3000,328,FALSE)</f>
        <v>COMPLETADO</v>
      </c>
      <c r="C1293" s="11">
        <v>82</v>
      </c>
      <c r="D1293" t="s">
        <v>11</v>
      </c>
      <c r="E1293" t="s">
        <v>152</v>
      </c>
      <c r="F1293" t="s">
        <v>153</v>
      </c>
      <c r="G1293" s="9">
        <v>45783</v>
      </c>
      <c r="H1293" t="s">
        <v>154</v>
      </c>
      <c r="I1293" s="11">
        <v>14</v>
      </c>
      <c r="J1293" t="str">
        <f>IF(I1293="","",IFERROR(IF(INDEX([1]ListadoFichasDeProduccion!LQ:MB,MATCH(A1293,[1]ListadoFichasDeProduccion!A:A,0),K1293)=0,"",INDEX([1]ListadoFichasDeProduccion!LQ:MB,MATCH(A1293,[1]ListadoFichasDeProduccion!A:A,0),K1293)),""))</f>
        <v/>
      </c>
      <c r="K1293" s="11">
        <v>5</v>
      </c>
    </row>
    <row r="1294" spans="1:11" hidden="1" x14ac:dyDescent="0.3">
      <c r="A1294" s="11">
        <v>1780</v>
      </c>
      <c r="B1294" s="8" t="str">
        <f>VLOOKUP(A1294,[1]ListadoFichasDeProduccion!$A$2:$LP$3000,328,FALSE)</f>
        <v>COMPLETADO</v>
      </c>
      <c r="C1294" s="11">
        <v>82</v>
      </c>
      <c r="D1294" t="s">
        <v>11</v>
      </c>
      <c r="E1294" t="s">
        <v>152</v>
      </c>
      <c r="F1294" t="s">
        <v>153</v>
      </c>
      <c r="G1294" s="9">
        <v>45783</v>
      </c>
      <c r="H1294" t="s">
        <v>155</v>
      </c>
      <c r="I1294" s="11">
        <v>9</v>
      </c>
      <c r="J1294" t="str">
        <f>IF(I1294="","",IFERROR(IF(INDEX([1]ListadoFichasDeProduccion!LQ:MB,MATCH(A1294,[1]ListadoFichasDeProduccion!A:A,0),K1294)=0,"",INDEX([1]ListadoFichasDeProduccion!LQ:MB,MATCH(A1294,[1]ListadoFichasDeProduccion!A:A,0),K1294)),""))</f>
        <v/>
      </c>
      <c r="K1294" s="11">
        <v>6</v>
      </c>
    </row>
    <row r="1295" spans="1:11" hidden="1" x14ac:dyDescent="0.3">
      <c r="A1295" s="11">
        <v>1790</v>
      </c>
      <c r="B1295" s="8" t="str">
        <f>VLOOKUP(A1295,[1]ListadoFichasDeProduccion!$A$2:$LP$3000,328,FALSE)</f>
        <v>COMPLETADO</v>
      </c>
      <c r="C1295" s="11">
        <v>17</v>
      </c>
      <c r="D1295" t="s">
        <v>11</v>
      </c>
      <c r="E1295" t="s">
        <v>152</v>
      </c>
      <c r="F1295" t="s">
        <v>153</v>
      </c>
      <c r="G1295" s="9">
        <v>45797</v>
      </c>
      <c r="H1295" t="s">
        <v>120</v>
      </c>
      <c r="I1295" s="11">
        <v>9</v>
      </c>
      <c r="J1295" t="str">
        <f>IF(I1295="","",IFERROR(IF(INDEX([1]ListadoFichasDeProduccion!LQ:MB,MATCH(A1295,[1]ListadoFichasDeProduccion!A:A,0),K1295)=0,"",INDEX([1]ListadoFichasDeProduccion!LQ:MB,MATCH(A1295,[1]ListadoFichasDeProduccion!A:A,0),K1295)),""))</f>
        <v/>
      </c>
      <c r="K1295" s="11">
        <v>1</v>
      </c>
    </row>
    <row r="1296" spans="1:11" hidden="1" x14ac:dyDescent="0.3">
      <c r="A1296" s="11">
        <v>1790</v>
      </c>
      <c r="B1296" s="8" t="str">
        <f>VLOOKUP(A1296,[1]ListadoFichasDeProduccion!$A$2:$LP$3000,328,FALSE)</f>
        <v>COMPLETADO</v>
      </c>
      <c r="C1296" s="11">
        <v>17</v>
      </c>
      <c r="D1296" t="s">
        <v>11</v>
      </c>
      <c r="E1296" t="s">
        <v>152</v>
      </c>
      <c r="F1296" t="s">
        <v>153</v>
      </c>
      <c r="G1296" s="9">
        <v>45797</v>
      </c>
      <c r="H1296" t="s">
        <v>39</v>
      </c>
      <c r="I1296" s="11">
        <v>4</v>
      </c>
      <c r="J1296" t="str">
        <f>IF(I1296="","",IFERROR(IF(INDEX([1]ListadoFichasDeProduccion!LQ:MB,MATCH(A1296,[1]ListadoFichasDeProduccion!A:A,0),K1296)=0,"",INDEX([1]ListadoFichasDeProduccion!LQ:MB,MATCH(A1296,[1]ListadoFichasDeProduccion!A:A,0),K1296)),""))</f>
        <v/>
      </c>
      <c r="K1296" s="11">
        <v>2</v>
      </c>
    </row>
    <row r="1297" spans="1:11" hidden="1" x14ac:dyDescent="0.3">
      <c r="A1297" s="11">
        <v>1790</v>
      </c>
      <c r="B1297" s="8" t="str">
        <f>VLOOKUP(A1297,[1]ListadoFichasDeProduccion!$A$2:$LP$3000,328,FALSE)</f>
        <v>COMPLETADO</v>
      </c>
      <c r="C1297" s="11">
        <v>17</v>
      </c>
      <c r="D1297" t="s">
        <v>11</v>
      </c>
      <c r="E1297" t="s">
        <v>152</v>
      </c>
      <c r="F1297" t="s">
        <v>153</v>
      </c>
      <c r="G1297" s="9">
        <v>45797</v>
      </c>
      <c r="H1297" t="s">
        <v>22</v>
      </c>
      <c r="I1297" s="11">
        <v>4</v>
      </c>
      <c r="J1297" t="str">
        <f>IF(I1297="","",IFERROR(IF(INDEX([1]ListadoFichasDeProduccion!LQ:MB,MATCH(A1297,[1]ListadoFichasDeProduccion!A:A,0),K1297)=0,"",INDEX([1]ListadoFichasDeProduccion!LQ:MB,MATCH(A1297,[1]ListadoFichasDeProduccion!A:A,0),K1297)),""))</f>
        <v/>
      </c>
      <c r="K1297" s="11">
        <v>3</v>
      </c>
    </row>
    <row r="1298" spans="1:11" hidden="1" x14ac:dyDescent="0.3">
      <c r="A1298" s="11">
        <v>17902</v>
      </c>
      <c r="B1298" s="8" t="str">
        <f>VLOOKUP(A1298,[1]ListadoFichasDeProduccion!$A$2:$LP$3000,328,FALSE)</f>
        <v>COMPLETADO</v>
      </c>
      <c r="C1298" s="11">
        <v>9</v>
      </c>
      <c r="D1298" t="s">
        <v>11</v>
      </c>
      <c r="E1298" t="s">
        <v>152</v>
      </c>
      <c r="F1298" t="s">
        <v>153</v>
      </c>
      <c r="G1298" s="9">
        <v>45797</v>
      </c>
      <c r="H1298" t="s">
        <v>154</v>
      </c>
      <c r="I1298" s="11">
        <v>9</v>
      </c>
      <c r="J1298" t="str">
        <f>IF(I1298="","",IFERROR(IF(INDEX([1]ListadoFichasDeProduccion!LQ:MB,MATCH(A1298,[1]ListadoFichasDeProduccion!A:A,0),K1298)=0,"",INDEX([1]ListadoFichasDeProduccion!LQ:MB,MATCH(A1298,[1]ListadoFichasDeProduccion!A:A,0),K1298)),""))</f>
        <v/>
      </c>
      <c r="K1298" s="11">
        <v>1</v>
      </c>
    </row>
    <row r="1299" spans="1:11" hidden="1" x14ac:dyDescent="0.3">
      <c r="A1299" s="11">
        <v>1868</v>
      </c>
      <c r="B1299" s="8" t="str">
        <f>VLOOKUP(A1299,[1]ListadoFichasDeProduccion!$A$2:$LP$3000,328,FALSE)</f>
        <v>COMPLETADO</v>
      </c>
      <c r="C1299" s="11">
        <v>53</v>
      </c>
      <c r="D1299" t="s">
        <v>11</v>
      </c>
      <c r="E1299" t="s">
        <v>152</v>
      </c>
      <c r="F1299" t="s">
        <v>153</v>
      </c>
      <c r="G1299" s="9">
        <v>45838</v>
      </c>
      <c r="H1299" t="s">
        <v>240</v>
      </c>
      <c r="I1299" s="11">
        <v>12</v>
      </c>
      <c r="J1299" t="str">
        <f>IF(I1299="","",IFERROR(IF(INDEX([1]ListadoFichasDeProduccion!LQ:MB,MATCH(A1299,[1]ListadoFichasDeProduccion!A:A,0),K1299)=0,"",INDEX([1]ListadoFichasDeProduccion!LQ:MB,MATCH(A1299,[1]ListadoFichasDeProduccion!A:A,0),K1299)),""))</f>
        <v/>
      </c>
      <c r="K1299" s="11">
        <v>1</v>
      </c>
    </row>
    <row r="1300" spans="1:11" hidden="1" x14ac:dyDescent="0.3">
      <c r="A1300" s="11">
        <v>1868</v>
      </c>
      <c r="B1300" s="8" t="str">
        <f>VLOOKUP(A1300,[1]ListadoFichasDeProduccion!$A$2:$LP$3000,328,FALSE)</f>
        <v>COMPLETADO</v>
      </c>
      <c r="C1300" s="11">
        <v>53</v>
      </c>
      <c r="D1300" t="s">
        <v>11</v>
      </c>
      <c r="E1300" t="s">
        <v>152</v>
      </c>
      <c r="F1300" t="s">
        <v>153</v>
      </c>
      <c r="G1300" s="9">
        <v>45838</v>
      </c>
      <c r="H1300" t="s">
        <v>242</v>
      </c>
      <c r="I1300" s="11">
        <v>6</v>
      </c>
      <c r="J1300" t="str">
        <f>IF(I1300="","",IFERROR(IF(INDEX([1]ListadoFichasDeProduccion!LQ:MB,MATCH(A1300,[1]ListadoFichasDeProduccion!A:A,0),K1300)=0,"",INDEX([1]ListadoFichasDeProduccion!LQ:MB,MATCH(A1300,[1]ListadoFichasDeProduccion!A:A,0),K1300)),""))</f>
        <v/>
      </c>
      <c r="K1300" s="11">
        <v>2</v>
      </c>
    </row>
    <row r="1301" spans="1:11" hidden="1" x14ac:dyDescent="0.3">
      <c r="A1301" s="11">
        <v>1868</v>
      </c>
      <c r="B1301" s="8" t="str">
        <f>VLOOKUP(A1301,[1]ListadoFichasDeProduccion!$A$2:$LP$3000,328,FALSE)</f>
        <v>COMPLETADO</v>
      </c>
      <c r="C1301" s="11">
        <v>53</v>
      </c>
      <c r="D1301" t="s">
        <v>11</v>
      </c>
      <c r="E1301" t="s">
        <v>152</v>
      </c>
      <c r="F1301" t="s">
        <v>153</v>
      </c>
      <c r="G1301" s="9">
        <v>45838</v>
      </c>
      <c r="H1301" t="s">
        <v>22</v>
      </c>
      <c r="I1301" s="11">
        <v>6</v>
      </c>
      <c r="J1301" t="str">
        <f>IF(I1301="","",IFERROR(IF(INDEX([1]ListadoFichasDeProduccion!LQ:MB,MATCH(A1301,[1]ListadoFichasDeProduccion!A:A,0),K1301)=0,"",INDEX([1]ListadoFichasDeProduccion!LQ:MB,MATCH(A1301,[1]ListadoFichasDeProduccion!A:A,0),K1301)),""))</f>
        <v/>
      </c>
      <c r="K1301" s="11">
        <v>3</v>
      </c>
    </row>
    <row r="1302" spans="1:11" hidden="1" x14ac:dyDescent="0.3">
      <c r="A1302" s="11">
        <v>1868</v>
      </c>
      <c r="B1302" s="8" t="str">
        <f>VLOOKUP(A1302,[1]ListadoFichasDeProduccion!$A$2:$LP$3000,328,FALSE)</f>
        <v>COMPLETADO</v>
      </c>
      <c r="C1302" s="11">
        <v>53</v>
      </c>
      <c r="D1302" t="s">
        <v>11</v>
      </c>
      <c r="E1302" t="s">
        <v>152</v>
      </c>
      <c r="F1302" t="s">
        <v>153</v>
      </c>
      <c r="G1302" s="9">
        <v>45838</v>
      </c>
      <c r="H1302" t="s">
        <v>35</v>
      </c>
      <c r="I1302" s="11">
        <v>6</v>
      </c>
      <c r="J1302" t="str">
        <f>IF(I1302="","",IFERROR(IF(INDEX([1]ListadoFichasDeProduccion!LQ:MB,MATCH(A1302,[1]ListadoFichasDeProduccion!A:A,0),K1302)=0,"",INDEX([1]ListadoFichasDeProduccion!LQ:MB,MATCH(A1302,[1]ListadoFichasDeProduccion!A:A,0),K1302)),""))</f>
        <v/>
      </c>
      <c r="K1302" s="11">
        <v>4</v>
      </c>
    </row>
    <row r="1303" spans="1:11" hidden="1" x14ac:dyDescent="0.3">
      <c r="A1303" s="11">
        <v>1868</v>
      </c>
      <c r="B1303" s="8" t="str">
        <f>VLOOKUP(A1303,[1]ListadoFichasDeProduccion!$A$2:$LP$3000,328,FALSE)</f>
        <v>COMPLETADO</v>
      </c>
      <c r="C1303" s="11">
        <v>53</v>
      </c>
      <c r="D1303" t="s">
        <v>11</v>
      </c>
      <c r="E1303" t="s">
        <v>152</v>
      </c>
      <c r="F1303" t="s">
        <v>153</v>
      </c>
      <c r="G1303" s="9">
        <v>45838</v>
      </c>
      <c r="H1303" t="s">
        <v>19</v>
      </c>
      <c r="I1303" s="11">
        <v>9</v>
      </c>
      <c r="J1303" t="str">
        <f>IF(I1303="","",IFERROR(IF(INDEX([1]ListadoFichasDeProduccion!LQ:MB,MATCH(A1303,[1]ListadoFichasDeProduccion!A:A,0),K1303)=0,"",INDEX([1]ListadoFichasDeProduccion!LQ:MB,MATCH(A1303,[1]ListadoFichasDeProduccion!A:A,0),K1303)),""))</f>
        <v/>
      </c>
      <c r="K1303" s="11">
        <v>5</v>
      </c>
    </row>
    <row r="1304" spans="1:11" hidden="1" x14ac:dyDescent="0.3">
      <c r="A1304" s="11">
        <v>1868</v>
      </c>
      <c r="B1304" s="8" t="str">
        <f>VLOOKUP(A1304,[1]ListadoFichasDeProduccion!$A$2:$LP$3000,328,FALSE)</f>
        <v>COMPLETADO</v>
      </c>
      <c r="C1304" s="11">
        <v>53</v>
      </c>
      <c r="D1304" t="s">
        <v>11</v>
      </c>
      <c r="E1304" t="s">
        <v>152</v>
      </c>
      <c r="F1304" t="s">
        <v>153</v>
      </c>
      <c r="G1304" s="9">
        <v>45838</v>
      </c>
      <c r="H1304" t="s">
        <v>190</v>
      </c>
      <c r="I1304" s="11">
        <v>14</v>
      </c>
      <c r="J1304" t="str">
        <f>IF(I1304="","",IFERROR(IF(INDEX([1]ListadoFichasDeProduccion!LQ:MB,MATCH(A1304,[1]ListadoFichasDeProduccion!A:A,0),K1304)=0,"",INDEX([1]ListadoFichasDeProduccion!LQ:MB,MATCH(A1304,[1]ListadoFichasDeProduccion!A:A,0),K1304)),""))</f>
        <v/>
      </c>
      <c r="K1304" s="11">
        <v>6</v>
      </c>
    </row>
    <row r="1305" spans="1:11" hidden="1" x14ac:dyDescent="0.3">
      <c r="A1305" s="11" t="s">
        <v>268</v>
      </c>
      <c r="B1305" s="8" t="str">
        <f>VLOOKUP(A1305,[1]ListadoFichasDeProduccion!$A$2:$LP$3000,328,FALSE)</f>
        <v>COMPLETADO</v>
      </c>
      <c r="C1305" s="11">
        <v>38</v>
      </c>
      <c r="D1305" t="s">
        <v>11</v>
      </c>
      <c r="E1305" t="s">
        <v>152</v>
      </c>
      <c r="F1305" t="s">
        <v>153</v>
      </c>
      <c r="G1305" s="9">
        <v>45869</v>
      </c>
      <c r="H1305" t="s">
        <v>19</v>
      </c>
      <c r="I1305" s="11">
        <v>12</v>
      </c>
      <c r="J1305" t="str">
        <f>IF(I1305="","",IFERROR(IF(INDEX([1]ListadoFichasDeProduccion!LQ:MB,MATCH(A1305,[1]ListadoFichasDeProduccion!A:A,0),K1305)=0,"",INDEX([1]ListadoFichasDeProduccion!LQ:MB,MATCH(A1305,[1]ListadoFichasDeProduccion!A:A,0),K1305)),""))</f>
        <v/>
      </c>
      <c r="K1305" s="11">
        <v>1</v>
      </c>
    </row>
    <row r="1306" spans="1:11" hidden="1" x14ac:dyDescent="0.3">
      <c r="A1306" s="11" t="s">
        <v>268</v>
      </c>
      <c r="B1306" s="8" t="str">
        <f>VLOOKUP(A1306,[1]ListadoFichasDeProduccion!$A$2:$LP$3000,328,FALSE)</f>
        <v>COMPLETADO</v>
      </c>
      <c r="C1306" s="11">
        <v>38</v>
      </c>
      <c r="D1306" t="s">
        <v>11</v>
      </c>
      <c r="E1306" t="s">
        <v>152</v>
      </c>
      <c r="F1306" t="s">
        <v>153</v>
      </c>
      <c r="G1306" s="9">
        <v>45869</v>
      </c>
      <c r="H1306" t="s">
        <v>123</v>
      </c>
      <c r="I1306" s="11">
        <v>14</v>
      </c>
      <c r="J1306" t="str">
        <f>IF(I1306="","",IFERROR(IF(INDEX([1]ListadoFichasDeProduccion!LQ:MB,MATCH(A1306,[1]ListadoFichasDeProduccion!A:A,0),K1306)=0,"",INDEX([1]ListadoFichasDeProduccion!LQ:MB,MATCH(A1306,[1]ListadoFichasDeProduccion!A:A,0),K1306)),""))</f>
        <v/>
      </c>
      <c r="K1306" s="11">
        <v>2</v>
      </c>
    </row>
    <row r="1307" spans="1:11" hidden="1" x14ac:dyDescent="0.3">
      <c r="A1307" s="11" t="s">
        <v>268</v>
      </c>
      <c r="B1307" s="8" t="str">
        <f>VLOOKUP(A1307,[1]ListadoFichasDeProduccion!$A$2:$LP$3000,328,FALSE)</f>
        <v>COMPLETADO</v>
      </c>
      <c r="C1307" s="11">
        <v>38</v>
      </c>
      <c r="D1307" t="s">
        <v>11</v>
      </c>
      <c r="E1307" t="s">
        <v>152</v>
      </c>
      <c r="F1307" t="s">
        <v>153</v>
      </c>
      <c r="G1307" s="9">
        <v>45869</v>
      </c>
      <c r="H1307" t="s">
        <v>35</v>
      </c>
      <c r="I1307" s="11">
        <v>4</v>
      </c>
      <c r="J1307" t="str">
        <f>IF(I1307="","",IFERROR(IF(INDEX([1]ListadoFichasDeProduccion!LQ:MB,MATCH(A1307,[1]ListadoFichasDeProduccion!A:A,0),K1307)=0,"",INDEX([1]ListadoFichasDeProduccion!LQ:MB,MATCH(A1307,[1]ListadoFichasDeProduccion!A:A,0),K1307)),""))</f>
        <v/>
      </c>
      <c r="K1307" s="11">
        <v>3</v>
      </c>
    </row>
    <row r="1308" spans="1:11" hidden="1" x14ac:dyDescent="0.3">
      <c r="A1308" s="11" t="s">
        <v>268</v>
      </c>
      <c r="B1308" s="8" t="str">
        <f>VLOOKUP(A1308,[1]ListadoFichasDeProduccion!$A$2:$LP$3000,328,FALSE)</f>
        <v>COMPLETADO</v>
      </c>
      <c r="C1308" s="11">
        <v>38</v>
      </c>
      <c r="D1308" t="s">
        <v>11</v>
      </c>
      <c r="E1308" t="s">
        <v>152</v>
      </c>
      <c r="F1308" t="s">
        <v>153</v>
      </c>
      <c r="G1308" s="9">
        <v>45869</v>
      </c>
      <c r="H1308" t="s">
        <v>22</v>
      </c>
      <c r="I1308" s="11">
        <v>8</v>
      </c>
      <c r="J1308" t="str">
        <f>IF(I1308="","",IFERROR(IF(INDEX([1]ListadoFichasDeProduccion!LQ:MB,MATCH(A1308,[1]ListadoFichasDeProduccion!A:A,0),K1308)=0,"",INDEX([1]ListadoFichasDeProduccion!LQ:MB,MATCH(A1308,[1]ListadoFichasDeProduccion!A:A,0),K1308)),""))</f>
        <v/>
      </c>
      <c r="K1308" s="11">
        <v>4</v>
      </c>
    </row>
    <row r="1309" spans="1:11" hidden="1" x14ac:dyDescent="0.3">
      <c r="A1309" s="11">
        <v>1936</v>
      </c>
      <c r="B1309" t="str">
        <f>VLOOKUP(A1309,[1]ListadoFichasDeProduccion!$A$2:$LP$3000,328,FALSE)</f>
        <v>COMPLETADO</v>
      </c>
      <c r="C1309" s="11">
        <v>6</v>
      </c>
      <c r="D1309" t="s">
        <v>11</v>
      </c>
      <c r="E1309" t="s">
        <v>152</v>
      </c>
      <c r="F1309" t="s">
        <v>153</v>
      </c>
      <c r="G1309" s="9">
        <v>45884</v>
      </c>
      <c r="H1309" t="s">
        <v>272</v>
      </c>
      <c r="I1309" s="11">
        <v>6</v>
      </c>
      <c r="J1309" t="str">
        <f>IF(I1309="","",IFERROR(IF(INDEX([1]ListadoFichasDeProduccion!LQ:MB,MATCH(A1309,[1]ListadoFichasDeProduccion!A:A,0),K1309)=0,"",INDEX([1]ListadoFichasDeProduccion!LQ:MB,MATCH(A1309,[1]ListadoFichasDeProduccion!A:A,0),K1309)),""))</f>
        <v/>
      </c>
      <c r="K1309" s="11">
        <v>1</v>
      </c>
    </row>
    <row r="1310" spans="1:11" hidden="1" x14ac:dyDescent="0.3">
      <c r="A1310" s="11" t="s">
        <v>307</v>
      </c>
      <c r="B1310" t="str">
        <f>VLOOKUP(A1310,[1]ListadoFichasDeProduccion!$A$2:$LP$3000,328,FALSE)</f>
        <v>COMPLETADO</v>
      </c>
      <c r="C1310" s="11">
        <v>9</v>
      </c>
      <c r="D1310" t="s">
        <v>11</v>
      </c>
      <c r="E1310" t="s">
        <v>152</v>
      </c>
      <c r="F1310" t="s">
        <v>153</v>
      </c>
      <c r="G1310" s="9">
        <v>45912</v>
      </c>
      <c r="H1310" t="s">
        <v>305</v>
      </c>
      <c r="I1310" s="11">
        <v>9</v>
      </c>
      <c r="J1310" t="str">
        <f>IF(I1310="","",IFERROR(IF(INDEX([1]ListadoFichasDeProduccion!LQ:MB,MATCH(A1310,[1]ListadoFichasDeProduccion!A:A,0),K1310)=0,"",INDEX([1]ListadoFichasDeProduccion!LQ:MB,MATCH(A1310,[1]ListadoFichasDeProduccion!A:A,0),K1310)),""))</f>
        <v xml:space="preserve"> NOBUCK DE NAPOLITANA USAR EL DESCARNE DEL LADO DEL FRENTE DE LA CARTERA !!!</v>
      </c>
      <c r="K1310" s="11">
        <v>1</v>
      </c>
    </row>
    <row r="1311" spans="1:11" hidden="1" x14ac:dyDescent="0.3">
      <c r="A1311" s="11" t="s">
        <v>341</v>
      </c>
      <c r="B1311" t="str">
        <f>VLOOKUP(A1311,[1]ListadoFichasDeProduccion!$A$2:$LP$3000,328,FALSE)</f>
        <v>COMPLETADO</v>
      </c>
      <c r="C1311" s="11">
        <v>6</v>
      </c>
      <c r="D1311" t="s">
        <v>11</v>
      </c>
      <c r="E1311" t="s">
        <v>152</v>
      </c>
      <c r="F1311" t="s">
        <v>153</v>
      </c>
      <c r="G1311" s="9">
        <v>45891</v>
      </c>
      <c r="H1311" t="s">
        <v>342</v>
      </c>
      <c r="I1311" s="11">
        <v>6</v>
      </c>
      <c r="J1311" t="str">
        <f>IF(I1311="","",IFERROR(IF(INDEX([1]ListadoFichasDeProduccion!LQ:MB,MATCH(A1311,[1]ListadoFichasDeProduccion!A:A,0),K1311)=0,"",INDEX([1]ListadoFichasDeProduccion!LQ:MB,MATCH(A1311,[1]ListadoFichasDeProduccion!A:A,0),K1311)),""))</f>
        <v/>
      </c>
      <c r="K1311" s="11">
        <v>1</v>
      </c>
    </row>
    <row r="1312" spans="1:11" hidden="1" x14ac:dyDescent="0.3">
      <c r="A1312" s="11" t="s">
        <v>351</v>
      </c>
      <c r="B1312" t="str">
        <f>VLOOKUP(A1312,[1]ListadoFichasDeProduccion!$A$2:$LP$3000,328,FALSE)</f>
        <v>COMPLETADO</v>
      </c>
      <c r="C1312" s="11">
        <v>45</v>
      </c>
      <c r="D1312" t="s">
        <v>11</v>
      </c>
      <c r="E1312" t="s">
        <v>152</v>
      </c>
      <c r="F1312" t="s">
        <v>153</v>
      </c>
      <c r="G1312" s="9">
        <v>45919</v>
      </c>
      <c r="H1312" t="s">
        <v>113</v>
      </c>
      <c r="I1312" s="11">
        <v>6</v>
      </c>
      <c r="J1312" t="str">
        <f>IF(I1312="","",IFERROR(IF(INDEX([1]ListadoFichasDeProduccion!LQ:MB,MATCH(A1312,[1]ListadoFichasDeProduccion!A:A,0),K1312)=0,"",INDEX([1]ListadoFichasDeProduccion!LQ:MB,MATCH(A1312,[1]ListadoFichasDeProduccion!A:A,0),K1312)),""))</f>
        <v/>
      </c>
      <c r="K1312" s="11">
        <v>1</v>
      </c>
    </row>
    <row r="1313" spans="1:11" hidden="1" x14ac:dyDescent="0.3">
      <c r="A1313" s="11" t="s">
        <v>351</v>
      </c>
      <c r="B1313" t="str">
        <f>VLOOKUP(A1313,[1]ListadoFichasDeProduccion!$A$2:$LP$3000,328,FALSE)</f>
        <v>COMPLETADO</v>
      </c>
      <c r="C1313" s="11">
        <v>45</v>
      </c>
      <c r="D1313" t="s">
        <v>11</v>
      </c>
      <c r="E1313" t="s">
        <v>152</v>
      </c>
      <c r="F1313" t="s">
        <v>153</v>
      </c>
      <c r="G1313" s="9">
        <v>45919</v>
      </c>
      <c r="H1313" t="s">
        <v>342</v>
      </c>
      <c r="I1313" s="11">
        <v>12</v>
      </c>
      <c r="J1313" t="str">
        <f>IF(I1313="","",IFERROR(IF(INDEX([1]ListadoFichasDeProduccion!LQ:MB,MATCH(A1313,[1]ListadoFichasDeProduccion!A:A,0),K1313)=0,"",INDEX([1]ListadoFichasDeProduccion!LQ:MB,MATCH(A1313,[1]ListadoFichasDeProduccion!A:A,0),K1313)),""))</f>
        <v xml:space="preserve"> NOBUCK DE NAPOLITANA USAR EL DESCARNE DEL LADO DEL FRENTE DE LA CARTERA!!!</v>
      </c>
      <c r="K1313" s="11">
        <v>2</v>
      </c>
    </row>
    <row r="1314" spans="1:11" hidden="1" x14ac:dyDescent="0.3">
      <c r="A1314" s="11" t="s">
        <v>351</v>
      </c>
      <c r="B1314" t="str">
        <f>VLOOKUP(A1314,[1]ListadoFichasDeProduccion!$A$2:$LP$3000,328,FALSE)</f>
        <v>COMPLETADO</v>
      </c>
      <c r="C1314" s="11">
        <v>45</v>
      </c>
      <c r="D1314" t="s">
        <v>11</v>
      </c>
      <c r="E1314" t="s">
        <v>152</v>
      </c>
      <c r="F1314" t="s">
        <v>153</v>
      </c>
      <c r="G1314" s="9">
        <v>45919</v>
      </c>
      <c r="H1314" t="s">
        <v>35</v>
      </c>
      <c r="I1314" s="11">
        <v>9</v>
      </c>
      <c r="J1314" t="str">
        <f>IF(I1314="","",IFERROR(IF(INDEX([1]ListadoFichasDeProduccion!LQ:MB,MATCH(A1314,[1]ListadoFichasDeProduccion!A:A,0),K1314)=0,"",INDEX([1]ListadoFichasDeProduccion!LQ:MB,MATCH(A1314,[1]ListadoFichasDeProduccion!A:A,0),K1314)),""))</f>
        <v/>
      </c>
      <c r="K1314" s="11">
        <v>3</v>
      </c>
    </row>
    <row r="1315" spans="1:11" hidden="1" x14ac:dyDescent="0.3">
      <c r="A1315" s="11" t="s">
        <v>351</v>
      </c>
      <c r="B1315" t="str">
        <f>VLOOKUP(A1315,[1]ListadoFichasDeProduccion!$A$2:$LP$3000,328,FALSE)</f>
        <v>COMPLETADO</v>
      </c>
      <c r="C1315" s="11">
        <v>45</v>
      </c>
      <c r="D1315" t="s">
        <v>11</v>
      </c>
      <c r="E1315" t="s">
        <v>152</v>
      </c>
      <c r="F1315" t="s">
        <v>153</v>
      </c>
      <c r="G1315" s="9">
        <v>45919</v>
      </c>
      <c r="H1315" t="s">
        <v>39</v>
      </c>
      <c r="I1315" s="11">
        <v>18</v>
      </c>
      <c r="J1315" t="str">
        <f>IF(I1315="","",IFERROR(IF(INDEX([1]ListadoFichasDeProduccion!LQ:MB,MATCH(A1315,[1]ListadoFichasDeProduccion!A:A,0),K1315)=0,"",INDEX([1]ListadoFichasDeProduccion!LQ:MB,MATCH(A1315,[1]ListadoFichasDeProduccion!A:A,0),K1315)),""))</f>
        <v/>
      </c>
      <c r="K1315" s="11">
        <v>4</v>
      </c>
    </row>
    <row r="1316" spans="1:11" hidden="1" x14ac:dyDescent="0.3">
      <c r="A1316" s="11" t="s">
        <v>442</v>
      </c>
      <c r="B1316" t="str">
        <f>VLOOKUP(A1316,[1]ListadoFichasDeProduccion!$A$2:$LP$3000,328,FALSE)</f>
        <v>COMPLETADO</v>
      </c>
      <c r="C1316" s="11">
        <v>6</v>
      </c>
      <c r="D1316" t="s">
        <v>11</v>
      </c>
      <c r="E1316" t="s">
        <v>152</v>
      </c>
      <c r="F1316" t="s">
        <v>153</v>
      </c>
      <c r="G1316" s="9">
        <v>45959</v>
      </c>
      <c r="H1316" t="s">
        <v>305</v>
      </c>
      <c r="I1316" s="11">
        <v>6</v>
      </c>
      <c r="J1316" t="str">
        <f>IF(I1316="","",IFERROR(IF(INDEX([1]ListadoFichasDeProduccion!LQ:MB,MATCH(A1316,[1]ListadoFichasDeProduccion!A:A,0),K1316)=0,"",INDEX([1]ListadoFichasDeProduccion!LQ:MB,MATCH(A1316,[1]ListadoFichasDeProduccion!A:A,0),K1316)),""))</f>
        <v/>
      </c>
      <c r="K1316" s="11">
        <v>1</v>
      </c>
    </row>
    <row r="1317" spans="1:11" x14ac:dyDescent="0.3">
      <c r="A1317" s="11" t="s">
        <v>507</v>
      </c>
      <c r="B1317" t="str">
        <f>VLOOKUP(A1317,[1]ListadoFichasDeProduccion!$A$2:$LP$3000,328,FALSE)</f>
        <v>NO COMENZADO</v>
      </c>
      <c r="C1317" s="11">
        <v>100</v>
      </c>
      <c r="D1317" t="s">
        <v>11</v>
      </c>
      <c r="E1317" t="s">
        <v>152</v>
      </c>
      <c r="F1317" t="s">
        <v>153</v>
      </c>
      <c r="G1317" s="9">
        <v>45988</v>
      </c>
      <c r="H1317" t="s">
        <v>39</v>
      </c>
      <c r="I1317" s="11">
        <v>30</v>
      </c>
      <c r="J1317" t="str">
        <f>IF(I1317="","",IFERROR(IF(INDEX([1]ListadoFichasDeProduccion!LQ:MB,MATCH(A1317,[1]ListadoFichasDeProduccion!A:A,0),K1317)=0,"",INDEX([1]ListadoFichasDeProduccion!LQ:MB,MATCH(A1317,[1]ListadoFichasDeProduccion!A:A,0),K1317)),""))</f>
        <v/>
      </c>
      <c r="K1317" s="11">
        <v>1</v>
      </c>
    </row>
    <row r="1318" spans="1:11" x14ac:dyDescent="0.3">
      <c r="A1318" s="11" t="s">
        <v>507</v>
      </c>
      <c r="B1318" t="str">
        <f>VLOOKUP(A1318,[1]ListadoFichasDeProduccion!$A$2:$LP$3000,328,FALSE)</f>
        <v>NO COMENZADO</v>
      </c>
      <c r="C1318" s="11">
        <v>100</v>
      </c>
      <c r="D1318" t="s">
        <v>11</v>
      </c>
      <c r="E1318" t="s">
        <v>152</v>
      </c>
      <c r="F1318" t="s">
        <v>153</v>
      </c>
      <c r="G1318" s="9">
        <v>45988</v>
      </c>
      <c r="H1318" t="s">
        <v>35</v>
      </c>
      <c r="I1318" s="11">
        <v>30</v>
      </c>
      <c r="J1318" t="str">
        <f>IF(I1318="","",IFERROR(IF(INDEX([1]ListadoFichasDeProduccion!LQ:MB,MATCH(A1318,[1]ListadoFichasDeProduccion!A:A,0),K1318)=0,"",INDEX([1]ListadoFichasDeProduccion!LQ:MB,MATCH(A1318,[1]ListadoFichasDeProduccion!A:A,0),K1318)),""))</f>
        <v/>
      </c>
      <c r="K1318" s="11">
        <v>2</v>
      </c>
    </row>
    <row r="1319" spans="1:11" x14ac:dyDescent="0.3">
      <c r="A1319" s="11" t="s">
        <v>507</v>
      </c>
      <c r="B1319" t="str">
        <f>VLOOKUP(A1319,[1]ListadoFichasDeProduccion!$A$2:$LP$3000,328,FALSE)</f>
        <v>NO COMENZADO</v>
      </c>
      <c r="C1319" s="11">
        <v>100</v>
      </c>
      <c r="D1319" t="s">
        <v>11</v>
      </c>
      <c r="E1319" t="s">
        <v>152</v>
      </c>
      <c r="F1319" t="s">
        <v>153</v>
      </c>
      <c r="G1319" s="9">
        <v>45988</v>
      </c>
      <c r="H1319" t="s">
        <v>305</v>
      </c>
      <c r="I1319" s="11">
        <v>30</v>
      </c>
      <c r="J1319" t="str">
        <f>IF(I1319="","",IFERROR(IF(INDEX([1]ListadoFichasDeProduccion!LQ:MB,MATCH(A1319,[1]ListadoFichasDeProduccion!A:A,0),K1319)=0,"",INDEX([1]ListadoFichasDeProduccion!LQ:MB,MATCH(A1319,[1]ListadoFichasDeProduccion!A:A,0),K1319)),""))</f>
        <v/>
      </c>
      <c r="K1319" s="11">
        <v>3</v>
      </c>
    </row>
    <row r="1320" spans="1:11" x14ac:dyDescent="0.3">
      <c r="A1320" s="11" t="s">
        <v>507</v>
      </c>
      <c r="B1320" t="str">
        <f>VLOOKUP(A1320,[1]ListadoFichasDeProduccion!$A$2:$LP$3000,328,FALSE)</f>
        <v>NO COMENZADO</v>
      </c>
      <c r="C1320" s="11">
        <v>100</v>
      </c>
      <c r="D1320" t="s">
        <v>11</v>
      </c>
      <c r="E1320" t="s">
        <v>152</v>
      </c>
      <c r="F1320" t="s">
        <v>153</v>
      </c>
      <c r="G1320" s="9">
        <v>45988</v>
      </c>
      <c r="H1320" t="s">
        <v>56</v>
      </c>
      <c r="I1320" s="11">
        <v>10</v>
      </c>
      <c r="J1320" t="str">
        <f>IF(I1320="","",IFERROR(IF(INDEX([1]ListadoFichasDeProduccion!LQ:MB,MATCH(A1320,[1]ListadoFichasDeProduccion!A:A,0),K1320)=0,"",INDEX([1]ListadoFichasDeProduccion!LQ:MB,MATCH(A1320,[1]ListadoFichasDeProduccion!A:A,0),K1320)),""))</f>
        <v/>
      </c>
      <c r="K1320" s="11">
        <v>4</v>
      </c>
    </row>
    <row r="1321" spans="1:11" x14ac:dyDescent="0.3">
      <c r="A1321" s="11" t="s">
        <v>507</v>
      </c>
      <c r="B1321" t="str">
        <f>VLOOKUP(A1321,[1]ListadoFichasDeProduccion!$A$2:$LP$3000,328,FALSE)</f>
        <v>NO COMENZADO</v>
      </c>
      <c r="C1321" s="11">
        <v>100</v>
      </c>
      <c r="D1321" t="s">
        <v>11</v>
      </c>
      <c r="E1321" t="s">
        <v>152</v>
      </c>
      <c r="F1321" t="s">
        <v>153</v>
      </c>
      <c r="G1321" s="9">
        <v>45988</v>
      </c>
      <c r="H1321" t="s">
        <v>242</v>
      </c>
      <c r="I1321" s="11">
        <v>0</v>
      </c>
      <c r="J1321" t="str">
        <f>IF(I1321="","",IFERROR(IF(INDEX([1]ListadoFichasDeProduccion!LQ:MB,MATCH(A1321,[1]ListadoFichasDeProduccion!A:A,0),K1321)=0,"",INDEX([1]ListadoFichasDeProduccion!LQ:MB,MATCH(A1321,[1]ListadoFichasDeProduccion!A:A,0),K1321)),""))</f>
        <v/>
      </c>
      <c r="K1321" s="11">
        <v>5</v>
      </c>
    </row>
    <row r="1322" spans="1:11" hidden="1" x14ac:dyDescent="0.3">
      <c r="A1322" s="7">
        <v>1584</v>
      </c>
      <c r="B1322" s="8" t="str">
        <f>VLOOKUP(A1322,[1]ListadoFichasDeProduccion!$A$2:$LP$3000,328,FALSE)</f>
        <v>COMPLETADO</v>
      </c>
      <c r="C1322" s="7">
        <v>20</v>
      </c>
      <c r="D1322" t="s">
        <v>11</v>
      </c>
      <c r="E1322" t="s">
        <v>16</v>
      </c>
      <c r="F1322" s="9" t="s">
        <v>17</v>
      </c>
      <c r="G1322" s="10">
        <v>45670</v>
      </c>
      <c r="H1322" t="s">
        <v>18</v>
      </c>
      <c r="I1322" s="11">
        <v>8</v>
      </c>
      <c r="J1322" t="str">
        <f>IF(I1322="","",IFERROR(IF(INDEX([1]ListadoFichasDeProduccion!LQ:MB,MATCH(A1322,[1]ListadoFichasDeProduccion!A:A,0),K1322)=0,"",INDEX([1]ListadoFichasDeProduccion!LQ:MB,MATCH(A1322,[1]ListadoFichasDeProduccion!A:A,0),K1322)),""))</f>
        <v/>
      </c>
      <c r="K1322" s="11">
        <v>1</v>
      </c>
    </row>
    <row r="1323" spans="1:11" hidden="1" x14ac:dyDescent="0.3">
      <c r="A1323" s="11">
        <v>1584</v>
      </c>
      <c r="B1323" s="8" t="str">
        <f>VLOOKUP(A1323,[1]ListadoFichasDeProduccion!$A$2:$LP$3000,328,FALSE)</f>
        <v>COMPLETADO</v>
      </c>
      <c r="C1323" s="11">
        <v>20</v>
      </c>
      <c r="D1323" t="s">
        <v>11</v>
      </c>
      <c r="E1323" t="s">
        <v>16</v>
      </c>
      <c r="F1323" s="9" t="s">
        <v>17</v>
      </c>
      <c r="G1323" s="9">
        <v>45670</v>
      </c>
      <c r="H1323" t="s">
        <v>19</v>
      </c>
      <c r="I1323" s="11">
        <v>12</v>
      </c>
      <c r="J1323" t="str">
        <f>IF(I1323="","",IFERROR(IF(INDEX([1]ListadoFichasDeProduccion!LQ:MB,MATCH(A1323,[1]ListadoFichasDeProduccion!A:A,0),K1323)=0,"",INDEX([1]ListadoFichasDeProduccion!LQ:MB,MATCH(A1323,[1]ListadoFichasDeProduccion!A:A,0),K1323)),""))</f>
        <v/>
      </c>
      <c r="K1323" s="11">
        <v>2</v>
      </c>
    </row>
    <row r="1324" spans="1:11" hidden="1" x14ac:dyDescent="0.3">
      <c r="A1324" s="11">
        <v>1707</v>
      </c>
      <c r="B1324" s="8" t="str">
        <f>VLOOKUP(A1324,[1]ListadoFichasDeProduccion!$A$2:$LP$3000,328,FALSE)</f>
        <v>COMPLETADO</v>
      </c>
      <c r="C1324" s="11">
        <v>78</v>
      </c>
      <c r="D1324" t="s">
        <v>11</v>
      </c>
      <c r="E1324" t="s">
        <v>16</v>
      </c>
      <c r="F1324" t="s">
        <v>17</v>
      </c>
      <c r="G1324" s="9">
        <v>45741</v>
      </c>
      <c r="H1324" t="s">
        <v>19</v>
      </c>
      <c r="I1324" s="11">
        <v>12</v>
      </c>
      <c r="J1324" t="str">
        <f>IF(I1324="","",IFERROR(IF(INDEX([1]ListadoFichasDeProduccion!LQ:MB,MATCH(A1324,[1]ListadoFichasDeProduccion!A:A,0),K1324)=0,"",INDEX([1]ListadoFichasDeProduccion!LQ:MB,MATCH(A1324,[1]ListadoFichasDeProduccion!A:A,0),K1324)),""))</f>
        <v/>
      </c>
      <c r="K1324" s="11">
        <v>1</v>
      </c>
    </row>
    <row r="1325" spans="1:11" hidden="1" x14ac:dyDescent="0.3">
      <c r="A1325" s="11">
        <v>1707</v>
      </c>
      <c r="B1325" s="8" t="str">
        <f>VLOOKUP(A1325,[1]ListadoFichasDeProduccion!$A$2:$LP$3000,328,FALSE)</f>
        <v>COMPLETADO</v>
      </c>
      <c r="C1325" s="11">
        <v>78</v>
      </c>
      <c r="D1325" t="s">
        <v>11</v>
      </c>
      <c r="E1325" t="s">
        <v>16</v>
      </c>
      <c r="F1325" t="s">
        <v>17</v>
      </c>
      <c r="G1325" s="9">
        <v>45741</v>
      </c>
      <c r="H1325" t="s">
        <v>123</v>
      </c>
      <c r="I1325" s="11">
        <v>12</v>
      </c>
      <c r="J1325" t="str">
        <f>IF(I1325="","",IFERROR(IF(INDEX([1]ListadoFichasDeProduccion!LQ:MB,MATCH(A1325,[1]ListadoFichasDeProduccion!A:A,0),K1325)=0,"",INDEX([1]ListadoFichasDeProduccion!LQ:MB,MATCH(A1325,[1]ListadoFichasDeProduccion!A:A,0),K1325)),""))</f>
        <v/>
      </c>
      <c r="K1325" s="11">
        <v>2</v>
      </c>
    </row>
    <row r="1326" spans="1:11" hidden="1" x14ac:dyDescent="0.3">
      <c r="A1326" s="11">
        <v>1707</v>
      </c>
      <c r="B1326" s="8" t="str">
        <f>VLOOKUP(A1326,[1]ListadoFichasDeProduccion!$A$2:$LP$3000,328,FALSE)</f>
        <v>COMPLETADO</v>
      </c>
      <c r="C1326" s="11">
        <v>78</v>
      </c>
      <c r="D1326" t="s">
        <v>11</v>
      </c>
      <c r="E1326" t="s">
        <v>16</v>
      </c>
      <c r="F1326" t="s">
        <v>17</v>
      </c>
      <c r="G1326" s="9">
        <v>45741</v>
      </c>
      <c r="H1326" t="s">
        <v>35</v>
      </c>
      <c r="I1326" s="11">
        <v>12</v>
      </c>
      <c r="J1326" t="str">
        <f>IF(I1326="","",IFERROR(IF(INDEX([1]ListadoFichasDeProduccion!LQ:MB,MATCH(A1326,[1]ListadoFichasDeProduccion!A:A,0),K1326)=0,"",INDEX([1]ListadoFichasDeProduccion!LQ:MB,MATCH(A1326,[1]ListadoFichasDeProduccion!A:A,0),K1326)),""))</f>
        <v/>
      </c>
      <c r="K1326" s="11">
        <v>3</v>
      </c>
    </row>
    <row r="1327" spans="1:11" hidden="1" x14ac:dyDescent="0.3">
      <c r="A1327" s="11">
        <v>1707</v>
      </c>
      <c r="B1327" s="8" t="str">
        <f>VLOOKUP(A1327,[1]ListadoFichasDeProduccion!$A$2:$LP$3000,328,FALSE)</f>
        <v>COMPLETADO</v>
      </c>
      <c r="C1327" s="11">
        <v>78</v>
      </c>
      <c r="D1327" t="s">
        <v>11</v>
      </c>
      <c r="E1327" t="s">
        <v>16</v>
      </c>
      <c r="F1327" t="s">
        <v>17</v>
      </c>
      <c r="G1327" s="9">
        <v>45741</v>
      </c>
      <c r="H1327" t="s">
        <v>24</v>
      </c>
      <c r="I1327" s="11">
        <v>12</v>
      </c>
      <c r="J1327" t="str">
        <f>IF(I1327="","",IFERROR(IF(INDEX([1]ListadoFichasDeProduccion!LQ:MB,MATCH(A1327,[1]ListadoFichasDeProduccion!A:A,0),K1327)=0,"",INDEX([1]ListadoFichasDeProduccion!LQ:MB,MATCH(A1327,[1]ListadoFichasDeProduccion!A:A,0),K1327)),""))</f>
        <v/>
      </c>
      <c r="K1327" s="11">
        <v>4</v>
      </c>
    </row>
    <row r="1328" spans="1:11" hidden="1" x14ac:dyDescent="0.3">
      <c r="A1328" s="11">
        <v>1707</v>
      </c>
      <c r="B1328" s="8" t="str">
        <f>VLOOKUP(A1328,[1]ListadoFichasDeProduccion!$A$2:$LP$3000,328,FALSE)</f>
        <v>COMPLETADO</v>
      </c>
      <c r="C1328" s="11">
        <v>78</v>
      </c>
      <c r="D1328" t="s">
        <v>11</v>
      </c>
      <c r="E1328" t="s">
        <v>16</v>
      </c>
      <c r="F1328" t="s">
        <v>17</v>
      </c>
      <c r="G1328" s="9">
        <v>45741</v>
      </c>
      <c r="H1328" t="s">
        <v>18</v>
      </c>
      <c r="I1328" s="11">
        <v>6</v>
      </c>
      <c r="J1328" t="str">
        <f>IF(I1328="","",IFERROR(IF(INDEX([1]ListadoFichasDeProduccion!LQ:MB,MATCH(A1328,[1]ListadoFichasDeProduccion!A:A,0),K1328)=0,"",INDEX([1]ListadoFichasDeProduccion!LQ:MB,MATCH(A1328,[1]ListadoFichasDeProduccion!A:A,0),K1328)),""))</f>
        <v/>
      </c>
      <c r="K1328" s="11">
        <v>5</v>
      </c>
    </row>
    <row r="1329" spans="1:11" hidden="1" x14ac:dyDescent="0.3">
      <c r="A1329" s="11">
        <v>1707</v>
      </c>
      <c r="B1329" s="8" t="str">
        <f>VLOOKUP(A1329,[1]ListadoFichasDeProduccion!$A$2:$LP$3000,328,FALSE)</f>
        <v>COMPLETADO</v>
      </c>
      <c r="C1329" s="11">
        <v>78</v>
      </c>
      <c r="D1329" t="s">
        <v>11</v>
      </c>
      <c r="E1329" t="s">
        <v>16</v>
      </c>
      <c r="F1329" t="s">
        <v>17</v>
      </c>
      <c r="G1329" s="9">
        <v>45741</v>
      </c>
      <c r="H1329" t="s">
        <v>130</v>
      </c>
      <c r="I1329" s="11">
        <v>18</v>
      </c>
      <c r="J1329" t="str">
        <f>IF(I1329="","",IFERROR(IF(INDEX([1]ListadoFichasDeProduccion!LQ:MB,MATCH(A1329,[1]ListadoFichasDeProduccion!A:A,0),K1329)=0,"",INDEX([1]ListadoFichasDeProduccion!LQ:MB,MATCH(A1329,[1]ListadoFichasDeProduccion!A:A,0),K1329)),""))</f>
        <v/>
      </c>
      <c r="K1329" s="11">
        <v>6</v>
      </c>
    </row>
    <row r="1330" spans="1:11" hidden="1" x14ac:dyDescent="0.3">
      <c r="A1330" s="11">
        <v>1707</v>
      </c>
      <c r="B1330" s="8" t="str">
        <f>VLOOKUP(A1330,[1]ListadoFichasDeProduccion!$A$2:$LP$3000,328,FALSE)</f>
        <v>COMPLETADO</v>
      </c>
      <c r="C1330" s="11">
        <v>78</v>
      </c>
      <c r="D1330" t="s">
        <v>11</v>
      </c>
      <c r="E1330" t="s">
        <v>16</v>
      </c>
      <c r="F1330" t="s">
        <v>17</v>
      </c>
      <c r="G1330" s="9">
        <v>45741</v>
      </c>
      <c r="H1330" t="s">
        <v>131</v>
      </c>
      <c r="I1330" s="11">
        <v>6</v>
      </c>
      <c r="J1330" t="str">
        <f>IF(I1330="","",IFERROR(IF(INDEX([1]ListadoFichasDeProduccion!LQ:MB,MATCH(A1330,[1]ListadoFichasDeProduccion!A:A,0),K1330)=0,"",INDEX([1]ListadoFichasDeProduccion!LQ:MB,MATCH(A1330,[1]ListadoFichasDeProduccion!A:A,0),K1330)),""))</f>
        <v/>
      </c>
      <c r="K1330" s="11">
        <v>7</v>
      </c>
    </row>
    <row r="1331" spans="1:11" hidden="1" x14ac:dyDescent="0.3">
      <c r="A1331" s="11">
        <v>1719</v>
      </c>
      <c r="B1331" s="8" t="str">
        <f>VLOOKUP(A1331,[1]ListadoFichasDeProduccion!$A$2:$LP$3000,328,FALSE)</f>
        <v>COMPLETADO</v>
      </c>
      <c r="C1331" s="11">
        <v>48</v>
      </c>
      <c r="D1331" t="s">
        <v>11</v>
      </c>
      <c r="E1331" t="s">
        <v>16</v>
      </c>
      <c r="F1331" t="s">
        <v>17</v>
      </c>
      <c r="G1331" s="9">
        <v>45747</v>
      </c>
      <c r="H1331" t="s">
        <v>19</v>
      </c>
      <c r="I1331" s="11">
        <v>8</v>
      </c>
      <c r="J1331" t="str">
        <f>IF(I1331="","",IFERROR(IF(INDEX([1]ListadoFichasDeProduccion!LQ:MB,MATCH(A1331,[1]ListadoFichasDeProduccion!A:A,0),K1331)=0,"",INDEX([1]ListadoFichasDeProduccion!LQ:MB,MATCH(A1331,[1]ListadoFichasDeProduccion!A:A,0),K1331)),""))</f>
        <v/>
      </c>
      <c r="K1331" s="11">
        <v>1</v>
      </c>
    </row>
    <row r="1332" spans="1:11" hidden="1" x14ac:dyDescent="0.3">
      <c r="A1332" s="11">
        <v>1719</v>
      </c>
      <c r="B1332" s="8" t="str">
        <f>VLOOKUP(A1332,[1]ListadoFichasDeProduccion!$A$2:$LP$3000,328,FALSE)</f>
        <v>COMPLETADO</v>
      </c>
      <c r="C1332" s="11">
        <v>48</v>
      </c>
      <c r="D1332" t="s">
        <v>11</v>
      </c>
      <c r="E1332" t="s">
        <v>16</v>
      </c>
      <c r="F1332" t="s">
        <v>17</v>
      </c>
      <c r="G1332" s="9">
        <v>45747</v>
      </c>
      <c r="H1332" t="s">
        <v>123</v>
      </c>
      <c r="I1332" s="11">
        <v>8</v>
      </c>
      <c r="J1332" t="str">
        <f>IF(I1332="","",IFERROR(IF(INDEX([1]ListadoFichasDeProduccion!LQ:MB,MATCH(A1332,[1]ListadoFichasDeProduccion!A:A,0),K1332)=0,"",INDEX([1]ListadoFichasDeProduccion!LQ:MB,MATCH(A1332,[1]ListadoFichasDeProduccion!A:A,0),K1332)),""))</f>
        <v/>
      </c>
      <c r="K1332" s="11">
        <v>2</v>
      </c>
    </row>
    <row r="1333" spans="1:11" hidden="1" x14ac:dyDescent="0.3">
      <c r="A1333" s="11">
        <v>1719</v>
      </c>
      <c r="B1333" s="8" t="str">
        <f>VLOOKUP(A1333,[1]ListadoFichasDeProduccion!$A$2:$LP$3000,328,FALSE)</f>
        <v>COMPLETADO</v>
      </c>
      <c r="C1333" s="11">
        <v>48</v>
      </c>
      <c r="D1333" t="s">
        <v>11</v>
      </c>
      <c r="E1333" t="s">
        <v>16</v>
      </c>
      <c r="F1333" t="s">
        <v>17</v>
      </c>
      <c r="G1333" s="9">
        <v>45747</v>
      </c>
      <c r="H1333" t="s">
        <v>35</v>
      </c>
      <c r="I1333" s="11">
        <v>14</v>
      </c>
      <c r="J1333" t="str">
        <f>IF(I1333="","",IFERROR(IF(INDEX([1]ListadoFichasDeProduccion!LQ:MB,MATCH(A1333,[1]ListadoFichasDeProduccion!A:A,0),K1333)=0,"",INDEX([1]ListadoFichasDeProduccion!LQ:MB,MATCH(A1333,[1]ListadoFichasDeProduccion!A:A,0),K1333)),""))</f>
        <v/>
      </c>
      <c r="K1333" s="11">
        <v>3</v>
      </c>
    </row>
    <row r="1334" spans="1:11" hidden="1" x14ac:dyDescent="0.3">
      <c r="A1334" s="11">
        <v>1719</v>
      </c>
      <c r="B1334" s="8" t="str">
        <f>VLOOKUP(A1334,[1]ListadoFichasDeProduccion!$A$2:$LP$3000,328,FALSE)</f>
        <v>COMPLETADO</v>
      </c>
      <c r="C1334" s="11">
        <v>48</v>
      </c>
      <c r="D1334" t="s">
        <v>11</v>
      </c>
      <c r="E1334" t="s">
        <v>16</v>
      </c>
      <c r="F1334" t="s">
        <v>17</v>
      </c>
      <c r="G1334" s="9">
        <v>45747</v>
      </c>
      <c r="H1334" t="s">
        <v>24</v>
      </c>
      <c r="I1334" s="11">
        <v>6</v>
      </c>
      <c r="J1334" t="str">
        <f>IF(I1334="","",IFERROR(IF(INDEX([1]ListadoFichasDeProduccion!LQ:MB,MATCH(A1334,[1]ListadoFichasDeProduccion!A:A,0),K1334)=0,"",INDEX([1]ListadoFichasDeProduccion!LQ:MB,MATCH(A1334,[1]ListadoFichasDeProduccion!A:A,0),K1334)),""))</f>
        <v/>
      </c>
      <c r="K1334" s="11">
        <v>4</v>
      </c>
    </row>
    <row r="1335" spans="1:11" hidden="1" x14ac:dyDescent="0.3">
      <c r="A1335" s="11">
        <v>1719</v>
      </c>
      <c r="B1335" s="8" t="str">
        <f>VLOOKUP(A1335,[1]ListadoFichasDeProduccion!$A$2:$LP$3000,328,FALSE)</f>
        <v>COMPLETADO</v>
      </c>
      <c r="C1335" s="11">
        <v>48</v>
      </c>
      <c r="D1335" t="s">
        <v>11</v>
      </c>
      <c r="E1335" t="s">
        <v>16</v>
      </c>
      <c r="F1335" t="s">
        <v>17</v>
      </c>
      <c r="G1335" s="9">
        <v>45747</v>
      </c>
      <c r="H1335" t="s">
        <v>22</v>
      </c>
      <c r="I1335" s="11">
        <v>12</v>
      </c>
      <c r="J1335" t="str">
        <f>IF(I1335="","",IFERROR(IF(INDEX([1]ListadoFichasDeProduccion!LQ:MB,MATCH(A1335,[1]ListadoFichasDeProduccion!A:A,0),K1335)=0,"",INDEX([1]ListadoFichasDeProduccion!LQ:MB,MATCH(A1335,[1]ListadoFichasDeProduccion!A:A,0),K1335)),""))</f>
        <v/>
      </c>
      <c r="K1335" s="11">
        <v>5</v>
      </c>
    </row>
    <row r="1336" spans="1:11" hidden="1" x14ac:dyDescent="0.3">
      <c r="A1336" s="11">
        <v>1767</v>
      </c>
      <c r="B1336" s="8" t="str">
        <f>VLOOKUP(A1336,[1]ListadoFichasDeProduccion!$A$2:$LP$3000,328,FALSE)</f>
        <v>COMPLETADO</v>
      </c>
      <c r="C1336" s="11">
        <v>56</v>
      </c>
      <c r="D1336" t="s">
        <v>11</v>
      </c>
      <c r="E1336" t="s">
        <v>16</v>
      </c>
      <c r="F1336" t="s">
        <v>17</v>
      </c>
      <c r="G1336" s="9">
        <v>45779</v>
      </c>
      <c r="H1336" t="s">
        <v>19</v>
      </c>
      <c r="I1336" s="11">
        <v>12</v>
      </c>
      <c r="J1336" t="str">
        <f>IF(I1336="","",IFERROR(IF(INDEX([1]ListadoFichasDeProduccion!LQ:MB,MATCH(A1336,[1]ListadoFichasDeProduccion!A:A,0),K1336)=0,"",INDEX([1]ListadoFichasDeProduccion!LQ:MB,MATCH(A1336,[1]ListadoFichasDeProduccion!A:A,0),K1336)),""))</f>
        <v/>
      </c>
      <c r="K1336" s="11">
        <v>1</v>
      </c>
    </row>
    <row r="1337" spans="1:11" hidden="1" x14ac:dyDescent="0.3">
      <c r="A1337" s="11">
        <v>1767</v>
      </c>
      <c r="B1337" s="8" t="str">
        <f>VLOOKUP(A1337,[1]ListadoFichasDeProduccion!$A$2:$LP$3000,328,FALSE)</f>
        <v>COMPLETADO</v>
      </c>
      <c r="C1337" s="11">
        <v>56</v>
      </c>
      <c r="D1337" t="s">
        <v>11</v>
      </c>
      <c r="E1337" t="s">
        <v>16</v>
      </c>
      <c r="F1337" t="s">
        <v>17</v>
      </c>
      <c r="G1337" s="9">
        <v>45779</v>
      </c>
      <c r="H1337" t="s">
        <v>123</v>
      </c>
      <c r="I1337" s="11">
        <v>12</v>
      </c>
      <c r="J1337" t="str">
        <f>IF(I1337="","",IFERROR(IF(INDEX([1]ListadoFichasDeProduccion!LQ:MB,MATCH(A1337,[1]ListadoFichasDeProduccion!A:A,0),K1337)=0,"",INDEX([1]ListadoFichasDeProduccion!LQ:MB,MATCH(A1337,[1]ListadoFichasDeProduccion!A:A,0),K1337)),""))</f>
        <v/>
      </c>
      <c r="K1337" s="11">
        <v>2</v>
      </c>
    </row>
    <row r="1338" spans="1:11" hidden="1" x14ac:dyDescent="0.3">
      <c r="A1338" s="11">
        <v>1767</v>
      </c>
      <c r="B1338" s="8" t="str">
        <f>VLOOKUP(A1338,[1]ListadoFichasDeProduccion!$A$2:$LP$3000,328,FALSE)</f>
        <v>COMPLETADO</v>
      </c>
      <c r="C1338" s="11">
        <v>56</v>
      </c>
      <c r="D1338" t="s">
        <v>11</v>
      </c>
      <c r="E1338" t="s">
        <v>16</v>
      </c>
      <c r="F1338" t="s">
        <v>17</v>
      </c>
      <c r="G1338" s="9">
        <v>45779</v>
      </c>
      <c r="H1338" t="s">
        <v>35</v>
      </c>
      <c r="I1338" s="11">
        <v>18</v>
      </c>
      <c r="J1338" t="str">
        <f>IF(I1338="","",IFERROR(IF(INDEX([1]ListadoFichasDeProduccion!LQ:MB,MATCH(A1338,[1]ListadoFichasDeProduccion!A:A,0),K1338)=0,"",INDEX([1]ListadoFichasDeProduccion!LQ:MB,MATCH(A1338,[1]ListadoFichasDeProduccion!A:A,0),K1338)),""))</f>
        <v/>
      </c>
      <c r="K1338" s="11">
        <v>3</v>
      </c>
    </row>
    <row r="1339" spans="1:11" hidden="1" x14ac:dyDescent="0.3">
      <c r="A1339" s="11">
        <v>1767</v>
      </c>
      <c r="B1339" s="8" t="str">
        <f>VLOOKUP(A1339,[1]ListadoFichasDeProduccion!$A$2:$LP$3000,328,FALSE)</f>
        <v>COMPLETADO</v>
      </c>
      <c r="C1339" s="11">
        <v>56</v>
      </c>
      <c r="D1339" t="s">
        <v>11</v>
      </c>
      <c r="E1339" t="s">
        <v>16</v>
      </c>
      <c r="F1339" t="s">
        <v>17</v>
      </c>
      <c r="G1339" s="9">
        <v>45779</v>
      </c>
      <c r="H1339" t="s">
        <v>22</v>
      </c>
      <c r="I1339" s="11">
        <v>4</v>
      </c>
      <c r="J1339" t="str">
        <f>IF(I1339="","",IFERROR(IF(INDEX([1]ListadoFichasDeProduccion!LQ:MB,MATCH(A1339,[1]ListadoFichasDeProduccion!A:A,0),K1339)=0,"",INDEX([1]ListadoFichasDeProduccion!LQ:MB,MATCH(A1339,[1]ListadoFichasDeProduccion!A:A,0),K1339)),""))</f>
        <v/>
      </c>
      <c r="K1339" s="11">
        <v>4</v>
      </c>
    </row>
    <row r="1340" spans="1:11" hidden="1" x14ac:dyDescent="0.3">
      <c r="A1340" s="11">
        <v>1767</v>
      </c>
      <c r="B1340" s="8" t="str">
        <f>VLOOKUP(A1340,[1]ListadoFichasDeProduccion!$A$2:$LP$3000,328,FALSE)</f>
        <v>COMPLETADO</v>
      </c>
      <c r="C1340" s="11">
        <v>56</v>
      </c>
      <c r="D1340" t="s">
        <v>11</v>
      </c>
      <c r="E1340" t="s">
        <v>16</v>
      </c>
      <c r="F1340" t="s">
        <v>17</v>
      </c>
      <c r="G1340" s="9">
        <v>45779</v>
      </c>
      <c r="H1340" t="s">
        <v>39</v>
      </c>
      <c r="I1340" s="11">
        <v>4</v>
      </c>
      <c r="J1340" t="str">
        <f>IF(I1340="","",IFERROR(IF(INDEX([1]ListadoFichasDeProduccion!LQ:MB,MATCH(A1340,[1]ListadoFichasDeProduccion!A:A,0),K1340)=0,"",INDEX([1]ListadoFichasDeProduccion!LQ:MB,MATCH(A1340,[1]ListadoFichasDeProduccion!A:A,0),K1340)),""))</f>
        <v/>
      </c>
      <c r="K1340" s="11">
        <v>5</v>
      </c>
    </row>
    <row r="1341" spans="1:11" hidden="1" x14ac:dyDescent="0.3">
      <c r="A1341" s="11">
        <v>1767</v>
      </c>
      <c r="B1341" s="8" t="str">
        <f>VLOOKUP(A1341,[1]ListadoFichasDeProduccion!$A$2:$LP$3000,328,FALSE)</f>
        <v>COMPLETADO</v>
      </c>
      <c r="C1341" s="11">
        <v>56</v>
      </c>
      <c r="D1341" t="s">
        <v>11</v>
      </c>
      <c r="E1341" t="s">
        <v>16</v>
      </c>
      <c r="F1341" t="s">
        <v>17</v>
      </c>
      <c r="G1341" s="9">
        <v>45779</v>
      </c>
      <c r="H1341" t="s">
        <v>173</v>
      </c>
      <c r="I1341" s="11">
        <v>6</v>
      </c>
      <c r="J1341" t="str">
        <f>IF(I1341="","",IFERROR(IF(INDEX([1]ListadoFichasDeProduccion!LQ:MB,MATCH(A1341,[1]ListadoFichasDeProduccion!A:A,0),K1341)=0,"",INDEX([1]ListadoFichasDeProduccion!LQ:MB,MATCH(A1341,[1]ListadoFichasDeProduccion!A:A,0),K1341)),""))</f>
        <v/>
      </c>
      <c r="K1341" s="11">
        <v>6</v>
      </c>
    </row>
    <row r="1342" spans="1:11" hidden="1" x14ac:dyDescent="0.3">
      <c r="A1342" s="11">
        <v>1869</v>
      </c>
      <c r="B1342" s="8" t="str">
        <f>VLOOKUP(A1342,[1]ListadoFichasDeProduccion!$A$2:$LP$3000,328,FALSE)</f>
        <v>COMPLETADO</v>
      </c>
      <c r="C1342" s="11">
        <v>42</v>
      </c>
      <c r="D1342" t="s">
        <v>11</v>
      </c>
      <c r="E1342" t="s">
        <v>16</v>
      </c>
      <c r="F1342" t="s">
        <v>17</v>
      </c>
      <c r="G1342" s="9">
        <v>45838</v>
      </c>
      <c r="H1342" t="s">
        <v>19</v>
      </c>
      <c r="I1342" s="11">
        <v>9</v>
      </c>
      <c r="J1342" t="str">
        <f>IF(I1342="","",IFERROR(IF(INDEX([1]ListadoFichasDeProduccion!LQ:MB,MATCH(A1342,[1]ListadoFichasDeProduccion!A:A,0),K1342)=0,"",INDEX([1]ListadoFichasDeProduccion!LQ:MB,MATCH(A1342,[1]ListadoFichasDeProduccion!A:A,0),K1342)),""))</f>
        <v/>
      </c>
      <c r="K1342" s="11">
        <v>1</v>
      </c>
    </row>
    <row r="1343" spans="1:11" hidden="1" x14ac:dyDescent="0.3">
      <c r="A1343" s="11">
        <v>1869</v>
      </c>
      <c r="B1343" s="8" t="str">
        <f>VLOOKUP(A1343,[1]ListadoFichasDeProduccion!$A$2:$LP$3000,328,FALSE)</f>
        <v>COMPLETADO</v>
      </c>
      <c r="C1343" s="11">
        <v>42</v>
      </c>
      <c r="D1343" t="s">
        <v>11</v>
      </c>
      <c r="E1343" t="s">
        <v>16</v>
      </c>
      <c r="F1343" t="s">
        <v>17</v>
      </c>
      <c r="G1343" s="9">
        <v>45838</v>
      </c>
      <c r="H1343" t="s">
        <v>123</v>
      </c>
      <c r="I1343" s="11">
        <v>14</v>
      </c>
      <c r="J1343" t="str">
        <f>IF(I1343="","",IFERROR(IF(INDEX([1]ListadoFichasDeProduccion!LQ:MB,MATCH(A1343,[1]ListadoFichasDeProduccion!A:A,0),K1343)=0,"",INDEX([1]ListadoFichasDeProduccion!LQ:MB,MATCH(A1343,[1]ListadoFichasDeProduccion!A:A,0),K1343)),""))</f>
        <v/>
      </c>
      <c r="K1343" s="11">
        <v>2</v>
      </c>
    </row>
    <row r="1344" spans="1:11" hidden="1" x14ac:dyDescent="0.3">
      <c r="A1344" s="11">
        <v>1869</v>
      </c>
      <c r="B1344" s="8" t="str">
        <f>VLOOKUP(A1344,[1]ListadoFichasDeProduccion!$A$2:$LP$3000,328,FALSE)</f>
        <v>COMPLETADO</v>
      </c>
      <c r="C1344" s="11">
        <v>42</v>
      </c>
      <c r="D1344" t="s">
        <v>11</v>
      </c>
      <c r="E1344" t="s">
        <v>16</v>
      </c>
      <c r="F1344" t="s">
        <v>17</v>
      </c>
      <c r="G1344" s="9">
        <v>45838</v>
      </c>
      <c r="H1344" t="s">
        <v>35</v>
      </c>
      <c r="I1344" s="11">
        <v>8</v>
      </c>
      <c r="J1344" t="str">
        <f>IF(I1344="","",IFERROR(IF(INDEX([1]ListadoFichasDeProduccion!LQ:MB,MATCH(A1344,[1]ListadoFichasDeProduccion!A:A,0),K1344)=0,"",INDEX([1]ListadoFichasDeProduccion!LQ:MB,MATCH(A1344,[1]ListadoFichasDeProduccion!A:A,0),K1344)),""))</f>
        <v/>
      </c>
      <c r="K1344" s="11">
        <v>3</v>
      </c>
    </row>
    <row r="1345" spans="1:11" hidden="1" x14ac:dyDescent="0.3">
      <c r="A1345" s="11">
        <v>1869</v>
      </c>
      <c r="B1345" s="8" t="str">
        <f>VLOOKUP(A1345,[1]ListadoFichasDeProduccion!$A$2:$LP$3000,328,FALSE)</f>
        <v>COMPLETADO</v>
      </c>
      <c r="C1345" s="11">
        <v>42</v>
      </c>
      <c r="D1345" t="s">
        <v>11</v>
      </c>
      <c r="E1345" t="s">
        <v>16</v>
      </c>
      <c r="F1345" t="s">
        <v>17</v>
      </c>
      <c r="G1345" s="9">
        <v>45838</v>
      </c>
      <c r="H1345" t="s">
        <v>24</v>
      </c>
      <c r="I1345" s="11">
        <v>2</v>
      </c>
      <c r="J1345" t="str">
        <f>IF(I1345="","",IFERROR(IF(INDEX([1]ListadoFichasDeProduccion!LQ:MB,MATCH(A1345,[1]ListadoFichasDeProduccion!A:A,0),K1345)=0,"",INDEX([1]ListadoFichasDeProduccion!LQ:MB,MATCH(A1345,[1]ListadoFichasDeProduccion!A:A,0),K1345)),""))</f>
        <v/>
      </c>
      <c r="K1345" s="11">
        <v>4</v>
      </c>
    </row>
    <row r="1346" spans="1:11" hidden="1" x14ac:dyDescent="0.3">
      <c r="A1346" s="11">
        <v>1869</v>
      </c>
      <c r="B1346" s="8" t="str">
        <f>VLOOKUP(A1346,[1]ListadoFichasDeProduccion!$A$2:$LP$3000,328,FALSE)</f>
        <v>COMPLETADO</v>
      </c>
      <c r="C1346" s="11">
        <v>42</v>
      </c>
      <c r="D1346" t="s">
        <v>11</v>
      </c>
      <c r="E1346" t="s">
        <v>16</v>
      </c>
      <c r="F1346" t="s">
        <v>17</v>
      </c>
      <c r="G1346" s="9">
        <v>45838</v>
      </c>
      <c r="H1346" t="s">
        <v>22</v>
      </c>
      <c r="I1346" s="11">
        <v>9</v>
      </c>
      <c r="J1346" t="str">
        <f>IF(I1346="","",IFERROR(IF(INDEX([1]ListadoFichasDeProduccion!LQ:MB,MATCH(A1346,[1]ListadoFichasDeProduccion!A:A,0),K1346)=0,"",INDEX([1]ListadoFichasDeProduccion!LQ:MB,MATCH(A1346,[1]ListadoFichasDeProduccion!A:A,0),K1346)),""))</f>
        <v/>
      </c>
      <c r="K1346" s="11">
        <v>5</v>
      </c>
    </row>
    <row r="1347" spans="1:11" hidden="1" x14ac:dyDescent="0.3">
      <c r="A1347" s="11">
        <v>18692</v>
      </c>
      <c r="B1347" s="8" t="str">
        <f>VLOOKUP(A1347,[1]ListadoFichasDeProduccion!$A$2:$LP$3000,328,FALSE)</f>
        <v>COMPLETADO</v>
      </c>
      <c r="C1347" s="11">
        <v>9</v>
      </c>
      <c r="D1347" t="s">
        <v>11</v>
      </c>
      <c r="E1347" t="s">
        <v>16</v>
      </c>
      <c r="F1347" t="s">
        <v>17</v>
      </c>
      <c r="G1347" s="9">
        <v>45856</v>
      </c>
      <c r="H1347" t="s">
        <v>18</v>
      </c>
      <c r="I1347" s="11">
        <v>9</v>
      </c>
      <c r="J1347" t="str">
        <f>IF(I1347="","",IFERROR(IF(INDEX([1]ListadoFichasDeProduccion!LQ:MB,MATCH(A1347,[1]ListadoFichasDeProduccion!A:A,0),K1347)=0,"",INDEX([1]ListadoFichasDeProduccion!LQ:MB,MATCH(A1347,[1]ListadoFichasDeProduccion!A:A,0),K1347)),""))</f>
        <v/>
      </c>
      <c r="K1347" s="11">
        <v>1</v>
      </c>
    </row>
    <row r="1348" spans="1:11" hidden="1" x14ac:dyDescent="0.3">
      <c r="A1348" s="11">
        <v>1915</v>
      </c>
      <c r="B1348" s="8" t="str">
        <f>VLOOKUP(A1348,[1]ListadoFichasDeProduccion!$A$2:$LP$3000,328,FALSE)</f>
        <v>COMPLETADO</v>
      </c>
      <c r="C1348" s="11">
        <v>28</v>
      </c>
      <c r="D1348" t="s">
        <v>11</v>
      </c>
      <c r="E1348" t="s">
        <v>16</v>
      </c>
      <c r="F1348" t="s">
        <v>17</v>
      </c>
      <c r="G1348" s="9">
        <v>45869</v>
      </c>
      <c r="H1348" t="s">
        <v>22</v>
      </c>
      <c r="I1348" s="11">
        <v>4</v>
      </c>
      <c r="J1348" t="str">
        <f>IF(I1348="","",IFERROR(IF(INDEX([1]ListadoFichasDeProduccion!LQ:MB,MATCH(A1348,[1]ListadoFichasDeProduccion!A:A,0),K1348)=0,"",INDEX([1]ListadoFichasDeProduccion!LQ:MB,MATCH(A1348,[1]ListadoFichasDeProduccion!A:A,0),K1348)),""))</f>
        <v/>
      </c>
      <c r="K1348" s="11">
        <v>1</v>
      </c>
    </row>
    <row r="1349" spans="1:11" hidden="1" x14ac:dyDescent="0.3">
      <c r="A1349" s="11">
        <v>1915</v>
      </c>
      <c r="B1349" s="8" t="str">
        <f>VLOOKUP(A1349,[1]ListadoFichasDeProduccion!$A$2:$LP$3000,328,FALSE)</f>
        <v>COMPLETADO</v>
      </c>
      <c r="C1349" s="11">
        <v>28</v>
      </c>
      <c r="D1349" t="s">
        <v>11</v>
      </c>
      <c r="E1349" t="s">
        <v>16</v>
      </c>
      <c r="F1349" t="s">
        <v>17</v>
      </c>
      <c r="G1349" s="9">
        <v>45869</v>
      </c>
      <c r="H1349" t="s">
        <v>123</v>
      </c>
      <c r="I1349" s="11">
        <v>18</v>
      </c>
      <c r="J1349" t="str">
        <f>IF(I1349="","",IFERROR(IF(INDEX([1]ListadoFichasDeProduccion!LQ:MB,MATCH(A1349,[1]ListadoFichasDeProduccion!A:A,0),K1349)=0,"",INDEX([1]ListadoFichasDeProduccion!LQ:MB,MATCH(A1349,[1]ListadoFichasDeProduccion!A:A,0),K1349)),""))</f>
        <v/>
      </c>
      <c r="K1349" s="11">
        <v>2</v>
      </c>
    </row>
    <row r="1350" spans="1:11" hidden="1" x14ac:dyDescent="0.3">
      <c r="A1350" s="11">
        <v>1915</v>
      </c>
      <c r="B1350" s="8" t="str">
        <f>VLOOKUP(A1350,[1]ListadoFichasDeProduccion!$A$2:$LP$3000,328,FALSE)</f>
        <v>COMPLETADO</v>
      </c>
      <c r="C1350" s="11">
        <v>28</v>
      </c>
      <c r="D1350" t="s">
        <v>11</v>
      </c>
      <c r="E1350" t="s">
        <v>16</v>
      </c>
      <c r="F1350" t="s">
        <v>17</v>
      </c>
      <c r="G1350" s="9">
        <v>45869</v>
      </c>
      <c r="H1350" t="s">
        <v>135</v>
      </c>
      <c r="I1350" s="11">
        <v>6</v>
      </c>
      <c r="J1350" t="str">
        <f>IF(I1350="","",IFERROR(IF(INDEX([1]ListadoFichasDeProduccion!LQ:MB,MATCH(A1350,[1]ListadoFichasDeProduccion!A:A,0),K1350)=0,"",INDEX([1]ListadoFichasDeProduccion!LQ:MB,MATCH(A1350,[1]ListadoFichasDeProduccion!A:A,0),K1350)),""))</f>
        <v/>
      </c>
      <c r="K1350" s="11">
        <v>3</v>
      </c>
    </row>
    <row r="1351" spans="1:11" hidden="1" x14ac:dyDescent="0.3">
      <c r="A1351" s="11">
        <v>18693</v>
      </c>
      <c r="B1351" t="str">
        <f>VLOOKUP(A1351,[1]ListadoFichasDeProduccion!$A$2:$LP$3000,328,FALSE)</f>
        <v>COMPLETADO</v>
      </c>
      <c r="C1351" s="11">
        <v>3</v>
      </c>
      <c r="D1351" t="s">
        <v>11</v>
      </c>
      <c r="E1351" t="s">
        <v>16</v>
      </c>
      <c r="F1351" t="s">
        <v>17</v>
      </c>
      <c r="G1351" s="9">
        <v>45874</v>
      </c>
      <c r="H1351" t="s">
        <v>39</v>
      </c>
      <c r="I1351" s="11">
        <v>3</v>
      </c>
      <c r="J1351" t="str">
        <f>IF(I1351="","",IFERROR(IF(INDEX([1]ListadoFichasDeProduccion!LQ:MB,MATCH(A1351,[1]ListadoFichasDeProduccion!A:A,0),K1351)=0,"",INDEX([1]ListadoFichasDeProduccion!LQ:MB,MATCH(A1351,[1]ListadoFichasDeProduccion!A:A,0),K1351)),""))</f>
        <v/>
      </c>
      <c r="K1351" s="11">
        <v>1</v>
      </c>
    </row>
    <row r="1352" spans="1:11" x14ac:dyDescent="0.3">
      <c r="A1352" s="11">
        <v>18694</v>
      </c>
      <c r="B1352" t="str">
        <f>VLOOKUP(A1352,[1]ListadoFichasDeProduccion!$A$2:$LP$3000,328,FALSE)</f>
        <v>NO COMENZADO</v>
      </c>
      <c r="C1352" s="11">
        <v>12</v>
      </c>
      <c r="D1352" t="s">
        <v>11</v>
      </c>
      <c r="E1352" t="s">
        <v>16</v>
      </c>
      <c r="F1352" t="s">
        <v>17</v>
      </c>
      <c r="H1352" t="s">
        <v>120</v>
      </c>
      <c r="I1352" s="11">
        <v>12</v>
      </c>
      <c r="J1352" t="str">
        <f>IF(I1352="","",IFERROR(IF(INDEX([1]ListadoFichasDeProduccion!LQ:MB,MATCH(A1352,[1]ListadoFichasDeProduccion!A:A,0),K1352)=0,"",INDEX([1]ListadoFichasDeProduccion!LQ:MB,MATCH(A1352,[1]ListadoFichasDeProduccion!A:A,0),K1352)),""))</f>
        <v/>
      </c>
      <c r="K1352" s="11">
        <v>1</v>
      </c>
    </row>
    <row r="1353" spans="1:11" hidden="1" x14ac:dyDescent="0.3">
      <c r="A1353" s="11" t="s">
        <v>306</v>
      </c>
      <c r="B1353" t="str">
        <f>VLOOKUP(A1353,[1]ListadoFichasDeProduccion!$A$2:$LP$3000,328,FALSE)</f>
        <v>COMPLETADO</v>
      </c>
      <c r="C1353" s="11">
        <v>9</v>
      </c>
      <c r="D1353" t="s">
        <v>11</v>
      </c>
      <c r="E1353" t="s">
        <v>16</v>
      </c>
      <c r="F1353" t="s">
        <v>17</v>
      </c>
      <c r="G1353" s="9">
        <v>45912</v>
      </c>
      <c r="H1353" t="s">
        <v>305</v>
      </c>
      <c r="I1353" s="11">
        <v>9</v>
      </c>
      <c r="J1353" t="str">
        <f>IF(I1353="","",IFERROR(IF(INDEX([1]ListadoFichasDeProduccion!LQ:MB,MATCH(A1353,[1]ListadoFichasDeProduccion!A:A,0),K1353)=0,"",INDEX([1]ListadoFichasDeProduccion!LQ:MB,MATCH(A1353,[1]ListadoFichasDeProduccion!A:A,0),K1353)),""))</f>
        <v/>
      </c>
      <c r="K1353" s="11">
        <v>1</v>
      </c>
    </row>
    <row r="1354" spans="1:11" hidden="1" x14ac:dyDescent="0.3">
      <c r="A1354" s="11" t="s">
        <v>353</v>
      </c>
      <c r="B1354" t="str">
        <f>VLOOKUP(A1354,[1]ListadoFichasDeProduccion!$A$2:$LP$3000,328,FALSE)</f>
        <v>COMPLETADO</v>
      </c>
      <c r="C1354" s="11">
        <v>44</v>
      </c>
      <c r="D1354" t="s">
        <v>11</v>
      </c>
      <c r="E1354" t="s">
        <v>16</v>
      </c>
      <c r="F1354" t="s">
        <v>17</v>
      </c>
      <c r="G1354" s="9">
        <v>45919</v>
      </c>
      <c r="H1354" t="s">
        <v>35</v>
      </c>
      <c r="I1354" s="11">
        <v>10</v>
      </c>
      <c r="J1354" t="str">
        <f>IF(I1354="","",IFERROR(IF(INDEX([1]ListadoFichasDeProduccion!LQ:MB,MATCH(A1354,[1]ListadoFichasDeProduccion!A:A,0),K1354)=0,"",INDEX([1]ListadoFichasDeProduccion!LQ:MB,MATCH(A1354,[1]ListadoFichasDeProduccion!A:A,0),K1354)),""))</f>
        <v/>
      </c>
      <c r="K1354" s="11">
        <v>1</v>
      </c>
    </row>
    <row r="1355" spans="1:11" hidden="1" x14ac:dyDescent="0.3">
      <c r="A1355" s="11" t="s">
        <v>353</v>
      </c>
      <c r="B1355" t="str">
        <f>VLOOKUP(A1355,[1]ListadoFichasDeProduccion!$A$2:$LP$3000,328,FALSE)</f>
        <v>COMPLETADO</v>
      </c>
      <c r="C1355" s="11">
        <v>44</v>
      </c>
      <c r="D1355" t="s">
        <v>11</v>
      </c>
      <c r="E1355" t="s">
        <v>16</v>
      </c>
      <c r="F1355" t="s">
        <v>17</v>
      </c>
      <c r="G1355" s="9">
        <v>45919</v>
      </c>
      <c r="H1355" t="s">
        <v>24</v>
      </c>
      <c r="I1355" s="11">
        <v>14</v>
      </c>
      <c r="J1355" t="str">
        <f>IF(I1355="","",IFERROR(IF(INDEX([1]ListadoFichasDeProduccion!LQ:MB,MATCH(A1355,[1]ListadoFichasDeProduccion!A:A,0),K1355)=0,"",INDEX([1]ListadoFichasDeProduccion!LQ:MB,MATCH(A1355,[1]ListadoFichasDeProduccion!A:A,0),K1355)),""))</f>
        <v/>
      </c>
      <c r="K1355" s="11">
        <v>2</v>
      </c>
    </row>
    <row r="1356" spans="1:11" hidden="1" x14ac:dyDescent="0.3">
      <c r="A1356" s="11" t="s">
        <v>353</v>
      </c>
      <c r="B1356" t="str">
        <f>VLOOKUP(A1356,[1]ListadoFichasDeProduccion!$A$2:$LP$3000,328,FALSE)</f>
        <v>COMPLETADO</v>
      </c>
      <c r="C1356" s="11">
        <v>44</v>
      </c>
      <c r="D1356" t="s">
        <v>11</v>
      </c>
      <c r="E1356" t="s">
        <v>16</v>
      </c>
      <c r="F1356" t="s">
        <v>17</v>
      </c>
      <c r="G1356" s="9">
        <v>45919</v>
      </c>
      <c r="H1356" t="s">
        <v>39</v>
      </c>
      <c r="I1356" s="11">
        <v>20</v>
      </c>
      <c r="J1356" t="str">
        <f>IF(I1356="","",IFERROR(IF(INDEX([1]ListadoFichasDeProduccion!LQ:MB,MATCH(A1356,[1]ListadoFichasDeProduccion!A:A,0),K1356)=0,"",INDEX([1]ListadoFichasDeProduccion!LQ:MB,MATCH(A1356,[1]ListadoFichasDeProduccion!A:A,0),K1356)),""))</f>
        <v/>
      </c>
      <c r="K1356" s="11">
        <v>3</v>
      </c>
    </row>
    <row r="1357" spans="1:11" hidden="1" x14ac:dyDescent="0.3">
      <c r="A1357" s="11" t="s">
        <v>446</v>
      </c>
      <c r="B1357" t="str">
        <f>VLOOKUP(A1357,[1]ListadoFichasDeProduccion!$A$2:$LP$3000,328,FALSE)</f>
        <v>COMPLETADO</v>
      </c>
      <c r="C1357" s="11">
        <v>40</v>
      </c>
      <c r="D1357" t="s">
        <v>11</v>
      </c>
      <c r="E1357" t="s">
        <v>16</v>
      </c>
      <c r="F1357" t="s">
        <v>17</v>
      </c>
      <c r="G1357" s="9">
        <v>45961</v>
      </c>
      <c r="H1357" t="s">
        <v>19</v>
      </c>
      <c r="I1357" s="11">
        <v>20</v>
      </c>
      <c r="J1357" t="str">
        <f>IF(I1357="","",IFERROR(IF(INDEX([1]ListadoFichasDeProduccion!LQ:MB,MATCH(A1357,[1]ListadoFichasDeProduccion!A:A,0),K1357)=0,"",INDEX([1]ListadoFichasDeProduccion!LQ:MB,MATCH(A1357,[1]ListadoFichasDeProduccion!A:A,0),K1357)),""))</f>
        <v/>
      </c>
      <c r="K1357" s="11">
        <v>1</v>
      </c>
    </row>
    <row r="1358" spans="1:11" hidden="1" x14ac:dyDescent="0.3">
      <c r="A1358" s="11" t="s">
        <v>446</v>
      </c>
      <c r="B1358" t="str">
        <f>VLOOKUP(A1358,[1]ListadoFichasDeProduccion!$A$2:$LP$3000,328,FALSE)</f>
        <v>COMPLETADO</v>
      </c>
      <c r="C1358" s="11">
        <v>40</v>
      </c>
      <c r="D1358" t="s">
        <v>11</v>
      </c>
      <c r="E1358" t="s">
        <v>16</v>
      </c>
      <c r="F1358" t="s">
        <v>17</v>
      </c>
      <c r="G1358" s="9">
        <v>45961</v>
      </c>
      <c r="H1358" t="s">
        <v>123</v>
      </c>
      <c r="I1358" s="11">
        <v>20</v>
      </c>
      <c r="J1358" t="str">
        <f>IF(I1358="","",IFERROR(IF(INDEX([1]ListadoFichasDeProduccion!LQ:MB,MATCH(A1358,[1]ListadoFichasDeProduccion!A:A,0),K1358)=0,"",INDEX([1]ListadoFichasDeProduccion!LQ:MB,MATCH(A1358,[1]ListadoFichasDeProduccion!A:A,0),K1358)),""))</f>
        <v/>
      </c>
      <c r="K1358" s="11">
        <v>2</v>
      </c>
    </row>
    <row r="1359" spans="1:11" hidden="1" x14ac:dyDescent="0.3">
      <c r="A1359" s="11" t="s">
        <v>474</v>
      </c>
      <c r="B1359" t="str">
        <f>VLOOKUP(A1359,[1]ListadoFichasDeProduccion!$A$2:$LP$3000,328,FALSE)</f>
        <v>COMPLETADO</v>
      </c>
      <c r="C1359" s="11">
        <v>6</v>
      </c>
      <c r="D1359" t="s">
        <v>11</v>
      </c>
      <c r="E1359" t="s">
        <v>16</v>
      </c>
      <c r="F1359" t="s">
        <v>17</v>
      </c>
      <c r="G1359" s="9">
        <v>45968</v>
      </c>
      <c r="H1359" t="s">
        <v>35</v>
      </c>
      <c r="I1359" s="11">
        <v>6</v>
      </c>
      <c r="J1359" t="str">
        <f>IF(I1359="","",IFERROR(IF(INDEX([1]ListadoFichasDeProduccion!LQ:MB,MATCH(A1359,[1]ListadoFichasDeProduccion!A:A,0),K1359)=0,"",INDEX([1]ListadoFichasDeProduccion!LQ:MB,MATCH(A1359,[1]ListadoFichasDeProduccion!A:A,0),K1359)),""))</f>
        <v/>
      </c>
      <c r="K1359" s="11">
        <v>1</v>
      </c>
    </row>
    <row r="1360" spans="1:11" hidden="1" x14ac:dyDescent="0.3">
      <c r="A1360" s="11" t="s">
        <v>490</v>
      </c>
      <c r="B1360" t="str">
        <f>VLOOKUP(A1360,[1]ListadoFichasDeProduccion!$A$2:$LP$3000,328,FALSE)</f>
        <v>COMPLETADO</v>
      </c>
      <c r="C1360" s="11">
        <v>14</v>
      </c>
      <c r="D1360" t="s">
        <v>11</v>
      </c>
      <c r="E1360" t="s">
        <v>16</v>
      </c>
      <c r="F1360" t="s">
        <v>17</v>
      </c>
      <c r="G1360" s="9">
        <v>45979</v>
      </c>
      <c r="H1360" t="s">
        <v>22</v>
      </c>
      <c r="I1360" s="11">
        <v>14</v>
      </c>
      <c r="J1360" t="str">
        <f>IF(I1360="","",IFERROR(IF(INDEX([1]ListadoFichasDeProduccion!LQ:MB,MATCH(A1360,[1]ListadoFichasDeProduccion!A:A,0),K1360)=0,"",INDEX([1]ListadoFichasDeProduccion!LQ:MB,MATCH(A1360,[1]ListadoFichasDeProduccion!A:A,0),K1360)),""))</f>
        <v/>
      </c>
      <c r="K1360" s="11">
        <v>2</v>
      </c>
    </row>
    <row r="1361" spans="1:11" x14ac:dyDescent="0.3">
      <c r="A1361" s="11" t="s">
        <v>512</v>
      </c>
      <c r="B1361" t="str">
        <f>VLOOKUP(A1361,[1]ListadoFichasDeProduccion!$A$2:$LP$3000,328,FALSE)</f>
        <v>NO COMENZADO</v>
      </c>
      <c r="C1361" s="11">
        <v>36</v>
      </c>
      <c r="D1361" t="s">
        <v>11</v>
      </c>
      <c r="E1361" t="s">
        <v>16</v>
      </c>
      <c r="F1361" t="s">
        <v>17</v>
      </c>
      <c r="H1361" t="s">
        <v>35</v>
      </c>
      <c r="I1361" s="11">
        <v>18</v>
      </c>
      <c r="J1361" t="str">
        <f>IF(I1361="","",IFERROR(IF(INDEX([1]ListadoFichasDeProduccion!LQ:MB,MATCH(A1361,[1]ListadoFichasDeProduccion!A:A,0),K1361)=0,"",INDEX([1]ListadoFichasDeProduccion!LQ:MB,MATCH(A1361,[1]ListadoFichasDeProduccion!A:A,0),K1361)),""))</f>
        <v/>
      </c>
      <c r="K1361" s="11">
        <v>1</v>
      </c>
    </row>
    <row r="1362" spans="1:11" x14ac:dyDescent="0.3">
      <c r="A1362" s="11" t="s">
        <v>512</v>
      </c>
      <c r="B1362" t="str">
        <f>VLOOKUP(A1362,[1]ListadoFichasDeProduccion!$A$2:$LP$3000,328,FALSE)</f>
        <v>NO COMENZADO</v>
      </c>
      <c r="C1362" s="11">
        <v>36</v>
      </c>
      <c r="D1362" t="s">
        <v>11</v>
      </c>
      <c r="E1362" t="s">
        <v>16</v>
      </c>
      <c r="F1362" t="s">
        <v>17</v>
      </c>
      <c r="H1362" t="s">
        <v>39</v>
      </c>
      <c r="I1362" s="11">
        <v>4</v>
      </c>
      <c r="J1362" t="str">
        <f>IF(I1362="","",IFERROR(IF(INDEX([1]ListadoFichasDeProduccion!LQ:MB,MATCH(A1362,[1]ListadoFichasDeProduccion!A:A,0),K1362)=0,"",INDEX([1]ListadoFichasDeProduccion!LQ:MB,MATCH(A1362,[1]ListadoFichasDeProduccion!A:A,0),K1362)),""))</f>
        <v/>
      </c>
      <c r="K1362" s="11">
        <v>2</v>
      </c>
    </row>
    <row r="1363" spans="1:11" x14ac:dyDescent="0.3">
      <c r="A1363" s="11" t="s">
        <v>512</v>
      </c>
      <c r="B1363" t="str">
        <f>VLOOKUP(A1363,[1]ListadoFichasDeProduccion!$A$2:$LP$3000,328,FALSE)</f>
        <v>NO COMENZADO</v>
      </c>
      <c r="C1363" s="11">
        <v>36</v>
      </c>
      <c r="D1363" t="s">
        <v>11</v>
      </c>
      <c r="E1363" t="s">
        <v>16</v>
      </c>
      <c r="F1363" t="s">
        <v>17</v>
      </c>
      <c r="H1363" t="s">
        <v>305</v>
      </c>
      <c r="I1363" s="11">
        <v>14</v>
      </c>
      <c r="J1363" t="str">
        <f>IF(I1363="","",IFERROR(IF(INDEX([1]ListadoFichasDeProduccion!LQ:MB,MATCH(A1363,[1]ListadoFichasDeProduccion!A:A,0),K1363)=0,"",INDEX([1]ListadoFichasDeProduccion!LQ:MB,MATCH(A1363,[1]ListadoFichasDeProduccion!A:A,0),K1363)),""))</f>
        <v/>
      </c>
      <c r="K1363" s="11">
        <v>3</v>
      </c>
    </row>
    <row r="1364" spans="1:11" hidden="1" x14ac:dyDescent="0.3">
      <c r="A1364" s="11">
        <v>1902</v>
      </c>
      <c r="B1364" s="8" t="str">
        <f>VLOOKUP(A1364,[1]ListadoFichasDeProduccion!$A$2:$LP$3000,328,FALSE)</f>
        <v>COMPLETADO</v>
      </c>
      <c r="C1364" s="11">
        <v>12</v>
      </c>
      <c r="D1364" t="s">
        <v>11</v>
      </c>
      <c r="E1364" t="s">
        <v>251</v>
      </c>
      <c r="G1364" s="9">
        <v>45861</v>
      </c>
      <c r="H1364" t="s">
        <v>187</v>
      </c>
      <c r="I1364" s="11">
        <v>6</v>
      </c>
      <c r="J1364" t="str">
        <f>IF(I1364="","",IFERROR(IF(INDEX([1]ListadoFichasDeProduccion!LQ:MB,MATCH(A1364,[1]ListadoFichasDeProduccion!A:A,0),K1364)=0,"",INDEX([1]ListadoFichasDeProduccion!LQ:MB,MATCH(A1364,[1]ListadoFichasDeProduccion!A:A,0),K1364)),""))</f>
        <v/>
      </c>
      <c r="K1364" s="11">
        <v>1</v>
      </c>
    </row>
    <row r="1365" spans="1:11" hidden="1" x14ac:dyDescent="0.3">
      <c r="A1365" s="11">
        <v>1902</v>
      </c>
      <c r="B1365" s="8" t="str">
        <f>VLOOKUP(A1365,[1]ListadoFichasDeProduccion!$A$2:$LP$3000,328,FALSE)</f>
        <v>COMPLETADO</v>
      </c>
      <c r="C1365" s="11">
        <v>12</v>
      </c>
      <c r="D1365" t="s">
        <v>11</v>
      </c>
      <c r="E1365" t="s">
        <v>251</v>
      </c>
      <c r="G1365" s="9">
        <v>45861</v>
      </c>
      <c r="H1365" t="s">
        <v>252</v>
      </c>
      <c r="I1365" s="11">
        <v>6</v>
      </c>
      <c r="J1365" t="str">
        <f>IF(I1365="","",IFERROR(IF(INDEX([1]ListadoFichasDeProduccion!LQ:MB,MATCH(A1365,[1]ListadoFichasDeProduccion!A:A,0),K1365)=0,"",INDEX([1]ListadoFichasDeProduccion!LQ:MB,MATCH(A1365,[1]ListadoFichasDeProduccion!A:A,0),K1365)),""))</f>
        <v/>
      </c>
      <c r="K1365" s="11">
        <v>2</v>
      </c>
    </row>
    <row r="1366" spans="1:11" x14ac:dyDescent="0.3">
      <c r="A1366" s="11" t="s">
        <v>486</v>
      </c>
      <c r="B1366" t="str">
        <f>VLOOKUP(A1366,[1]ListadoFichasDeProduccion!$A$2:$LP$3000,328,FALSE)</f>
        <v>NO COMENZADO</v>
      </c>
      <c r="C1366" s="11">
        <v>9</v>
      </c>
      <c r="D1366" t="s">
        <v>11</v>
      </c>
      <c r="E1366" t="s">
        <v>251</v>
      </c>
      <c r="H1366" t="s">
        <v>252</v>
      </c>
      <c r="I1366" s="11">
        <v>9</v>
      </c>
      <c r="J1366" t="str">
        <f>IF(I1366="","",IFERROR(IF(INDEX([1]ListadoFichasDeProduccion!LQ:MB,MATCH(A1366,[1]ListadoFichasDeProduccion!A:A,0),K1366)=0,"",INDEX([1]ListadoFichasDeProduccion!LQ:MB,MATCH(A1366,[1]ListadoFichasDeProduccion!A:A,0),K1366)),""))</f>
        <v/>
      </c>
      <c r="K1366" s="11">
        <v>1</v>
      </c>
    </row>
    <row r="1367" spans="1:11" hidden="1" x14ac:dyDescent="0.3">
      <c r="A1367" s="11">
        <v>1800</v>
      </c>
      <c r="B1367" s="8" t="str">
        <f>VLOOKUP(A1367,[1]ListadoFichasDeProduccion!$A$2:$LP$3000,328,FALSE)</f>
        <v>COMPLETADO</v>
      </c>
      <c r="C1367" s="11">
        <v>36</v>
      </c>
      <c r="D1367" t="s">
        <v>11</v>
      </c>
      <c r="E1367" t="s">
        <v>220</v>
      </c>
      <c r="G1367" s="9">
        <v>45810</v>
      </c>
      <c r="H1367" t="s">
        <v>24</v>
      </c>
      <c r="I1367" s="11">
        <v>12</v>
      </c>
      <c r="J1367" t="str">
        <f>IF(I1367="","",IFERROR(IF(INDEX([1]ListadoFichasDeProduccion!LQ:MB,MATCH(A1367,[1]ListadoFichasDeProduccion!A:A,0),K1367)=0,"",INDEX([1]ListadoFichasDeProduccion!LQ:MB,MATCH(A1367,[1]ListadoFichasDeProduccion!A:A,0),K1367)),""))</f>
        <v/>
      </c>
      <c r="K1367" s="11">
        <v>1</v>
      </c>
    </row>
    <row r="1368" spans="1:11" hidden="1" x14ac:dyDescent="0.3">
      <c r="A1368" s="11">
        <v>1800</v>
      </c>
      <c r="B1368" s="8" t="str">
        <f>VLOOKUP(A1368,[1]ListadoFichasDeProduccion!$A$2:$LP$3000,328,FALSE)</f>
        <v>COMPLETADO</v>
      </c>
      <c r="C1368" s="11">
        <v>36</v>
      </c>
      <c r="D1368" t="s">
        <v>11</v>
      </c>
      <c r="E1368" t="s">
        <v>220</v>
      </c>
      <c r="G1368" s="9">
        <v>45810</v>
      </c>
      <c r="H1368" t="s">
        <v>221</v>
      </c>
      <c r="I1368" s="11">
        <v>12</v>
      </c>
      <c r="J1368" t="str">
        <f>IF(I1368="","",IFERROR(IF(INDEX([1]ListadoFichasDeProduccion!LQ:MB,MATCH(A1368,[1]ListadoFichasDeProduccion!A:A,0),K1368)=0,"",INDEX([1]ListadoFichasDeProduccion!LQ:MB,MATCH(A1368,[1]ListadoFichasDeProduccion!A:A,0),K1368)),""))</f>
        <v/>
      </c>
      <c r="K1368" s="11">
        <v>2</v>
      </c>
    </row>
    <row r="1369" spans="1:11" hidden="1" x14ac:dyDescent="0.3">
      <c r="A1369" s="11">
        <v>1800</v>
      </c>
      <c r="B1369" s="8" t="str">
        <f>VLOOKUP(A1369,[1]ListadoFichasDeProduccion!$A$2:$LP$3000,328,FALSE)</f>
        <v>COMPLETADO</v>
      </c>
      <c r="C1369" s="11">
        <v>36</v>
      </c>
      <c r="D1369" t="s">
        <v>11</v>
      </c>
      <c r="E1369" t="s">
        <v>220</v>
      </c>
      <c r="G1369" s="9">
        <v>45810</v>
      </c>
      <c r="H1369" t="s">
        <v>39</v>
      </c>
      <c r="I1369" s="11">
        <v>12</v>
      </c>
      <c r="J1369" t="str">
        <f>IF(I1369="","",IFERROR(IF(INDEX([1]ListadoFichasDeProduccion!LQ:MB,MATCH(A1369,[1]ListadoFichasDeProduccion!A:A,0),K1369)=0,"",INDEX([1]ListadoFichasDeProduccion!LQ:MB,MATCH(A1369,[1]ListadoFichasDeProduccion!A:A,0),K1369)),""))</f>
        <v/>
      </c>
      <c r="K1369" s="11">
        <v>3</v>
      </c>
    </row>
    <row r="1370" spans="1:11" x14ac:dyDescent="0.3">
      <c r="A1370" s="11">
        <v>1879</v>
      </c>
      <c r="B1370" s="8" t="str">
        <f>VLOOKUP(A1370,[1]ListadoFichasDeProduccion!$A$2:$LP$3000,328,FALSE)</f>
        <v>EN PRODUCCION</v>
      </c>
      <c r="C1370" s="11">
        <v>9</v>
      </c>
      <c r="D1370" t="s">
        <v>11</v>
      </c>
      <c r="E1370" t="s">
        <v>220</v>
      </c>
      <c r="G1370" s="9">
        <v>45841</v>
      </c>
      <c r="H1370" t="s">
        <v>24</v>
      </c>
      <c r="I1370" s="11">
        <v>6</v>
      </c>
      <c r="J1370" t="str">
        <f>IF(I1370="","",IFERROR(IF(INDEX([1]ListadoFichasDeProduccion!LQ:MB,MATCH(A1370,[1]ListadoFichasDeProduccion!A:A,0),K1370)=0,"",INDEX([1]ListadoFichasDeProduccion!LQ:MB,MATCH(A1370,[1]ListadoFichasDeProduccion!A:A,0),K1370)),""))</f>
        <v/>
      </c>
      <c r="K1370" s="11">
        <v>1</v>
      </c>
    </row>
    <row r="1371" spans="1:11" x14ac:dyDescent="0.3">
      <c r="A1371" s="11">
        <v>1879</v>
      </c>
      <c r="B1371" s="8" t="str">
        <f>VLOOKUP(A1371,[1]ListadoFichasDeProduccion!$A$2:$LP$3000,328,FALSE)</f>
        <v>EN PRODUCCION</v>
      </c>
      <c r="C1371" s="11">
        <v>9</v>
      </c>
      <c r="D1371" t="s">
        <v>11</v>
      </c>
      <c r="E1371" t="s">
        <v>220</v>
      </c>
      <c r="G1371" s="9">
        <v>45841</v>
      </c>
      <c r="H1371" t="s">
        <v>221</v>
      </c>
      <c r="I1371" s="11">
        <v>3</v>
      </c>
      <c r="J1371" t="str">
        <f>IF(I1371="","",IFERROR(IF(INDEX([1]ListadoFichasDeProduccion!LQ:MB,MATCH(A1371,[1]ListadoFichasDeProduccion!A:A,0),K1371)=0,"",INDEX([1]ListadoFichasDeProduccion!LQ:MB,MATCH(A1371,[1]ListadoFichasDeProduccion!A:A,0),K1371)),""))</f>
        <v/>
      </c>
      <c r="K1371" s="11">
        <v>2</v>
      </c>
    </row>
    <row r="1372" spans="1:11" hidden="1" x14ac:dyDescent="0.3">
      <c r="A1372" s="11">
        <v>1916</v>
      </c>
      <c r="B1372" s="8" t="str">
        <f>VLOOKUP(A1372,[1]ListadoFichasDeProduccion!$A$2:$LP$3000,328,FALSE)</f>
        <v>COMPLETADO</v>
      </c>
      <c r="C1372" s="11">
        <v>26</v>
      </c>
      <c r="D1372" t="s">
        <v>11</v>
      </c>
      <c r="E1372" t="s">
        <v>220</v>
      </c>
      <c r="G1372" s="9">
        <v>45869</v>
      </c>
      <c r="H1372" t="s">
        <v>24</v>
      </c>
      <c r="I1372" s="11">
        <v>14</v>
      </c>
      <c r="J1372" t="str">
        <f>IF(I1372="","",IFERROR(IF(INDEX([1]ListadoFichasDeProduccion!LQ:MB,MATCH(A1372,[1]ListadoFichasDeProduccion!A:A,0),K1372)=0,"",INDEX([1]ListadoFichasDeProduccion!LQ:MB,MATCH(A1372,[1]ListadoFichasDeProduccion!A:A,0),K1372)),""))</f>
        <v/>
      </c>
      <c r="K1372" s="11">
        <v>1</v>
      </c>
    </row>
    <row r="1373" spans="1:11" hidden="1" x14ac:dyDescent="0.3">
      <c r="A1373" s="11">
        <v>1916</v>
      </c>
      <c r="B1373" s="8" t="str">
        <f>VLOOKUP(A1373,[1]ListadoFichasDeProduccion!$A$2:$LP$3000,328,FALSE)</f>
        <v>COMPLETADO</v>
      </c>
      <c r="C1373" s="11">
        <v>26</v>
      </c>
      <c r="D1373" t="s">
        <v>11</v>
      </c>
      <c r="E1373" t="s">
        <v>220</v>
      </c>
      <c r="G1373" s="9">
        <v>45869</v>
      </c>
      <c r="H1373" t="s">
        <v>221</v>
      </c>
      <c r="I1373" s="11">
        <v>6</v>
      </c>
      <c r="J1373" t="str">
        <f>IF(I1373="","",IFERROR(IF(INDEX([1]ListadoFichasDeProduccion!LQ:MB,MATCH(A1373,[1]ListadoFichasDeProduccion!A:A,0),K1373)=0,"",INDEX([1]ListadoFichasDeProduccion!LQ:MB,MATCH(A1373,[1]ListadoFichasDeProduccion!A:A,0),K1373)),""))</f>
        <v>SI QUEDA ALGO CORTAR Y AGOTAR!!</v>
      </c>
      <c r="K1373" s="11">
        <v>2</v>
      </c>
    </row>
    <row r="1374" spans="1:11" hidden="1" x14ac:dyDescent="0.3">
      <c r="A1374" s="11">
        <v>1916</v>
      </c>
      <c r="B1374" s="8" t="str">
        <f>VLOOKUP(A1374,[1]ListadoFichasDeProduccion!$A$2:$LP$3000,328,FALSE)</f>
        <v>COMPLETADO</v>
      </c>
      <c r="C1374" s="11">
        <v>26</v>
      </c>
      <c r="D1374" t="s">
        <v>11</v>
      </c>
      <c r="E1374" t="s">
        <v>220</v>
      </c>
      <c r="G1374" s="9">
        <v>45869</v>
      </c>
      <c r="H1374" t="s">
        <v>22</v>
      </c>
      <c r="I1374" s="11">
        <v>6</v>
      </c>
      <c r="J1374" t="str">
        <f>IF(I1374="","",IFERROR(IF(INDEX([1]ListadoFichasDeProduccion!LQ:MB,MATCH(A1374,[1]ListadoFichasDeProduccion!A:A,0),K1374)=0,"",INDEX([1]ListadoFichasDeProduccion!LQ:MB,MATCH(A1374,[1]ListadoFichasDeProduccion!A:A,0),K1374)),""))</f>
        <v/>
      </c>
      <c r="K1374" s="11">
        <v>4</v>
      </c>
    </row>
    <row r="1375" spans="1:11" hidden="1" x14ac:dyDescent="0.3">
      <c r="A1375" s="11">
        <v>1953</v>
      </c>
      <c r="B1375" t="str">
        <f>VLOOKUP(A1375,[1]ListadoFichasDeProduccion!$A$2:$LP$3000,328,FALSE)</f>
        <v>COMPLETADO</v>
      </c>
      <c r="C1375" s="11">
        <v>35</v>
      </c>
      <c r="D1375" t="s">
        <v>11</v>
      </c>
      <c r="E1375" t="s">
        <v>220</v>
      </c>
      <c r="G1375" s="9">
        <v>45897</v>
      </c>
      <c r="H1375" t="s">
        <v>24</v>
      </c>
      <c r="I1375" s="11">
        <v>14</v>
      </c>
      <c r="J1375" t="str">
        <f>IF(I1375="","",IFERROR(IF(INDEX([1]ListadoFichasDeProduccion!LQ:MB,MATCH(A1375,[1]ListadoFichasDeProduccion!A:A,0),K1375)=0,"",INDEX([1]ListadoFichasDeProduccion!LQ:MB,MATCH(A1375,[1]ListadoFichasDeProduccion!A:A,0),K1375)),""))</f>
        <v/>
      </c>
      <c r="K1375" s="11">
        <v>1</v>
      </c>
    </row>
    <row r="1376" spans="1:11" hidden="1" x14ac:dyDescent="0.3">
      <c r="A1376" s="11">
        <v>1953</v>
      </c>
      <c r="B1376" t="str">
        <f>VLOOKUP(A1376,[1]ListadoFichasDeProduccion!$A$2:$LP$3000,328,FALSE)</f>
        <v>COMPLETADO</v>
      </c>
      <c r="C1376" s="11">
        <v>35</v>
      </c>
      <c r="D1376" t="s">
        <v>11</v>
      </c>
      <c r="E1376" t="s">
        <v>220</v>
      </c>
      <c r="G1376" s="9">
        <v>45897</v>
      </c>
      <c r="H1376" t="s">
        <v>39</v>
      </c>
      <c r="I1376" s="11">
        <v>12</v>
      </c>
      <c r="J1376" t="str">
        <f>IF(I1376="","",IFERROR(IF(INDEX([1]ListadoFichasDeProduccion!LQ:MB,MATCH(A1376,[1]ListadoFichasDeProduccion!A:A,0),K1376)=0,"",INDEX([1]ListadoFichasDeProduccion!LQ:MB,MATCH(A1376,[1]ListadoFichasDeProduccion!A:A,0),K1376)),""))</f>
        <v/>
      </c>
      <c r="K1376" s="11">
        <v>2</v>
      </c>
    </row>
    <row r="1377" spans="1:11" hidden="1" x14ac:dyDescent="0.3">
      <c r="A1377" s="11">
        <v>1953</v>
      </c>
      <c r="B1377" t="str">
        <f>VLOOKUP(A1377,[1]ListadoFichasDeProduccion!$A$2:$LP$3000,328,FALSE)</f>
        <v>COMPLETADO</v>
      </c>
      <c r="C1377" s="11">
        <v>35</v>
      </c>
      <c r="D1377" t="s">
        <v>11</v>
      </c>
      <c r="E1377" t="s">
        <v>220</v>
      </c>
      <c r="G1377" s="9">
        <v>45897</v>
      </c>
      <c r="H1377" t="s">
        <v>22</v>
      </c>
      <c r="I1377" s="11">
        <v>9</v>
      </c>
      <c r="J1377" t="str">
        <f>IF(I1377="","",IFERROR(IF(INDEX([1]ListadoFichasDeProduccion!LQ:MB,MATCH(A1377,[1]ListadoFichasDeProduccion!A:A,0),K1377)=0,"",INDEX([1]ListadoFichasDeProduccion!LQ:MB,MATCH(A1377,[1]ListadoFichasDeProduccion!A:A,0),K1377)),""))</f>
        <v/>
      </c>
      <c r="K1377" s="11">
        <v>3</v>
      </c>
    </row>
    <row r="1378" spans="1:11" hidden="1" x14ac:dyDescent="0.3">
      <c r="A1378" s="11" t="s">
        <v>309</v>
      </c>
      <c r="B1378" t="str">
        <f>VLOOKUP(A1378,[1]ListadoFichasDeProduccion!$A$2:$LP$3000,328,FALSE)</f>
        <v>COMPLETADO</v>
      </c>
      <c r="C1378" s="11">
        <v>12</v>
      </c>
      <c r="D1378" t="s">
        <v>11</v>
      </c>
      <c r="E1378" t="s">
        <v>220</v>
      </c>
      <c r="G1378" s="9">
        <v>45912</v>
      </c>
      <c r="H1378" t="s">
        <v>221</v>
      </c>
      <c r="I1378" s="11">
        <v>12</v>
      </c>
      <c r="J1378" t="str">
        <f>IF(I1378="","",IFERROR(IF(INDEX([1]ListadoFichasDeProduccion!LQ:MB,MATCH(A1378,[1]ListadoFichasDeProduccion!A:A,0),K1378)=0,"",INDEX([1]ListadoFichasDeProduccion!LQ:MB,MATCH(A1378,[1]ListadoFichasDeProduccion!A:A,0),K1378)),""))</f>
        <v/>
      </c>
      <c r="K1378" s="11">
        <v>1</v>
      </c>
    </row>
    <row r="1379" spans="1:11" hidden="1" x14ac:dyDescent="0.3">
      <c r="A1379" s="11" t="s">
        <v>352</v>
      </c>
      <c r="B1379" t="str">
        <f>VLOOKUP(A1379,[1]ListadoFichasDeProduccion!$A$2:$LP$3000,328,FALSE)</f>
        <v>COMPLETADO</v>
      </c>
      <c r="C1379" s="11">
        <v>42</v>
      </c>
      <c r="D1379" t="s">
        <v>11</v>
      </c>
      <c r="E1379" t="s">
        <v>220</v>
      </c>
      <c r="G1379" s="9">
        <v>45919</v>
      </c>
      <c r="H1379" t="s">
        <v>24</v>
      </c>
      <c r="I1379" s="11">
        <v>24</v>
      </c>
      <c r="J1379" t="str">
        <f>IF(I1379="","",IFERROR(IF(INDEX([1]ListadoFichasDeProduccion!LQ:MB,MATCH(A1379,[1]ListadoFichasDeProduccion!A:A,0),K1379)=0,"",INDEX([1]ListadoFichasDeProduccion!LQ:MB,MATCH(A1379,[1]ListadoFichasDeProduccion!A:A,0),K1379)),""))</f>
        <v/>
      </c>
      <c r="K1379" s="11">
        <v>1</v>
      </c>
    </row>
    <row r="1380" spans="1:11" hidden="1" x14ac:dyDescent="0.3">
      <c r="A1380" s="11" t="s">
        <v>352</v>
      </c>
      <c r="B1380" t="str">
        <f>VLOOKUP(A1380,[1]ListadoFichasDeProduccion!$A$2:$LP$3000,328,FALSE)</f>
        <v>COMPLETADO</v>
      </c>
      <c r="C1380" s="11">
        <v>42</v>
      </c>
      <c r="D1380" t="s">
        <v>11</v>
      </c>
      <c r="E1380" t="s">
        <v>220</v>
      </c>
      <c r="G1380" s="9">
        <v>45919</v>
      </c>
      <c r="H1380" t="s">
        <v>39</v>
      </c>
      <c r="I1380" s="11">
        <v>18</v>
      </c>
      <c r="J1380" t="str">
        <f>IF(I1380="","",IFERROR(IF(INDEX([1]ListadoFichasDeProduccion!LQ:MB,MATCH(A1380,[1]ListadoFichasDeProduccion!A:A,0),K1380)=0,"",INDEX([1]ListadoFichasDeProduccion!LQ:MB,MATCH(A1380,[1]ListadoFichasDeProduccion!A:A,0),K1380)),""))</f>
        <v/>
      </c>
      <c r="K1380" s="11">
        <v>2</v>
      </c>
    </row>
    <row r="1381" spans="1:11" x14ac:dyDescent="0.3">
      <c r="A1381" s="11" t="s">
        <v>513</v>
      </c>
      <c r="B1381" t="str">
        <f>VLOOKUP(A1381,[1]ListadoFichasDeProduccion!$A$2:$LP$3000,328,FALSE)</f>
        <v>NO COMENZADO</v>
      </c>
      <c r="C1381" s="11">
        <v>45</v>
      </c>
      <c r="D1381" t="s">
        <v>11</v>
      </c>
      <c r="E1381" t="s">
        <v>220</v>
      </c>
      <c r="H1381" t="s">
        <v>24</v>
      </c>
      <c r="I1381" s="11">
        <v>30</v>
      </c>
      <c r="J1381" t="str">
        <f>IF(I1381="","",IFERROR(IF(INDEX([1]ListadoFichasDeProduccion!LQ:MB,MATCH(A1381,[1]ListadoFichasDeProduccion!A:A,0),K1381)=0,"",INDEX([1]ListadoFichasDeProduccion!LQ:MB,MATCH(A1381,[1]ListadoFichasDeProduccion!A:A,0),K1381)),""))</f>
        <v/>
      </c>
      <c r="K1381" s="11">
        <v>1</v>
      </c>
    </row>
    <row r="1382" spans="1:11" x14ac:dyDescent="0.3">
      <c r="A1382" s="11" t="s">
        <v>513</v>
      </c>
      <c r="B1382" t="str">
        <f>VLOOKUP(A1382,[1]ListadoFichasDeProduccion!$A$2:$LP$3000,328,FALSE)</f>
        <v>NO COMENZADO</v>
      </c>
      <c r="C1382" s="11">
        <v>45</v>
      </c>
      <c r="D1382" t="s">
        <v>11</v>
      </c>
      <c r="E1382" t="s">
        <v>220</v>
      </c>
      <c r="H1382" t="s">
        <v>221</v>
      </c>
      <c r="I1382" s="11">
        <v>15</v>
      </c>
      <c r="J1382" t="str">
        <f>IF(I1382="","",IFERROR(IF(INDEX([1]ListadoFichasDeProduccion!LQ:MB,MATCH(A1382,[1]ListadoFichasDeProduccion!A:A,0),K1382)=0,"",INDEX([1]ListadoFichasDeProduccion!LQ:MB,MATCH(A1382,[1]ListadoFichasDeProduccion!A:A,0),K1382)),""))</f>
        <v/>
      </c>
      <c r="K1382" s="11">
        <v>2</v>
      </c>
    </row>
    <row r="1404" spans="10:10" x14ac:dyDescent="0.3">
      <c r="J1404" s="9"/>
    </row>
    <row r="1405" spans="10:10" x14ac:dyDescent="0.3">
      <c r="J1405" s="9"/>
    </row>
    <row r="1406" spans="10:10" x14ac:dyDescent="0.3">
      <c r="J1406" s="9"/>
    </row>
    <row r="1407" spans="10:10" x14ac:dyDescent="0.3">
      <c r="J1407" s="9"/>
    </row>
    <row r="1423" spans="10:10" x14ac:dyDescent="0.3">
      <c r="J1423" s="9"/>
    </row>
    <row r="1424" spans="10:10" x14ac:dyDescent="0.3">
      <c r="J1424" s="9"/>
    </row>
    <row r="1425" spans="10:10" x14ac:dyDescent="0.3">
      <c r="J1425" s="9"/>
    </row>
    <row r="1426" spans="10:10" x14ac:dyDescent="0.3">
      <c r="J1426" s="9"/>
    </row>
    <row r="1427" spans="10:10" x14ac:dyDescent="0.3">
      <c r="J1427" s="9"/>
    </row>
    <row r="1428" spans="10:10" x14ac:dyDescent="0.3">
      <c r="J1428" s="9"/>
    </row>
    <row r="1429" spans="10:10" x14ac:dyDescent="0.3">
      <c r="J1429" s="9"/>
    </row>
    <row r="1461" spans="10:10" x14ac:dyDescent="0.3">
      <c r="J1461" s="9"/>
    </row>
    <row r="1462" spans="10:10" x14ac:dyDescent="0.3">
      <c r="J1462" s="9"/>
    </row>
    <row r="1463" spans="10:10" x14ac:dyDescent="0.3">
      <c r="J1463" s="9"/>
    </row>
    <row r="1464" spans="10:10" x14ac:dyDescent="0.3">
      <c r="J1464" s="9"/>
    </row>
    <row r="1465" spans="10:10" x14ac:dyDescent="0.3">
      <c r="J1465" s="9"/>
    </row>
    <row r="1466" spans="10:10" x14ac:dyDescent="0.3">
      <c r="J1466" s="9"/>
    </row>
    <row r="1467" spans="10:10" x14ac:dyDescent="0.3">
      <c r="J1467" s="9"/>
    </row>
    <row r="1468" spans="10:10" x14ac:dyDescent="0.3">
      <c r="J1468" s="9"/>
    </row>
    <row r="1469" spans="10:10" x14ac:dyDescent="0.3">
      <c r="J1469" s="9"/>
    </row>
    <row r="1470" spans="10:10" x14ac:dyDescent="0.3">
      <c r="J1470" s="9"/>
    </row>
    <row r="1471" spans="10:10" x14ac:dyDescent="0.3">
      <c r="J1471" s="9"/>
    </row>
    <row r="1472" spans="10:10" x14ac:dyDescent="0.3">
      <c r="J1472" s="9"/>
    </row>
    <row r="1473" spans="10:10" x14ac:dyDescent="0.3">
      <c r="J1473" s="9"/>
    </row>
    <row r="1474" spans="10:10" x14ac:dyDescent="0.3">
      <c r="J1474" s="9"/>
    </row>
    <row r="1475" spans="10:10" x14ac:dyDescent="0.3">
      <c r="J1475" s="9"/>
    </row>
    <row r="1483" spans="10:10" x14ac:dyDescent="0.3">
      <c r="J1483" s="9"/>
    </row>
    <row r="1484" spans="10:10" x14ac:dyDescent="0.3">
      <c r="J1484" s="9"/>
    </row>
    <row r="1485" spans="10:10" x14ac:dyDescent="0.3">
      <c r="J1485" s="9"/>
    </row>
    <row r="1486" spans="10:10" x14ac:dyDescent="0.3">
      <c r="J1486" s="9"/>
    </row>
    <row r="1487" spans="10:10" x14ac:dyDescent="0.3">
      <c r="J1487" s="9"/>
    </row>
    <row r="1491" spans="10:10" x14ac:dyDescent="0.3">
      <c r="J1491" s="9"/>
    </row>
    <row r="1492" spans="10:10" x14ac:dyDescent="0.3">
      <c r="J1492" s="9"/>
    </row>
    <row r="1493" spans="10:10" x14ac:dyDescent="0.3">
      <c r="J1493" s="9"/>
    </row>
    <row r="1494" spans="10:10" x14ac:dyDescent="0.3">
      <c r="J1494" s="9"/>
    </row>
    <row r="1495" spans="10:10" x14ac:dyDescent="0.3">
      <c r="J1495" s="9"/>
    </row>
    <row r="1496" spans="10:10" x14ac:dyDescent="0.3">
      <c r="J1496" s="9"/>
    </row>
    <row r="1497" spans="10:10" x14ac:dyDescent="0.3">
      <c r="J1497" s="9"/>
    </row>
    <row r="1498" spans="10:10" x14ac:dyDescent="0.3">
      <c r="J1498" s="9"/>
    </row>
    <row r="1499" spans="10:10" x14ac:dyDescent="0.3">
      <c r="J1499" s="9"/>
    </row>
    <row r="1500" spans="10:10" x14ac:dyDescent="0.3">
      <c r="J1500" s="9"/>
    </row>
    <row r="1501" spans="10:10" x14ac:dyDescent="0.3">
      <c r="J1501" s="9"/>
    </row>
    <row r="1502" spans="10:10" x14ac:dyDescent="0.3">
      <c r="J1502" s="9"/>
    </row>
    <row r="1503" spans="10:10" x14ac:dyDescent="0.3">
      <c r="J1503" s="9"/>
    </row>
    <row r="1504" spans="10:10" x14ac:dyDescent="0.3">
      <c r="J1504" s="9"/>
    </row>
    <row r="1505" spans="10:10" x14ac:dyDescent="0.3">
      <c r="J1505" s="9"/>
    </row>
    <row r="1508" spans="10:10" x14ac:dyDescent="0.3">
      <c r="J1508" s="9"/>
    </row>
    <row r="1509" spans="10:10" x14ac:dyDescent="0.3">
      <c r="J1509" s="9"/>
    </row>
    <row r="1510" spans="10:10" x14ac:dyDescent="0.3">
      <c r="J1510" s="9"/>
    </row>
    <row r="1513" spans="10:10" x14ac:dyDescent="0.3">
      <c r="J1513" s="9"/>
    </row>
    <row r="1514" spans="10:10" x14ac:dyDescent="0.3">
      <c r="J1514" s="9"/>
    </row>
    <row r="1515" spans="10:10" x14ac:dyDescent="0.3">
      <c r="J1515" s="9"/>
    </row>
    <row r="1516" spans="10:10" x14ac:dyDescent="0.3">
      <c r="J1516" s="9"/>
    </row>
    <row r="1517" spans="10:10" x14ac:dyDescent="0.3">
      <c r="J1517" s="9"/>
    </row>
    <row r="1518" spans="10:10" x14ac:dyDescent="0.3">
      <c r="J1518" s="9"/>
    </row>
    <row r="1519" spans="10:10" x14ac:dyDescent="0.3">
      <c r="J1519" s="9"/>
    </row>
    <row r="1520" spans="10:10" x14ac:dyDescent="0.3">
      <c r="J1520" s="9"/>
    </row>
    <row r="1521" spans="10:10" x14ac:dyDescent="0.3">
      <c r="J1521" s="9"/>
    </row>
    <row r="1522" spans="10:10" x14ac:dyDescent="0.3">
      <c r="J1522" s="9"/>
    </row>
    <row r="1523" spans="10:10" x14ac:dyDescent="0.3">
      <c r="J1523" s="9"/>
    </row>
    <row r="1524" spans="10:10" x14ac:dyDescent="0.3">
      <c r="J1524" s="9"/>
    </row>
    <row r="1525" spans="10:10" x14ac:dyDescent="0.3">
      <c r="J1525" s="9"/>
    </row>
    <row r="1526" spans="10:10" x14ac:dyDescent="0.3">
      <c r="J1526" s="9"/>
    </row>
    <row r="1527" spans="10:10" x14ac:dyDescent="0.3">
      <c r="J1527" s="9"/>
    </row>
    <row r="1562" spans="10:10" x14ac:dyDescent="0.3">
      <c r="J1562" s="9"/>
    </row>
    <row r="1563" spans="10:10" x14ac:dyDescent="0.3">
      <c r="J1563" s="9"/>
    </row>
    <row r="1564" spans="10:10" x14ac:dyDescent="0.3">
      <c r="J1564" s="9"/>
    </row>
    <row r="1565" spans="10:10" x14ac:dyDescent="0.3">
      <c r="J1565" s="9"/>
    </row>
    <row r="1566" spans="10:10" x14ac:dyDescent="0.3">
      <c r="J1566" s="9"/>
    </row>
    <row r="1567" spans="10:10" x14ac:dyDescent="0.3">
      <c r="J1567" s="9"/>
    </row>
    <row r="1568" spans="10:10" x14ac:dyDescent="0.3">
      <c r="J1568" s="9"/>
    </row>
    <row r="1569" spans="10:10" x14ac:dyDescent="0.3">
      <c r="J1569" s="9"/>
    </row>
    <row r="1570" spans="10:10" x14ac:dyDescent="0.3">
      <c r="J1570" s="9"/>
    </row>
    <row r="1571" spans="10:10" x14ac:dyDescent="0.3">
      <c r="J1571" s="9"/>
    </row>
    <row r="1572" spans="10:10" x14ac:dyDescent="0.3">
      <c r="J1572" s="9"/>
    </row>
    <row r="1573" spans="10:10" x14ac:dyDescent="0.3">
      <c r="J1573" s="9"/>
    </row>
    <row r="1574" spans="10:10" x14ac:dyDescent="0.3">
      <c r="J1574" s="9"/>
    </row>
    <row r="1575" spans="10:10" x14ac:dyDescent="0.3">
      <c r="J1575" s="9"/>
    </row>
    <row r="1576" spans="10:10" x14ac:dyDescent="0.3">
      <c r="J1576" s="9"/>
    </row>
    <row r="1577" spans="10:10" x14ac:dyDescent="0.3">
      <c r="J1577" s="9"/>
    </row>
    <row r="1578" spans="10:10" x14ac:dyDescent="0.3">
      <c r="J1578" s="9"/>
    </row>
    <row r="1579" spans="10:10" x14ac:dyDescent="0.3">
      <c r="J1579" s="9"/>
    </row>
    <row r="1582" spans="10:10" x14ac:dyDescent="0.3">
      <c r="J1582" s="9"/>
    </row>
    <row r="1583" spans="10:10" x14ac:dyDescent="0.3">
      <c r="J1583" s="9"/>
    </row>
    <row r="1584" spans="10:10" x14ac:dyDescent="0.3">
      <c r="J1584" s="9"/>
    </row>
    <row r="1585" spans="10:10" x14ac:dyDescent="0.3">
      <c r="J1585" s="9"/>
    </row>
    <row r="1586" spans="10:10" x14ac:dyDescent="0.3">
      <c r="J1586" s="9"/>
    </row>
    <row r="1587" spans="10:10" x14ac:dyDescent="0.3">
      <c r="J1587" s="9"/>
    </row>
    <row r="1588" spans="10:10" x14ac:dyDescent="0.3">
      <c r="J1588" s="9"/>
    </row>
    <row r="1589" spans="10:10" x14ac:dyDescent="0.3">
      <c r="J1589" s="9"/>
    </row>
    <row r="1590" spans="10:10" x14ac:dyDescent="0.3">
      <c r="J1590" s="9"/>
    </row>
    <row r="1591" spans="10:10" x14ac:dyDescent="0.3">
      <c r="J1591" s="9"/>
    </row>
    <row r="1592" spans="10:10" x14ac:dyDescent="0.3">
      <c r="J1592" s="9"/>
    </row>
    <row r="1593" spans="10:10" x14ac:dyDescent="0.3">
      <c r="J1593" s="9"/>
    </row>
    <row r="1594" spans="10:10" x14ac:dyDescent="0.3">
      <c r="J1594" s="9"/>
    </row>
    <row r="1595" spans="10:10" x14ac:dyDescent="0.3">
      <c r="J1595" s="9"/>
    </row>
    <row r="1598" spans="10:10" x14ac:dyDescent="0.3">
      <c r="J1598" s="9"/>
    </row>
    <row r="1599" spans="10:10" x14ac:dyDescent="0.3">
      <c r="J1599" s="9"/>
    </row>
    <row r="1600" spans="10:10" x14ac:dyDescent="0.3">
      <c r="J1600" s="9"/>
    </row>
    <row r="1601" spans="10:10" x14ac:dyDescent="0.3">
      <c r="J1601" s="9"/>
    </row>
    <row r="1602" spans="10:10" x14ac:dyDescent="0.3">
      <c r="J1602" s="9"/>
    </row>
    <row r="1603" spans="10:10" x14ac:dyDescent="0.3">
      <c r="J1603" s="9"/>
    </row>
    <row r="1616" spans="10:10" x14ac:dyDescent="0.3">
      <c r="J1616" s="9"/>
    </row>
    <row r="1617" spans="10:10" x14ac:dyDescent="0.3">
      <c r="J1617" s="9"/>
    </row>
    <row r="1618" spans="10:10" x14ac:dyDescent="0.3">
      <c r="J1618" s="9"/>
    </row>
    <row r="1619" spans="10:10" x14ac:dyDescent="0.3">
      <c r="J1619" s="9"/>
    </row>
    <row r="1620" spans="10:10" x14ac:dyDescent="0.3">
      <c r="J1620" s="9"/>
    </row>
    <row r="1621" spans="10:10" x14ac:dyDescent="0.3">
      <c r="J1621" s="9"/>
    </row>
    <row r="1622" spans="10:10" x14ac:dyDescent="0.3">
      <c r="J1622" s="9"/>
    </row>
    <row r="1623" spans="10:10" x14ac:dyDescent="0.3">
      <c r="J1623" s="9"/>
    </row>
    <row r="1624" spans="10:10" x14ac:dyDescent="0.3">
      <c r="J1624" s="9"/>
    </row>
    <row r="1683" spans="10:10" x14ac:dyDescent="0.3">
      <c r="J1683" s="9"/>
    </row>
    <row r="1684" spans="10:10" x14ac:dyDescent="0.3">
      <c r="J1684" s="9"/>
    </row>
    <row r="1697" spans="10:10" x14ac:dyDescent="0.3">
      <c r="J1697" s="9"/>
    </row>
    <row r="1698" spans="10:10" x14ac:dyDescent="0.3">
      <c r="J1698" s="9"/>
    </row>
    <row r="1699" spans="10:10" x14ac:dyDescent="0.3">
      <c r="J1699" s="9"/>
    </row>
  </sheetData>
  <autoFilter ref="A1:K1382">
    <filterColumn colId="1">
      <filters>
        <filter val="EN PRODUCCION"/>
        <filter val="NO COMENZADO"/>
      </filters>
    </filterColumn>
  </autoFilter>
  <sortState ref="A2:K1699">
    <sortCondition ref="E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InformeValeria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Adrians</dc:creator>
  <cp:lastModifiedBy>Valeria Levite</cp:lastModifiedBy>
  <dcterms:created xsi:type="dcterms:W3CDTF">2025-12-02T14:38:29Z</dcterms:created>
  <dcterms:modified xsi:type="dcterms:W3CDTF">2025-12-11T14:28:09Z</dcterms:modified>
</cp:coreProperties>
</file>