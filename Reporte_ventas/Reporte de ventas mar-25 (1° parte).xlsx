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7bc0a2f725aa4268/Escritorio/Reportes/Ventas/"/>
    </mc:Choice>
  </mc:AlternateContent>
  <xr:revisionPtr revIDLastSave="0" documentId="8_{84951300-4475-493A-93C8-5E335A17A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bros y familias" sheetId="1" r:id="rId1"/>
    <sheet name="SKU" sheetId="3" r:id="rId2"/>
    <sheet name="SKU-Familia" sheetId="14" r:id="rId3"/>
    <sheet name="Modelos" sheetId="9" r:id="rId4"/>
    <sheet name="AUX" sheetId="7" state="hidden" r:id="rId5"/>
  </sheets>
  <definedNames>
    <definedName name="_xlnm._FilterDatabase" localSheetId="3" hidden="1">Modelos!$A$2:$G$234</definedName>
    <definedName name="_xlnm._FilterDatabase" localSheetId="1" hidden="1">SKU!$A$2:$L$991</definedName>
    <definedName name="_xlnm._FilterDatabase" localSheetId="2" hidden="1">'SKU-Familia'!$A$2:$L$1048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9" l="1"/>
  <c r="G2" i="9"/>
  <c r="J1049" i="14"/>
  <c r="H1049" i="14"/>
  <c r="J1047" i="14"/>
  <c r="H1047" i="14"/>
  <c r="J1011" i="14"/>
  <c r="H1011" i="14"/>
  <c r="J1002" i="14"/>
  <c r="H1002" i="14"/>
  <c r="J999" i="14"/>
  <c r="H999" i="14"/>
  <c r="J990" i="14"/>
  <c r="H990" i="14"/>
  <c r="J983" i="14"/>
  <c r="H983" i="14"/>
  <c r="J978" i="14"/>
  <c r="H978" i="14"/>
  <c r="J976" i="14"/>
  <c r="H976" i="14"/>
  <c r="J971" i="14"/>
  <c r="H971" i="14"/>
  <c r="J957" i="14"/>
  <c r="H957" i="14"/>
  <c r="J949" i="14"/>
  <c r="H949" i="14"/>
  <c r="J941" i="14"/>
  <c r="H941" i="14"/>
  <c r="J936" i="14"/>
  <c r="H936" i="14"/>
  <c r="J918" i="14"/>
  <c r="H918" i="14"/>
  <c r="J903" i="14"/>
  <c r="H903" i="14"/>
  <c r="J890" i="14"/>
  <c r="H890" i="14"/>
  <c r="J877" i="14"/>
  <c r="H877" i="14"/>
  <c r="J864" i="14"/>
  <c r="H864" i="14"/>
  <c r="J846" i="14"/>
  <c r="H846" i="14"/>
  <c r="J843" i="14"/>
  <c r="H843" i="14"/>
  <c r="J760" i="14"/>
  <c r="H760" i="14"/>
  <c r="J743" i="14"/>
  <c r="H743" i="14"/>
  <c r="J666" i="14"/>
  <c r="H666" i="14"/>
  <c r="J566" i="14"/>
  <c r="H566" i="14"/>
  <c r="J552" i="14"/>
  <c r="H552" i="14"/>
  <c r="J543" i="14"/>
  <c r="H543" i="14"/>
  <c r="J510" i="14"/>
  <c r="H510" i="14"/>
  <c r="J507" i="14"/>
  <c r="H507" i="14"/>
  <c r="J445" i="14"/>
  <c r="H445" i="14"/>
  <c r="J438" i="14"/>
  <c r="H438" i="14"/>
  <c r="J434" i="14"/>
  <c r="H434" i="14"/>
  <c r="J417" i="14"/>
  <c r="H417" i="14"/>
  <c r="J414" i="14"/>
  <c r="H414" i="14"/>
  <c r="J412" i="14"/>
  <c r="H412" i="14"/>
  <c r="J384" i="14"/>
  <c r="H384" i="14"/>
  <c r="J349" i="14"/>
  <c r="H349" i="14"/>
  <c r="J345" i="14"/>
  <c r="H345" i="14"/>
  <c r="J335" i="14"/>
  <c r="H335" i="14"/>
  <c r="J253" i="14"/>
  <c r="H253" i="14"/>
  <c r="J251" i="14"/>
  <c r="H251" i="14"/>
  <c r="J249" i="14"/>
  <c r="H249" i="14"/>
  <c r="J158" i="14"/>
  <c r="H158" i="14"/>
  <c r="J156" i="14"/>
  <c r="H156" i="14"/>
  <c r="J142" i="14"/>
  <c r="H142" i="14"/>
  <c r="J139" i="14"/>
  <c r="H139" i="14"/>
  <c r="J137" i="14"/>
  <c r="H137" i="14"/>
  <c r="J133" i="14"/>
  <c r="H133" i="14"/>
  <c r="J130" i="14"/>
  <c r="H130" i="14"/>
  <c r="J118" i="14"/>
  <c r="H118" i="14"/>
  <c r="J116" i="14"/>
  <c r="H116" i="14"/>
  <c r="J108" i="14"/>
  <c r="H108" i="14"/>
  <c r="J99" i="14"/>
  <c r="H99" i="14"/>
  <c r="J97" i="14"/>
  <c r="H97" i="14"/>
  <c r="J28" i="14"/>
  <c r="H28" i="14"/>
  <c r="J19" i="14"/>
  <c r="H19" i="14"/>
  <c r="J16" i="14"/>
  <c r="H16" i="14"/>
  <c r="J12" i="14"/>
  <c r="H12" i="14"/>
  <c r="J4" i="14"/>
  <c r="J1050" i="14" s="1"/>
  <c r="H4" i="14"/>
  <c r="H1050" i="14" s="1"/>
  <c r="L565" i="14"/>
  <c r="I565" i="14"/>
  <c r="L564" i="14"/>
  <c r="I564" i="14"/>
  <c r="L563" i="14"/>
  <c r="I563" i="14"/>
  <c r="L562" i="14"/>
  <c r="I562" i="14"/>
  <c r="L561" i="14"/>
  <c r="I561" i="14"/>
  <c r="L956" i="14"/>
  <c r="I956" i="14"/>
  <c r="L433" i="14"/>
  <c r="I433" i="14"/>
  <c r="L432" i="14"/>
  <c r="I432" i="14"/>
  <c r="L431" i="14"/>
  <c r="I431" i="14"/>
  <c r="L117" i="14"/>
  <c r="I117" i="14"/>
  <c r="L430" i="14"/>
  <c r="I430" i="14"/>
  <c r="L429" i="14"/>
  <c r="I429" i="14"/>
  <c r="L955" i="14"/>
  <c r="I955" i="14"/>
  <c r="L665" i="14"/>
  <c r="I665" i="14"/>
  <c r="L954" i="14"/>
  <c r="I954" i="14"/>
  <c r="L664" i="14"/>
  <c r="I664" i="14"/>
  <c r="L428" i="14"/>
  <c r="I428" i="14"/>
  <c r="L427" i="14"/>
  <c r="I427" i="14"/>
  <c r="L426" i="14"/>
  <c r="I426" i="14"/>
  <c r="L425" i="14"/>
  <c r="I425" i="14"/>
  <c r="L560" i="14"/>
  <c r="I560" i="14"/>
  <c r="L663" i="14"/>
  <c r="I663" i="14"/>
  <c r="L424" i="14"/>
  <c r="I424" i="14"/>
  <c r="L423" i="14"/>
  <c r="I423" i="14"/>
  <c r="L953" i="14"/>
  <c r="I953" i="14"/>
  <c r="L662" i="14"/>
  <c r="I662" i="14"/>
  <c r="L559" i="14"/>
  <c r="I559" i="14"/>
  <c r="L558" i="14"/>
  <c r="I558" i="14"/>
  <c r="L506" i="14"/>
  <c r="I506" i="14"/>
  <c r="L505" i="14"/>
  <c r="I505" i="14"/>
  <c r="L504" i="14"/>
  <c r="I504" i="14"/>
  <c r="L503" i="14"/>
  <c r="I503" i="14"/>
  <c r="L444" i="14"/>
  <c r="I444" i="14"/>
  <c r="L443" i="14"/>
  <c r="I443" i="14"/>
  <c r="L442" i="14"/>
  <c r="I442" i="14"/>
  <c r="L96" i="14"/>
  <c r="I96" i="14"/>
  <c r="L95" i="14"/>
  <c r="I95" i="14"/>
  <c r="L502" i="14"/>
  <c r="I502" i="14"/>
  <c r="L138" i="14"/>
  <c r="I138" i="14"/>
  <c r="L542" i="14"/>
  <c r="I542" i="14"/>
  <c r="L541" i="14"/>
  <c r="I541" i="14"/>
  <c r="L540" i="14"/>
  <c r="I540" i="14"/>
  <c r="L539" i="14"/>
  <c r="I539" i="14"/>
  <c r="L383" i="14"/>
  <c r="I383" i="14"/>
  <c r="L382" i="14"/>
  <c r="I382" i="14"/>
  <c r="L1010" i="14"/>
  <c r="I1010" i="14"/>
  <c r="L538" i="14"/>
  <c r="I538" i="14"/>
  <c r="L537" i="14"/>
  <c r="I537" i="14"/>
  <c r="L536" i="14"/>
  <c r="I536" i="14"/>
  <c r="L535" i="14"/>
  <c r="I535" i="14"/>
  <c r="L94" i="14"/>
  <c r="I94" i="14"/>
  <c r="L534" i="14"/>
  <c r="I534" i="14"/>
  <c r="L107" i="14"/>
  <c r="I107" i="14"/>
  <c r="L106" i="14"/>
  <c r="I106" i="14"/>
  <c r="L93" i="14"/>
  <c r="I93" i="14"/>
  <c r="L92" i="14"/>
  <c r="I92" i="14"/>
  <c r="L91" i="14"/>
  <c r="I91" i="14"/>
  <c r="L90" i="14"/>
  <c r="I90" i="14"/>
  <c r="L557" i="14"/>
  <c r="I557" i="14"/>
  <c r="L556" i="14"/>
  <c r="I556" i="14"/>
  <c r="L555" i="14"/>
  <c r="I555" i="14"/>
  <c r="L554" i="14"/>
  <c r="I554" i="14"/>
  <c r="L553" i="14"/>
  <c r="I553" i="14"/>
  <c r="L501" i="14"/>
  <c r="I501" i="14"/>
  <c r="L500" i="14"/>
  <c r="I500" i="14"/>
  <c r="L499" i="14"/>
  <c r="I499" i="14"/>
  <c r="L498" i="14"/>
  <c r="I498" i="14"/>
  <c r="L497" i="14"/>
  <c r="I497" i="14"/>
  <c r="L496" i="14"/>
  <c r="I496" i="14"/>
  <c r="L661" i="14"/>
  <c r="I661" i="14"/>
  <c r="L660" i="14"/>
  <c r="I660" i="14"/>
  <c r="L659" i="14"/>
  <c r="I659" i="14"/>
  <c r="L422" i="14"/>
  <c r="I422" i="14"/>
  <c r="L658" i="14"/>
  <c r="I658" i="14"/>
  <c r="L657" i="14"/>
  <c r="I657" i="14"/>
  <c r="L437" i="14"/>
  <c r="I437" i="14"/>
  <c r="L436" i="14"/>
  <c r="I436" i="14"/>
  <c r="L435" i="14"/>
  <c r="I435" i="14"/>
  <c r="L18" i="14"/>
  <c r="I18" i="14"/>
  <c r="L89" i="14"/>
  <c r="I89" i="14"/>
  <c r="L88" i="14"/>
  <c r="I88" i="14"/>
  <c r="L87" i="14"/>
  <c r="I87" i="14"/>
  <c r="L86" i="14"/>
  <c r="I86" i="14"/>
  <c r="L85" i="14"/>
  <c r="I85" i="14"/>
  <c r="L84" i="14"/>
  <c r="I84" i="14"/>
  <c r="L83" i="14"/>
  <c r="I83" i="14"/>
  <c r="L82" i="14"/>
  <c r="I82" i="14"/>
  <c r="L81" i="14"/>
  <c r="I81" i="14"/>
  <c r="L1009" i="14"/>
  <c r="I1009" i="14"/>
  <c r="L421" i="14"/>
  <c r="I421" i="14"/>
  <c r="L656" i="14"/>
  <c r="I656" i="14"/>
  <c r="L655" i="14"/>
  <c r="I655" i="14"/>
  <c r="L381" i="14"/>
  <c r="I381" i="14"/>
  <c r="L380" i="14"/>
  <c r="I380" i="14"/>
  <c r="L379" i="14"/>
  <c r="I379" i="14"/>
  <c r="L378" i="14"/>
  <c r="I378" i="14"/>
  <c r="L377" i="14"/>
  <c r="I377" i="14"/>
  <c r="L376" i="14"/>
  <c r="I376" i="14"/>
  <c r="L375" i="14"/>
  <c r="I375" i="14"/>
  <c r="L1001" i="14"/>
  <c r="I1001" i="14"/>
  <c r="L1000" i="14"/>
  <c r="I1000" i="14"/>
  <c r="L374" i="14"/>
  <c r="I374" i="14"/>
  <c r="L11" i="14"/>
  <c r="I11" i="14"/>
  <c r="L654" i="14"/>
  <c r="I654" i="14"/>
  <c r="L495" i="14"/>
  <c r="I495" i="14"/>
  <c r="L494" i="14"/>
  <c r="I494" i="14"/>
  <c r="L493" i="14"/>
  <c r="I493" i="14"/>
  <c r="L492" i="14"/>
  <c r="I492" i="14"/>
  <c r="L491" i="14"/>
  <c r="I491" i="14"/>
  <c r="L490" i="14"/>
  <c r="I490" i="14"/>
  <c r="L441" i="14"/>
  <c r="I441" i="14"/>
  <c r="L440" i="14"/>
  <c r="I440" i="14"/>
  <c r="L80" i="14"/>
  <c r="I80" i="14"/>
  <c r="L79" i="14"/>
  <c r="I79" i="14"/>
  <c r="L653" i="14"/>
  <c r="I653" i="14"/>
  <c r="L652" i="14"/>
  <c r="I652" i="14"/>
  <c r="L651" i="14"/>
  <c r="I651" i="14"/>
  <c r="L650" i="14"/>
  <c r="I650" i="14"/>
  <c r="L649" i="14"/>
  <c r="I649" i="14"/>
  <c r="L10" i="14"/>
  <c r="I10" i="14"/>
  <c r="L9" i="14"/>
  <c r="I9" i="14"/>
  <c r="L1008" i="14"/>
  <c r="I1008" i="14"/>
  <c r="L1007" i="14"/>
  <c r="I1007" i="14"/>
  <c r="L1006" i="14"/>
  <c r="I1006" i="14"/>
  <c r="L648" i="14"/>
  <c r="I648" i="14"/>
  <c r="L647" i="14"/>
  <c r="I647" i="14"/>
  <c r="L373" i="14"/>
  <c r="I373" i="14"/>
  <c r="L372" i="14"/>
  <c r="I372" i="14"/>
  <c r="L371" i="14"/>
  <c r="I371" i="14"/>
  <c r="L370" i="14"/>
  <c r="I370" i="14"/>
  <c r="L952" i="14"/>
  <c r="I952" i="14"/>
  <c r="L842" i="14"/>
  <c r="I842" i="14"/>
  <c r="L78" i="14"/>
  <c r="I78" i="14"/>
  <c r="L77" i="14"/>
  <c r="I77" i="14"/>
  <c r="L76" i="14"/>
  <c r="I76" i="14"/>
  <c r="L75" i="14"/>
  <c r="I75" i="14"/>
  <c r="L74" i="14"/>
  <c r="I74" i="14"/>
  <c r="L73" i="14"/>
  <c r="I73" i="14"/>
  <c r="L72" i="14"/>
  <c r="I72" i="14"/>
  <c r="L71" i="14"/>
  <c r="I71" i="14"/>
  <c r="L70" i="14"/>
  <c r="I70" i="14"/>
  <c r="L69" i="14"/>
  <c r="I69" i="14"/>
  <c r="L68" i="14"/>
  <c r="I68" i="14"/>
  <c r="L67" i="14"/>
  <c r="I67" i="14"/>
  <c r="L66" i="14"/>
  <c r="I66" i="14"/>
  <c r="L65" i="14"/>
  <c r="I65" i="14"/>
  <c r="L64" i="14"/>
  <c r="I64" i="14"/>
  <c r="L63" i="14"/>
  <c r="I63" i="14"/>
  <c r="L62" i="14"/>
  <c r="I62" i="14"/>
  <c r="L61" i="14"/>
  <c r="I61" i="14"/>
  <c r="L60" i="14"/>
  <c r="I60" i="14"/>
  <c r="L8" i="14"/>
  <c r="I8" i="14"/>
  <c r="L7" i="14"/>
  <c r="I7" i="14"/>
  <c r="L6" i="14"/>
  <c r="I6" i="14"/>
  <c r="L157" i="14"/>
  <c r="I157" i="14"/>
  <c r="L248" i="14"/>
  <c r="I248" i="14"/>
  <c r="L247" i="14"/>
  <c r="I247" i="14"/>
  <c r="L246" i="14"/>
  <c r="I246" i="14"/>
  <c r="L245" i="14"/>
  <c r="I245" i="14"/>
  <c r="L244" i="14"/>
  <c r="I244" i="14"/>
  <c r="L243" i="14"/>
  <c r="I243" i="14"/>
  <c r="L533" i="14"/>
  <c r="I533" i="14"/>
  <c r="L532" i="14"/>
  <c r="I532" i="14"/>
  <c r="L59" i="14"/>
  <c r="I59" i="14"/>
  <c r="L58" i="14"/>
  <c r="I58" i="14"/>
  <c r="L1005" i="14"/>
  <c r="I1005" i="14"/>
  <c r="L489" i="14"/>
  <c r="I489" i="14"/>
  <c r="L488" i="14"/>
  <c r="I488" i="14"/>
  <c r="L487" i="14"/>
  <c r="I487" i="14"/>
  <c r="L486" i="14"/>
  <c r="I486" i="14"/>
  <c r="L531" i="14"/>
  <c r="I531" i="14"/>
  <c r="L105" i="14"/>
  <c r="I105" i="14"/>
  <c r="L104" i="14"/>
  <c r="I104" i="14"/>
  <c r="L57" i="14"/>
  <c r="I57" i="14"/>
  <c r="L646" i="14"/>
  <c r="I646" i="14"/>
  <c r="L645" i="14"/>
  <c r="I645" i="14"/>
  <c r="L344" i="14"/>
  <c r="I344" i="14"/>
  <c r="L343" i="14"/>
  <c r="I343" i="14"/>
  <c r="L342" i="14"/>
  <c r="I342" i="14"/>
  <c r="L341" i="14"/>
  <c r="I341" i="14"/>
  <c r="L420" i="14"/>
  <c r="I420" i="14"/>
  <c r="L644" i="14"/>
  <c r="I644" i="14"/>
  <c r="L643" i="14"/>
  <c r="I643" i="14"/>
  <c r="L485" i="14"/>
  <c r="I485" i="14"/>
  <c r="L484" i="14"/>
  <c r="I484" i="14"/>
  <c r="L483" i="14"/>
  <c r="I483" i="14"/>
  <c r="L551" i="14"/>
  <c r="I551" i="14"/>
  <c r="L550" i="14"/>
  <c r="I550" i="14"/>
  <c r="L642" i="14"/>
  <c r="I642" i="14"/>
  <c r="L641" i="14"/>
  <c r="I641" i="14"/>
  <c r="L640" i="14"/>
  <c r="I640" i="14"/>
  <c r="L639" i="14"/>
  <c r="I639" i="14"/>
  <c r="L482" i="14"/>
  <c r="I482" i="14"/>
  <c r="L481" i="14"/>
  <c r="I481" i="14"/>
  <c r="L419" i="14"/>
  <c r="I419" i="14"/>
  <c r="L418" i="14"/>
  <c r="I418" i="14"/>
  <c r="L1004" i="14"/>
  <c r="I1004" i="14"/>
  <c r="L638" i="14"/>
  <c r="I638" i="14"/>
  <c r="L637" i="14"/>
  <c r="I637" i="14"/>
  <c r="L636" i="14"/>
  <c r="I636" i="14"/>
  <c r="L17" i="14"/>
  <c r="I17" i="14"/>
  <c r="L970" i="14"/>
  <c r="I970" i="14"/>
  <c r="L969" i="14"/>
  <c r="I969" i="14"/>
  <c r="L968" i="14"/>
  <c r="I968" i="14"/>
  <c r="L967" i="14"/>
  <c r="I967" i="14"/>
  <c r="L966" i="14"/>
  <c r="I966" i="14"/>
  <c r="L965" i="14"/>
  <c r="I965" i="14"/>
  <c r="L964" i="14"/>
  <c r="I964" i="14"/>
  <c r="L963" i="14"/>
  <c r="I963" i="14"/>
  <c r="L129" i="14"/>
  <c r="I129" i="14"/>
  <c r="L128" i="14"/>
  <c r="I128" i="14"/>
  <c r="L127" i="14"/>
  <c r="I127" i="14"/>
  <c r="L951" i="14"/>
  <c r="I951" i="14"/>
  <c r="L889" i="14"/>
  <c r="I889" i="14"/>
  <c r="L888" i="14"/>
  <c r="I888" i="14"/>
  <c r="L887" i="14"/>
  <c r="I887" i="14"/>
  <c r="L886" i="14"/>
  <c r="I886" i="14"/>
  <c r="L549" i="14"/>
  <c r="I549" i="14"/>
  <c r="L548" i="14"/>
  <c r="I548" i="14"/>
  <c r="L547" i="14"/>
  <c r="I547" i="14"/>
  <c r="L546" i="14"/>
  <c r="I546" i="14"/>
  <c r="L545" i="14"/>
  <c r="I545" i="14"/>
  <c r="L416" i="14"/>
  <c r="I416" i="14"/>
  <c r="L250" i="14"/>
  <c r="I250" i="14"/>
  <c r="L27" i="14"/>
  <c r="I27" i="14"/>
  <c r="L26" i="14"/>
  <c r="I26" i="14"/>
  <c r="L25" i="14"/>
  <c r="I25" i="14"/>
  <c r="L24" i="14"/>
  <c r="I24" i="14"/>
  <c r="L242" i="14"/>
  <c r="I242" i="14"/>
  <c r="L241" i="14"/>
  <c r="I241" i="14"/>
  <c r="L240" i="14"/>
  <c r="I240" i="14"/>
  <c r="L239" i="14"/>
  <c r="I239" i="14"/>
  <c r="L238" i="14"/>
  <c r="I238" i="14"/>
  <c r="L56" i="14"/>
  <c r="I56" i="14"/>
  <c r="L55" i="14"/>
  <c r="I55" i="14"/>
  <c r="L54" i="14"/>
  <c r="I54" i="14"/>
  <c r="L530" i="14"/>
  <c r="I530" i="14"/>
  <c r="L369" i="14"/>
  <c r="I369" i="14"/>
  <c r="L368" i="14"/>
  <c r="I368" i="14"/>
  <c r="L367" i="14"/>
  <c r="I367" i="14"/>
  <c r="L334" i="14"/>
  <c r="I334" i="14"/>
  <c r="L333" i="14"/>
  <c r="I333" i="14"/>
  <c r="L332" i="14"/>
  <c r="I332" i="14"/>
  <c r="L331" i="14"/>
  <c r="I331" i="14"/>
  <c r="L330" i="14"/>
  <c r="I330" i="14"/>
  <c r="L329" i="14"/>
  <c r="I329" i="14"/>
  <c r="L635" i="14"/>
  <c r="I635" i="14"/>
  <c r="L634" i="14"/>
  <c r="I634" i="14"/>
  <c r="L633" i="14"/>
  <c r="I633" i="14"/>
  <c r="L529" i="14"/>
  <c r="I529" i="14"/>
  <c r="L366" i="14"/>
  <c r="I366" i="14"/>
  <c r="L632" i="14"/>
  <c r="I632" i="14"/>
  <c r="L998" i="14"/>
  <c r="I998" i="14"/>
  <c r="L989" i="14"/>
  <c r="I989" i="14"/>
  <c r="L988" i="14"/>
  <c r="I988" i="14"/>
  <c r="L987" i="14"/>
  <c r="I987" i="14"/>
  <c r="L962" i="14"/>
  <c r="I962" i="14"/>
  <c r="L961" i="14"/>
  <c r="I961" i="14"/>
  <c r="L960" i="14"/>
  <c r="I960" i="14"/>
  <c r="L997" i="14"/>
  <c r="I997" i="14"/>
  <c r="L126" i="14"/>
  <c r="I126" i="14"/>
  <c r="L125" i="14"/>
  <c r="I125" i="14"/>
  <c r="L124" i="14"/>
  <c r="I124" i="14"/>
  <c r="L123" i="14"/>
  <c r="I123" i="14"/>
  <c r="L122" i="14"/>
  <c r="I122" i="14"/>
  <c r="L121" i="14"/>
  <c r="I121" i="14"/>
  <c r="L120" i="14"/>
  <c r="I120" i="14"/>
  <c r="L996" i="14"/>
  <c r="I996" i="14"/>
  <c r="L995" i="14"/>
  <c r="I995" i="14"/>
  <c r="L1046" i="14"/>
  <c r="I1046" i="14"/>
  <c r="L1045" i="14"/>
  <c r="I1045" i="14"/>
  <c r="L1044" i="14"/>
  <c r="I1044" i="14"/>
  <c r="L1043" i="14"/>
  <c r="I1043" i="14"/>
  <c r="L1042" i="14"/>
  <c r="I1042" i="14"/>
  <c r="L1041" i="14"/>
  <c r="I1041" i="14"/>
  <c r="L1040" i="14"/>
  <c r="I1040" i="14"/>
  <c r="L1039" i="14"/>
  <c r="I1039" i="14"/>
  <c r="L1038" i="14"/>
  <c r="I1038" i="14"/>
  <c r="L1037" i="14"/>
  <c r="I1037" i="14"/>
  <c r="L1036" i="14"/>
  <c r="I1036" i="14"/>
  <c r="L1035" i="14"/>
  <c r="I1035" i="14"/>
  <c r="L509" i="14"/>
  <c r="I509" i="14"/>
  <c r="L252" i="14"/>
  <c r="I252" i="14"/>
  <c r="L103" i="14"/>
  <c r="I103" i="14"/>
  <c r="L631" i="14"/>
  <c r="I631" i="14"/>
  <c r="L480" i="14"/>
  <c r="I480" i="14"/>
  <c r="L479" i="14"/>
  <c r="I479" i="14"/>
  <c r="L478" i="14"/>
  <c r="I478" i="14"/>
  <c r="L477" i="14"/>
  <c r="I477" i="14"/>
  <c r="L476" i="14"/>
  <c r="I476" i="14"/>
  <c r="L439" i="14"/>
  <c r="I439" i="14"/>
  <c r="L411" i="14"/>
  <c r="I411" i="14"/>
  <c r="L410" i="14"/>
  <c r="I410" i="14"/>
  <c r="L409" i="14"/>
  <c r="I409" i="14"/>
  <c r="L408" i="14"/>
  <c r="I408" i="14"/>
  <c r="L407" i="14"/>
  <c r="I407" i="14"/>
  <c r="L406" i="14"/>
  <c r="I406" i="14"/>
  <c r="L237" i="14"/>
  <c r="I237" i="14"/>
  <c r="L236" i="14"/>
  <c r="I236" i="14"/>
  <c r="L235" i="14"/>
  <c r="I235" i="14"/>
  <c r="L234" i="14"/>
  <c r="I234" i="14"/>
  <c r="L233" i="14"/>
  <c r="I233" i="14"/>
  <c r="L232" i="14"/>
  <c r="I232" i="14"/>
  <c r="L231" i="14"/>
  <c r="I231" i="14"/>
  <c r="L230" i="14"/>
  <c r="I230" i="14"/>
  <c r="L229" i="14"/>
  <c r="I229" i="14"/>
  <c r="L228" i="14"/>
  <c r="I228" i="14"/>
  <c r="L227" i="14"/>
  <c r="I227" i="14"/>
  <c r="L226" i="14"/>
  <c r="I226" i="14"/>
  <c r="L225" i="14"/>
  <c r="I225" i="14"/>
  <c r="L224" i="14"/>
  <c r="I224" i="14"/>
  <c r="L223" i="14"/>
  <c r="I223" i="14"/>
  <c r="L222" i="14"/>
  <c r="I222" i="14"/>
  <c r="L221" i="14"/>
  <c r="I221" i="14"/>
  <c r="L220" i="14"/>
  <c r="I220" i="14"/>
  <c r="L219" i="14"/>
  <c r="I219" i="14"/>
  <c r="L218" i="14"/>
  <c r="I218" i="14"/>
  <c r="L217" i="14"/>
  <c r="I217" i="14"/>
  <c r="L216" i="14"/>
  <c r="I216" i="14"/>
  <c r="L215" i="14"/>
  <c r="I215" i="14"/>
  <c r="L214" i="14"/>
  <c r="I214" i="14"/>
  <c r="L213" i="14"/>
  <c r="I213" i="14"/>
  <c r="L212" i="14"/>
  <c r="I212" i="14"/>
  <c r="L211" i="14"/>
  <c r="I211" i="14"/>
  <c r="L210" i="14"/>
  <c r="I210" i="14"/>
  <c r="L209" i="14"/>
  <c r="I209" i="14"/>
  <c r="L208" i="14"/>
  <c r="I208" i="14"/>
  <c r="L475" i="14"/>
  <c r="I475" i="14"/>
  <c r="L630" i="14"/>
  <c r="I630" i="14"/>
  <c r="L629" i="14"/>
  <c r="I629" i="14"/>
  <c r="L628" i="14"/>
  <c r="I628" i="14"/>
  <c r="L627" i="14"/>
  <c r="I627" i="14"/>
  <c r="L474" i="14"/>
  <c r="I474" i="14"/>
  <c r="L5" i="14"/>
  <c r="I5" i="14"/>
  <c r="L473" i="14"/>
  <c r="I473" i="14"/>
  <c r="L472" i="14"/>
  <c r="I472" i="14"/>
  <c r="L471" i="14"/>
  <c r="I471" i="14"/>
  <c r="L328" i="14"/>
  <c r="I328" i="14"/>
  <c r="L327" i="14"/>
  <c r="I327" i="14"/>
  <c r="L326" i="14"/>
  <c r="I326" i="14"/>
  <c r="L325" i="14"/>
  <c r="I325" i="14"/>
  <c r="L324" i="14"/>
  <c r="I324" i="14"/>
  <c r="L323" i="14"/>
  <c r="I323" i="14"/>
  <c r="L322" i="14"/>
  <c r="I322" i="14"/>
  <c r="L207" i="14"/>
  <c r="I207" i="14"/>
  <c r="L206" i="14"/>
  <c r="I206" i="14"/>
  <c r="L3" i="14"/>
  <c r="I3" i="14"/>
  <c r="L626" i="14"/>
  <c r="I626" i="14"/>
  <c r="L625" i="14"/>
  <c r="I625" i="14"/>
  <c r="L624" i="14"/>
  <c r="I624" i="14"/>
  <c r="L623" i="14"/>
  <c r="I623" i="14"/>
  <c r="L622" i="14"/>
  <c r="I622" i="14"/>
  <c r="L1003" i="14"/>
  <c r="I1003" i="14"/>
  <c r="L621" i="14"/>
  <c r="I621" i="14"/>
  <c r="L528" i="14"/>
  <c r="I528" i="14"/>
  <c r="L365" i="14"/>
  <c r="I365" i="14"/>
  <c r="L620" i="14"/>
  <c r="I620" i="14"/>
  <c r="L619" i="14"/>
  <c r="I619" i="14"/>
  <c r="L994" i="14"/>
  <c r="I994" i="14"/>
  <c r="L993" i="14"/>
  <c r="I993" i="14"/>
  <c r="L53" i="14"/>
  <c r="I53" i="14"/>
  <c r="L52" i="14"/>
  <c r="I52" i="14"/>
  <c r="L51" i="14"/>
  <c r="I51" i="14"/>
  <c r="L50" i="14"/>
  <c r="I50" i="14"/>
  <c r="L49" i="14"/>
  <c r="I49" i="14"/>
  <c r="L48" i="14"/>
  <c r="I48" i="14"/>
  <c r="L47" i="14"/>
  <c r="I47" i="14"/>
  <c r="L46" i="14"/>
  <c r="I46" i="14"/>
  <c r="L45" i="14"/>
  <c r="I45" i="14"/>
  <c r="L205" i="14"/>
  <c r="I205" i="14"/>
  <c r="L204" i="14"/>
  <c r="I204" i="14"/>
  <c r="L203" i="14"/>
  <c r="I203" i="14"/>
  <c r="L982" i="14"/>
  <c r="I982" i="14"/>
  <c r="L940" i="14"/>
  <c r="I940" i="14"/>
  <c r="L939" i="14"/>
  <c r="I939" i="14"/>
  <c r="L618" i="14"/>
  <c r="I618" i="14"/>
  <c r="L617" i="14"/>
  <c r="I617" i="14"/>
  <c r="L616" i="14"/>
  <c r="I616" i="14"/>
  <c r="L615" i="14"/>
  <c r="I615" i="14"/>
  <c r="L405" i="14"/>
  <c r="I405" i="14"/>
  <c r="L44" i="14"/>
  <c r="I44" i="14"/>
  <c r="L43" i="14"/>
  <c r="I43" i="14"/>
  <c r="L321" i="14"/>
  <c r="I321" i="14"/>
  <c r="L320" i="14"/>
  <c r="I320" i="14"/>
  <c r="L319" i="14"/>
  <c r="I319" i="14"/>
  <c r="L318" i="14"/>
  <c r="I318" i="14"/>
  <c r="L614" i="14"/>
  <c r="I614" i="14"/>
  <c r="L470" i="14"/>
  <c r="I470" i="14"/>
  <c r="L469" i="14"/>
  <c r="I469" i="14"/>
  <c r="L468" i="14"/>
  <c r="I468" i="14"/>
  <c r="L467" i="14"/>
  <c r="I467" i="14"/>
  <c r="L404" i="14"/>
  <c r="I404" i="14"/>
  <c r="L403" i="14"/>
  <c r="I403" i="14"/>
  <c r="L402" i="14"/>
  <c r="I402" i="14"/>
  <c r="L317" i="14"/>
  <c r="I317" i="14"/>
  <c r="L316" i="14"/>
  <c r="I316" i="14"/>
  <c r="L466" i="14"/>
  <c r="I466" i="14"/>
  <c r="L465" i="14"/>
  <c r="I465" i="14"/>
  <c r="L464" i="14"/>
  <c r="I464" i="14"/>
  <c r="L463" i="14"/>
  <c r="I463" i="14"/>
  <c r="L462" i="14"/>
  <c r="I462" i="14"/>
  <c r="L461" i="14"/>
  <c r="I461" i="14"/>
  <c r="L935" i="14"/>
  <c r="I935" i="14"/>
  <c r="L934" i="14"/>
  <c r="I934" i="14"/>
  <c r="L933" i="14"/>
  <c r="I933" i="14"/>
  <c r="L932" i="14"/>
  <c r="I932" i="14"/>
  <c r="L931" i="14"/>
  <c r="I931" i="14"/>
  <c r="L364" i="14"/>
  <c r="I364" i="14"/>
  <c r="L315" i="14"/>
  <c r="I315" i="14"/>
  <c r="L314" i="14"/>
  <c r="I314" i="14"/>
  <c r="L313" i="14"/>
  <c r="I313" i="14"/>
  <c r="L917" i="14"/>
  <c r="I917" i="14"/>
  <c r="L460" i="14"/>
  <c r="I460" i="14"/>
  <c r="L613" i="14"/>
  <c r="I613" i="14"/>
  <c r="L508" i="14"/>
  <c r="I508" i="14"/>
  <c r="L413" i="14"/>
  <c r="I413" i="14"/>
  <c r="L340" i="14"/>
  <c r="I340" i="14"/>
  <c r="L916" i="14"/>
  <c r="I916" i="14"/>
  <c r="L915" i="14"/>
  <c r="I915" i="14"/>
  <c r="L914" i="14"/>
  <c r="I914" i="14"/>
  <c r="L612" i="14"/>
  <c r="I612" i="14"/>
  <c r="L459" i="14"/>
  <c r="I459" i="14"/>
  <c r="L363" i="14"/>
  <c r="I363" i="14"/>
  <c r="L841" i="14"/>
  <c r="I841" i="14"/>
  <c r="L348" i="14"/>
  <c r="I348" i="14"/>
  <c r="L362" i="14"/>
  <c r="I362" i="14"/>
  <c r="L611" i="14"/>
  <c r="I611" i="14"/>
  <c r="L610" i="14"/>
  <c r="I610" i="14"/>
  <c r="L840" i="14"/>
  <c r="I840" i="14"/>
  <c r="L839" i="14"/>
  <c r="I839" i="14"/>
  <c r="L609" i="14"/>
  <c r="I609" i="14"/>
  <c r="L608" i="14"/>
  <c r="I608" i="14"/>
  <c r="L607" i="14"/>
  <c r="I607" i="14"/>
  <c r="L606" i="14"/>
  <c r="I606" i="14"/>
  <c r="L527" i="14"/>
  <c r="I527" i="14"/>
  <c r="L959" i="14"/>
  <c r="I959" i="14"/>
  <c r="L958" i="14"/>
  <c r="I958" i="14"/>
  <c r="L119" i="14"/>
  <c r="I119" i="14"/>
  <c r="L885" i="14"/>
  <c r="I885" i="14"/>
  <c r="L884" i="14"/>
  <c r="I884" i="14"/>
  <c r="L544" i="14"/>
  <c r="I544" i="14"/>
  <c r="L415" i="14"/>
  <c r="I415" i="14"/>
  <c r="L23" i="14"/>
  <c r="I23" i="14"/>
  <c r="L22" i="14"/>
  <c r="I22" i="14"/>
  <c r="L202" i="14"/>
  <c r="I202" i="14"/>
  <c r="L201" i="14"/>
  <c r="I201" i="14"/>
  <c r="L200" i="14"/>
  <c r="I200" i="14"/>
  <c r="L199" i="14"/>
  <c r="I199" i="14"/>
  <c r="L2" i="14"/>
  <c r="I2" i="14"/>
  <c r="L938" i="14"/>
  <c r="I938" i="14"/>
  <c r="L838" i="14"/>
  <c r="I838" i="14"/>
  <c r="L198" i="14"/>
  <c r="I198" i="14"/>
  <c r="L197" i="14"/>
  <c r="I197" i="14"/>
  <c r="L196" i="14"/>
  <c r="I196" i="14"/>
  <c r="L195" i="14"/>
  <c r="I195" i="14"/>
  <c r="L605" i="14"/>
  <c r="I605" i="14"/>
  <c r="L604" i="14"/>
  <c r="I604" i="14"/>
  <c r="L603" i="14"/>
  <c r="I603" i="14"/>
  <c r="L602" i="14"/>
  <c r="I602" i="14"/>
  <c r="L458" i="14"/>
  <c r="I458" i="14"/>
  <c r="L742" i="14"/>
  <c r="I742" i="14"/>
  <c r="L312" i="14"/>
  <c r="I312" i="14"/>
  <c r="L930" i="14"/>
  <c r="I930" i="14"/>
  <c r="L102" i="14"/>
  <c r="I102" i="14"/>
  <c r="L101" i="14"/>
  <c r="I101" i="14"/>
  <c r="L883" i="14"/>
  <c r="I883" i="14"/>
  <c r="L882" i="14"/>
  <c r="I882" i="14"/>
  <c r="L361" i="14"/>
  <c r="I361" i="14"/>
  <c r="L42" i="14"/>
  <c r="I42" i="14"/>
  <c r="L41" i="14"/>
  <c r="I41" i="14"/>
  <c r="L40" i="14"/>
  <c r="I40" i="14"/>
  <c r="L39" i="14"/>
  <c r="I39" i="14"/>
  <c r="L38" i="14"/>
  <c r="I38" i="14"/>
  <c r="L37" i="14"/>
  <c r="I37" i="14"/>
  <c r="L36" i="14"/>
  <c r="I36" i="14"/>
  <c r="L35" i="14"/>
  <c r="I35" i="14"/>
  <c r="L981" i="14"/>
  <c r="I981" i="14"/>
  <c r="L360" i="14"/>
  <c r="I360" i="14"/>
  <c r="L311" i="14"/>
  <c r="I311" i="14"/>
  <c r="L310" i="14"/>
  <c r="I310" i="14"/>
  <c r="L837" i="14"/>
  <c r="I837" i="14"/>
  <c r="L741" i="14"/>
  <c r="I741" i="14"/>
  <c r="L740" i="14"/>
  <c r="I740" i="14"/>
  <c r="L739" i="14"/>
  <c r="I739" i="14"/>
  <c r="L738" i="14"/>
  <c r="I738" i="14"/>
  <c r="L737" i="14"/>
  <c r="I737" i="14"/>
  <c r="L309" i="14"/>
  <c r="I309" i="14"/>
  <c r="L308" i="14"/>
  <c r="I308" i="14"/>
  <c r="L307" i="14"/>
  <c r="I307" i="14"/>
  <c r="L306" i="14"/>
  <c r="I306" i="14"/>
  <c r="L305" i="14"/>
  <c r="I305" i="14"/>
  <c r="L304" i="14"/>
  <c r="I304" i="14"/>
  <c r="L303" i="14"/>
  <c r="I303" i="14"/>
  <c r="L302" i="14"/>
  <c r="I302" i="14"/>
  <c r="L301" i="14"/>
  <c r="I301" i="14"/>
  <c r="L300" i="14"/>
  <c r="I300" i="14"/>
  <c r="L136" i="14"/>
  <c r="I136" i="14"/>
  <c r="L135" i="14"/>
  <c r="I135" i="14"/>
  <c r="L736" i="14"/>
  <c r="I736" i="14"/>
  <c r="L735" i="14"/>
  <c r="I735" i="14"/>
  <c r="L734" i="14"/>
  <c r="I734" i="14"/>
  <c r="L733" i="14"/>
  <c r="I733" i="14"/>
  <c r="L732" i="14"/>
  <c r="I732" i="14"/>
  <c r="L731" i="14"/>
  <c r="I731" i="14"/>
  <c r="L601" i="14"/>
  <c r="I601" i="14"/>
  <c r="L339" i="14"/>
  <c r="I339" i="14"/>
  <c r="L600" i="14"/>
  <c r="I600" i="14"/>
  <c r="L599" i="14"/>
  <c r="I599" i="14"/>
  <c r="L730" i="14"/>
  <c r="I730" i="14"/>
  <c r="L729" i="14"/>
  <c r="I729" i="14"/>
  <c r="L728" i="14"/>
  <c r="I728" i="14"/>
  <c r="L727" i="14"/>
  <c r="I727" i="14"/>
  <c r="L726" i="14"/>
  <c r="I726" i="14"/>
  <c r="L34" i="14"/>
  <c r="I34" i="14"/>
  <c r="L299" i="14"/>
  <c r="I299" i="14"/>
  <c r="L298" i="14"/>
  <c r="I298" i="14"/>
  <c r="L297" i="14"/>
  <c r="I297" i="14"/>
  <c r="L296" i="14"/>
  <c r="I296" i="14"/>
  <c r="L725" i="14"/>
  <c r="I725" i="14"/>
  <c r="L724" i="14"/>
  <c r="I724" i="14"/>
  <c r="L723" i="14"/>
  <c r="I723" i="14"/>
  <c r="L598" i="14"/>
  <c r="I598" i="14"/>
  <c r="L992" i="14"/>
  <c r="I992" i="14"/>
  <c r="L986" i="14"/>
  <c r="I986" i="14"/>
  <c r="L985" i="14"/>
  <c r="I985" i="14"/>
  <c r="L1034" i="14"/>
  <c r="I1034" i="14"/>
  <c r="L1033" i="14"/>
  <c r="I1033" i="14"/>
  <c r="L1032" i="14"/>
  <c r="I1032" i="14"/>
  <c r="L1031" i="14"/>
  <c r="I1031" i="14"/>
  <c r="L1030" i="14"/>
  <c r="I1030" i="14"/>
  <c r="L1029" i="14"/>
  <c r="I1029" i="14"/>
  <c r="L1028" i="14"/>
  <c r="I1028" i="14"/>
  <c r="L1027" i="14"/>
  <c r="I1027" i="14"/>
  <c r="L1026" i="14"/>
  <c r="I1026" i="14"/>
  <c r="L1025" i="14"/>
  <c r="I1025" i="14"/>
  <c r="L134" i="14"/>
  <c r="I134" i="14"/>
  <c r="L141" i="14"/>
  <c r="I141" i="14"/>
  <c r="L140" i="14"/>
  <c r="I140" i="14"/>
  <c r="L194" i="14"/>
  <c r="I194" i="14"/>
  <c r="L193" i="14"/>
  <c r="I193" i="14"/>
  <c r="L192" i="14"/>
  <c r="I192" i="14"/>
  <c r="L191" i="14"/>
  <c r="I191" i="14"/>
  <c r="L190" i="14"/>
  <c r="I190" i="14"/>
  <c r="L189" i="14"/>
  <c r="I189" i="14"/>
  <c r="L188" i="14"/>
  <c r="I188" i="14"/>
  <c r="L187" i="14"/>
  <c r="I187" i="14"/>
  <c r="L186" i="14"/>
  <c r="I186" i="14"/>
  <c r="L185" i="14"/>
  <c r="I185" i="14"/>
  <c r="L184" i="14"/>
  <c r="I184" i="14"/>
  <c r="L183" i="14"/>
  <c r="I183" i="14"/>
  <c r="L182" i="14"/>
  <c r="I182" i="14"/>
  <c r="L181" i="14"/>
  <c r="I181" i="14"/>
  <c r="L948" i="14"/>
  <c r="I948" i="14"/>
  <c r="L947" i="14"/>
  <c r="I947" i="14"/>
  <c r="L526" i="14"/>
  <c r="I526" i="14"/>
  <c r="L401" i="14"/>
  <c r="I401" i="14"/>
  <c r="L400" i="14"/>
  <c r="I400" i="14"/>
  <c r="L399" i="14"/>
  <c r="I399" i="14"/>
  <c r="L295" i="14"/>
  <c r="I295" i="14"/>
  <c r="L722" i="14"/>
  <c r="I722" i="14"/>
  <c r="L721" i="14"/>
  <c r="I721" i="14"/>
  <c r="L525" i="14"/>
  <c r="I525" i="14"/>
  <c r="L524" i="14"/>
  <c r="I524" i="14"/>
  <c r="L100" i="14"/>
  <c r="I100" i="14"/>
  <c r="L597" i="14"/>
  <c r="I597" i="14"/>
  <c r="L596" i="14"/>
  <c r="I596" i="14"/>
  <c r="L457" i="14"/>
  <c r="I457" i="14"/>
  <c r="L456" i="14"/>
  <c r="I456" i="14"/>
  <c r="L455" i="14"/>
  <c r="I455" i="14"/>
  <c r="L398" i="14"/>
  <c r="I398" i="14"/>
  <c r="L180" i="14"/>
  <c r="I180" i="14"/>
  <c r="L179" i="14"/>
  <c r="I179" i="14"/>
  <c r="L178" i="14"/>
  <c r="I178" i="14"/>
  <c r="L177" i="14"/>
  <c r="I177" i="14"/>
  <c r="L176" i="14"/>
  <c r="I176" i="14"/>
  <c r="L175" i="14"/>
  <c r="I175" i="14"/>
  <c r="L338" i="14"/>
  <c r="I338" i="14"/>
  <c r="L337" i="14"/>
  <c r="I337" i="14"/>
  <c r="L336" i="14"/>
  <c r="I336" i="14"/>
  <c r="L454" i="14"/>
  <c r="I454" i="14"/>
  <c r="L595" i="14"/>
  <c r="I595" i="14"/>
  <c r="L594" i="14"/>
  <c r="I594" i="14"/>
  <c r="L720" i="14"/>
  <c r="I720" i="14"/>
  <c r="L593" i="14"/>
  <c r="I593" i="14"/>
  <c r="L294" i="14"/>
  <c r="I294" i="14"/>
  <c r="L174" i="14"/>
  <c r="I174" i="14"/>
  <c r="L913" i="14"/>
  <c r="I913" i="14"/>
  <c r="L912" i="14"/>
  <c r="I912" i="14"/>
  <c r="L911" i="14"/>
  <c r="I911" i="14"/>
  <c r="L719" i="14"/>
  <c r="I719" i="14"/>
  <c r="L592" i="14"/>
  <c r="I592" i="14"/>
  <c r="L591" i="14"/>
  <c r="I591" i="14"/>
  <c r="L590" i="14"/>
  <c r="I590" i="14"/>
  <c r="L589" i="14"/>
  <c r="I589" i="14"/>
  <c r="L836" i="14"/>
  <c r="I836" i="14"/>
  <c r="L588" i="14"/>
  <c r="I588" i="14"/>
  <c r="L453" i="14"/>
  <c r="I453" i="14"/>
  <c r="L929" i="14"/>
  <c r="I929" i="14"/>
  <c r="L928" i="14"/>
  <c r="I928" i="14"/>
  <c r="L587" i="14"/>
  <c r="I587" i="14"/>
  <c r="L586" i="14"/>
  <c r="I586" i="14"/>
  <c r="L523" i="14"/>
  <c r="I523" i="14"/>
  <c r="L359" i="14"/>
  <c r="I359" i="14"/>
  <c r="L358" i="14"/>
  <c r="I358" i="14"/>
  <c r="L33" i="14"/>
  <c r="I33" i="14"/>
  <c r="L32" i="14"/>
  <c r="I32" i="14"/>
  <c r="L31" i="14"/>
  <c r="I31" i="14"/>
  <c r="L30" i="14"/>
  <c r="I30" i="14"/>
  <c r="L21" i="14"/>
  <c r="I21" i="14"/>
  <c r="L173" i="14"/>
  <c r="I173" i="14"/>
  <c r="L172" i="14"/>
  <c r="I172" i="14"/>
  <c r="L937" i="14"/>
  <c r="I937" i="14"/>
  <c r="L585" i="14"/>
  <c r="I585" i="14"/>
  <c r="L397" i="14"/>
  <c r="I397" i="14"/>
  <c r="L396" i="14"/>
  <c r="I396" i="14"/>
  <c r="L155" i="14"/>
  <c r="I155" i="14"/>
  <c r="L154" i="14"/>
  <c r="I154" i="14"/>
  <c r="L153" i="14"/>
  <c r="I153" i="14"/>
  <c r="L152" i="14"/>
  <c r="I152" i="14"/>
  <c r="L151" i="14"/>
  <c r="I151" i="14"/>
  <c r="L150" i="14"/>
  <c r="I150" i="14"/>
  <c r="L149" i="14"/>
  <c r="I149" i="14"/>
  <c r="L148" i="14"/>
  <c r="I148" i="14"/>
  <c r="L147" i="14"/>
  <c r="I147" i="14"/>
  <c r="L835" i="14"/>
  <c r="I835" i="14"/>
  <c r="L834" i="14"/>
  <c r="I834" i="14"/>
  <c r="L833" i="14"/>
  <c r="I833" i="14"/>
  <c r="L832" i="14"/>
  <c r="I832" i="14"/>
  <c r="L831" i="14"/>
  <c r="I831" i="14"/>
  <c r="L132" i="14"/>
  <c r="I132" i="14"/>
  <c r="L131" i="14"/>
  <c r="I131" i="14"/>
  <c r="L293" i="14"/>
  <c r="I293" i="14"/>
  <c r="L292" i="14"/>
  <c r="I292" i="14"/>
  <c r="L291" i="14"/>
  <c r="I291" i="14"/>
  <c r="L290" i="14"/>
  <c r="I290" i="14"/>
  <c r="L357" i="14"/>
  <c r="I357" i="14"/>
  <c r="L289" i="14"/>
  <c r="I289" i="14"/>
  <c r="L288" i="14"/>
  <c r="I288" i="14"/>
  <c r="L395" i="14"/>
  <c r="I395" i="14"/>
  <c r="L394" i="14"/>
  <c r="I394" i="14"/>
  <c r="L393" i="14"/>
  <c r="I393" i="14"/>
  <c r="L927" i="14"/>
  <c r="I927" i="14"/>
  <c r="L926" i="14"/>
  <c r="I926" i="14"/>
  <c r="L925" i="14"/>
  <c r="I925" i="14"/>
  <c r="L924" i="14"/>
  <c r="I924" i="14"/>
  <c r="L584" i="14"/>
  <c r="I584" i="14"/>
  <c r="L452" i="14"/>
  <c r="I452" i="14"/>
  <c r="L451" i="14"/>
  <c r="I451" i="14"/>
  <c r="L450" i="14"/>
  <c r="I450" i="14"/>
  <c r="L830" i="14"/>
  <c r="I830" i="14"/>
  <c r="L923" i="14"/>
  <c r="I923" i="14"/>
  <c r="L287" i="14"/>
  <c r="I287" i="14"/>
  <c r="L286" i="14"/>
  <c r="I286" i="14"/>
  <c r="L583" i="14"/>
  <c r="I583" i="14"/>
  <c r="L910" i="14"/>
  <c r="I910" i="14"/>
  <c r="L909" i="14"/>
  <c r="I909" i="14"/>
  <c r="L908" i="14"/>
  <c r="I908" i="14"/>
  <c r="L582" i="14"/>
  <c r="I582" i="14"/>
  <c r="L449" i="14"/>
  <c r="I449" i="14"/>
  <c r="L356" i="14"/>
  <c r="I356" i="14"/>
  <c r="L285" i="14"/>
  <c r="I285" i="14"/>
  <c r="L284" i="14"/>
  <c r="I284" i="14"/>
  <c r="L718" i="14"/>
  <c r="I718" i="14"/>
  <c r="L717" i="14"/>
  <c r="I717" i="14"/>
  <c r="L716" i="14"/>
  <c r="I716" i="14"/>
  <c r="L715" i="14"/>
  <c r="I715" i="14"/>
  <c r="L714" i="14"/>
  <c r="I714" i="14"/>
  <c r="L713" i="14"/>
  <c r="I713" i="14"/>
  <c r="L712" i="14"/>
  <c r="I712" i="14"/>
  <c r="L522" i="14"/>
  <c r="I522" i="14"/>
  <c r="L581" i="14"/>
  <c r="I581" i="14"/>
  <c r="L580" i="14"/>
  <c r="I580" i="14"/>
  <c r="L115" i="14"/>
  <c r="I115" i="14"/>
  <c r="L907" i="14"/>
  <c r="I907" i="14"/>
  <c r="L711" i="14"/>
  <c r="I711" i="14"/>
  <c r="L710" i="14"/>
  <c r="I710" i="14"/>
  <c r="L521" i="14"/>
  <c r="I521" i="14"/>
  <c r="L829" i="14"/>
  <c r="I829" i="14"/>
  <c r="L828" i="14"/>
  <c r="I828" i="14"/>
  <c r="L29" i="14"/>
  <c r="I29" i="14"/>
  <c r="L984" i="14"/>
  <c r="I984" i="14"/>
  <c r="L1024" i="14"/>
  <c r="I1024" i="14"/>
  <c r="L1023" i="14"/>
  <c r="I1023" i="14"/>
  <c r="L1022" i="14"/>
  <c r="I1022" i="14"/>
  <c r="L1021" i="14"/>
  <c r="I1021" i="14"/>
  <c r="L1020" i="14"/>
  <c r="I1020" i="14"/>
  <c r="L355" i="14"/>
  <c r="I355" i="14"/>
  <c r="L520" i="14"/>
  <c r="I520" i="14"/>
  <c r="L519" i="14"/>
  <c r="I519" i="14"/>
  <c r="L518" i="14"/>
  <c r="I518" i="14"/>
  <c r="L863" i="14"/>
  <c r="I863" i="14"/>
  <c r="L862" i="14"/>
  <c r="I862" i="14"/>
  <c r="L861" i="14"/>
  <c r="I861" i="14"/>
  <c r="L517" i="14"/>
  <c r="I517" i="14"/>
  <c r="L827" i="14"/>
  <c r="I827" i="14"/>
  <c r="L171" i="14"/>
  <c r="I171" i="14"/>
  <c r="L170" i="14"/>
  <c r="I170" i="14"/>
  <c r="L169" i="14"/>
  <c r="I169" i="14"/>
  <c r="L168" i="14"/>
  <c r="I168" i="14"/>
  <c r="L826" i="14"/>
  <c r="I826" i="14"/>
  <c r="L759" i="14"/>
  <c r="I759" i="14"/>
  <c r="L881" i="14"/>
  <c r="I881" i="14"/>
  <c r="L880" i="14"/>
  <c r="I880" i="14"/>
  <c r="L20" i="14"/>
  <c r="I20" i="14"/>
  <c r="L167" i="14"/>
  <c r="I167" i="14"/>
  <c r="L825" i="14"/>
  <c r="I825" i="14"/>
  <c r="L977" i="14"/>
  <c r="I977" i="14"/>
  <c r="L709" i="14"/>
  <c r="I709" i="14"/>
  <c r="L708" i="14"/>
  <c r="I708" i="14"/>
  <c r="L707" i="14"/>
  <c r="I707" i="14"/>
  <c r="L579" i="14"/>
  <c r="I579" i="14"/>
  <c r="L578" i="14"/>
  <c r="I578" i="14"/>
  <c r="L577" i="14"/>
  <c r="I577" i="14"/>
  <c r="L448" i="14"/>
  <c r="I448" i="14"/>
  <c r="L447" i="14"/>
  <c r="I447" i="14"/>
  <c r="L283" i="14"/>
  <c r="I283" i="14"/>
  <c r="L282" i="14"/>
  <c r="I282" i="14"/>
  <c r="L824" i="14"/>
  <c r="I824" i="14"/>
  <c r="L823" i="14"/>
  <c r="I823" i="14"/>
  <c r="L822" i="14"/>
  <c r="I822" i="14"/>
  <c r="L821" i="14"/>
  <c r="I821" i="14"/>
  <c r="L820" i="14"/>
  <c r="I820" i="14"/>
  <c r="L819" i="14"/>
  <c r="I819" i="14"/>
  <c r="L818" i="14"/>
  <c r="I818" i="14"/>
  <c r="L817" i="14"/>
  <c r="I817" i="14"/>
  <c r="L816" i="14"/>
  <c r="I816" i="14"/>
  <c r="L815" i="14"/>
  <c r="I815" i="14"/>
  <c r="L906" i="14"/>
  <c r="I906" i="14"/>
  <c r="L905" i="14"/>
  <c r="I905" i="14"/>
  <c r="L814" i="14"/>
  <c r="I814" i="14"/>
  <c r="L813" i="14"/>
  <c r="I813" i="14"/>
  <c r="L15" i="14"/>
  <c r="I15" i="14"/>
  <c r="L516" i="14"/>
  <c r="I516" i="14"/>
  <c r="L879" i="14"/>
  <c r="I879" i="14"/>
  <c r="L878" i="14"/>
  <c r="I878" i="14"/>
  <c r="L281" i="14"/>
  <c r="I281" i="14"/>
  <c r="L812" i="14"/>
  <c r="I812" i="14"/>
  <c r="L706" i="14"/>
  <c r="I706" i="14"/>
  <c r="L705" i="14"/>
  <c r="I705" i="14"/>
  <c r="L704" i="14"/>
  <c r="I704" i="14"/>
  <c r="L280" i="14"/>
  <c r="I280" i="14"/>
  <c r="L279" i="14"/>
  <c r="I279" i="14"/>
  <c r="L278" i="14"/>
  <c r="I278" i="14"/>
  <c r="L277" i="14"/>
  <c r="I277" i="14"/>
  <c r="L276" i="14"/>
  <c r="I276" i="14"/>
  <c r="L275" i="14"/>
  <c r="I275" i="14"/>
  <c r="L811" i="14"/>
  <c r="I811" i="14"/>
  <c r="L703" i="14"/>
  <c r="I703" i="14"/>
  <c r="L810" i="14"/>
  <c r="I810" i="14"/>
  <c r="L809" i="14"/>
  <c r="I809" i="14"/>
  <c r="L808" i="14"/>
  <c r="I808" i="14"/>
  <c r="L274" i="14"/>
  <c r="I274" i="14"/>
  <c r="L576" i="14"/>
  <c r="I576" i="14"/>
  <c r="L575" i="14"/>
  <c r="I575" i="14"/>
  <c r="L574" i="14"/>
  <c r="I574" i="14"/>
  <c r="L573" i="14"/>
  <c r="I573" i="14"/>
  <c r="L702" i="14"/>
  <c r="I702" i="14"/>
  <c r="L701" i="14"/>
  <c r="I701" i="14"/>
  <c r="L392" i="14"/>
  <c r="I392" i="14"/>
  <c r="L876" i="14"/>
  <c r="I876" i="14"/>
  <c r="L875" i="14"/>
  <c r="I875" i="14"/>
  <c r="L874" i="14"/>
  <c r="I874" i="14"/>
  <c r="L700" i="14"/>
  <c r="I700" i="14"/>
  <c r="L699" i="14"/>
  <c r="I699" i="14"/>
  <c r="L698" i="14"/>
  <c r="I698" i="14"/>
  <c r="L697" i="14"/>
  <c r="I697" i="14"/>
  <c r="L273" i="14"/>
  <c r="I273" i="14"/>
  <c r="L272" i="14"/>
  <c r="I272" i="14"/>
  <c r="L807" i="14"/>
  <c r="I807" i="14"/>
  <c r="L922" i="14"/>
  <c r="I922" i="14"/>
  <c r="L921" i="14"/>
  <c r="I921" i="14"/>
  <c r="L354" i="14"/>
  <c r="I354" i="14"/>
  <c r="L347" i="14"/>
  <c r="I347" i="14"/>
  <c r="L991" i="14"/>
  <c r="I991" i="14"/>
  <c r="L166" i="14"/>
  <c r="I166" i="14"/>
  <c r="L1019" i="14"/>
  <c r="I1019" i="14"/>
  <c r="L1018" i="14"/>
  <c r="I1018" i="14"/>
  <c r="L1017" i="14"/>
  <c r="I1017" i="14"/>
  <c r="L1016" i="14"/>
  <c r="I1016" i="14"/>
  <c r="L1015" i="14"/>
  <c r="I1015" i="14"/>
  <c r="L165" i="14"/>
  <c r="I165" i="14"/>
  <c r="L164" i="14"/>
  <c r="I164" i="14"/>
  <c r="L163" i="14"/>
  <c r="I163" i="14"/>
  <c r="L162" i="14"/>
  <c r="I162" i="14"/>
  <c r="L161" i="14"/>
  <c r="I161" i="14"/>
  <c r="L391" i="14"/>
  <c r="I391" i="14"/>
  <c r="L271" i="14"/>
  <c r="I271" i="14"/>
  <c r="L696" i="14"/>
  <c r="I696" i="14"/>
  <c r="L806" i="14"/>
  <c r="I806" i="14"/>
  <c r="L805" i="14"/>
  <c r="I805" i="14"/>
  <c r="L804" i="14"/>
  <c r="I804" i="14"/>
  <c r="L515" i="14"/>
  <c r="I515" i="14"/>
  <c r="L514" i="14"/>
  <c r="I514" i="14"/>
  <c r="L160" i="14"/>
  <c r="I160" i="14"/>
  <c r="L114" i="14"/>
  <c r="I114" i="14"/>
  <c r="L113" i="14"/>
  <c r="I113" i="14"/>
  <c r="L695" i="14"/>
  <c r="I695" i="14"/>
  <c r="L975" i="14"/>
  <c r="I975" i="14"/>
  <c r="L353" i="14"/>
  <c r="I353" i="14"/>
  <c r="L845" i="14"/>
  <c r="I845" i="14"/>
  <c r="L844" i="14"/>
  <c r="I844" i="14"/>
  <c r="L572" i="14"/>
  <c r="I572" i="14"/>
  <c r="L571" i="14"/>
  <c r="I571" i="14"/>
  <c r="L513" i="14"/>
  <c r="I513" i="14"/>
  <c r="L98" i="14"/>
  <c r="I98" i="14"/>
  <c r="L270" i="14"/>
  <c r="I270" i="14"/>
  <c r="L269" i="14"/>
  <c r="I269" i="14"/>
  <c r="L268" i="14"/>
  <c r="I268" i="14"/>
  <c r="L267" i="14"/>
  <c r="I267" i="14"/>
  <c r="L873" i="14"/>
  <c r="I873" i="14"/>
  <c r="L872" i="14"/>
  <c r="I872" i="14"/>
  <c r="L694" i="14"/>
  <c r="I694" i="14"/>
  <c r="L803" i="14"/>
  <c r="I803" i="14"/>
  <c r="L802" i="14"/>
  <c r="I802" i="14"/>
  <c r="L801" i="14"/>
  <c r="I801" i="14"/>
  <c r="L800" i="14"/>
  <c r="I800" i="14"/>
  <c r="L799" i="14"/>
  <c r="I799" i="14"/>
  <c r="L798" i="14"/>
  <c r="I798" i="14"/>
  <c r="L860" i="14"/>
  <c r="I860" i="14"/>
  <c r="L859" i="14"/>
  <c r="I859" i="14"/>
  <c r="L858" i="14"/>
  <c r="I858" i="14"/>
  <c r="L857" i="14"/>
  <c r="I857" i="14"/>
  <c r="L856" i="14"/>
  <c r="I856" i="14"/>
  <c r="L346" i="14"/>
  <c r="I346" i="14"/>
  <c r="L512" i="14"/>
  <c r="I512" i="14"/>
  <c r="L980" i="14"/>
  <c r="I980" i="14"/>
  <c r="L146" i="14"/>
  <c r="I146" i="14"/>
  <c r="L145" i="14"/>
  <c r="I145" i="14"/>
  <c r="L144" i="14"/>
  <c r="I144" i="14"/>
  <c r="L143" i="14"/>
  <c r="I143" i="14"/>
  <c r="L950" i="14"/>
  <c r="I950" i="14"/>
  <c r="L902" i="14"/>
  <c r="I902" i="14"/>
  <c r="L901" i="14"/>
  <c r="I901" i="14"/>
  <c r="L900" i="14"/>
  <c r="I900" i="14"/>
  <c r="L570" i="14"/>
  <c r="I570" i="14"/>
  <c r="L569" i="14"/>
  <c r="I569" i="14"/>
  <c r="L693" i="14"/>
  <c r="I693" i="14"/>
  <c r="L692" i="14"/>
  <c r="I692" i="14"/>
  <c r="L266" i="14"/>
  <c r="I266" i="14"/>
  <c r="L1014" i="14"/>
  <c r="I1014" i="14"/>
  <c r="L265" i="14"/>
  <c r="I265" i="14"/>
  <c r="L390" i="14"/>
  <c r="I390" i="14"/>
  <c r="L14" i="14"/>
  <c r="I14" i="14"/>
  <c r="L920" i="14"/>
  <c r="I920" i="14"/>
  <c r="L446" i="14"/>
  <c r="I446" i="14"/>
  <c r="L389" i="14"/>
  <c r="I389" i="14"/>
  <c r="L899" i="14"/>
  <c r="I899" i="14"/>
  <c r="L898" i="14"/>
  <c r="I898" i="14"/>
  <c r="L352" i="14"/>
  <c r="I352" i="14"/>
  <c r="L351" i="14"/>
  <c r="I351" i="14"/>
  <c r="L568" i="14"/>
  <c r="I568" i="14"/>
  <c r="L691" i="14"/>
  <c r="I691" i="14"/>
  <c r="L690" i="14"/>
  <c r="I690" i="14"/>
  <c r="L264" i="14"/>
  <c r="I264" i="14"/>
  <c r="L263" i="14"/>
  <c r="I263" i="14"/>
  <c r="L262" i="14"/>
  <c r="I262" i="14"/>
  <c r="L689" i="14"/>
  <c r="I689" i="14"/>
  <c r="L688" i="14"/>
  <c r="I688" i="14"/>
  <c r="L797" i="14"/>
  <c r="I797" i="14"/>
  <c r="L796" i="14"/>
  <c r="I796" i="14"/>
  <c r="L795" i="14"/>
  <c r="I795" i="14"/>
  <c r="L871" i="14"/>
  <c r="I871" i="14"/>
  <c r="L870" i="14"/>
  <c r="I870" i="14"/>
  <c r="L869" i="14"/>
  <c r="I869" i="14"/>
  <c r="L687" i="14"/>
  <c r="I687" i="14"/>
  <c r="L686" i="14"/>
  <c r="I686" i="14"/>
  <c r="L685" i="14"/>
  <c r="I685" i="14"/>
  <c r="L855" i="14"/>
  <c r="I855" i="14"/>
  <c r="L854" i="14"/>
  <c r="I854" i="14"/>
  <c r="L853" i="14"/>
  <c r="I853" i="14"/>
  <c r="L684" i="14"/>
  <c r="I684" i="14"/>
  <c r="L683" i="14"/>
  <c r="I683" i="14"/>
  <c r="L868" i="14"/>
  <c r="I868" i="14"/>
  <c r="L794" i="14"/>
  <c r="I794" i="14"/>
  <c r="L1013" i="14"/>
  <c r="I1013" i="14"/>
  <c r="L159" i="14"/>
  <c r="I159" i="14"/>
  <c r="L261" i="14"/>
  <c r="I261" i="14"/>
  <c r="L260" i="14"/>
  <c r="I260" i="14"/>
  <c r="L511" i="14"/>
  <c r="I511" i="14"/>
  <c r="L974" i="14"/>
  <c r="I974" i="14"/>
  <c r="L973" i="14"/>
  <c r="I973" i="14"/>
  <c r="L972" i="14"/>
  <c r="I972" i="14"/>
  <c r="L758" i="14"/>
  <c r="I758" i="14"/>
  <c r="L757" i="14"/>
  <c r="I757" i="14"/>
  <c r="L259" i="14"/>
  <c r="I259" i="14"/>
  <c r="L682" i="14"/>
  <c r="I682" i="14"/>
  <c r="L681" i="14"/>
  <c r="I681" i="14"/>
  <c r="L680" i="14"/>
  <c r="I680" i="14"/>
  <c r="L112" i="14"/>
  <c r="I112" i="14"/>
  <c r="L111" i="14"/>
  <c r="I111" i="14"/>
  <c r="L110" i="14"/>
  <c r="I110" i="14"/>
  <c r="L897" i="14"/>
  <c r="I897" i="14"/>
  <c r="L258" i="14"/>
  <c r="I258" i="14"/>
  <c r="L979" i="14"/>
  <c r="I979" i="14"/>
  <c r="L793" i="14"/>
  <c r="I793" i="14"/>
  <c r="L792" i="14"/>
  <c r="I792" i="14"/>
  <c r="L257" i="14"/>
  <c r="I257" i="14"/>
  <c r="L791" i="14"/>
  <c r="I791" i="14"/>
  <c r="L904" i="14"/>
  <c r="I904" i="14"/>
  <c r="L679" i="14"/>
  <c r="I679" i="14"/>
  <c r="L13" i="14"/>
  <c r="I13" i="14"/>
  <c r="L790" i="14"/>
  <c r="I790" i="14"/>
  <c r="L789" i="14"/>
  <c r="I789" i="14"/>
  <c r="L1012" i="14"/>
  <c r="I1012" i="14"/>
  <c r="L678" i="14"/>
  <c r="I678" i="14"/>
  <c r="L896" i="14"/>
  <c r="I896" i="14"/>
  <c r="L895" i="14"/>
  <c r="I895" i="14"/>
  <c r="L919" i="14"/>
  <c r="I919" i="14"/>
  <c r="L677" i="14"/>
  <c r="I677" i="14"/>
  <c r="L788" i="14"/>
  <c r="I788" i="14"/>
  <c r="L676" i="14"/>
  <c r="I676" i="14"/>
  <c r="L388" i="14"/>
  <c r="I388" i="14"/>
  <c r="L387" i="14"/>
  <c r="I387" i="14"/>
  <c r="L386" i="14"/>
  <c r="I386" i="14"/>
  <c r="L867" i="14"/>
  <c r="I867" i="14"/>
  <c r="L675" i="14"/>
  <c r="I675" i="14"/>
  <c r="L109" i="14"/>
  <c r="I109" i="14"/>
  <c r="L674" i="14"/>
  <c r="I674" i="14"/>
  <c r="L385" i="14"/>
  <c r="I385" i="14"/>
  <c r="L852" i="14"/>
  <c r="I852" i="14"/>
  <c r="L946" i="14"/>
  <c r="I946" i="14"/>
  <c r="L945" i="14"/>
  <c r="I945" i="14"/>
  <c r="L787" i="14"/>
  <c r="I787" i="14"/>
  <c r="L786" i="14"/>
  <c r="I786" i="14"/>
  <c r="L894" i="14"/>
  <c r="I894" i="14"/>
  <c r="L851" i="14"/>
  <c r="I851" i="14"/>
  <c r="L850" i="14"/>
  <c r="I850" i="14"/>
  <c r="L756" i="14"/>
  <c r="I756" i="14"/>
  <c r="L755" i="14"/>
  <c r="I755" i="14"/>
  <c r="L754" i="14"/>
  <c r="I754" i="14"/>
  <c r="L753" i="14"/>
  <c r="I753" i="14"/>
  <c r="L752" i="14"/>
  <c r="I752" i="14"/>
  <c r="L751" i="14"/>
  <c r="I751" i="14"/>
  <c r="L750" i="14"/>
  <c r="I750" i="14"/>
  <c r="L749" i="14"/>
  <c r="I749" i="14"/>
  <c r="L748" i="14"/>
  <c r="I748" i="14"/>
  <c r="L673" i="14"/>
  <c r="I673" i="14"/>
  <c r="L785" i="14"/>
  <c r="I785" i="14"/>
  <c r="L747" i="14"/>
  <c r="I747" i="14"/>
  <c r="L567" i="14"/>
  <c r="I567" i="14"/>
  <c r="L256" i="14"/>
  <c r="I256" i="14"/>
  <c r="L784" i="14"/>
  <c r="I784" i="14"/>
  <c r="L849" i="14"/>
  <c r="I849" i="14"/>
  <c r="L672" i="14"/>
  <c r="I672" i="14"/>
  <c r="L255" i="14"/>
  <c r="I255" i="14"/>
  <c r="L893" i="14"/>
  <c r="I893" i="14"/>
  <c r="L892" i="14"/>
  <c r="I892" i="14"/>
  <c r="L891" i="14"/>
  <c r="I891" i="14"/>
  <c r="L783" i="14"/>
  <c r="I783" i="14"/>
  <c r="L782" i="14"/>
  <c r="I782" i="14"/>
  <c r="L781" i="14"/>
  <c r="I781" i="14"/>
  <c r="L780" i="14"/>
  <c r="I780" i="14"/>
  <c r="L779" i="14"/>
  <c r="I779" i="14"/>
  <c r="L778" i="14"/>
  <c r="I778" i="14"/>
  <c r="L777" i="14"/>
  <c r="I777" i="14"/>
  <c r="L776" i="14"/>
  <c r="I776" i="14"/>
  <c r="L944" i="14"/>
  <c r="I944" i="14"/>
  <c r="L671" i="14"/>
  <c r="I671" i="14"/>
  <c r="L670" i="14"/>
  <c r="I670" i="14"/>
  <c r="L775" i="14"/>
  <c r="I775" i="14"/>
  <c r="L774" i="14"/>
  <c r="I774" i="14"/>
  <c r="L848" i="14"/>
  <c r="I848" i="14"/>
  <c r="L847" i="14"/>
  <c r="I847" i="14"/>
  <c r="L669" i="14"/>
  <c r="I669" i="14"/>
  <c r="L668" i="14"/>
  <c r="I668" i="14"/>
  <c r="L866" i="14"/>
  <c r="I866" i="14"/>
  <c r="L1048" i="14"/>
  <c r="I1048" i="14"/>
  <c r="L350" i="14"/>
  <c r="I350" i="14"/>
  <c r="L773" i="14"/>
  <c r="I773" i="14"/>
  <c r="L772" i="14"/>
  <c r="I772" i="14"/>
  <c r="L771" i="14"/>
  <c r="I771" i="14"/>
  <c r="L770" i="14"/>
  <c r="I770" i="14"/>
  <c r="L769" i="14"/>
  <c r="I769" i="14"/>
  <c r="L768" i="14"/>
  <c r="I768" i="14"/>
  <c r="L865" i="14"/>
  <c r="I865" i="14"/>
  <c r="L667" i="14"/>
  <c r="I667" i="14"/>
  <c r="L943" i="14"/>
  <c r="I943" i="14"/>
  <c r="L746" i="14"/>
  <c r="I746" i="14"/>
  <c r="L745" i="14"/>
  <c r="I745" i="14"/>
  <c r="L767" i="14"/>
  <c r="I767" i="14"/>
  <c r="L766" i="14"/>
  <c r="I766" i="14"/>
  <c r="L254" i="14"/>
  <c r="I254" i="14"/>
  <c r="L765" i="14"/>
  <c r="I765" i="14"/>
  <c r="L764" i="14"/>
  <c r="I764" i="14"/>
  <c r="L763" i="14"/>
  <c r="I763" i="14"/>
  <c r="L762" i="14"/>
  <c r="I762" i="14"/>
  <c r="L744" i="14"/>
  <c r="I744" i="14"/>
  <c r="L942" i="14"/>
  <c r="I942" i="14"/>
  <c r="L761" i="14"/>
  <c r="I761" i="14"/>
  <c r="L991" i="3"/>
  <c r="L990" i="3"/>
  <c r="L989" i="3"/>
  <c r="L988" i="3"/>
  <c r="L987" i="3"/>
  <c r="L870" i="3"/>
  <c r="L869" i="3"/>
  <c r="L868" i="3"/>
  <c r="L639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826" i="3"/>
  <c r="L795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223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K2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223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795" i="3"/>
  <c r="I826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639" i="3"/>
  <c r="I868" i="3"/>
  <c r="I869" i="3"/>
  <c r="I870" i="3"/>
  <c r="I987" i="3"/>
  <c r="I988" i="3"/>
  <c r="I989" i="3"/>
  <c r="I990" i="3"/>
  <c r="I991" i="3"/>
  <c r="I3" i="3"/>
  <c r="J2" i="3"/>
  <c r="H2" i="3"/>
  <c r="D58" i="7" l="1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101" i="1"/>
  <c r="D100" i="1"/>
  <c r="D98" i="1"/>
  <c r="D96" i="1"/>
  <c r="D95" i="1"/>
  <c r="D94" i="1"/>
  <c r="D93" i="1"/>
  <c r="D92" i="1"/>
  <c r="D91" i="1"/>
  <c r="D90" i="1"/>
  <c r="D89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3" i="1"/>
  <c r="D72" i="1"/>
  <c r="D71" i="1"/>
  <c r="D70" i="1"/>
  <c r="D69" i="1"/>
  <c r="D68" i="1"/>
  <c r="D67" i="1"/>
  <c r="D66" i="1"/>
  <c r="D65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6" i="1"/>
  <c r="D45" i="1"/>
  <c r="D44" i="1"/>
  <c r="D43" i="1"/>
  <c r="D42" i="1"/>
  <c r="D41" i="1"/>
  <c r="D40" i="1"/>
  <c r="D39" i="1"/>
  <c r="D38" i="1"/>
  <c r="D37" i="1"/>
  <c r="D36" i="1"/>
  <c r="D35" i="1"/>
  <c r="C33" i="1"/>
  <c r="D47" i="1" s="1"/>
  <c r="B33" i="1"/>
  <c r="D14" i="1"/>
  <c r="D13" i="1"/>
  <c r="D12" i="1"/>
  <c r="D11" i="1"/>
  <c r="D10" i="1"/>
  <c r="D9" i="1"/>
  <c r="D8" i="1"/>
  <c r="D7" i="1"/>
  <c r="D6" i="1"/>
  <c r="D5" i="1"/>
  <c r="D88" i="1" l="1"/>
  <c r="D97" i="1"/>
  <c r="D64" i="1"/>
  <c r="D34" i="1"/>
  <c r="D74" i="1"/>
  <c r="D99" i="1"/>
  <c r="D33" i="1" l="1"/>
</calcChain>
</file>

<file path=xl/sharedStrings.xml><?xml version="1.0" encoding="utf-8"?>
<sst xmlns="http://schemas.openxmlformats.org/spreadsheetml/2006/main" count="14991" uniqueCount="1522">
  <si>
    <t>RUBRO</t>
  </si>
  <si>
    <t>Unidades</t>
  </si>
  <si>
    <t>Facturación</t>
  </si>
  <si>
    <t>Total</t>
  </si>
  <si>
    <t>MARRO GRANDE</t>
  </si>
  <si>
    <t>MARRO CHICA</t>
  </si>
  <si>
    <t>TEXTIL</t>
  </si>
  <si>
    <t>ACCESORIOS</t>
  </si>
  <si>
    <t>CINTURON</t>
  </si>
  <si>
    <t>CALZADO</t>
  </si>
  <si>
    <t>TRAVEL</t>
  </si>
  <si>
    <t>OUTLET</t>
  </si>
  <si>
    <t>DECO</t>
  </si>
  <si>
    <t>FAMILIA</t>
  </si>
  <si>
    <t>BUFANDA</t>
  </si>
  <si>
    <t>CORREA</t>
  </si>
  <si>
    <t>ESPEJO</t>
  </si>
  <si>
    <t>INDIVIDUAL</t>
  </si>
  <si>
    <t>LLAVERO</t>
  </si>
  <si>
    <t>MATERA</t>
  </si>
  <si>
    <t>MOUSEPAD</t>
  </si>
  <si>
    <t>PORTAVINO</t>
  </si>
  <si>
    <t>SEÑALADOR</t>
  </si>
  <si>
    <t>SOMBRERO</t>
  </si>
  <si>
    <t>BOTA</t>
  </si>
  <si>
    <t>MOCASIN</t>
  </si>
  <si>
    <t>PANTUFLA</t>
  </si>
  <si>
    <t>SANDALIA</t>
  </si>
  <si>
    <t>ZAPATILLA</t>
  </si>
  <si>
    <t>ZAPATO</t>
  </si>
  <si>
    <t>BILLETERA</t>
  </si>
  <si>
    <t>CARTUCHERA</t>
  </si>
  <si>
    <t>FUNDA CUADERNO</t>
  </si>
  <si>
    <t>MONEDERO</t>
  </si>
  <si>
    <t>NECESSAIRE</t>
  </si>
  <si>
    <t>PORTA TABACO</t>
  </si>
  <si>
    <t>PORTABILLETES</t>
  </si>
  <si>
    <t>PORTACABLES</t>
  </si>
  <si>
    <t>PORTACINTO</t>
  </si>
  <si>
    <t>PORTALAPICERA</t>
  </si>
  <si>
    <t>PORTALENTES</t>
  </si>
  <si>
    <t>PORTALLAVES</t>
  </si>
  <si>
    <t>PORTAPASAPORTE</t>
  </si>
  <si>
    <t>POSAVASOS</t>
  </si>
  <si>
    <t>TAG</t>
  </si>
  <si>
    <t>TARJETERO</t>
  </si>
  <si>
    <t>BANDOLERA</t>
  </si>
  <si>
    <t>BOLSO</t>
  </si>
  <si>
    <t>CARTERA</t>
  </si>
  <si>
    <t>MOCHILA</t>
  </si>
  <si>
    <t>MORRAL</t>
  </si>
  <si>
    <t>PHONEBAG</t>
  </si>
  <si>
    <t>PORTAFOLIO</t>
  </si>
  <si>
    <t>PORTALAPTOP</t>
  </si>
  <si>
    <t>RIÑONERA</t>
  </si>
  <si>
    <t>SOBRE</t>
  </si>
  <si>
    <t>TOTE</t>
  </si>
  <si>
    <t>CAMISA</t>
  </si>
  <si>
    <t>CAMPERA</t>
  </si>
  <si>
    <t>CHALECO</t>
  </si>
  <si>
    <t>CHALINA</t>
  </si>
  <si>
    <t>CHOMBA</t>
  </si>
  <si>
    <t>GORRO</t>
  </si>
  <si>
    <t>GUANTES</t>
  </si>
  <si>
    <t>MEDIAS</t>
  </si>
  <si>
    <t>REMERA</t>
  </si>
  <si>
    <t>PORTATRAJE</t>
  </si>
  <si>
    <t>VENTA</t>
  </si>
  <si>
    <t>TOTAL</t>
  </si>
  <si>
    <t>D/S</t>
  </si>
  <si>
    <t>FABRICA</t>
  </si>
  <si>
    <t>MG010860307</t>
  </si>
  <si>
    <t>CARTERA LONDRES</t>
  </si>
  <si>
    <t>BRIDGE</t>
  </si>
  <si>
    <t>ROJO</t>
  </si>
  <si>
    <t>MG010663139</t>
  </si>
  <si>
    <t>TOTE IRUYA</t>
  </si>
  <si>
    <t>PELO</t>
  </si>
  <si>
    <t>HEREFORD</t>
  </si>
  <si>
    <t>MG010103139-4</t>
  </si>
  <si>
    <t>BOLSO TUBO GRANDE</t>
  </si>
  <si>
    <t>PELO/BR</t>
  </si>
  <si>
    <t>HEREFORD/TABACO</t>
  </si>
  <si>
    <t>MG010860304</t>
  </si>
  <si>
    <t>TABACO</t>
  </si>
  <si>
    <t>MG010860301</t>
  </si>
  <si>
    <t>NEGRO</t>
  </si>
  <si>
    <t>MG010860303</t>
  </si>
  <si>
    <t>CARAMELO</t>
  </si>
  <si>
    <t>MG010860352</t>
  </si>
  <si>
    <t>CHOCOLATE</t>
  </si>
  <si>
    <t>MC020220301</t>
  </si>
  <si>
    <t>BILLETERA LUCA</t>
  </si>
  <si>
    <t>MG010920352</t>
  </si>
  <si>
    <t>CARTERA AMARILLA C/CIERRE</t>
  </si>
  <si>
    <t>MG010850315</t>
  </si>
  <si>
    <t>CARTERA CHALTEN</t>
  </si>
  <si>
    <t>MALBEC</t>
  </si>
  <si>
    <t>MG010103148-52</t>
  </si>
  <si>
    <t>MARRON ROJIZO/CHOCOLATE</t>
  </si>
  <si>
    <t>MG010103163-52</t>
  </si>
  <si>
    <t>MARRON/CHOCOLATE</t>
  </si>
  <si>
    <t>MG010663140</t>
  </si>
  <si>
    <t>HOLANDO</t>
  </si>
  <si>
    <t>MG020570103</t>
  </si>
  <si>
    <t>BANDOLERA LENA</t>
  </si>
  <si>
    <t>NAPADO</t>
  </si>
  <si>
    <t>MG010500352</t>
  </si>
  <si>
    <t>MORRAL OLDIE</t>
  </si>
  <si>
    <t>MG011050115</t>
  </si>
  <si>
    <t>CARTERA LEANDRA</t>
  </si>
  <si>
    <t>MG011050102</t>
  </si>
  <si>
    <t>SUELA</t>
  </si>
  <si>
    <t>MG010860315</t>
  </si>
  <si>
    <t>MG010920301</t>
  </si>
  <si>
    <t>MG011130115</t>
  </si>
  <si>
    <t>CARTERA EMILIA</t>
  </si>
  <si>
    <t>MG011120103</t>
  </si>
  <si>
    <t>CARTERA MINI EMMA</t>
  </si>
  <si>
    <t>MC020790307</t>
  </si>
  <si>
    <t>MONEDERO LUISA</t>
  </si>
  <si>
    <t>ROSENTHAL</t>
  </si>
  <si>
    <t>OT320770104</t>
  </si>
  <si>
    <t>PORTATRAJE FRANK</t>
  </si>
  <si>
    <t>MG010270304</t>
  </si>
  <si>
    <t>MORRAL ANGOSTO</t>
  </si>
  <si>
    <t>MG010700516</t>
  </si>
  <si>
    <t>BANDOLERA VICENTA</t>
  </si>
  <si>
    <t>GAMUZA</t>
  </si>
  <si>
    <t>OLIVE</t>
  </si>
  <si>
    <t>MG010700101</t>
  </si>
  <si>
    <t>MG010790352</t>
  </si>
  <si>
    <t>MOCHILA PORTIA</t>
  </si>
  <si>
    <t>MG010790304</t>
  </si>
  <si>
    <t>MG011050101</t>
  </si>
  <si>
    <t>MG010710703</t>
  </si>
  <si>
    <t>CARTERA AMARILLA SET SOBRE</t>
  </si>
  <si>
    <t>IGUANA</t>
  </si>
  <si>
    <t>MG010820109</t>
  </si>
  <si>
    <t>BANDOLERA CASIOPEA</t>
  </si>
  <si>
    <t>AZUL</t>
  </si>
  <si>
    <t>MG010820107</t>
  </si>
  <si>
    <t>MG010663111</t>
  </si>
  <si>
    <t>BEIGE</t>
  </si>
  <si>
    <t>MG010920303</t>
  </si>
  <si>
    <t>MG010920304</t>
  </si>
  <si>
    <t>MG010710315</t>
  </si>
  <si>
    <t>MG010710555-4</t>
  </si>
  <si>
    <t>AVELLANA/TABACO</t>
  </si>
  <si>
    <t>MG010710556-4</t>
  </si>
  <si>
    <t>OXIDO/TABACO</t>
  </si>
  <si>
    <t>MG010710550</t>
  </si>
  <si>
    <t>VESUBIO/TABACO</t>
  </si>
  <si>
    <t>MG010713140</t>
  </si>
  <si>
    <t>MG010713242</t>
  </si>
  <si>
    <t>VINTAGE</t>
  </si>
  <si>
    <t>MEDIO</t>
  </si>
  <si>
    <t>MG010620352</t>
  </si>
  <si>
    <t>PORTAFOLIO HUAPI</t>
  </si>
  <si>
    <t>MG010620315</t>
  </si>
  <si>
    <t>MG010620304</t>
  </si>
  <si>
    <t>MC020400107</t>
  </si>
  <si>
    <t>BILLETERA COPAHUE</t>
  </si>
  <si>
    <t>MG010810102</t>
  </si>
  <si>
    <t>BANDOLERA SAGITTA</t>
  </si>
  <si>
    <t>BARONTINI</t>
  </si>
  <si>
    <t>MG101212201</t>
  </si>
  <si>
    <t>MOCHILA ANA</t>
  </si>
  <si>
    <t>SALLY</t>
  </si>
  <si>
    <t>MG011050107</t>
  </si>
  <si>
    <t>MC020830352</t>
  </si>
  <si>
    <t>BILLETERA ARLO</t>
  </si>
  <si>
    <t>MC020150304</t>
  </si>
  <si>
    <t>TARJETERO HARRY</t>
  </si>
  <si>
    <t>MG010080303</t>
  </si>
  <si>
    <t>BOLSO URBANO</t>
  </si>
  <si>
    <t>MG011131201</t>
  </si>
  <si>
    <t>DUNA</t>
  </si>
  <si>
    <t>MG010690301</t>
  </si>
  <si>
    <t>BANDOLERA ANTONIETA</t>
  </si>
  <si>
    <t>MG010103163-4</t>
  </si>
  <si>
    <t>MARRON/TABACO</t>
  </si>
  <si>
    <t>MG010100352</t>
  </si>
  <si>
    <t>MG010100304</t>
  </si>
  <si>
    <t>MG010100701</t>
  </si>
  <si>
    <t>BRIDGE/IGUANA</t>
  </si>
  <si>
    <t>MG010100555-1</t>
  </si>
  <si>
    <t>AVELLANA/NEGRO</t>
  </si>
  <si>
    <t>MG010100309-3</t>
  </si>
  <si>
    <t>GAMUZA/BRIDGE</t>
  </si>
  <si>
    <t>AZUL/CARAMELO</t>
  </si>
  <si>
    <t>MG010100517-3</t>
  </si>
  <si>
    <t>GRIS MEDIO/CARAMELO</t>
  </si>
  <si>
    <t>MG010100509-3</t>
  </si>
  <si>
    <t>GAMUZA/IGUANA</t>
  </si>
  <si>
    <t>MG010100516-3</t>
  </si>
  <si>
    <t>OLIVE/CARAMELO</t>
  </si>
  <si>
    <t>MG010640301</t>
  </si>
  <si>
    <t>MOCHILA PIETRO</t>
  </si>
  <si>
    <t>MG010640304</t>
  </si>
  <si>
    <t>MG010510301</t>
  </si>
  <si>
    <t>PORTAFOLIO OLDIE</t>
  </si>
  <si>
    <t>MG010930301</t>
  </si>
  <si>
    <t>CARTERA APHOLO C/CIERRE</t>
  </si>
  <si>
    <t>MG011240516-4</t>
  </si>
  <si>
    <t>CARTERA HARPER</t>
  </si>
  <si>
    <t>OLIVE/TABACO</t>
  </si>
  <si>
    <t>MG010660101</t>
  </si>
  <si>
    <t>MG010660102</t>
  </si>
  <si>
    <t>MG010190352</t>
  </si>
  <si>
    <t>MOCHILA MARCOS</t>
  </si>
  <si>
    <t>MC020670707</t>
  </si>
  <si>
    <t>NECESSAIRE FELI</t>
  </si>
  <si>
    <t>MG010700703</t>
  </si>
  <si>
    <t>OT010790402</t>
  </si>
  <si>
    <t>PORTAVINO CAFAYATE</t>
  </si>
  <si>
    <t>VAQUETA</t>
  </si>
  <si>
    <t>MG020570101</t>
  </si>
  <si>
    <t>MG010270303</t>
  </si>
  <si>
    <t>MC010420303</t>
  </si>
  <si>
    <t>NECESSAIRE LANIN</t>
  </si>
  <si>
    <t>MC010420304</t>
  </si>
  <si>
    <t>MC010421623</t>
  </si>
  <si>
    <t>FIORENTINO</t>
  </si>
  <si>
    <t>CEDRO</t>
  </si>
  <si>
    <t>MG010820101</t>
  </si>
  <si>
    <t>MG011120101</t>
  </si>
  <si>
    <t>MG100901816</t>
  </si>
  <si>
    <t>BANDOLERA ASTRID</t>
  </si>
  <si>
    <t>SENA</t>
  </si>
  <si>
    <t>OLIVA</t>
  </si>
  <si>
    <t>MG010590352</t>
  </si>
  <si>
    <t>RIÑONERA EVAN CH</t>
  </si>
  <si>
    <t>MG321230301</t>
  </si>
  <si>
    <t>PORTAFOLIO BIEL</t>
  </si>
  <si>
    <t>MG321230304</t>
  </si>
  <si>
    <t>MG011061623</t>
  </si>
  <si>
    <t>BANDOLERA CARLA</t>
  </si>
  <si>
    <t>HOME GOODS</t>
  </si>
  <si>
    <t>TX250314049-L</t>
  </si>
  <si>
    <t>REMERA AMADEO CUELLO REDONDO</t>
  </si>
  <si>
    <t>ALGODON PIMA</t>
  </si>
  <si>
    <t>CHARCOAL</t>
  </si>
  <si>
    <t>MG010850303</t>
  </si>
  <si>
    <t>MG010850301</t>
  </si>
  <si>
    <t>OT020920304</t>
  </si>
  <si>
    <t>PORTAVINO UCO</t>
  </si>
  <si>
    <t>MG010810109</t>
  </si>
  <si>
    <t>MG010160301</t>
  </si>
  <si>
    <t>PORTALAPTOP LES FULL BLACK</t>
  </si>
  <si>
    <t>MG010710701</t>
  </si>
  <si>
    <t>MC020320101</t>
  </si>
  <si>
    <t>BILLETERA MILO</t>
  </si>
  <si>
    <t>MG010710558</t>
  </si>
  <si>
    <t>CAFE/TABACO</t>
  </si>
  <si>
    <t>MG010730303</t>
  </si>
  <si>
    <t>CARTERA MINI APHOLO SET SOBRE</t>
  </si>
  <si>
    <t>BELTEX</t>
  </si>
  <si>
    <t>TX300393701</t>
  </si>
  <si>
    <t>CHALINA EXEDRA</t>
  </si>
  <si>
    <t>ALGODON</t>
  </si>
  <si>
    <t>MC020441201</t>
  </si>
  <si>
    <t>BILLETERA LIAM</t>
  </si>
  <si>
    <t>MG010420303</t>
  </si>
  <si>
    <t>PORTAFOLIO RUBEN</t>
  </si>
  <si>
    <t>OT010900303</t>
  </si>
  <si>
    <t>PORTAVINO TANDIL</t>
  </si>
  <si>
    <t>OT010900301</t>
  </si>
  <si>
    <t>OT010900304</t>
  </si>
  <si>
    <t>MG010600703</t>
  </si>
  <si>
    <t>CARTERA YARA</t>
  </si>
  <si>
    <t>MG010600315</t>
  </si>
  <si>
    <t>MG010600304</t>
  </si>
  <si>
    <t>MC020220352</t>
  </si>
  <si>
    <t>MG010610352</t>
  </si>
  <si>
    <t>BOLSO LIHUEN</t>
  </si>
  <si>
    <t>MG010610301</t>
  </si>
  <si>
    <t>NORTEXCUER</t>
  </si>
  <si>
    <t>TX180130152-L</t>
  </si>
  <si>
    <t>CAMPERA ALBERTO</t>
  </si>
  <si>
    <t>MARRON</t>
  </si>
  <si>
    <t>TX180150103-XL</t>
  </si>
  <si>
    <t>CAMPERA CRISTINA</t>
  </si>
  <si>
    <t>TX180140101-L</t>
  </si>
  <si>
    <t>CAMPERA JAVIER</t>
  </si>
  <si>
    <t>MC020410109</t>
  </si>
  <si>
    <t>PORTAPASAPORTE WARA</t>
  </si>
  <si>
    <t>MC020370103</t>
  </si>
  <si>
    <t>BILLETERA FICHERO</t>
  </si>
  <si>
    <t>MC020370107</t>
  </si>
  <si>
    <t>JORGE CA</t>
  </si>
  <si>
    <t>MC040480101-105</t>
  </si>
  <si>
    <t>CINTURON LOPA</t>
  </si>
  <si>
    <t>TX250314000-S</t>
  </si>
  <si>
    <t>BLANCO</t>
  </si>
  <si>
    <t>MG010840304</t>
  </si>
  <si>
    <t>CARTERA ACONCAGUA</t>
  </si>
  <si>
    <t>MG010240304</t>
  </si>
  <si>
    <t>MORRAL ADI VINTAGE</t>
  </si>
  <si>
    <t>MG010700107</t>
  </si>
  <si>
    <t>MG010700102</t>
  </si>
  <si>
    <t>MG010970303</t>
  </si>
  <si>
    <t>MOCHILA LIBRA</t>
  </si>
  <si>
    <t>MG010970301</t>
  </si>
  <si>
    <t>MG010790102</t>
  </si>
  <si>
    <t>MG011060303</t>
  </si>
  <si>
    <t>MG011060301</t>
  </si>
  <si>
    <t>MG011060307</t>
  </si>
  <si>
    <t>MG020450303</t>
  </si>
  <si>
    <t>MORRAL CARLOS</t>
  </si>
  <si>
    <t>MG020450352</t>
  </si>
  <si>
    <t>MG020450304</t>
  </si>
  <si>
    <t>MG010740303</t>
  </si>
  <si>
    <t>CARTERA DOS HEBILLAS NEW</t>
  </si>
  <si>
    <t>MG010740304</t>
  </si>
  <si>
    <t>MG010740558</t>
  </si>
  <si>
    <t>CAFE</t>
  </si>
  <si>
    <t>MG010690115</t>
  </si>
  <si>
    <t>MG010690101</t>
  </si>
  <si>
    <t>MC020330303</t>
  </si>
  <si>
    <t>BILLETERA LEXI</t>
  </si>
  <si>
    <t>MC020210303</t>
  </si>
  <si>
    <t>BILLETERA OSADIA</t>
  </si>
  <si>
    <t>MC020300107</t>
  </si>
  <si>
    <t>BILLETERA PENY</t>
  </si>
  <si>
    <t>MG010290516</t>
  </si>
  <si>
    <t>BANDOLERA NATY SIMPLE</t>
  </si>
  <si>
    <t>MG011090102</t>
  </si>
  <si>
    <t>BANDOLERA NEW VICENTA</t>
  </si>
  <si>
    <t>MC020150110</t>
  </si>
  <si>
    <t>VERDE</t>
  </si>
  <si>
    <t>MC020790315</t>
  </si>
  <si>
    <t>MC020290303</t>
  </si>
  <si>
    <t>MONEDERO GRACE</t>
  </si>
  <si>
    <t>MG010770301</t>
  </si>
  <si>
    <t>PORTAFOLIO VENUS CH</t>
  </si>
  <si>
    <t>MG010770304</t>
  </si>
  <si>
    <t>MC020010304</t>
  </si>
  <si>
    <t>NECESSAIRE TOM</t>
  </si>
  <si>
    <t>MC020110110</t>
  </si>
  <si>
    <t>PORTALENTES ORION</t>
  </si>
  <si>
    <t>MG010530301</t>
  </si>
  <si>
    <t>RIÑONERA EVAN GD</t>
  </si>
  <si>
    <t>OT020920303</t>
  </si>
  <si>
    <t>CARAMLEO</t>
  </si>
  <si>
    <t>MG010210352</t>
  </si>
  <si>
    <t>BOTINERO MARCOS 30</t>
  </si>
  <si>
    <t>MC020700301</t>
  </si>
  <si>
    <t>BILLETERA ADAM</t>
  </si>
  <si>
    <t>TX250314010-M</t>
  </si>
  <si>
    <t>MC020440110</t>
  </si>
  <si>
    <t>MG011090550</t>
  </si>
  <si>
    <t>MG010410303</t>
  </si>
  <si>
    <t>MORRAL LUCAS</t>
  </si>
  <si>
    <t>MC020150315</t>
  </si>
  <si>
    <t>MC020190310</t>
  </si>
  <si>
    <t>TARJETERO JUAN</t>
  </si>
  <si>
    <t>MG010620303</t>
  </si>
  <si>
    <t>MG010620301</t>
  </si>
  <si>
    <t>MG010621623</t>
  </si>
  <si>
    <t>OUT239990</t>
  </si>
  <si>
    <t>PRODUCTO OUTLET 239990</t>
  </si>
  <si>
    <t>TIGANI</t>
  </si>
  <si>
    <t>CA170120004-44</t>
  </si>
  <si>
    <t>ZAPATILLA MATEO</t>
  </si>
  <si>
    <t>CUERO</t>
  </si>
  <si>
    <t>CA170120010-42</t>
  </si>
  <si>
    <t>CA060010332-41</t>
  </si>
  <si>
    <t>ZAPATILLA URBANA</t>
  </si>
  <si>
    <t>BORGOÑA</t>
  </si>
  <si>
    <t>CA060010301-42</t>
  </si>
  <si>
    <t>TX300393711</t>
  </si>
  <si>
    <t>MC020141909</t>
  </si>
  <si>
    <t>PORTAPASAPORTE CHESTER</t>
  </si>
  <si>
    <t>MODENA</t>
  </si>
  <si>
    <t>MC020731623</t>
  </si>
  <si>
    <t>FUNDA CUADERNO A4</t>
  </si>
  <si>
    <t>MG010040303</t>
  </si>
  <si>
    <t>MOCHILA PACARI</t>
  </si>
  <si>
    <t>MG010040315</t>
  </si>
  <si>
    <t>MG010040307</t>
  </si>
  <si>
    <t>MG010040304</t>
  </si>
  <si>
    <t>MG010041623</t>
  </si>
  <si>
    <t>MG010090303</t>
  </si>
  <si>
    <t>CARTERA BAULITO</t>
  </si>
  <si>
    <t>MG010090304</t>
  </si>
  <si>
    <t>MG010850307</t>
  </si>
  <si>
    <t>MG010850304</t>
  </si>
  <si>
    <t>MG010851909</t>
  </si>
  <si>
    <t>MG010851910</t>
  </si>
  <si>
    <t>MG010810103</t>
  </si>
  <si>
    <t>MG010750352</t>
  </si>
  <si>
    <t>MORRAL DRACO</t>
  </si>
  <si>
    <t>MG010750301</t>
  </si>
  <si>
    <t>MC020221201</t>
  </si>
  <si>
    <t>MC020220110</t>
  </si>
  <si>
    <t>MC020430109</t>
  </si>
  <si>
    <t>BILLETERA MILO SIMPLE</t>
  </si>
  <si>
    <t>MC020430102</t>
  </si>
  <si>
    <t>OT320810301</t>
  </si>
  <si>
    <t>MATERA RENE FULL BLACK</t>
  </si>
  <si>
    <t>MC020140307</t>
  </si>
  <si>
    <t>MC020150301</t>
  </si>
  <si>
    <t>MC020150307</t>
  </si>
  <si>
    <t>CHIARINI</t>
  </si>
  <si>
    <t>MG331280301</t>
  </si>
  <si>
    <t>MATERA OLI</t>
  </si>
  <si>
    <t>MG331280304</t>
  </si>
  <si>
    <t>MC020660107</t>
  </si>
  <si>
    <t>MONEDERO AMBAR</t>
  </si>
  <si>
    <t>TX180150103-M</t>
  </si>
  <si>
    <t>MG011061601</t>
  </si>
  <si>
    <t>OT020800408</t>
  </si>
  <si>
    <t>PORTAVINO RIOJA</t>
  </si>
  <si>
    <t>NATURAL</t>
  </si>
  <si>
    <t>OT020800402</t>
  </si>
  <si>
    <t>CABRERA</t>
  </si>
  <si>
    <t>MC050100001-95</t>
  </si>
  <si>
    <t>CINTURON ESPIGA 216</t>
  </si>
  <si>
    <t>MC020140301</t>
  </si>
  <si>
    <t>MC020141623</t>
  </si>
  <si>
    <t>MG010930352</t>
  </si>
  <si>
    <t>MG010720303</t>
  </si>
  <si>
    <t>CARTERA APHOLO SET SOBRE</t>
  </si>
  <si>
    <t>MG011240509-4</t>
  </si>
  <si>
    <t>AZUL/TABACO</t>
  </si>
  <si>
    <t>MG100872101</t>
  </si>
  <si>
    <t>BANDOLERA AMALIA</t>
  </si>
  <si>
    <t>MACEIO</t>
  </si>
  <si>
    <t>MC020372201</t>
  </si>
  <si>
    <t>MG010460301</t>
  </si>
  <si>
    <t>NECESSAIRE MINI MARCOS FULL BLACK</t>
  </si>
  <si>
    <t>MC040480101-100</t>
  </si>
  <si>
    <t>MC040480101-120</t>
  </si>
  <si>
    <t>MC040140103-105</t>
  </si>
  <si>
    <t>CINTURON TINO</t>
  </si>
  <si>
    <t>MC040140103-110</t>
  </si>
  <si>
    <t>MC040140103-85</t>
  </si>
  <si>
    <t>TX250314000-M</t>
  </si>
  <si>
    <t>TX250314049-M</t>
  </si>
  <si>
    <t>TX250314001-L</t>
  </si>
  <si>
    <t>TX250314001-M</t>
  </si>
  <si>
    <t>TX250314001-XL</t>
  </si>
  <si>
    <t>MC050120304-XS</t>
  </si>
  <si>
    <t>CINTURON MIA</t>
  </si>
  <si>
    <t>CHACO</t>
  </si>
  <si>
    <t>TX310410036</t>
  </si>
  <si>
    <t>PILUSO DORA</t>
  </si>
  <si>
    <t>CRUDO</t>
  </si>
  <si>
    <t>MC020741601</t>
  </si>
  <si>
    <t>FUNDA CUADERNO A5</t>
  </si>
  <si>
    <t>MC020790103</t>
  </si>
  <si>
    <t>MG011010304-L</t>
  </si>
  <si>
    <t>RIÑONERA CRUZ L</t>
  </si>
  <si>
    <t>MG010400301-S</t>
  </si>
  <si>
    <t>RIÑONERA CRUZ S</t>
  </si>
  <si>
    <t>MC020200303</t>
  </si>
  <si>
    <t>BILLETERA KEY</t>
  </si>
  <si>
    <t>MC020480703</t>
  </si>
  <si>
    <t>BILLETERA BEIJING</t>
  </si>
  <si>
    <t>MG010700701</t>
  </si>
  <si>
    <t>MG100892129</t>
  </si>
  <si>
    <t>BANDOLERA MEGAN</t>
  </si>
  <si>
    <t>COTTON</t>
  </si>
  <si>
    <t>MG020570115</t>
  </si>
  <si>
    <t>MG020570107</t>
  </si>
  <si>
    <t>MG010270301</t>
  </si>
  <si>
    <t>MG010270558-4</t>
  </si>
  <si>
    <t>MG010500301</t>
  </si>
  <si>
    <t>MG010520301</t>
  </si>
  <si>
    <t>NECESSAIRE LANIN FULL BLACK</t>
  </si>
  <si>
    <t>MG010700301</t>
  </si>
  <si>
    <t>MG010700307</t>
  </si>
  <si>
    <t>MC020100315</t>
  </si>
  <si>
    <t>TARJETERO ARIES</t>
  </si>
  <si>
    <t>MC020150102</t>
  </si>
  <si>
    <t>MC020190301</t>
  </si>
  <si>
    <t>MC020191623</t>
  </si>
  <si>
    <t>MC020830109</t>
  </si>
  <si>
    <t>MG010980303</t>
  </si>
  <si>
    <t>CARTERA JUSTINA</t>
  </si>
  <si>
    <t>MG010980301</t>
  </si>
  <si>
    <t>MG010981623</t>
  </si>
  <si>
    <t>MG100901562</t>
  </si>
  <si>
    <t>TOLEDO</t>
  </si>
  <si>
    <t>MANGO</t>
  </si>
  <si>
    <t>MG100901501</t>
  </si>
  <si>
    <t>MC020330304</t>
  </si>
  <si>
    <t>MC020210315</t>
  </si>
  <si>
    <t>MC020210307</t>
  </si>
  <si>
    <t>MC020210304</t>
  </si>
  <si>
    <t>MC020300303</t>
  </si>
  <si>
    <t>MC020300103</t>
  </si>
  <si>
    <t>MG010290550</t>
  </si>
  <si>
    <t>MG011090101</t>
  </si>
  <si>
    <t>MG011093242</t>
  </si>
  <si>
    <t>MG011050103</t>
  </si>
  <si>
    <t>MC020220109</t>
  </si>
  <si>
    <t>MG010780301</t>
  </si>
  <si>
    <t>PHONEBAG TAURUS</t>
  </si>
  <si>
    <t>MG010490301</t>
  </si>
  <si>
    <t>PHONEBAG TAURUS FULL BLACK</t>
  </si>
  <si>
    <t>MC020140304</t>
  </si>
  <si>
    <t>OT020920301</t>
  </si>
  <si>
    <t>MG010920707</t>
  </si>
  <si>
    <t>MG010710707</t>
  </si>
  <si>
    <t>MG020561623</t>
  </si>
  <si>
    <t>PORTALAPTOP ELOY</t>
  </si>
  <si>
    <t>MG020561901</t>
  </si>
  <si>
    <t>MG010710301</t>
  </si>
  <si>
    <t>MG010710304</t>
  </si>
  <si>
    <t>MG010713243</t>
  </si>
  <si>
    <t>DARK</t>
  </si>
  <si>
    <t>MG010910307</t>
  </si>
  <si>
    <t>CARTERA MINI APHOLO C/CIERRE</t>
  </si>
  <si>
    <t>MG010911623</t>
  </si>
  <si>
    <t>MG010730301</t>
  </si>
  <si>
    <t>MG010730307</t>
  </si>
  <si>
    <t>MG010730556-4</t>
  </si>
  <si>
    <t>MG010730550</t>
  </si>
  <si>
    <t>MG010731909</t>
  </si>
  <si>
    <t>MC020440109</t>
  </si>
  <si>
    <t>MC020440152</t>
  </si>
  <si>
    <t>MC020390703</t>
  </si>
  <si>
    <t>PORTALENTES JANO</t>
  </si>
  <si>
    <t>MC020390707</t>
  </si>
  <si>
    <t>MC020150101</t>
  </si>
  <si>
    <t>MC020190109</t>
  </si>
  <si>
    <t>MC020190102</t>
  </si>
  <si>
    <t>MG010600309</t>
  </si>
  <si>
    <t>MG010600301</t>
  </si>
  <si>
    <t>MG010601910</t>
  </si>
  <si>
    <t>LAGOMARSINO</t>
  </si>
  <si>
    <t>TX130122701-M</t>
  </si>
  <si>
    <t>CHALECO RAMI</t>
  </si>
  <si>
    <t>MICROPOLAR</t>
  </si>
  <si>
    <t>MG010830701</t>
  </si>
  <si>
    <t>CARTERA LISBOA</t>
  </si>
  <si>
    <t>MC050120307-S</t>
  </si>
  <si>
    <t>OT020530102</t>
  </si>
  <si>
    <t>INDIVIDUAL RECTO</t>
  </si>
  <si>
    <t>MG010650303</t>
  </si>
  <si>
    <t>PHONEBAG TANIA</t>
  </si>
  <si>
    <t>MG010650516</t>
  </si>
  <si>
    <t>MG010610304</t>
  </si>
  <si>
    <t>MG010611623</t>
  </si>
  <si>
    <t>MC050110004-105</t>
  </si>
  <si>
    <t>CINTURON ALFO 223</t>
  </si>
  <si>
    <t>MC050110004-90</t>
  </si>
  <si>
    <t>MC050100002-85</t>
  </si>
  <si>
    <t>MC050130309-95</t>
  </si>
  <si>
    <t>CINTURON REX 508</t>
  </si>
  <si>
    <t>AZUL/MALBEC</t>
  </si>
  <si>
    <t>MG010831623</t>
  </si>
  <si>
    <t>MC020410703</t>
  </si>
  <si>
    <t>MG101212129</t>
  </si>
  <si>
    <t>MG101212202</t>
  </si>
  <si>
    <t>MG100942225</t>
  </si>
  <si>
    <t>MOCHILA JUANA</t>
  </si>
  <si>
    <t>WHISKY</t>
  </si>
  <si>
    <t>MC020410103</t>
  </si>
  <si>
    <t>MC020410101</t>
  </si>
  <si>
    <t>MC020410110</t>
  </si>
  <si>
    <t>MC020800707</t>
  </si>
  <si>
    <t>MONEDERO CIRCULAR</t>
  </si>
  <si>
    <t>TX250314049-S</t>
  </si>
  <si>
    <t>TX250314049-XL</t>
  </si>
  <si>
    <t>TX250314001-S</t>
  </si>
  <si>
    <t>TX250334066-M</t>
  </si>
  <si>
    <t>REMERA DANA</t>
  </si>
  <si>
    <t>HUESO</t>
  </si>
  <si>
    <t>TX250324000-M</t>
  </si>
  <si>
    <t>REMERA NOA CUELLO U</t>
  </si>
  <si>
    <t>SAN REMO</t>
  </si>
  <si>
    <t>TX200183037-L</t>
  </si>
  <si>
    <t>CHOMBA POLO NAOS</t>
  </si>
  <si>
    <t>PIQUE</t>
  </si>
  <si>
    <t>AZUL MARINO</t>
  </si>
  <si>
    <t>OT020690303-56</t>
  </si>
  <si>
    <t>LLAVERO ABC (G)</t>
  </si>
  <si>
    <t>BRIDGE/GAMUZA</t>
  </si>
  <si>
    <t>CARAMELO/OXIDO</t>
  </si>
  <si>
    <t>MG010840315</t>
  </si>
  <si>
    <t>MG010840301</t>
  </si>
  <si>
    <t>MC020140315</t>
  </si>
  <si>
    <t>MG011040103</t>
  </si>
  <si>
    <t>BANDOLERA RUFINA</t>
  </si>
  <si>
    <t>MG011040107</t>
  </si>
  <si>
    <t>MG011071601</t>
  </si>
  <si>
    <t>PORTALAPTOP MILTON</t>
  </si>
  <si>
    <t>OT010790408</t>
  </si>
  <si>
    <t>MC020270703</t>
  </si>
  <si>
    <t>TARJETERO RUBI</t>
  </si>
  <si>
    <t>MC020270307</t>
  </si>
  <si>
    <t>MC020140709</t>
  </si>
  <si>
    <t>MG010690303</t>
  </si>
  <si>
    <t>MG010690558</t>
  </si>
  <si>
    <t>MG010690556</t>
  </si>
  <si>
    <t>OXIDO</t>
  </si>
  <si>
    <t>MG010690550</t>
  </si>
  <si>
    <t>VESUBIO</t>
  </si>
  <si>
    <t>MG010690107</t>
  </si>
  <si>
    <t>MG010690102</t>
  </si>
  <si>
    <t>MG010690110</t>
  </si>
  <si>
    <t>MC020221623</t>
  </si>
  <si>
    <t>MC020220104</t>
  </si>
  <si>
    <t>MC020660104</t>
  </si>
  <si>
    <t>MC020390709</t>
  </si>
  <si>
    <t>MC020190101</t>
  </si>
  <si>
    <t>MG020551601</t>
  </si>
  <si>
    <t>PORTALAPTOP JOY</t>
  </si>
  <si>
    <t>MG020551901</t>
  </si>
  <si>
    <t>MG020551904</t>
  </si>
  <si>
    <t>MC020260301</t>
  </si>
  <si>
    <t>TARJETERO BILL</t>
  </si>
  <si>
    <t>MC020401910</t>
  </si>
  <si>
    <t>MC020400103</t>
  </si>
  <si>
    <t>MG010400304-S</t>
  </si>
  <si>
    <t>MG010961803</t>
  </si>
  <si>
    <t>CARTERA IBERA</t>
  </si>
  <si>
    <t>MC020110115</t>
  </si>
  <si>
    <t>MC020110107</t>
  </si>
  <si>
    <t>MC020110102</t>
  </si>
  <si>
    <t>MC020101909</t>
  </si>
  <si>
    <t>MG010530303</t>
  </si>
  <si>
    <t>MG010530352</t>
  </si>
  <si>
    <t>MG010530304</t>
  </si>
  <si>
    <t>MG010230301</t>
  </si>
  <si>
    <t>RIÑONERA EVAN GDE FULL BLACK</t>
  </si>
  <si>
    <t>MG010210303</t>
  </si>
  <si>
    <t>MG010210301</t>
  </si>
  <si>
    <t>MG010210304</t>
  </si>
  <si>
    <t>MC020700101</t>
  </si>
  <si>
    <t>MC020700110</t>
  </si>
  <si>
    <t>MC020290703</t>
  </si>
  <si>
    <t>MC020830303</t>
  </si>
  <si>
    <t>MC020830301</t>
  </si>
  <si>
    <t>MC020830304</t>
  </si>
  <si>
    <t>MC020830101</t>
  </si>
  <si>
    <t>EFIL</t>
  </si>
  <si>
    <t>CA140150001-37</t>
  </si>
  <si>
    <t>BOTA JAZMIN</t>
  </si>
  <si>
    <t>CA140150001-38</t>
  </si>
  <si>
    <t>MG010090309</t>
  </si>
  <si>
    <t>MG010090101</t>
  </si>
  <si>
    <t>MG011120115</t>
  </si>
  <si>
    <t>MG011120107</t>
  </si>
  <si>
    <t>MG011120102</t>
  </si>
  <si>
    <t>CA170120009-44</t>
  </si>
  <si>
    <t>CA170120009-45</t>
  </si>
  <si>
    <t>CA170120024-42</t>
  </si>
  <si>
    <t>CA170120032-42</t>
  </si>
  <si>
    <t>CA170120004-40</t>
  </si>
  <si>
    <t>CA170120004-45</t>
  </si>
  <si>
    <t>CA170120010-40</t>
  </si>
  <si>
    <t>CA170120010-45</t>
  </si>
  <si>
    <t>CA060010332-42</t>
  </si>
  <si>
    <t>MC020680703</t>
  </si>
  <si>
    <t>NECESSAIRE LARA</t>
  </si>
  <si>
    <t>MC020680707</t>
  </si>
  <si>
    <t>MC020710301</t>
  </si>
  <si>
    <t>TARJETERO NEW KENNY</t>
  </si>
  <si>
    <t>MG020830555</t>
  </si>
  <si>
    <t>SOBRE OMEGA</t>
  </si>
  <si>
    <t>AVELLANA</t>
  </si>
  <si>
    <t>MC050120303-S</t>
  </si>
  <si>
    <t>MC050120301-S</t>
  </si>
  <si>
    <t>OT020530104</t>
  </si>
  <si>
    <t>OT020830303-56</t>
  </si>
  <si>
    <t>LLAVERO ABC (C)</t>
  </si>
  <si>
    <t>OT020830301-56</t>
  </si>
  <si>
    <t>NEGRO/OXIDO</t>
  </si>
  <si>
    <t>OT020910301-56</t>
  </si>
  <si>
    <t>LLAVERO ABC (K)</t>
  </si>
  <si>
    <t>OT020710302-16</t>
  </si>
  <si>
    <t>LLAVERO ABC (M)</t>
  </si>
  <si>
    <t>SUELA/OLIVE</t>
  </si>
  <si>
    <t>MC020290315</t>
  </si>
  <si>
    <t>MC020290307</t>
  </si>
  <si>
    <t>MC020121910</t>
  </si>
  <si>
    <t>PORTAPASAPORTE RON</t>
  </si>
  <si>
    <t>MC020100307</t>
  </si>
  <si>
    <t>MC020101210</t>
  </si>
  <si>
    <t>MG010590304</t>
  </si>
  <si>
    <t>MG010590101</t>
  </si>
  <si>
    <t>MC020110303</t>
  </si>
  <si>
    <t>MC020271623</t>
  </si>
  <si>
    <t>MG010850309</t>
  </si>
  <si>
    <t>MG010850310</t>
  </si>
  <si>
    <t>MC020770703</t>
  </si>
  <si>
    <t>TARJETERO MULTI</t>
  </si>
  <si>
    <t>MC020770707</t>
  </si>
  <si>
    <t>MC020770107</t>
  </si>
  <si>
    <t>MC020260310</t>
  </si>
  <si>
    <t>MG010810107</t>
  </si>
  <si>
    <t>MG020540309</t>
  </si>
  <si>
    <t>PORTALAPTOP LES</t>
  </si>
  <si>
    <t>MG020540303</t>
  </si>
  <si>
    <t>MG020540301</t>
  </si>
  <si>
    <t>MC050090103-105</t>
  </si>
  <si>
    <t>CINTURON TRENZADO 431</t>
  </si>
  <si>
    <t>MC020431201</t>
  </si>
  <si>
    <t>MC020270707</t>
  </si>
  <si>
    <t>MG020010107</t>
  </si>
  <si>
    <t>BANDOLERA NATY</t>
  </si>
  <si>
    <t>MC020100301</t>
  </si>
  <si>
    <t>MC020190309</t>
  </si>
  <si>
    <t>MC020620307</t>
  </si>
  <si>
    <t>PORTALENTES MANU</t>
  </si>
  <si>
    <t>MC020360309</t>
  </si>
  <si>
    <t>CARTUCHERA MONT</t>
  </si>
  <si>
    <t>MC020360303</t>
  </si>
  <si>
    <t>MC020360301</t>
  </si>
  <si>
    <t>MC050100002-90</t>
  </si>
  <si>
    <t>MC050140301-105</t>
  </si>
  <si>
    <t>CINTURON GUS 650</t>
  </si>
  <si>
    <t>MC050140301-110</t>
  </si>
  <si>
    <t>MC050160921-105</t>
  </si>
  <si>
    <t>CINTURON PANAMA 468</t>
  </si>
  <si>
    <t>PANAMA/CUERO</t>
  </si>
  <si>
    <t>TOSTADO</t>
  </si>
  <si>
    <t>MC050160921-95</t>
  </si>
  <si>
    <t>MC050130309-110</t>
  </si>
  <si>
    <t>MC020750309</t>
  </si>
  <si>
    <t>PORTA HIGIENE</t>
  </si>
  <si>
    <t>MC020110301</t>
  </si>
  <si>
    <t>MC020110109</t>
  </si>
  <si>
    <t>MC020110101</t>
  </si>
  <si>
    <t>MC020270303</t>
  </si>
  <si>
    <t>MC020270301</t>
  </si>
  <si>
    <t>OT010400103</t>
  </si>
  <si>
    <t>MC020140701</t>
  </si>
  <si>
    <t>MC020140707</t>
  </si>
  <si>
    <t>MG100871101</t>
  </si>
  <si>
    <t>MAGNUM</t>
  </si>
  <si>
    <t>MG100872201</t>
  </si>
  <si>
    <t>MC020370101</t>
  </si>
  <si>
    <t>MG010260309</t>
  </si>
  <si>
    <t>NECESSAIRE MINI MARCOS</t>
  </si>
  <si>
    <t>MG010260303</t>
  </si>
  <si>
    <t>MG010260301</t>
  </si>
  <si>
    <t>MC020180101</t>
  </si>
  <si>
    <t>PORTAPASAPORTE KANTU</t>
  </si>
  <si>
    <t>MG010660103</t>
  </si>
  <si>
    <t>MG010660115</t>
  </si>
  <si>
    <t>MC040480101-110</t>
  </si>
  <si>
    <t>MC040480101-115</t>
  </si>
  <si>
    <t>MC040480101-85</t>
  </si>
  <si>
    <t>MC040480101-95</t>
  </si>
  <si>
    <t>MC040480102-100</t>
  </si>
  <si>
    <t>MC040480102-110</t>
  </si>
  <si>
    <t>MC040480102-120</t>
  </si>
  <si>
    <t>MC040140103-100</t>
  </si>
  <si>
    <t>MC040140101-105</t>
  </si>
  <si>
    <t>MC040140101-110</t>
  </si>
  <si>
    <t>MC040140101-115</t>
  </si>
  <si>
    <t>MC040140101-120</t>
  </si>
  <si>
    <t>MC040140101-85</t>
  </si>
  <si>
    <t>MC040140101-95</t>
  </si>
  <si>
    <t>LOLA</t>
  </si>
  <si>
    <t>CA010160103-39</t>
  </si>
  <si>
    <t>SANDALIA LOLA</t>
  </si>
  <si>
    <t>CA010170101-40</t>
  </si>
  <si>
    <t>SANDALIA LOLA C/TACO</t>
  </si>
  <si>
    <t>CA170130001-41</t>
  </si>
  <si>
    <t>MOCASIN FANGIO</t>
  </si>
  <si>
    <t>TX250314000-L</t>
  </si>
  <si>
    <t>TX250314000-XL</t>
  </si>
  <si>
    <t>TX250314049-XXL</t>
  </si>
  <si>
    <t>TX250314010-L</t>
  </si>
  <si>
    <t>TX250314010-S</t>
  </si>
  <si>
    <t>TX250314010-XXL</t>
  </si>
  <si>
    <t>TX250334000-XL</t>
  </si>
  <si>
    <t>TX250334049-M</t>
  </si>
  <si>
    <t>TX250324000-L</t>
  </si>
  <si>
    <t>TX250324001-M</t>
  </si>
  <si>
    <t>TX200183037-XL</t>
  </si>
  <si>
    <t>TX200183038-XL</t>
  </si>
  <si>
    <t>DENIM GASTADO</t>
  </si>
  <si>
    <t>TX310410001</t>
  </si>
  <si>
    <t>MC020270709</t>
  </si>
  <si>
    <t>MG100892201</t>
  </si>
  <si>
    <t>MG100891803</t>
  </si>
  <si>
    <t>MG100891827</t>
  </si>
  <si>
    <t>PIEDRA</t>
  </si>
  <si>
    <t>MC020480303</t>
  </si>
  <si>
    <t>MC020480301</t>
  </si>
  <si>
    <t>MC020480307</t>
  </si>
  <si>
    <t>MC020480101</t>
  </si>
  <si>
    <t>OT020060307</t>
  </si>
  <si>
    <t>LLAVERO SIMPLE</t>
  </si>
  <si>
    <t>BIANCO</t>
  </si>
  <si>
    <t>MG151031623</t>
  </si>
  <si>
    <t>BANDOLERA PAMPA</t>
  </si>
  <si>
    <t>MG010700315</t>
  </si>
  <si>
    <t>MG010700555</t>
  </si>
  <si>
    <t>MG010700558</t>
  </si>
  <si>
    <t>MG010700550</t>
  </si>
  <si>
    <t>MC020260307</t>
  </si>
  <si>
    <t>MC020261909</t>
  </si>
  <si>
    <t>MC020360315</t>
  </si>
  <si>
    <t>MC020270304</t>
  </si>
  <si>
    <t>MG100902201</t>
  </si>
  <si>
    <t>MG100881361</t>
  </si>
  <si>
    <t>BANDOLERA NOE</t>
  </si>
  <si>
    <t>NAPA LOLA SOFT</t>
  </si>
  <si>
    <t>CLAY</t>
  </si>
  <si>
    <t>MG100881353</t>
  </si>
  <si>
    <t>HAVANA</t>
  </si>
  <si>
    <t>MG100881301</t>
  </si>
  <si>
    <t>MG100881816</t>
  </si>
  <si>
    <t>DARK OLIVE</t>
  </si>
  <si>
    <t>MG100881828</t>
  </si>
  <si>
    <t>VISON</t>
  </si>
  <si>
    <t>CA140100002-38</t>
  </si>
  <si>
    <t>MOCASIN JULIA</t>
  </si>
  <si>
    <t>CA140090031-38</t>
  </si>
  <si>
    <t>MOCASIN PAULA</t>
  </si>
  <si>
    <t>NUDE</t>
  </si>
  <si>
    <t>MC020330309</t>
  </si>
  <si>
    <t>MC020330301</t>
  </si>
  <si>
    <t>MC020330307</t>
  </si>
  <si>
    <t>MC020210109</t>
  </si>
  <si>
    <t>MC020300301</t>
  </si>
  <si>
    <t>MC020300304</t>
  </si>
  <si>
    <t>MC020300109</t>
  </si>
  <si>
    <t>MC020300101</t>
  </si>
  <si>
    <t>MC020300102</t>
  </si>
  <si>
    <t>MC020301910</t>
  </si>
  <si>
    <t>MG010290303</t>
  </si>
  <si>
    <t>MG010290304</t>
  </si>
  <si>
    <t>MG010290103</t>
  </si>
  <si>
    <t>MG011090307</t>
  </si>
  <si>
    <t>MG011090107</t>
  </si>
  <si>
    <t>MG011051201</t>
  </si>
  <si>
    <t>MC020220115</t>
  </si>
  <si>
    <t>MC020220107</t>
  </si>
  <si>
    <t>MC020660103</t>
  </si>
  <si>
    <t>TX300393700</t>
  </si>
  <si>
    <t>OFF WHITE</t>
  </si>
  <si>
    <t>OT020740301-56</t>
  </si>
  <si>
    <t>LLAVERO ABC (A)</t>
  </si>
  <si>
    <t>OXIDO/NEGRO</t>
  </si>
  <si>
    <t>OT020680302-16</t>
  </si>
  <si>
    <t>LLAVERO ABC (B)</t>
  </si>
  <si>
    <t>OT020830315-09</t>
  </si>
  <si>
    <t>MALBEC/AZUL</t>
  </si>
  <si>
    <t>OT020850303-56</t>
  </si>
  <si>
    <t>LLAVERO ABC (J)</t>
  </si>
  <si>
    <t>OT020710301-56</t>
  </si>
  <si>
    <t>OT020860303-56</t>
  </si>
  <si>
    <t>LLAVERO ABC (N)</t>
  </si>
  <si>
    <t>OT020700315-09</t>
  </si>
  <si>
    <t>LLAVERO ABC (P)</t>
  </si>
  <si>
    <t>OT020720301-56</t>
  </si>
  <si>
    <t>LLAVERO ABC (R)</t>
  </si>
  <si>
    <t>MC020720107</t>
  </si>
  <si>
    <t>MONEDERO CORY</t>
  </si>
  <si>
    <t>MG010780303</t>
  </si>
  <si>
    <t>MG010780304</t>
  </si>
  <si>
    <t>OT010400301</t>
  </si>
  <si>
    <t>OT010400104</t>
  </si>
  <si>
    <t>MG010590301</t>
  </si>
  <si>
    <t>MC020440102</t>
  </si>
  <si>
    <t>MG011093464</t>
  </si>
  <si>
    <t>DESCARNE</t>
  </si>
  <si>
    <t>ROSA</t>
  </si>
  <si>
    <t>MC020390701</t>
  </si>
  <si>
    <t>MC020150303</t>
  </si>
  <si>
    <t>MC020190304</t>
  </si>
  <si>
    <t>MC020191909</t>
  </si>
  <si>
    <t>MC020190107</t>
  </si>
  <si>
    <t>MC010060401-100</t>
  </si>
  <si>
    <t>CINTURON VAQUETA</t>
  </si>
  <si>
    <t>MC010030402-100</t>
  </si>
  <si>
    <t>MC010030402-115</t>
  </si>
  <si>
    <t>MC010030402-90</t>
  </si>
  <si>
    <t>MG010830707</t>
  </si>
  <si>
    <t>MG010800110</t>
  </si>
  <si>
    <t>SOBRE GEMINI</t>
  </si>
  <si>
    <t>ITS</t>
  </si>
  <si>
    <t>TX190202936</t>
  </si>
  <si>
    <t>BUFANDA ADHARA</t>
  </si>
  <si>
    <t>LANA ALPACA</t>
  </si>
  <si>
    <t>MC050120303-M</t>
  </si>
  <si>
    <t>MC050120307-XS</t>
  </si>
  <si>
    <t>MC050120304-M</t>
  </si>
  <si>
    <t>MC050120304-S</t>
  </si>
  <si>
    <t>OT020540304</t>
  </si>
  <si>
    <t>INDIVIDUAL CURVO</t>
  </si>
  <si>
    <t>OT020530301</t>
  </si>
  <si>
    <t>MC020470307</t>
  </si>
  <si>
    <t>PORTABILLETES CORVUS</t>
  </si>
  <si>
    <t>MC020820104</t>
  </si>
  <si>
    <t>SET POSAVASOS CIRCULAR X4</t>
  </si>
  <si>
    <t>MG010650307</t>
  </si>
  <si>
    <t>MG010650558</t>
  </si>
  <si>
    <t>OT130320021-L</t>
  </si>
  <si>
    <t>SOMBRERO ALGODON</t>
  </si>
  <si>
    <t>TOSTADO/NEGRO</t>
  </si>
  <si>
    <t>NELSON ALESSI</t>
  </si>
  <si>
    <t>C8R8625-40</t>
  </si>
  <si>
    <t>CAMISA CUADROS ALGODÓN</t>
  </si>
  <si>
    <t>NEGRO Y BLANCO</t>
  </si>
  <si>
    <t>S10-7-40</t>
  </si>
  <si>
    <t>CAMISA TRAMA ALGODÓN</t>
  </si>
  <si>
    <t>MC020140303</t>
  </si>
  <si>
    <t>MC020100309</t>
  </si>
  <si>
    <t>MC020100303</t>
  </si>
  <si>
    <t>MC020100304</t>
  </si>
  <si>
    <t>MC020271910</t>
  </si>
  <si>
    <t>MG010830516-4</t>
  </si>
  <si>
    <t>MG010830115</t>
  </si>
  <si>
    <t>MC020260304</t>
  </si>
  <si>
    <t>MC020261910</t>
  </si>
  <si>
    <t>MC020290707</t>
  </si>
  <si>
    <t>MC020761623</t>
  </si>
  <si>
    <t>FUNDA CUADERNO A6</t>
  </si>
  <si>
    <t>MG010840310</t>
  </si>
  <si>
    <t>MC020291210</t>
  </si>
  <si>
    <t>MC020620303</t>
  </si>
  <si>
    <t>MC020060303</t>
  </si>
  <si>
    <t>TARJETERO ROMA</t>
  </si>
  <si>
    <t>MG011070315</t>
  </si>
  <si>
    <t>MG011070304</t>
  </si>
  <si>
    <t>MG011071623</t>
  </si>
  <si>
    <t>MC020360310</t>
  </si>
  <si>
    <t>MC020781623</t>
  </si>
  <si>
    <t>MC020540301</t>
  </si>
  <si>
    <t>PORTALLAVES COLT</t>
  </si>
  <si>
    <t>MC020380304</t>
  </si>
  <si>
    <t>TARJETERO VINCENT</t>
  </si>
  <si>
    <t>MC020170709</t>
  </si>
  <si>
    <t>PORTALENTES LUZ</t>
  </si>
  <si>
    <t>MG020551623</t>
  </si>
  <si>
    <t>MC020400109</t>
  </si>
  <si>
    <t>MC020400101</t>
  </si>
  <si>
    <t>MC020400102</t>
  </si>
  <si>
    <t>MC020790301</t>
  </si>
  <si>
    <t>MG011010303-L</t>
  </si>
  <si>
    <t>MG011011623-L</t>
  </si>
  <si>
    <t>MG010400303-S</t>
  </si>
  <si>
    <t>MG010400305-S</t>
  </si>
  <si>
    <t>LONDON</t>
  </si>
  <si>
    <t>MG010400307-S</t>
  </si>
  <si>
    <t>MC020460301</t>
  </si>
  <si>
    <t>PORTALENTES COLBY</t>
  </si>
  <si>
    <t>MC020460307</t>
  </si>
  <si>
    <t>MC020460304</t>
  </si>
  <si>
    <t>MC020460709</t>
  </si>
  <si>
    <t>MC020460703</t>
  </si>
  <si>
    <t>MC020460701</t>
  </si>
  <si>
    <t>MC020200304</t>
  </si>
  <si>
    <t>MC020200707</t>
  </si>
  <si>
    <t>MC020670301</t>
  </si>
  <si>
    <t>MC020670307</t>
  </si>
  <si>
    <t>MC020670703</t>
  </si>
  <si>
    <t>MC020170315</t>
  </si>
  <si>
    <t>MC020170310</t>
  </si>
  <si>
    <t>MC020170107</t>
  </si>
  <si>
    <t>MC020110307</t>
  </si>
  <si>
    <t>MC020271909</t>
  </si>
  <si>
    <t>MC020700303</t>
  </si>
  <si>
    <t>MC020700304</t>
  </si>
  <si>
    <t>MC020700109</t>
  </si>
  <si>
    <t>MC020700102</t>
  </si>
  <si>
    <t>OT020480309-09</t>
  </si>
  <si>
    <t>LLAVERO KAREN</t>
  </si>
  <si>
    <t>CUERO VARIOS</t>
  </si>
  <si>
    <t>AZUL/AZUL</t>
  </si>
  <si>
    <t>OT020480315-09</t>
  </si>
  <si>
    <t>MC020680315</t>
  </si>
  <si>
    <t>MC020710303</t>
  </si>
  <si>
    <t>MC020710307</t>
  </si>
  <si>
    <t>MC020710304</t>
  </si>
  <si>
    <t>MC020710103</t>
  </si>
  <si>
    <t>MG020830307</t>
  </si>
  <si>
    <t>MG020830556</t>
  </si>
  <si>
    <t>TX300393712</t>
  </si>
  <si>
    <t>GRIS</t>
  </si>
  <si>
    <t>MC050150152-85</t>
  </si>
  <si>
    <t>CINTURON JAIRO 455</t>
  </si>
  <si>
    <t>MC050150152-95</t>
  </si>
  <si>
    <t>MC050150101-120</t>
  </si>
  <si>
    <t>OT020840315-09</t>
  </si>
  <si>
    <t>LLAVERO ABC (D)</t>
  </si>
  <si>
    <t>OT020690315-09</t>
  </si>
  <si>
    <t>OT020850301-56</t>
  </si>
  <si>
    <t>OT020850302-16</t>
  </si>
  <si>
    <t>OT020910315-09</t>
  </si>
  <si>
    <t>OT020870303-56</t>
  </si>
  <si>
    <t>LLAVERO ABC (L)</t>
  </si>
  <si>
    <t>OT020860302-16</t>
  </si>
  <si>
    <t>OT020720303-56</t>
  </si>
  <si>
    <t>OT020750301-56</t>
  </si>
  <si>
    <t>LLAVERO ABC (S)</t>
  </si>
  <si>
    <t>TX310400036</t>
  </si>
  <si>
    <t>GORRO FLORA</t>
  </si>
  <si>
    <t>TX310400001</t>
  </si>
  <si>
    <t>MC020260701</t>
  </si>
  <si>
    <t>MC020260707</t>
  </si>
  <si>
    <t>MC020721201</t>
  </si>
  <si>
    <t>MC020120304</t>
  </si>
  <si>
    <t>MC020101623</t>
  </si>
  <si>
    <t>MC020770103</t>
  </si>
  <si>
    <t>MC020770115</t>
  </si>
  <si>
    <t>MC020770102</t>
  </si>
  <si>
    <t>MC020260303</t>
  </si>
  <si>
    <t>MC020261201</t>
  </si>
  <si>
    <t>TX190212901</t>
  </si>
  <si>
    <t>BUFANDA ACRUX</t>
  </si>
  <si>
    <t>MC050090103-85</t>
  </si>
  <si>
    <t>MC050090103-90</t>
  </si>
  <si>
    <t>MC020431623</t>
  </si>
  <si>
    <t>MC020432201</t>
  </si>
  <si>
    <t>MC020432202</t>
  </si>
  <si>
    <t>MC020280301</t>
  </si>
  <si>
    <t>TARJETERO KENNY</t>
  </si>
  <si>
    <t>MC020280103</t>
  </si>
  <si>
    <t>MC020280101</t>
  </si>
  <si>
    <t>MC020280107</t>
  </si>
  <si>
    <t>MC020170703</t>
  </si>
  <si>
    <t>MC020170701</t>
  </si>
  <si>
    <t>MC020170707</t>
  </si>
  <si>
    <t>ELEMENTO</t>
  </si>
  <si>
    <t>TX280373737</t>
  </si>
  <si>
    <t>MEDIA HOMBRE MEDIA CAÑA CORTA</t>
  </si>
  <si>
    <t>MARINO</t>
  </si>
  <si>
    <t>OT010260101-30</t>
  </si>
  <si>
    <t>CORREA ANTONIETA 30 MM</t>
  </si>
  <si>
    <t>MC020390710</t>
  </si>
  <si>
    <t>MC020151623</t>
  </si>
  <si>
    <t>MC020150107</t>
  </si>
  <si>
    <t>MC020190303</t>
  </si>
  <si>
    <t>MC020190115</t>
  </si>
  <si>
    <t>MC020620304</t>
  </si>
  <si>
    <t>MC050110004-100</t>
  </si>
  <si>
    <t>MC050110004-110</t>
  </si>
  <si>
    <t>MC050110004-115</t>
  </si>
  <si>
    <t>MC050110004-85</t>
  </si>
  <si>
    <t>MC050110004-95</t>
  </si>
  <si>
    <t>MC050100001-100</t>
  </si>
  <si>
    <t>MC050100001-110</t>
  </si>
  <si>
    <t>MC050100001-115</t>
  </si>
  <si>
    <t>MC050100001-120</t>
  </si>
  <si>
    <t>MC050100001-85</t>
  </si>
  <si>
    <t>MC050100001-90</t>
  </si>
  <si>
    <t>MC050100002-100</t>
  </si>
  <si>
    <t>MC050100002-115</t>
  </si>
  <si>
    <t>MC050140301-120</t>
  </si>
  <si>
    <t>MC050140301-90</t>
  </si>
  <si>
    <t>MC050140301-95</t>
  </si>
  <si>
    <t>MC050140302-100</t>
  </si>
  <si>
    <t>MC050140302-105</t>
  </si>
  <si>
    <t>MC050140302-110</t>
  </si>
  <si>
    <t>MC050140302-115</t>
  </si>
  <si>
    <t>MC050160909-110</t>
  </si>
  <si>
    <t>MC050160909-90</t>
  </si>
  <si>
    <t>MC050160909-95</t>
  </si>
  <si>
    <t>MC050160921-100</t>
  </si>
  <si>
    <t>MC050160921-90</t>
  </si>
  <si>
    <t>MC050160910-90</t>
  </si>
  <si>
    <t>MC050130309-100</t>
  </si>
  <si>
    <t>MC050130309-105</t>
  </si>
  <si>
    <t>MC050130309-85</t>
  </si>
  <si>
    <t>MC050130309-90</t>
  </si>
  <si>
    <t>MC020010303</t>
  </si>
  <si>
    <t>MC020010352</t>
  </si>
  <si>
    <t>MC020010307</t>
  </si>
  <si>
    <t>MC020011201</t>
  </si>
  <si>
    <t>MC020010301</t>
  </si>
  <si>
    <t>MC020750303</t>
  </si>
  <si>
    <t>MC020650303</t>
  </si>
  <si>
    <t>PORTALAPICERAS</t>
  </si>
  <si>
    <t>MC020170352</t>
  </si>
  <si>
    <t>MC020170102</t>
  </si>
  <si>
    <t>MC020110315</t>
  </si>
  <si>
    <t>MC020110302</t>
  </si>
  <si>
    <t>MC020110304</t>
  </si>
  <si>
    <t>MC020270315</t>
  </si>
  <si>
    <t>OT010400101</t>
  </si>
  <si>
    <t>OT010400107</t>
  </si>
  <si>
    <t>MC020451828</t>
  </si>
  <si>
    <t>PORTALLAVES ALAN</t>
  </si>
  <si>
    <t>TX250314000-XXL</t>
  </si>
  <si>
    <t>TX250314001-XXL</t>
  </si>
  <si>
    <t>TX250314010-XL</t>
  </si>
  <si>
    <t>TX250334000-M</t>
  </si>
  <si>
    <t>TX250334000-S</t>
  </si>
  <si>
    <t>TX250334049-L</t>
  </si>
  <si>
    <t>TX250334049-XS</t>
  </si>
  <si>
    <t>TX250334066-L</t>
  </si>
  <si>
    <t>TX250334066-S</t>
  </si>
  <si>
    <t>TX250334001-L</t>
  </si>
  <si>
    <t>TX250334001-S</t>
  </si>
  <si>
    <t>TX250324001-L</t>
  </si>
  <si>
    <t>KOT</t>
  </si>
  <si>
    <t>OT090220009-M</t>
  </si>
  <si>
    <t>GORRO PAÑO</t>
  </si>
  <si>
    <t>TELA</t>
  </si>
  <si>
    <t>OT090220001-XXL</t>
  </si>
  <si>
    <t>OT130330008-XL</t>
  </si>
  <si>
    <t>SOMBRERO RAFIA</t>
  </si>
  <si>
    <t>RAFIA</t>
  </si>
  <si>
    <t>NATURAL/AZUL</t>
  </si>
  <si>
    <t>OT130330008-XXL</t>
  </si>
  <si>
    <t>OT130330008-1-S</t>
  </si>
  <si>
    <t>NATURAL/NEGRO</t>
  </si>
  <si>
    <t>OT130330008-1-XXL</t>
  </si>
  <si>
    <t>OT130330021-52-L</t>
  </si>
  <si>
    <t>TOSTADO/CHOCOLATE</t>
  </si>
  <si>
    <t>OT130330021-52-M</t>
  </si>
  <si>
    <t>OT130330021-1-XXL</t>
  </si>
  <si>
    <t>OT130502612-S</t>
  </si>
  <si>
    <t>GORRO VENTO</t>
  </si>
  <si>
    <t>PAÑO LANA</t>
  </si>
  <si>
    <t>S1ITA8983-38</t>
  </si>
  <si>
    <t>CAMISA LISA LINO</t>
  </si>
  <si>
    <t>LINO</t>
  </si>
  <si>
    <t>AZULINO</t>
  </si>
  <si>
    <t>SIITA8981-40</t>
  </si>
  <si>
    <t>CELESTE</t>
  </si>
  <si>
    <t>S1ITA8981-0-40</t>
  </si>
  <si>
    <t>LILA</t>
  </si>
  <si>
    <t>TX200183038-L</t>
  </si>
  <si>
    <t>TX200183038-M</t>
  </si>
  <si>
    <t>TX200183001-M</t>
  </si>
  <si>
    <t>TX190192936</t>
  </si>
  <si>
    <t>GORRO VEGA</t>
  </si>
  <si>
    <t>MC020101904</t>
  </si>
  <si>
    <t>MC020293347</t>
  </si>
  <si>
    <t>CRASH</t>
  </si>
  <si>
    <t>BLUE DARK</t>
  </si>
  <si>
    <t>MC020141904</t>
  </si>
  <si>
    <t>MC020060352</t>
  </si>
  <si>
    <t>MC020061201</t>
  </si>
  <si>
    <t>MC020060115</t>
  </si>
  <si>
    <t>MC020220703</t>
  </si>
  <si>
    <t>MC020220707</t>
  </si>
  <si>
    <t>MC020220309</t>
  </si>
  <si>
    <t>MC020220303</t>
  </si>
  <si>
    <t>MC020220103</t>
  </si>
  <si>
    <t>MC020220101</t>
  </si>
  <si>
    <t>MC020660101</t>
  </si>
  <si>
    <t>MC020661201</t>
  </si>
  <si>
    <t>MC020720707</t>
  </si>
  <si>
    <t>MC020121909</t>
  </si>
  <si>
    <t>OT020480309-18</t>
  </si>
  <si>
    <t>AZUL/MARSALA</t>
  </si>
  <si>
    <t>OT020480303-18</t>
  </si>
  <si>
    <t>CARAMELO/MARSALA</t>
  </si>
  <si>
    <t>OT020480301-22</t>
  </si>
  <si>
    <t>NEGRO/GRIS OSCURO</t>
  </si>
  <si>
    <t>MC050120309-XS</t>
  </si>
  <si>
    <t>MC050120301-L</t>
  </si>
  <si>
    <t>MC050120301-XS</t>
  </si>
  <si>
    <t>MC050120310-M</t>
  </si>
  <si>
    <t>MC050120310-XS</t>
  </si>
  <si>
    <t>OT020540102</t>
  </si>
  <si>
    <t>OT020540104</t>
  </si>
  <si>
    <t>OT020530304</t>
  </si>
  <si>
    <t>OT020530101</t>
  </si>
  <si>
    <t>OT020530303</t>
  </si>
  <si>
    <t>MC020470303</t>
  </si>
  <si>
    <t>MC020820307</t>
  </si>
  <si>
    <t>MC020820304</t>
  </si>
  <si>
    <t>MC020820103</t>
  </si>
  <si>
    <t>MC020820115</t>
  </si>
  <si>
    <t>MC020820102</t>
  </si>
  <si>
    <t>MG010650301</t>
  </si>
  <si>
    <t>MG010650509</t>
  </si>
  <si>
    <t>MG010650517</t>
  </si>
  <si>
    <t>GRIS MEDIO</t>
  </si>
  <si>
    <t>MG010650556</t>
  </si>
  <si>
    <t>OUT39990</t>
  </si>
  <si>
    <t>PRODUCTO OTULET 39990</t>
  </si>
  <si>
    <t>VARIOS</t>
  </si>
  <si>
    <t>OT130320008-L</t>
  </si>
  <si>
    <t>OT130320021-52-M</t>
  </si>
  <si>
    <t>OT130320021-52-XL</t>
  </si>
  <si>
    <t>C12I1150-42</t>
  </si>
  <si>
    <t>CAMISA CUADRITOS ALGODÓN</t>
  </si>
  <si>
    <t>CUADRITOS</t>
  </si>
  <si>
    <t>C44620-38</t>
  </si>
  <si>
    <t>CAMISA LISA ALGODÓN</t>
  </si>
  <si>
    <t>AMARILLA</t>
  </si>
  <si>
    <t>C44620-40</t>
  </si>
  <si>
    <t>C44620-42</t>
  </si>
  <si>
    <t>A20-40</t>
  </si>
  <si>
    <t>CAMISA MULTIRAYAS ALGODÓN</t>
  </si>
  <si>
    <t>A20-42</t>
  </si>
  <si>
    <t>ANGELO10028-38</t>
  </si>
  <si>
    <t>CAMISA RAYADA</t>
  </si>
  <si>
    <t>MIXTA</t>
  </si>
  <si>
    <t>B/N</t>
  </si>
  <si>
    <t>ANGELO10028-40</t>
  </si>
  <si>
    <t>MC020850707</t>
  </si>
  <si>
    <t>ESPEJO RECTANGULAR</t>
  </si>
  <si>
    <t>MC020260709</t>
  </si>
  <si>
    <t>MC020260703</t>
  </si>
  <si>
    <t>MC020260705</t>
  </si>
  <si>
    <t>MC020551623</t>
  </si>
  <si>
    <t>PORTACABLES 3</t>
  </si>
  <si>
    <t>MC020551901</t>
  </si>
  <si>
    <t>MC020171623</t>
  </si>
  <si>
    <t>MC020113243</t>
  </si>
  <si>
    <t>MC020271201</t>
  </si>
  <si>
    <t>MC020271904</t>
  </si>
  <si>
    <t>MC020260309</t>
  </si>
  <si>
    <t>MC020260110</t>
  </si>
  <si>
    <t>MC020810307</t>
  </si>
  <si>
    <t>SET POSAVASOS X4</t>
  </si>
  <si>
    <t>MC020810304</t>
  </si>
  <si>
    <t>MC020620315</t>
  </si>
  <si>
    <t>MC020620703</t>
  </si>
  <si>
    <t>MC020620707</t>
  </si>
  <si>
    <t>MC020060101</t>
  </si>
  <si>
    <t>MC020060102</t>
  </si>
  <si>
    <t>MC020690402</t>
  </si>
  <si>
    <t>PORTACABLES 1</t>
  </si>
  <si>
    <t>MC020360307</t>
  </si>
  <si>
    <t>MC020360304</t>
  </si>
  <si>
    <t>MC020363242</t>
  </si>
  <si>
    <t>MC020160301</t>
  </si>
  <si>
    <t>CARTUCHERA MONT FULL BLACK</t>
  </si>
  <si>
    <t>MC020380301</t>
  </si>
  <si>
    <t>MC020380307</t>
  </si>
  <si>
    <t>OT050250152</t>
  </si>
  <si>
    <t>LLAVERO ESPIGA 216</t>
  </si>
  <si>
    <t>OT010400303</t>
  </si>
  <si>
    <t>OT010400304</t>
  </si>
  <si>
    <t>MC020140703</t>
  </si>
  <si>
    <t>MC020460315</t>
  </si>
  <si>
    <t>MC020461623</t>
  </si>
  <si>
    <t>MC020460707</t>
  </si>
  <si>
    <t>MC020463242</t>
  </si>
  <si>
    <t>OT020570107</t>
  </si>
  <si>
    <t>LLAVERO MIRLO</t>
  </si>
  <si>
    <t>OT020060301</t>
  </si>
  <si>
    <t>MC020140309</t>
  </si>
  <si>
    <t>MC020120707</t>
  </si>
  <si>
    <t>TX280373767</t>
  </si>
  <si>
    <t>GRIS MELANGE 75</t>
  </si>
  <si>
    <t>MC050150152-105</t>
  </si>
  <si>
    <t>MC050150152-90</t>
  </si>
  <si>
    <t>MC050150101-100</t>
  </si>
  <si>
    <t>MC050150101-115</t>
  </si>
  <si>
    <t>MC050150101-85</t>
  </si>
  <si>
    <t>MC050150101-95</t>
  </si>
  <si>
    <t>CA070030109-39</t>
  </si>
  <si>
    <t>ZAPATO NAUTICO C ACORDONADO</t>
  </si>
  <si>
    <t>AZUL/BLANCO</t>
  </si>
  <si>
    <t>OT020410301</t>
  </si>
  <si>
    <t>CORREA LOLI</t>
  </si>
  <si>
    <t>ALGODON/CUERO</t>
  </si>
  <si>
    <t>OT020410307</t>
  </si>
  <si>
    <t>OT020410304</t>
  </si>
  <si>
    <t>OT020680315-09</t>
  </si>
  <si>
    <t>OT020830302-16</t>
  </si>
  <si>
    <t>OT020840302-16</t>
  </si>
  <si>
    <t>OT020730303-56</t>
  </si>
  <si>
    <t>LLAVERO ABC (F)</t>
  </si>
  <si>
    <t>OT020730301-56</t>
  </si>
  <si>
    <t>OT020730302-16</t>
  </si>
  <si>
    <t>OT020850315-09</t>
  </si>
  <si>
    <t>OT020910302-16</t>
  </si>
  <si>
    <t>OT020870315-09</t>
  </si>
  <si>
    <t>OT020870302-16</t>
  </si>
  <si>
    <t>OT020710303-56</t>
  </si>
  <si>
    <t>OT020860315-09</t>
  </si>
  <si>
    <t>OT020860301-56</t>
  </si>
  <si>
    <t>OT020720302-16</t>
  </si>
  <si>
    <t>OT020750315-09</t>
  </si>
  <si>
    <t>OT020880303-56</t>
  </si>
  <si>
    <t>LLAVERO ABC (V)</t>
  </si>
  <si>
    <t>OT020880315-09</t>
  </si>
  <si>
    <t>OT020880302-16</t>
  </si>
  <si>
    <t>OT020890301-56</t>
  </si>
  <si>
    <t>LLAVERO ABC (Y)</t>
  </si>
  <si>
    <t>MG010830709</t>
  </si>
  <si>
    <t>OUT29990</t>
  </si>
  <si>
    <t>PRODUCTO OUTLET 29990</t>
  </si>
  <si>
    <t>MC020720305</t>
  </si>
  <si>
    <t>MC020720701</t>
  </si>
  <si>
    <t>MC020720115</t>
  </si>
  <si>
    <t>MC020720102</t>
  </si>
  <si>
    <t>MC020103241</t>
  </si>
  <si>
    <t>LIGHT</t>
  </si>
  <si>
    <t>MC020270701</t>
  </si>
  <si>
    <t>OT010260103-30</t>
  </si>
  <si>
    <t>OT010260102-30</t>
  </si>
  <si>
    <t>MC020190315</t>
  </si>
  <si>
    <t>MC020190307</t>
  </si>
  <si>
    <t>MC020191904</t>
  </si>
  <si>
    <t>MC020190104</t>
  </si>
  <si>
    <t>MC020190110</t>
  </si>
  <si>
    <t>OT020341623</t>
  </si>
  <si>
    <t>LLAVERO INICIALES</t>
  </si>
  <si>
    <t>OT020340104</t>
  </si>
  <si>
    <t>MC020650352</t>
  </si>
  <si>
    <t>MC020651623</t>
  </si>
  <si>
    <t>MC020170309</t>
  </si>
  <si>
    <t>MC020170304</t>
  </si>
  <si>
    <t>MC020171909</t>
  </si>
  <si>
    <t>MC020170109</t>
  </si>
  <si>
    <t>MC020170101</t>
  </si>
  <si>
    <t>MC020113242</t>
  </si>
  <si>
    <t>MC020270309</t>
  </si>
  <si>
    <t>OT010290558-20</t>
  </si>
  <si>
    <t>CORREA VICENTA 20 MM</t>
  </si>
  <si>
    <t>MC020290701</t>
  </si>
  <si>
    <t>TX190222811</t>
  </si>
  <si>
    <t>GUANTE RIGEL</t>
  </si>
  <si>
    <t>LANA LLAMA</t>
  </si>
  <si>
    <t>TX190222828</t>
  </si>
  <si>
    <t>MC020290301</t>
  </si>
  <si>
    <t>MC020290103</t>
  </si>
  <si>
    <t>MC020290101</t>
  </si>
  <si>
    <t>MC020290107</t>
  </si>
  <si>
    <t>MC020293243</t>
  </si>
  <si>
    <t>MC020293241</t>
  </si>
  <si>
    <t>MC020293242</t>
  </si>
  <si>
    <t>MC020060301</t>
  </si>
  <si>
    <t>MC020060304</t>
  </si>
  <si>
    <t>TX280373768</t>
  </si>
  <si>
    <t>MELANGE 25</t>
  </si>
  <si>
    <t>TX280373701</t>
  </si>
  <si>
    <t>MC020611623</t>
  </si>
  <si>
    <t>PORTACABLES 2</t>
  </si>
  <si>
    <t>STYLO</t>
  </si>
  <si>
    <t>TX230283837</t>
  </si>
  <si>
    <t>MEDIAS DE VESTIR 207</t>
  </si>
  <si>
    <t>POLIAMIDA</t>
  </si>
  <si>
    <t>TX230283801</t>
  </si>
  <si>
    <t>TX230273701-2</t>
  </si>
  <si>
    <t>MEDIAS DE VESTIR 472 (42-45)</t>
  </si>
  <si>
    <t>OT020480303-58</t>
  </si>
  <si>
    <t>CARAMELO/CAFE</t>
  </si>
  <si>
    <t>OT020100303</t>
  </si>
  <si>
    <t>CARAMELO/UVA</t>
  </si>
  <si>
    <t>OT020480315-18</t>
  </si>
  <si>
    <t>MALBEC/MARSALA</t>
  </si>
  <si>
    <t>OT020480315-56</t>
  </si>
  <si>
    <t>MALBEC/OXIDO</t>
  </si>
  <si>
    <t>OT020480301-17</t>
  </si>
  <si>
    <t>NEGRO/GRIS MEDIO</t>
  </si>
  <si>
    <t>OT020480301-50</t>
  </si>
  <si>
    <t>NEGRO/VESUBIO</t>
  </si>
  <si>
    <t>OT020480304-16</t>
  </si>
  <si>
    <t>TABACO/OLIVE</t>
  </si>
  <si>
    <t>OT020480310-16</t>
  </si>
  <si>
    <t>VERDE/OLIVE</t>
  </si>
  <si>
    <t>OT020480310-56</t>
  </si>
  <si>
    <t>VERDE/OXIDO</t>
  </si>
  <si>
    <t>MC020850701</t>
  </si>
  <si>
    <t>MC020561623</t>
  </si>
  <si>
    <t>PORTACINTO LOU</t>
  </si>
  <si>
    <t>MC020561901</t>
  </si>
  <si>
    <t>MC020561904</t>
  </si>
  <si>
    <t>MC020260710</t>
  </si>
  <si>
    <t>MC020103243</t>
  </si>
  <si>
    <t>MC020553242</t>
  </si>
  <si>
    <t>MC020260109</t>
  </si>
  <si>
    <t>MC020260101</t>
  </si>
  <si>
    <t>MC020260102</t>
  </si>
  <si>
    <t>MC020620301</t>
  </si>
  <si>
    <t>MC020620709</t>
  </si>
  <si>
    <t>MC020620701</t>
  </si>
  <si>
    <t>MC020620710</t>
  </si>
  <si>
    <t>MC020260452</t>
  </si>
  <si>
    <t>MC020260413</t>
  </si>
  <si>
    <t>DULCE DE LECHE</t>
  </si>
  <si>
    <t>MC020510309</t>
  </si>
  <si>
    <t>TAG SIMPLE</t>
  </si>
  <si>
    <t>MC020510303</t>
  </si>
  <si>
    <t>MC020510301</t>
  </si>
  <si>
    <t>MC020510307</t>
  </si>
  <si>
    <t>MC020510310</t>
  </si>
  <si>
    <t>OT050250101</t>
  </si>
  <si>
    <t>OT050240152</t>
  </si>
  <si>
    <t>LLAVERO JAIRO L455</t>
  </si>
  <si>
    <t>OT050240101</t>
  </si>
  <si>
    <t>OT050240102</t>
  </si>
  <si>
    <t>OT010400307</t>
  </si>
  <si>
    <t>OT010400102</t>
  </si>
  <si>
    <t>MC020141019</t>
  </si>
  <si>
    <t>CROCO</t>
  </si>
  <si>
    <t>CANELA/ARMY</t>
  </si>
  <si>
    <t>OT020570101</t>
  </si>
  <si>
    <t>MC020140310</t>
  </si>
  <si>
    <t>MC020120709</t>
  </si>
  <si>
    <t>MC020120703</t>
  </si>
  <si>
    <t>MC020120701</t>
  </si>
  <si>
    <t>TX230283852</t>
  </si>
  <si>
    <t>MC020720703</t>
  </si>
  <si>
    <t>MC020720103</t>
  </si>
  <si>
    <t>MC020120309</t>
  </si>
  <si>
    <t>MC020120303</t>
  </si>
  <si>
    <t>MC020120310</t>
  </si>
  <si>
    <t>MC020123347</t>
  </si>
  <si>
    <t>DARK BLUE</t>
  </si>
  <si>
    <t>CA090112452-43</t>
  </si>
  <si>
    <t>PANTUFLA GALO</t>
  </si>
  <si>
    <t>CARPINCHO</t>
  </si>
  <si>
    <t>MC020170710</t>
  </si>
  <si>
    <t>OT020340109</t>
  </si>
  <si>
    <t>OT020340101</t>
  </si>
  <si>
    <t>MC020650315</t>
  </si>
  <si>
    <t>MC020650307</t>
  </si>
  <si>
    <t>MC020650452</t>
  </si>
  <si>
    <t>MC020170303</t>
  </si>
  <si>
    <t>MC020170301</t>
  </si>
  <si>
    <t>MC020171910</t>
  </si>
  <si>
    <t>MC020170110</t>
  </si>
  <si>
    <t>MC020530452</t>
  </si>
  <si>
    <t>TAG AMAYA</t>
  </si>
  <si>
    <t>MC020532028</t>
  </si>
  <si>
    <t>MC020270310</t>
  </si>
  <si>
    <t>OUT11990</t>
  </si>
  <si>
    <t>PRODUCTO OUTLET 11990</t>
  </si>
  <si>
    <t>MC020691901</t>
  </si>
  <si>
    <t>MC020690408</t>
  </si>
  <si>
    <t>MC020103242</t>
  </si>
  <si>
    <t>MC020510304</t>
  </si>
  <si>
    <t>MC020610452</t>
  </si>
  <si>
    <t>MC020610413</t>
  </si>
  <si>
    <t>MC020610401</t>
  </si>
  <si>
    <t>MC020613241</t>
  </si>
  <si>
    <t>MC020310301</t>
  </si>
  <si>
    <t>TARJETERO CHICAGO</t>
  </si>
  <si>
    <t>OUT7990</t>
  </si>
  <si>
    <t>PRODUCTO OUTLET 7990</t>
  </si>
  <si>
    <t>MC020080301</t>
  </si>
  <si>
    <t>TARJETERO BLACK</t>
  </si>
  <si>
    <t>OUT6490</t>
  </si>
  <si>
    <t>PRODUCTO OUTLET 6490</t>
  </si>
  <si>
    <t>MC020690452</t>
  </si>
  <si>
    <t>MC020690413</t>
  </si>
  <si>
    <t>OT020450452</t>
  </si>
  <si>
    <t>MC020550452</t>
  </si>
  <si>
    <t>MC020550408</t>
  </si>
  <si>
    <t>MC020550401</t>
  </si>
  <si>
    <t>OUT4990</t>
  </si>
  <si>
    <t>PRODUCTO OUTLET 4990</t>
  </si>
  <si>
    <t>MC020522052</t>
  </si>
  <si>
    <t>TAG INICIALES</t>
  </si>
  <si>
    <t>MC020522008</t>
  </si>
  <si>
    <t>MC020522001</t>
  </si>
  <si>
    <t>MC020522002</t>
  </si>
  <si>
    <t>MC020522028</t>
  </si>
  <si>
    <t>REPORTE DE VENTA MARZO 2025</t>
  </si>
  <si>
    <t>Participación</t>
  </si>
  <si>
    <t>FACTURACIÓN</t>
  </si>
  <si>
    <t>%</t>
  </si>
  <si>
    <t>Rubro/Familia</t>
  </si>
  <si>
    <t>Total CARTERA</t>
  </si>
  <si>
    <t>Total TOTE</t>
  </si>
  <si>
    <t>Total BOLSO</t>
  </si>
  <si>
    <t>Total BILLETERA</t>
  </si>
  <si>
    <t>Total BANDOLERA</t>
  </si>
  <si>
    <t>Total MORRAL</t>
  </si>
  <si>
    <t>Total MONEDERO</t>
  </si>
  <si>
    <t>Total PORTATRAJE</t>
  </si>
  <si>
    <t>Total MOCHILA</t>
  </si>
  <si>
    <t>Total PORTAFOLIO</t>
  </si>
  <si>
    <t>Total TARJETERO</t>
  </si>
  <si>
    <t>Total NECESSAIRE</t>
  </si>
  <si>
    <t>Total PORTAVINO</t>
  </si>
  <si>
    <t>Total RIÑONERA</t>
  </si>
  <si>
    <t>Total REMERA</t>
  </si>
  <si>
    <t>Total DECO</t>
  </si>
  <si>
    <t>Total PORTALAPTOP</t>
  </si>
  <si>
    <t>Total CHALINA</t>
  </si>
  <si>
    <t>Total CAMPERA</t>
  </si>
  <si>
    <t>Total PORTAPASAPORTE</t>
  </si>
  <si>
    <t>Total CINTURON</t>
  </si>
  <si>
    <t>Total PORTALENTES</t>
  </si>
  <si>
    <t>Total OUTLET</t>
  </si>
  <si>
    <t>Total ZAPATILLA</t>
  </si>
  <si>
    <t>Total FUNDA CUADERNO</t>
  </si>
  <si>
    <t>Total MATERA</t>
  </si>
  <si>
    <t>Total GORRO</t>
  </si>
  <si>
    <t>Total PHONEBAG</t>
  </si>
  <si>
    <t>Total CHALECO</t>
  </si>
  <si>
    <t>Total INDIVIDUAL</t>
  </si>
  <si>
    <t>Total CHOMBA</t>
  </si>
  <si>
    <t>Total LLAVERO</t>
  </si>
  <si>
    <t>Total BOTA</t>
  </si>
  <si>
    <t>Total SOBRE</t>
  </si>
  <si>
    <t>Total CARTUCHERA</t>
  </si>
  <si>
    <t>Total MOUSEPAD</t>
  </si>
  <si>
    <t>Total SANDALIA</t>
  </si>
  <si>
    <t>Total MOCASIN</t>
  </si>
  <si>
    <t>Total BUFANDA</t>
  </si>
  <si>
    <t>Total PORTABILLETES</t>
  </si>
  <si>
    <t>Total POSAVASOS</t>
  </si>
  <si>
    <t>Total SOMBRERO</t>
  </si>
  <si>
    <t>Total CAMISA</t>
  </si>
  <si>
    <t>Total PORTA TABACO</t>
  </si>
  <si>
    <t>Total PORTALLAVES</t>
  </si>
  <si>
    <t>Total MEDIAS</t>
  </si>
  <si>
    <t>Total CORREA</t>
  </si>
  <si>
    <t>Total PORTALAPICERA</t>
  </si>
  <si>
    <t>Total ESPEJO</t>
  </si>
  <si>
    <t>Total PORTACABLES</t>
  </si>
  <si>
    <t>Total ZAPATO</t>
  </si>
  <si>
    <t>Total GUANTES</t>
  </si>
  <si>
    <t>Total PORTACINTO</t>
  </si>
  <si>
    <t>Total TAG</t>
  </si>
  <si>
    <t>Total PANTUFLA</t>
  </si>
  <si>
    <t>Total SEÑALADOR</t>
  </si>
  <si>
    <t>Total general</t>
  </si>
  <si>
    <t>Proveedor</t>
  </si>
  <si>
    <t>Rubro</t>
  </si>
  <si>
    <t>Familia</t>
  </si>
  <si>
    <t>Código</t>
  </si>
  <si>
    <t>Descripción</t>
  </si>
  <si>
    <t>Material</t>
  </si>
  <si>
    <t>Color</t>
  </si>
  <si>
    <t>Venta</t>
  </si>
  <si>
    <t>Precio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</si>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</sst>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%"/>
    <numFmt numFmtId="168" formatCode="&quot;$&quot;\ #,##0"/>
  </numFmts>
  <fonts count="11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 tint="0.249977111117893"/>
      <name val="Roboto"/>
    </font>
    <font>
      <sz val="9"/>
      <color theme="1"/>
      <name val="Roboto"/>
    </font>
    <font>
      <sz val="9"/>
      <color theme="1"/>
      <name val="Arial"/>
      <family val="2"/>
    </font>
    <font>
      <sz val="9"/>
      <color theme="0"/>
      <name val="Arial"/>
      <family val="2"/>
    </font>
    <font>
      <b/>
      <sz val="11"/>
      <color rgb="FF000000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C739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C804A"/>
        <bgColor indexed="64"/>
      </patternFill>
    </fill>
    <fill>
      <patternFill patternType="solid">
        <fgColor rgb="FF16B0E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NumberFormat="1" applyFont="1" applyAlignment="1"/>
    <xf numFmtId="9" fontId="4" fillId="0" borderId="0" xfId="2" applyFont="1" applyAlignment="1">
      <alignment horizontal="center"/>
    </xf>
    <xf numFmtId="165" fontId="0" fillId="0" borderId="0" xfId="0" applyNumberForma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4" fillId="0" borderId="1" xfId="1" applyNumberFormat="1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165" fontId="5" fillId="2" borderId="1" xfId="2" applyNumberFormat="1" applyFont="1" applyFill="1" applyBorder="1" applyAlignment="1">
      <alignment horizontal="center" vertical="center"/>
    </xf>
    <xf numFmtId="165" fontId="4" fillId="0" borderId="1" xfId="2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1" xfId="1" applyNumberFormat="1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165" fontId="4" fillId="0" borderId="1" xfId="2" applyNumberFormat="1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0" fontId="6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9" fontId="8" fillId="0" borderId="1" xfId="2" applyFont="1" applyBorder="1" applyAlignment="1">
      <alignment horizontal="center" vertical="center"/>
    </xf>
    <xf numFmtId="164" fontId="5" fillId="2" borderId="1" xfId="1" applyNumberFormat="1" applyFont="1" applyFill="1" applyBorder="1" applyAlignment="1">
      <alignment vertical="center"/>
    </xf>
    <xf numFmtId="165" fontId="5" fillId="2" borderId="1" xfId="2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64" fontId="5" fillId="3" borderId="1" xfId="1" applyNumberFormat="1" applyFont="1" applyFill="1" applyBorder="1" applyAlignment="1">
      <alignment vertical="center"/>
    </xf>
    <xf numFmtId="165" fontId="5" fillId="3" borderId="1" xfId="2" applyNumberFormat="1" applyFont="1" applyFill="1" applyBorder="1" applyAlignment="1">
      <alignment vertical="center"/>
    </xf>
    <xf numFmtId="0" fontId="0" fillId="0" borderId="1" xfId="0" applyBorder="1" applyAlignment="1">
      <alignment horizontal="left" indent="1"/>
    </xf>
    <xf numFmtId="165" fontId="0" fillId="0" borderId="1" xfId="2" applyNumberFormat="1" applyFont="1" applyBorder="1"/>
    <xf numFmtId="3" fontId="0" fillId="0" borderId="0" xfId="0" applyNumberFormat="1"/>
    <xf numFmtId="0" fontId="6" fillId="0" borderId="0" xfId="0" applyFont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vertical="center"/>
    </xf>
    <xf numFmtId="9" fontId="7" fillId="0" borderId="1" xfId="2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8" fontId="0" fillId="0" borderId="0" xfId="1" applyNumberFormat="1" applyFont="1"/>
    <xf numFmtId="1" fontId="0" fillId="0" borderId="0" xfId="0" applyNumberFormat="1" applyAlignment="1">
      <alignment horizontal="center"/>
    </xf>
    <xf numFmtId="0" fontId="4" fillId="0" borderId="2" xfId="0" applyFont="1" applyBorder="1" applyAlignment="1">
      <alignment vertical="center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164" fontId="5" fillId="4" borderId="0" xfId="1" applyNumberFormat="1" applyFont="1" applyFill="1" applyBorder="1" applyAlignment="1">
      <alignment horizontal="center" vertical="center" wrapText="1"/>
    </xf>
    <xf numFmtId="164" fontId="4" fillId="0" borderId="0" xfId="0" applyNumberFormat="1" applyFont="1"/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164" fontId="9" fillId="0" borderId="3" xfId="1" applyNumberFormat="1" applyFont="1" applyBorder="1"/>
    <xf numFmtId="1" fontId="9" fillId="0" borderId="3" xfId="0" applyNumberFormat="1" applyFont="1" applyBorder="1" applyAlignment="1">
      <alignment horizontal="center"/>
    </xf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164" fontId="9" fillId="0" borderId="4" xfId="1" applyNumberFormat="1" applyFont="1" applyBorder="1"/>
    <xf numFmtId="1" fontId="9" fillId="0" borderId="4" xfId="0" applyNumberFormat="1" applyFont="1" applyBorder="1" applyAlignment="1">
      <alignment horizontal="center"/>
    </xf>
    <xf numFmtId="0" fontId="10" fillId="0" borderId="3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center"/>
    </xf>
    <xf numFmtId="164" fontId="9" fillId="0" borderId="0" xfId="1" applyNumberFormat="1" applyFont="1" applyBorder="1"/>
    <xf numFmtId="1" fontId="9" fillId="0" borderId="0" xfId="0" applyNumberFormat="1" applyFont="1" applyBorder="1" applyAlignment="1">
      <alignment horizontal="center"/>
    </xf>
    <xf numFmtId="0" fontId="10" fillId="0" borderId="0" xfId="0" applyFont="1" applyBorder="1"/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164" fontId="5" fillId="5" borderId="0" xfId="1" applyNumberFormat="1" applyFont="1" applyFill="1" applyAlignment="1">
      <alignment horizontal="center" vertical="center" wrapText="1"/>
    </xf>
    <xf numFmtId="164" fontId="4" fillId="0" borderId="2" xfId="1" applyNumberFormat="1" applyFont="1" applyBorder="1" applyAlignment="1">
      <alignment vertical="center"/>
    </xf>
    <xf numFmtId="164" fontId="9" fillId="0" borderId="3" xfId="0" applyNumberFormat="1" applyFont="1" applyBorder="1"/>
  </cellXfs>
  <cellStyles count="3">
    <cellStyle name="Moneda" xfId="1" builtinId="4"/>
    <cellStyle name="Normal" xfId="0" builtinId="0"/>
    <cellStyle name="Porcentaje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'Rubros y familias'!$D$4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71-4C36-B496-955704678AF1}"/>
              </c:ext>
            </c:extLst>
          </c:dPt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71-4C36-B496-955704678A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'Rubros y familias'!$A$5:$A$14</c15:sqref>
                  </c15:fullRef>
                </c:ext>
              </c:extLst>
              <c:f>'Rubros y familias'!$A$6:$A$14</c:f>
              <c:strCache>
                <c:ptCount val="9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ACCESORIOS</c:v>
                </c:pt>
                <c:pt idx="4">
                  <c:v>CINTURON</c:v>
                </c:pt>
                <c:pt idx="5">
                  <c:v>CALZADO</c:v>
                </c:pt>
                <c:pt idx="6">
                  <c:v>TRAVEL</c:v>
                </c:pt>
                <c:pt idx="7">
                  <c:v>OUTLET</c:v>
                </c:pt>
                <c:pt idx="8">
                  <c:v>DECO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'Rubros y familias'!$D$5:$D$14</c15:sqref>
                  </c15:fullRef>
                </c:ext>
              </c:extLst>
              <c:f>'Rubros y familias'!$D$6:$D$14</c:f>
              <c:numCache>
                <c:formatCode>0.0%</c:formatCode>
                <c:ptCount val="9"/>
                <c:pt idx="0">
                  <c:v>0.53304050422541638</c:v>
                </c:pt>
                <c:pt idx="1">
                  <c:v>0.26557426299428416</c:v>
                </c:pt>
                <c:pt idx="2">
                  <c:v>5.9623312079528146E-2</c:v>
                </c:pt>
                <c:pt idx="3">
                  <c:v>5.8655868545687669E-2</c:v>
                </c:pt>
                <c:pt idx="4">
                  <c:v>5.5630303551978497E-2</c:v>
                </c:pt>
                <c:pt idx="5">
                  <c:v>2.0162190348519342E-2</c:v>
                </c:pt>
                <c:pt idx="6">
                  <c:v>4.2052738914019399E-3</c:v>
                </c:pt>
                <c:pt idx="7">
                  <c:v>2.4544081272042891E-3</c:v>
                </c:pt>
                <c:pt idx="8">
                  <c:v>6.5387623597956289E-4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71-4C36-B496-955704678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AUX!$D$2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AUX!$A$3:$A$16</c:f>
              <c:strCache>
                <c:ptCount val="14"/>
                <c:pt idx="0">
                  <c:v>CARTERA</c:v>
                </c:pt>
                <c:pt idx="1">
                  <c:v>BANDOLERA</c:v>
                </c:pt>
                <c:pt idx="2">
                  <c:v>BILLETERA</c:v>
                </c:pt>
                <c:pt idx="3">
                  <c:v>TARJETERO</c:v>
                </c:pt>
                <c:pt idx="4">
                  <c:v>CINTURON</c:v>
                </c:pt>
                <c:pt idx="5">
                  <c:v>BOLSO</c:v>
                </c:pt>
                <c:pt idx="6">
                  <c:v>MOCHILA</c:v>
                </c:pt>
                <c:pt idx="7">
                  <c:v>REMERA</c:v>
                </c:pt>
                <c:pt idx="8">
                  <c:v>PORTAFOLIO</c:v>
                </c:pt>
                <c:pt idx="9">
                  <c:v>NECESSAIRE</c:v>
                </c:pt>
                <c:pt idx="10">
                  <c:v>MORRAL</c:v>
                </c:pt>
                <c:pt idx="11">
                  <c:v>PORTALENTES</c:v>
                </c:pt>
                <c:pt idx="12">
                  <c:v>TOTE</c:v>
                </c:pt>
                <c:pt idx="13">
                  <c:v>LLAVERO</c:v>
                </c:pt>
              </c:strCache>
            </c:strRef>
          </c:cat>
          <c:val>
            <c:numRef>
              <c:f>AUX!$D$3:$D$16</c:f>
              <c:numCache>
                <c:formatCode>0.0%</c:formatCode>
                <c:ptCount val="14"/>
                <c:pt idx="0">
                  <c:v>0.19772312329648742</c:v>
                </c:pt>
                <c:pt idx="1">
                  <c:v>0.11758766481171218</c:v>
                </c:pt>
                <c:pt idx="2">
                  <c:v>8.7565501023967596E-2</c:v>
                </c:pt>
                <c:pt idx="3">
                  <c:v>6.0180860901676063E-2</c:v>
                </c:pt>
                <c:pt idx="4">
                  <c:v>5.5630303551978497E-2</c:v>
                </c:pt>
                <c:pt idx="5">
                  <c:v>5.4416218707051184E-2</c:v>
                </c:pt>
                <c:pt idx="6">
                  <c:v>3.748710704291848E-2</c:v>
                </c:pt>
                <c:pt idx="7">
                  <c:v>3.0545494812143355E-2</c:v>
                </c:pt>
                <c:pt idx="8">
                  <c:v>2.9515366573182589E-2</c:v>
                </c:pt>
                <c:pt idx="9">
                  <c:v>2.8901746569849084E-2</c:v>
                </c:pt>
                <c:pt idx="10">
                  <c:v>2.762454570302313E-2</c:v>
                </c:pt>
                <c:pt idx="11">
                  <c:v>2.6646319249723889E-2</c:v>
                </c:pt>
                <c:pt idx="12">
                  <c:v>2.515762938924667E-2</c:v>
                </c:pt>
                <c:pt idx="13">
                  <c:v>2.3404254799121615E-2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7-45BF-8FB8-297554C50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familias'!$A$35:$A$39</c:f>
              <c:strCache>
                <c:ptCount val="5"/>
                <c:pt idx="0">
                  <c:v>CARTERA</c:v>
                </c:pt>
                <c:pt idx="1">
                  <c:v>BANDOLERA</c:v>
                </c:pt>
                <c:pt idx="2">
                  <c:v>BOLSO</c:v>
                </c:pt>
                <c:pt idx="3">
                  <c:v>MOCHILA</c:v>
                </c:pt>
                <c:pt idx="4">
                  <c:v>PORTAFOLIO</c:v>
                </c:pt>
              </c:strCache>
            </c:strRef>
          </c:cat>
          <c:val>
            <c:numRef>
              <c:f>'Rubros y familias'!$D$35:$D$39</c:f>
              <c:numCache>
                <c:formatCode>0.0%</c:formatCode>
                <c:ptCount val="5"/>
                <c:pt idx="0">
                  <c:v>0.37093451947672762</c:v>
                </c:pt>
                <c:pt idx="1">
                  <c:v>0.22059799185914356</c:v>
                </c:pt>
                <c:pt idx="2">
                  <c:v>0.10208646111448075</c:v>
                </c:pt>
                <c:pt idx="3">
                  <c:v>7.032693903325897E-2</c:v>
                </c:pt>
                <c:pt idx="4">
                  <c:v>5.5371714417973943E-2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5-4400-90CC-7AC4C18CE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familias'!$A$48:$A$52</c:f>
              <c:strCache>
                <c:ptCount val="5"/>
                <c:pt idx="0">
                  <c:v>BILLETERA</c:v>
                </c:pt>
                <c:pt idx="1">
                  <c:v>TARJETERO</c:v>
                </c:pt>
                <c:pt idx="2">
                  <c:v>NECESSAIRE</c:v>
                </c:pt>
                <c:pt idx="3">
                  <c:v>PORTALENTES</c:v>
                </c:pt>
                <c:pt idx="4">
                  <c:v>MONEDERO</c:v>
                </c:pt>
              </c:strCache>
            </c:strRef>
          </c:cat>
          <c:val>
            <c:numRef>
              <c:f>'Rubros y familias'!$D$48:$D$52</c:f>
              <c:numCache>
                <c:formatCode>0.0%</c:formatCode>
                <c:ptCount val="5"/>
                <c:pt idx="0">
                  <c:v>0.32972133683696686</c:v>
                </c:pt>
                <c:pt idx="1">
                  <c:v>0.22660652513218613</c:v>
                </c:pt>
                <c:pt idx="2">
                  <c:v>0.10882736242582032</c:v>
                </c:pt>
                <c:pt idx="3">
                  <c:v>0.10033471974766389</c:v>
                </c:pt>
                <c:pt idx="4">
                  <c:v>8.5522820075995556E-2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A-434F-8E66-9175878DA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12464"/>
        <c:axId val="171005264"/>
      </c:barChart>
      <c:catAx>
        <c:axId val="17101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005264"/>
        <c:crosses val="autoZero"/>
        <c:auto val="1"/>
        <c:lblAlgn val="ctr"/>
        <c:lblOffset val="100"/>
        <c:noMultiLvlLbl val="0"/>
      </c:catAx>
      <c:valAx>
        <c:axId val="1710052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101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familias'!$A$65:$A$68</c:f>
              <c:strCache>
                <c:ptCount val="4"/>
                <c:pt idx="0">
                  <c:v>REMERA</c:v>
                </c:pt>
                <c:pt idx="1">
                  <c:v>CAMPERA</c:v>
                </c:pt>
                <c:pt idx="2">
                  <c:v>CHALINA</c:v>
                </c:pt>
                <c:pt idx="3">
                  <c:v>CAMISA</c:v>
                </c:pt>
              </c:strCache>
            </c:strRef>
          </c:cat>
          <c:val>
            <c:numRef>
              <c:f>'Rubros y familias'!$D$65:$D$68</c:f>
              <c:numCache>
                <c:formatCode>0.0%</c:formatCode>
                <c:ptCount val="4"/>
                <c:pt idx="0">
                  <c:v>0.51230791693357225</c:v>
                </c:pt>
                <c:pt idx="1">
                  <c:v>0.13382507852237238</c:v>
                </c:pt>
                <c:pt idx="2">
                  <c:v>8.6779413833850988E-2</c:v>
                </c:pt>
                <c:pt idx="3">
                  <c:v>7.5939221133782153E-2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E-4A0C-ADBF-066B0C0B8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0783776"/>
        <c:axId val="550783296"/>
      </c:barChart>
      <c:catAx>
        <c:axId val="55078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0783296"/>
        <c:crosses val="autoZero"/>
        <c:auto val="1"/>
        <c:lblAlgn val="ctr"/>
        <c:lblOffset val="100"/>
        <c:noMultiLvlLbl val="0"/>
      </c:catAx>
      <c:valAx>
        <c:axId val="5507832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55078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ACCESORIOS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familias'!$A$75:$A$78</c:f>
              <c:strCache>
                <c:ptCount val="4"/>
                <c:pt idx="0">
                  <c:v>LLAVERO</c:v>
                </c:pt>
                <c:pt idx="1">
                  <c:v>PORTAVINO</c:v>
                </c:pt>
                <c:pt idx="2">
                  <c:v>DECO</c:v>
                </c:pt>
                <c:pt idx="3">
                  <c:v>INDIVIDUAL</c:v>
                </c:pt>
              </c:strCache>
            </c:strRef>
          </c:cat>
          <c:val>
            <c:numRef>
              <c:f>'Rubros y familias'!$D$75:$D$78</c:f>
              <c:numCache>
                <c:formatCode>0.0%</c:formatCode>
                <c:ptCount val="4"/>
                <c:pt idx="0">
                  <c:v>0.39900960260935864</c:v>
                </c:pt>
                <c:pt idx="1">
                  <c:v>0.2352555342186024</c:v>
                </c:pt>
                <c:pt idx="2">
                  <c:v>9.3744105835209354E-2</c:v>
                </c:pt>
                <c:pt idx="3">
                  <c:v>7.3515056523316899E-2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5-4643-B082-25B539D21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93344"/>
        <c:axId val="156289984"/>
      </c:barChart>
      <c:catAx>
        <c:axId val="15629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289984"/>
        <c:crosses val="autoZero"/>
        <c:auto val="1"/>
        <c:lblAlgn val="ctr"/>
        <c:lblOffset val="100"/>
        <c:noMultiLvlLbl val="0"/>
      </c:catAx>
      <c:valAx>
        <c:axId val="156289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5629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CALZADO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688077858880778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familias'!$A$89:$A$90</c:f>
              <c:strCache>
                <c:ptCount val="2"/>
                <c:pt idx="0">
                  <c:v>ZAPATILLA</c:v>
                </c:pt>
                <c:pt idx="1">
                  <c:v>MOCASIN</c:v>
                </c:pt>
              </c:strCache>
            </c:strRef>
          </c:cat>
          <c:val>
            <c:numRef>
              <c:f>'Rubros y familias'!$D$89:$D$90</c:f>
              <c:numCache>
                <c:formatCode>0.0%</c:formatCode>
                <c:ptCount val="2"/>
                <c:pt idx="0">
                  <c:v>0.72727953393184397</c:v>
                </c:pt>
                <c:pt idx="1">
                  <c:v>9.9820304199319726E-2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3-4605-B8FE-184C84D2C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71231"/>
        <c:axId val="1776079391"/>
      </c:barChart>
      <c:catAx>
        <c:axId val="177607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79391"/>
        <c:crosses val="autoZero"/>
        <c:auto val="1"/>
        <c:lblAlgn val="ctr"/>
        <c:lblOffset val="100"/>
        <c:noMultiLvlLbl val="0"/>
      </c:catAx>
      <c:valAx>
        <c:axId val="177607939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7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252730</xdr:colOff>
      <xdr:row>14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12</xdr:col>
      <xdr:colOff>290830</xdr:colOff>
      <xdr:row>28</xdr:row>
      <xdr:rowOff>109220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6350</xdr:colOff>
      <xdr:row>32</xdr:row>
      <xdr:rowOff>101600</xdr:rowOff>
    </xdr:from>
    <xdr:to>
      <xdr:col>12</xdr:col>
      <xdr:colOff>304800</xdr:colOff>
      <xdr:row>44</xdr:row>
      <xdr:rowOff>177800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6350</xdr:colOff>
      <xdr:row>46</xdr:row>
      <xdr:rowOff>177800</xdr:rowOff>
    </xdr:from>
    <xdr:to>
      <xdr:col>12</xdr:col>
      <xdr:colOff>304800</xdr:colOff>
      <xdr:row>62</xdr:row>
      <xdr:rowOff>12700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6A8F52A-9325-413B-A6D2-6DE7840E9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63</xdr:row>
      <xdr:rowOff>0</xdr:rowOff>
    </xdr:from>
    <xdr:to>
      <xdr:col>12</xdr:col>
      <xdr:colOff>298450</xdr:colOff>
      <xdr:row>72</xdr:row>
      <xdr:rowOff>139700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5E166CB-BB6F-4E39-9291-1928AD161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74</xdr:row>
      <xdr:rowOff>0</xdr:rowOff>
    </xdr:from>
    <xdr:to>
      <xdr:col>12</xdr:col>
      <xdr:colOff>275590</xdr:colOff>
      <xdr:row>84</xdr:row>
      <xdr:rowOff>121920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A36E00D-79F8-4ED7-BA56-B6DFA23C5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88</xdr:row>
      <xdr:rowOff>0</xdr:rowOff>
    </xdr:from>
    <xdr:to>
      <xdr:col>12</xdr:col>
      <xdr:colOff>298450</xdr:colOff>
      <xdr:row>93</xdr:row>
      <xdr:rowOff>146050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9A134EC-8655-4714-A96C-7950AA692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showGridLines="0" tabSelected="1" workbookViewId="0">
      <selection activeCell="D98" sqref="D98"/>
    </sheetView>
  </sheetViews>
  <sheetFormatPr baseColWidth="10" defaultRowHeight="14.4" x14ac:dyDescent="0.3"/>
  <cols>
    <col min="1" max="1" width="14.21875" bestFit="1" customWidth="1"/>
    <col min="3" max="3" width="16.21875" bestFit="1" customWidth="1"/>
    <col min="4" max="4" width="12" bestFit="1" customWidth="1"/>
  </cols>
  <sheetData>
    <row r="1" spans="1:12" s="1" customFormat="1" ht="19.95" customHeight="1" x14ac:dyDescent="0.35">
      <c r="A1" s="42" t="s">
        <v>1450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s="2" customFormat="1" ht="13.95" customHeight="1" x14ac:dyDescent="0.2">
      <c r="B2" s="3"/>
      <c r="C2" s="4"/>
      <c r="D2" s="5"/>
    </row>
    <row r="3" spans="1:12" s="2" customFormat="1" ht="13.95" customHeight="1" x14ac:dyDescent="0.2">
      <c r="B3" s="3"/>
      <c r="C3" s="4"/>
      <c r="D3" s="5"/>
    </row>
    <row r="4" spans="1:12" x14ac:dyDescent="0.3">
      <c r="A4" s="38" t="s">
        <v>0</v>
      </c>
      <c r="B4" s="39" t="s">
        <v>1</v>
      </c>
      <c r="C4" s="40" t="s">
        <v>2</v>
      </c>
      <c r="D4" s="41" t="s">
        <v>1451</v>
      </c>
    </row>
    <row r="5" spans="1:12" x14ac:dyDescent="0.3">
      <c r="A5" s="10" t="s">
        <v>3</v>
      </c>
      <c r="B5" s="11">
        <v>2411</v>
      </c>
      <c r="C5" s="12">
        <v>139108894</v>
      </c>
      <c r="D5" s="13">
        <f t="shared" ref="D5:D14" si="0">C5/$C$5</f>
        <v>1</v>
      </c>
    </row>
    <row r="6" spans="1:12" x14ac:dyDescent="0.3">
      <c r="A6" s="7" t="s">
        <v>4</v>
      </c>
      <c r="B6" s="8">
        <v>535</v>
      </c>
      <c r="C6" s="9">
        <v>74150675</v>
      </c>
      <c r="D6" s="14">
        <f t="shared" si="0"/>
        <v>0.53304050422541638</v>
      </c>
    </row>
    <row r="7" spans="1:12" x14ac:dyDescent="0.3">
      <c r="A7" s="7" t="s">
        <v>5</v>
      </c>
      <c r="B7" s="8">
        <v>1257</v>
      </c>
      <c r="C7" s="9">
        <v>36943742</v>
      </c>
      <c r="D7" s="14">
        <f t="shared" si="0"/>
        <v>0.26557426299428416</v>
      </c>
    </row>
    <row r="8" spans="1:12" x14ac:dyDescent="0.3">
      <c r="A8" s="7" t="s">
        <v>6</v>
      </c>
      <c r="B8" s="8">
        <v>203</v>
      </c>
      <c r="C8" s="9">
        <v>8294133</v>
      </c>
      <c r="D8" s="14">
        <f t="shared" si="0"/>
        <v>5.9623312079528146E-2</v>
      </c>
    </row>
    <row r="9" spans="1:12" x14ac:dyDescent="0.3">
      <c r="A9" s="7" t="s">
        <v>7</v>
      </c>
      <c r="B9" s="8">
        <v>245</v>
      </c>
      <c r="C9" s="9">
        <v>8159553</v>
      </c>
      <c r="D9" s="14">
        <f t="shared" si="0"/>
        <v>5.8655868545687669E-2</v>
      </c>
    </row>
    <row r="10" spans="1:12" x14ac:dyDescent="0.3">
      <c r="A10" s="7" t="s">
        <v>8</v>
      </c>
      <c r="B10" s="8">
        <v>133</v>
      </c>
      <c r="C10" s="9">
        <v>7738670</v>
      </c>
      <c r="D10" s="14">
        <f t="shared" si="0"/>
        <v>5.5630303551978497E-2</v>
      </c>
    </row>
    <row r="11" spans="1:12" x14ac:dyDescent="0.3">
      <c r="A11" s="7" t="s">
        <v>9</v>
      </c>
      <c r="B11" s="8">
        <v>26</v>
      </c>
      <c r="C11" s="9">
        <v>2804740</v>
      </c>
      <c r="D11" s="14">
        <f t="shared" si="0"/>
        <v>2.0162190348519342E-2</v>
      </c>
    </row>
    <row r="12" spans="1:12" x14ac:dyDescent="0.3">
      <c r="A12" s="7" t="s">
        <v>10</v>
      </c>
      <c r="B12" s="8">
        <v>1</v>
      </c>
      <c r="C12" s="9">
        <v>584991</v>
      </c>
      <c r="D12" s="14">
        <f t="shared" si="0"/>
        <v>4.2052738914019399E-3</v>
      </c>
    </row>
    <row r="13" spans="1:12" x14ac:dyDescent="0.3">
      <c r="A13" s="7" t="s">
        <v>11</v>
      </c>
      <c r="B13" s="8">
        <v>7</v>
      </c>
      <c r="C13" s="9">
        <v>341430</v>
      </c>
      <c r="D13" s="14">
        <f t="shared" si="0"/>
        <v>2.4544081272042891E-3</v>
      </c>
    </row>
    <row r="14" spans="1:12" x14ac:dyDescent="0.3">
      <c r="A14" s="7" t="s">
        <v>12</v>
      </c>
      <c r="B14" s="8">
        <v>4</v>
      </c>
      <c r="C14" s="9">
        <v>90960</v>
      </c>
      <c r="D14" s="14">
        <f t="shared" si="0"/>
        <v>6.5387623597956289E-4</v>
      </c>
    </row>
    <row r="15" spans="1:12" x14ac:dyDescent="0.3">
      <c r="D15" s="6"/>
    </row>
    <row r="17" spans="1:4" x14ac:dyDescent="0.3">
      <c r="A17" s="15"/>
    </row>
    <row r="32" spans="1:4" x14ac:dyDescent="0.3">
      <c r="A32" s="25" t="s">
        <v>1454</v>
      </c>
      <c r="B32" s="26" t="s">
        <v>1</v>
      </c>
      <c r="C32" s="27" t="s">
        <v>2</v>
      </c>
      <c r="D32" s="28" t="s">
        <v>1451</v>
      </c>
    </row>
    <row r="33" spans="1:5" x14ac:dyDescent="0.3">
      <c r="A33" s="10" t="s">
        <v>68</v>
      </c>
      <c r="B33" s="10">
        <f>B34+B47+B64+B74+B86+B88+B95+B97+B99</f>
        <v>2411</v>
      </c>
      <c r="C33" s="29">
        <f>C34+C47+C64+C74+C86+C88+C95+C97+C99</f>
        <v>139108894</v>
      </c>
      <c r="D33" s="30">
        <f>D34+D47+D64+D74+D86+D88+D95+D97+D99</f>
        <v>1</v>
      </c>
    </row>
    <row r="34" spans="1:5" x14ac:dyDescent="0.3">
      <c r="A34" s="31" t="s">
        <v>4</v>
      </c>
      <c r="B34" s="31">
        <v>535</v>
      </c>
      <c r="C34" s="32">
        <v>74150675</v>
      </c>
      <c r="D34" s="33">
        <f>C34/$C$33</f>
        <v>0.53304050422541638</v>
      </c>
    </row>
    <row r="35" spans="1:5" x14ac:dyDescent="0.3">
      <c r="A35" s="34" t="s">
        <v>48</v>
      </c>
      <c r="B35" s="20">
        <v>196</v>
      </c>
      <c r="C35" s="18">
        <v>27505045</v>
      </c>
      <c r="D35" s="35">
        <f>C35/$C$34</f>
        <v>0.37093451947672762</v>
      </c>
      <c r="E35" s="6"/>
    </row>
    <row r="36" spans="1:5" x14ac:dyDescent="0.3">
      <c r="A36" s="34" t="s">
        <v>46</v>
      </c>
      <c r="B36" s="20">
        <v>151</v>
      </c>
      <c r="C36" s="18">
        <v>16357490</v>
      </c>
      <c r="D36" s="35">
        <f t="shared" ref="D36:D46" si="1">C36/$C$34</f>
        <v>0.22059799185914356</v>
      </c>
    </row>
    <row r="37" spans="1:5" x14ac:dyDescent="0.3">
      <c r="A37" s="34" t="s">
        <v>47</v>
      </c>
      <c r="B37" s="20">
        <v>23</v>
      </c>
      <c r="C37" s="18">
        <v>7569780</v>
      </c>
      <c r="D37" s="35">
        <f t="shared" si="1"/>
        <v>0.10208646111448075</v>
      </c>
    </row>
    <row r="38" spans="1:5" x14ac:dyDescent="0.3">
      <c r="A38" s="34" t="s">
        <v>49</v>
      </c>
      <c r="B38" s="20">
        <v>21</v>
      </c>
      <c r="C38" s="18">
        <v>5214790</v>
      </c>
      <c r="D38" s="35">
        <f t="shared" si="1"/>
        <v>7.032693903325897E-2</v>
      </c>
    </row>
    <row r="39" spans="1:5" x14ac:dyDescent="0.3">
      <c r="A39" s="34" t="s">
        <v>52</v>
      </c>
      <c r="B39" s="20">
        <v>15</v>
      </c>
      <c r="C39" s="18">
        <v>4105850</v>
      </c>
      <c r="D39" s="35">
        <f t="shared" si="1"/>
        <v>5.5371714417973943E-2</v>
      </c>
    </row>
    <row r="40" spans="1:5" x14ac:dyDescent="0.3">
      <c r="A40" s="34" t="s">
        <v>50</v>
      </c>
      <c r="B40" s="20">
        <v>18</v>
      </c>
      <c r="C40" s="18">
        <v>3842820</v>
      </c>
      <c r="D40" s="35">
        <f t="shared" si="1"/>
        <v>5.1824477659845984E-2</v>
      </c>
    </row>
    <row r="41" spans="1:5" x14ac:dyDescent="0.3">
      <c r="A41" s="34" t="s">
        <v>56</v>
      </c>
      <c r="B41" s="20">
        <v>35</v>
      </c>
      <c r="C41" s="18">
        <v>3499650</v>
      </c>
      <c r="D41" s="35">
        <f t="shared" si="1"/>
        <v>4.7196468541924941E-2</v>
      </c>
    </row>
    <row r="42" spans="1:5" x14ac:dyDescent="0.3">
      <c r="A42" s="34" t="s">
        <v>54</v>
      </c>
      <c r="B42" s="20">
        <v>25</v>
      </c>
      <c r="C42" s="18">
        <v>2298760</v>
      </c>
      <c r="D42" s="35">
        <f t="shared" si="1"/>
        <v>3.1001201270251418E-2</v>
      </c>
    </row>
    <row r="43" spans="1:5" x14ac:dyDescent="0.3">
      <c r="A43" s="34" t="s">
        <v>53</v>
      </c>
      <c r="B43" s="20">
        <v>22</v>
      </c>
      <c r="C43" s="18">
        <v>1832780</v>
      </c>
      <c r="D43" s="35">
        <f t="shared" si="1"/>
        <v>2.4716969872492733E-2</v>
      </c>
    </row>
    <row r="44" spans="1:5" x14ac:dyDescent="0.3">
      <c r="A44" s="34" t="s">
        <v>51</v>
      </c>
      <c r="B44" s="20">
        <v>22</v>
      </c>
      <c r="C44" s="18">
        <v>1173780</v>
      </c>
      <c r="D44" s="35">
        <f t="shared" si="1"/>
        <v>1.5829660350360937E-2</v>
      </c>
    </row>
    <row r="45" spans="1:5" x14ac:dyDescent="0.3">
      <c r="A45" s="34" t="s">
        <v>12</v>
      </c>
      <c r="B45" s="20">
        <v>2</v>
      </c>
      <c r="C45" s="18">
        <v>429980</v>
      </c>
      <c r="D45" s="35">
        <f t="shared" si="1"/>
        <v>5.7987334572476923E-3</v>
      </c>
    </row>
    <row r="46" spans="1:5" x14ac:dyDescent="0.3">
      <c r="A46" s="34" t="s">
        <v>55</v>
      </c>
      <c r="B46" s="20">
        <v>5</v>
      </c>
      <c r="C46" s="18">
        <v>319950</v>
      </c>
      <c r="D46" s="35">
        <f t="shared" si="1"/>
        <v>4.3148629462914532E-3</v>
      </c>
    </row>
    <row r="47" spans="1:5" x14ac:dyDescent="0.3">
      <c r="A47" s="31" t="s">
        <v>5</v>
      </c>
      <c r="B47" s="31">
        <v>1257</v>
      </c>
      <c r="C47" s="32">
        <v>36943742</v>
      </c>
      <c r="D47" s="33">
        <f>C47/$C$33</f>
        <v>0.26557426299428416</v>
      </c>
    </row>
    <row r="48" spans="1:5" x14ac:dyDescent="0.3">
      <c r="A48" s="34" t="s">
        <v>30</v>
      </c>
      <c r="B48" s="20">
        <v>186</v>
      </c>
      <c r="C48" s="18">
        <v>12181140</v>
      </c>
      <c r="D48" s="35">
        <f>C48/$C$47</f>
        <v>0.32972133683696686</v>
      </c>
    </row>
    <row r="49" spans="1:5" x14ac:dyDescent="0.3">
      <c r="A49" s="34" t="s">
        <v>45</v>
      </c>
      <c r="B49" s="20">
        <v>441</v>
      </c>
      <c r="C49" s="18">
        <v>8371693</v>
      </c>
      <c r="D49" s="35">
        <f t="shared" ref="D49:D63" si="2">C49/$C$47</f>
        <v>0.22660652513218613</v>
      </c>
    </row>
    <row r="50" spans="1:5" x14ac:dyDescent="0.3">
      <c r="A50" s="34" t="s">
        <v>34</v>
      </c>
      <c r="B50" s="20">
        <v>51</v>
      </c>
      <c r="C50" s="18">
        <v>4020490</v>
      </c>
      <c r="D50" s="35">
        <f t="shared" si="2"/>
        <v>0.10882736242582032</v>
      </c>
    </row>
    <row r="51" spans="1:5" x14ac:dyDescent="0.3">
      <c r="A51" s="34" t="s">
        <v>40</v>
      </c>
      <c r="B51" s="20">
        <v>226</v>
      </c>
      <c r="C51" s="18">
        <v>3706740</v>
      </c>
      <c r="D51" s="35">
        <f t="shared" si="2"/>
        <v>0.10033471974766389</v>
      </c>
    </row>
    <row r="52" spans="1:5" x14ac:dyDescent="0.3">
      <c r="A52" s="34" t="s">
        <v>33</v>
      </c>
      <c r="B52" s="20">
        <v>97</v>
      </c>
      <c r="C52" s="18">
        <v>3159533</v>
      </c>
      <c r="D52" s="35">
        <f t="shared" si="2"/>
        <v>8.5522820075995556E-2</v>
      </c>
      <c r="E52" s="6"/>
    </row>
    <row r="53" spans="1:5" x14ac:dyDescent="0.3">
      <c r="A53" s="34" t="s">
        <v>42</v>
      </c>
      <c r="B53" s="20">
        <v>140</v>
      </c>
      <c r="C53" s="18">
        <v>3126803</v>
      </c>
      <c r="D53" s="35">
        <f t="shared" si="2"/>
        <v>8.4636878419083808E-2</v>
      </c>
    </row>
    <row r="54" spans="1:5" x14ac:dyDescent="0.3">
      <c r="A54" s="34" t="s">
        <v>31</v>
      </c>
      <c r="B54" s="20">
        <v>18</v>
      </c>
      <c r="C54" s="18">
        <v>619323</v>
      </c>
      <c r="D54" s="35">
        <f t="shared" si="2"/>
        <v>1.6763948817096006E-2</v>
      </c>
    </row>
    <row r="55" spans="1:5" x14ac:dyDescent="0.3">
      <c r="A55" s="34" t="s">
        <v>32</v>
      </c>
      <c r="B55" s="20">
        <v>7</v>
      </c>
      <c r="C55" s="18">
        <v>505930</v>
      </c>
      <c r="D55" s="35">
        <f t="shared" si="2"/>
        <v>1.3694606247520892E-2</v>
      </c>
    </row>
    <row r="56" spans="1:5" x14ac:dyDescent="0.3">
      <c r="A56" s="34" t="s">
        <v>43</v>
      </c>
      <c r="B56" s="20">
        <v>9</v>
      </c>
      <c r="C56" s="18">
        <v>351910</v>
      </c>
      <c r="D56" s="35">
        <f t="shared" si="2"/>
        <v>9.5255645732909237E-3</v>
      </c>
    </row>
    <row r="57" spans="1:5" x14ac:dyDescent="0.3">
      <c r="A57" s="34" t="s">
        <v>37</v>
      </c>
      <c r="B57" s="20">
        <v>42</v>
      </c>
      <c r="C57" s="18">
        <v>242580</v>
      </c>
      <c r="D57" s="35">
        <f t="shared" si="2"/>
        <v>6.5662000346364477E-3</v>
      </c>
    </row>
    <row r="58" spans="1:5" x14ac:dyDescent="0.3">
      <c r="A58" s="34" t="s">
        <v>44</v>
      </c>
      <c r="B58" s="20">
        <v>18</v>
      </c>
      <c r="C58" s="18">
        <v>144820</v>
      </c>
      <c r="D58" s="35">
        <f t="shared" si="2"/>
        <v>3.9200143829501623E-3</v>
      </c>
    </row>
    <row r="59" spans="1:5" x14ac:dyDescent="0.3">
      <c r="A59" s="34" t="s">
        <v>39</v>
      </c>
      <c r="B59" s="20">
        <v>11</v>
      </c>
      <c r="C59" s="18">
        <v>142890</v>
      </c>
      <c r="D59" s="35">
        <f t="shared" si="2"/>
        <v>3.8677727881490727E-3</v>
      </c>
    </row>
    <row r="60" spans="1:5" x14ac:dyDescent="0.3">
      <c r="A60" s="34" t="s">
        <v>36</v>
      </c>
      <c r="B60" s="20">
        <v>3</v>
      </c>
      <c r="C60" s="18">
        <v>119970</v>
      </c>
      <c r="D60" s="35">
        <f t="shared" si="2"/>
        <v>3.2473700146563389E-3</v>
      </c>
    </row>
    <row r="61" spans="1:5" x14ac:dyDescent="0.3">
      <c r="A61" s="34" t="s">
        <v>41</v>
      </c>
      <c r="B61" s="20">
        <v>3</v>
      </c>
      <c r="C61" s="18">
        <v>119970</v>
      </c>
      <c r="D61" s="35">
        <f t="shared" si="2"/>
        <v>3.2473700146563389E-3</v>
      </c>
    </row>
    <row r="62" spans="1:5" x14ac:dyDescent="0.3">
      <c r="A62" s="34" t="s">
        <v>35</v>
      </c>
      <c r="B62" s="20">
        <v>2</v>
      </c>
      <c r="C62" s="18">
        <v>69980</v>
      </c>
      <c r="D62" s="35">
        <f t="shared" si="2"/>
        <v>1.8942315047566108E-3</v>
      </c>
    </row>
    <row r="63" spans="1:5" x14ac:dyDescent="0.3">
      <c r="A63" s="34" t="s">
        <v>38</v>
      </c>
      <c r="B63" s="20">
        <v>3</v>
      </c>
      <c r="C63" s="18">
        <v>59970</v>
      </c>
      <c r="D63" s="35">
        <f t="shared" si="2"/>
        <v>1.623278984570648E-3</v>
      </c>
    </row>
    <row r="64" spans="1:5" x14ac:dyDescent="0.3">
      <c r="A64" s="31" t="s">
        <v>6</v>
      </c>
      <c r="B64" s="31">
        <v>203</v>
      </c>
      <c r="C64" s="32">
        <v>8294133</v>
      </c>
      <c r="D64" s="33">
        <f>C64/$C$33</f>
        <v>5.9623312079528146E-2</v>
      </c>
    </row>
    <row r="65" spans="1:5" x14ac:dyDescent="0.3">
      <c r="A65" s="34" t="s">
        <v>65</v>
      </c>
      <c r="B65" s="20">
        <v>85</v>
      </c>
      <c r="C65" s="18">
        <v>4249150</v>
      </c>
      <c r="D65" s="35">
        <f>C65/$C$64</f>
        <v>0.51230791693357225</v>
      </c>
    </row>
    <row r="66" spans="1:5" x14ac:dyDescent="0.3">
      <c r="A66" s="34" t="s">
        <v>58</v>
      </c>
      <c r="B66" s="20">
        <v>4</v>
      </c>
      <c r="C66" s="18">
        <v>1109963</v>
      </c>
      <c r="D66" s="35">
        <f t="shared" ref="D66:D73" si="3">C66/$C$64</f>
        <v>0.13382507852237238</v>
      </c>
    </row>
    <row r="67" spans="1:5" x14ac:dyDescent="0.3">
      <c r="A67" s="34" t="s">
        <v>60</v>
      </c>
      <c r="B67" s="20">
        <v>24</v>
      </c>
      <c r="C67" s="18">
        <v>719760</v>
      </c>
      <c r="D67" s="35">
        <f t="shared" si="3"/>
        <v>8.6779413833850988E-2</v>
      </c>
    </row>
    <row r="68" spans="1:5" x14ac:dyDescent="0.3">
      <c r="A68" s="34" t="s">
        <v>57</v>
      </c>
      <c r="B68" s="20">
        <v>15</v>
      </c>
      <c r="C68" s="18">
        <v>629850</v>
      </c>
      <c r="D68" s="35">
        <f t="shared" si="3"/>
        <v>7.5939221133782153E-2</v>
      </c>
      <c r="E68" s="6"/>
    </row>
    <row r="69" spans="1:5" x14ac:dyDescent="0.3">
      <c r="A69" s="34" t="s">
        <v>62</v>
      </c>
      <c r="B69" s="20">
        <v>26</v>
      </c>
      <c r="C69" s="18">
        <v>619740</v>
      </c>
      <c r="D69" s="35">
        <f t="shared" si="3"/>
        <v>7.4720287219893863E-2</v>
      </c>
    </row>
    <row r="70" spans="1:5" x14ac:dyDescent="0.3">
      <c r="A70" s="34" t="s">
        <v>61</v>
      </c>
      <c r="B70" s="20">
        <v>10</v>
      </c>
      <c r="C70" s="18">
        <v>499900</v>
      </c>
      <c r="D70" s="35">
        <f t="shared" si="3"/>
        <v>6.0271519639243785E-2</v>
      </c>
    </row>
    <row r="71" spans="1:5" x14ac:dyDescent="0.3">
      <c r="A71" s="34" t="s">
        <v>64</v>
      </c>
      <c r="B71" s="20">
        <v>36</v>
      </c>
      <c r="C71" s="18">
        <v>255800</v>
      </c>
      <c r="D71" s="35">
        <f t="shared" si="3"/>
        <v>3.0841077662969715E-2</v>
      </c>
    </row>
    <row r="72" spans="1:5" x14ac:dyDescent="0.3">
      <c r="A72" s="34" t="s">
        <v>59</v>
      </c>
      <c r="B72" s="20">
        <v>1</v>
      </c>
      <c r="C72" s="18">
        <v>159990</v>
      </c>
      <c r="D72" s="35">
        <f t="shared" si="3"/>
        <v>1.9289538761917611E-2</v>
      </c>
    </row>
    <row r="73" spans="1:5" x14ac:dyDescent="0.3">
      <c r="A73" s="34" t="s">
        <v>63</v>
      </c>
      <c r="B73" s="20">
        <v>2</v>
      </c>
      <c r="C73" s="18">
        <v>49980</v>
      </c>
      <c r="D73" s="35">
        <f t="shared" si="3"/>
        <v>6.0259462923972886E-3</v>
      </c>
    </row>
    <row r="74" spans="1:5" x14ac:dyDescent="0.3">
      <c r="A74" s="31" t="s">
        <v>7</v>
      </c>
      <c r="B74" s="31">
        <v>245</v>
      </c>
      <c r="C74" s="32">
        <v>8159553</v>
      </c>
      <c r="D74" s="33">
        <f>C74/$C$33</f>
        <v>5.8655868545687669E-2</v>
      </c>
    </row>
    <row r="75" spans="1:5" x14ac:dyDescent="0.3">
      <c r="A75" s="34" t="s">
        <v>18</v>
      </c>
      <c r="B75" s="20">
        <v>126</v>
      </c>
      <c r="C75" s="18">
        <v>3255740</v>
      </c>
      <c r="D75" s="35">
        <f>C75/$C$74</f>
        <v>0.39900960260935864</v>
      </c>
    </row>
    <row r="76" spans="1:5" x14ac:dyDescent="0.3">
      <c r="A76" s="34" t="s">
        <v>21</v>
      </c>
      <c r="B76" s="20">
        <v>42</v>
      </c>
      <c r="C76" s="18">
        <v>1919580</v>
      </c>
      <c r="D76" s="35">
        <f t="shared" ref="D76:D85" si="4">C76/$C$74</f>
        <v>0.2352555342186024</v>
      </c>
    </row>
    <row r="77" spans="1:5" x14ac:dyDescent="0.3">
      <c r="A77" s="34" t="s">
        <v>12</v>
      </c>
      <c r="B77" s="20">
        <v>9</v>
      </c>
      <c r="C77" s="18">
        <v>764910</v>
      </c>
      <c r="D77" s="35">
        <f t="shared" si="4"/>
        <v>9.3744105835209354E-2</v>
      </c>
    </row>
    <row r="78" spans="1:5" x14ac:dyDescent="0.3">
      <c r="A78" s="34" t="s">
        <v>17</v>
      </c>
      <c r="B78" s="20">
        <v>15</v>
      </c>
      <c r="C78" s="18">
        <v>599850</v>
      </c>
      <c r="D78" s="35">
        <f t="shared" si="4"/>
        <v>7.3515056523316899E-2</v>
      </c>
      <c r="E78" s="6"/>
    </row>
    <row r="79" spans="1:5" x14ac:dyDescent="0.3">
      <c r="A79" s="34" t="s">
        <v>23</v>
      </c>
      <c r="B79" s="20">
        <v>12</v>
      </c>
      <c r="C79" s="18">
        <v>549880</v>
      </c>
      <c r="D79" s="35">
        <f t="shared" si="4"/>
        <v>6.7390946538370425E-2</v>
      </c>
    </row>
    <row r="80" spans="1:5" x14ac:dyDescent="0.3">
      <c r="A80" s="34" t="s">
        <v>20</v>
      </c>
      <c r="B80" s="20">
        <v>25</v>
      </c>
      <c r="C80" s="18">
        <v>424750</v>
      </c>
      <c r="D80" s="35">
        <f t="shared" si="4"/>
        <v>5.2055547650710771E-2</v>
      </c>
    </row>
    <row r="81" spans="1:4" x14ac:dyDescent="0.3">
      <c r="A81" s="34" t="s">
        <v>15</v>
      </c>
      <c r="B81" s="20">
        <v>8</v>
      </c>
      <c r="C81" s="18">
        <v>222920</v>
      </c>
      <c r="D81" s="35">
        <f t="shared" si="4"/>
        <v>2.7320124031304165E-2</v>
      </c>
    </row>
    <row r="82" spans="1:4" x14ac:dyDescent="0.3">
      <c r="A82" s="34" t="s">
        <v>19</v>
      </c>
      <c r="B82" s="20">
        <v>1</v>
      </c>
      <c r="C82" s="18">
        <v>219990</v>
      </c>
      <c r="D82" s="35">
        <f t="shared" si="4"/>
        <v>2.6961035733207444E-2</v>
      </c>
    </row>
    <row r="83" spans="1:4" x14ac:dyDescent="0.3">
      <c r="A83" s="34" t="s">
        <v>14</v>
      </c>
      <c r="B83" s="20">
        <v>2</v>
      </c>
      <c r="C83" s="18">
        <v>135983</v>
      </c>
      <c r="D83" s="35">
        <f t="shared" si="4"/>
        <v>1.6665496259415193E-2</v>
      </c>
    </row>
    <row r="84" spans="1:4" x14ac:dyDescent="0.3">
      <c r="A84" s="34" t="s">
        <v>16</v>
      </c>
      <c r="B84" s="20">
        <v>3</v>
      </c>
      <c r="C84" s="18">
        <v>59970</v>
      </c>
      <c r="D84" s="35">
        <f t="shared" si="4"/>
        <v>7.3496673163346076E-3</v>
      </c>
    </row>
    <row r="85" spans="1:4" x14ac:dyDescent="0.3">
      <c r="A85" s="34" t="s">
        <v>22</v>
      </c>
      <c r="B85" s="20">
        <v>2</v>
      </c>
      <c r="C85" s="18">
        <v>5980</v>
      </c>
      <c r="D85" s="35">
        <f t="shared" si="4"/>
        <v>7.3288328417010101E-4</v>
      </c>
    </row>
    <row r="86" spans="1:4" x14ac:dyDescent="0.3">
      <c r="A86" s="31" t="s">
        <v>8</v>
      </c>
      <c r="B86" s="31">
        <v>133</v>
      </c>
      <c r="C86" s="32">
        <v>7738670</v>
      </c>
      <c r="D86" s="33">
        <f>C86/$C$33</f>
        <v>5.5630303551978497E-2</v>
      </c>
    </row>
    <row r="87" spans="1:4" x14ac:dyDescent="0.3">
      <c r="A87" s="34" t="s">
        <v>8</v>
      </c>
      <c r="B87" s="20">
        <v>133</v>
      </c>
      <c r="C87" s="18">
        <v>7738670</v>
      </c>
      <c r="D87" s="35">
        <f>C87/$C$86</f>
        <v>1</v>
      </c>
    </row>
    <row r="88" spans="1:4" x14ac:dyDescent="0.3">
      <c r="A88" s="31" t="s">
        <v>9</v>
      </c>
      <c r="B88" s="31">
        <v>26</v>
      </c>
      <c r="C88" s="32">
        <v>2804740</v>
      </c>
      <c r="D88" s="33">
        <f>C88/$C$33</f>
        <v>2.0162190348519342E-2</v>
      </c>
    </row>
    <row r="89" spans="1:4" x14ac:dyDescent="0.3">
      <c r="A89" s="34" t="s">
        <v>28</v>
      </c>
      <c r="B89" s="20">
        <v>17</v>
      </c>
      <c r="C89" s="18">
        <v>2039830</v>
      </c>
      <c r="D89" s="35">
        <f t="shared" ref="D89:D94" si="5">C89/$C$88</f>
        <v>0.72727953393184397</v>
      </c>
    </row>
    <row r="90" spans="1:4" x14ac:dyDescent="0.3">
      <c r="A90" s="34" t="s">
        <v>25</v>
      </c>
      <c r="B90" s="20">
        <v>3</v>
      </c>
      <c r="C90" s="18">
        <v>279970</v>
      </c>
      <c r="D90" s="35">
        <f t="shared" si="5"/>
        <v>9.9820304199319726E-2</v>
      </c>
    </row>
    <row r="91" spans="1:4" x14ac:dyDescent="0.3">
      <c r="A91" s="34" t="s">
        <v>24</v>
      </c>
      <c r="B91" s="20">
        <v>2</v>
      </c>
      <c r="C91" s="18">
        <v>239980</v>
      </c>
      <c r="D91" s="35">
        <f t="shared" si="5"/>
        <v>8.5562298109628704E-2</v>
      </c>
    </row>
    <row r="92" spans="1:4" x14ac:dyDescent="0.3">
      <c r="A92" s="34" t="s">
        <v>27</v>
      </c>
      <c r="B92" s="20">
        <v>2</v>
      </c>
      <c r="C92" s="18">
        <v>199980</v>
      </c>
      <c r="D92" s="35">
        <f t="shared" si="5"/>
        <v>7.1300726627067032E-2</v>
      </c>
    </row>
    <row r="93" spans="1:4" x14ac:dyDescent="0.3">
      <c r="A93" s="34" t="s">
        <v>29</v>
      </c>
      <c r="B93" s="20">
        <v>1</v>
      </c>
      <c r="C93" s="18">
        <v>29990</v>
      </c>
      <c r="D93" s="35">
        <f t="shared" si="5"/>
        <v>1.0692613219050608E-2</v>
      </c>
    </row>
    <row r="94" spans="1:4" x14ac:dyDescent="0.3">
      <c r="A94" s="34" t="s">
        <v>26</v>
      </c>
      <c r="B94" s="20">
        <v>1</v>
      </c>
      <c r="C94" s="18">
        <v>14990</v>
      </c>
      <c r="D94" s="35">
        <f t="shared" si="5"/>
        <v>5.3445239130899833E-3</v>
      </c>
    </row>
    <row r="95" spans="1:4" x14ac:dyDescent="0.3">
      <c r="A95" s="31" t="s">
        <v>10</v>
      </c>
      <c r="B95" s="31">
        <v>1</v>
      </c>
      <c r="C95" s="32">
        <v>584991</v>
      </c>
      <c r="D95" s="33">
        <f>C95/$C$33</f>
        <v>4.2052738914019399E-3</v>
      </c>
    </row>
    <row r="96" spans="1:4" x14ac:dyDescent="0.3">
      <c r="A96" s="34" t="s">
        <v>66</v>
      </c>
      <c r="B96" s="20">
        <v>1</v>
      </c>
      <c r="C96" s="18">
        <v>584991</v>
      </c>
      <c r="D96" s="35">
        <f>C96/$C$95</f>
        <v>1</v>
      </c>
    </row>
    <row r="97" spans="1:4" x14ac:dyDescent="0.3">
      <c r="A97" s="31" t="s">
        <v>11</v>
      </c>
      <c r="B97" s="31">
        <v>7</v>
      </c>
      <c r="C97" s="32">
        <v>341430</v>
      </c>
      <c r="D97" s="33">
        <f>C97/$C$33</f>
        <v>2.4544081272042891E-3</v>
      </c>
    </row>
    <row r="98" spans="1:4" x14ac:dyDescent="0.3">
      <c r="A98" s="34" t="s">
        <v>11</v>
      </c>
      <c r="B98" s="20">
        <v>7</v>
      </c>
      <c r="C98" s="18">
        <v>341430</v>
      </c>
      <c r="D98" s="35">
        <f>C98/$C$97</f>
        <v>1</v>
      </c>
    </row>
    <row r="99" spans="1:4" x14ac:dyDescent="0.3">
      <c r="A99" s="31" t="s">
        <v>12</v>
      </c>
      <c r="B99" s="31">
        <v>4</v>
      </c>
      <c r="C99" s="32">
        <v>90960</v>
      </c>
      <c r="D99" s="33">
        <f>C99/$C$33</f>
        <v>6.5387623597956289E-4</v>
      </c>
    </row>
    <row r="100" spans="1:4" x14ac:dyDescent="0.3">
      <c r="A100" s="34" t="s">
        <v>20</v>
      </c>
      <c r="B100" s="20">
        <v>3</v>
      </c>
      <c r="C100" s="18">
        <v>50970</v>
      </c>
      <c r="D100" s="35">
        <f>C100/$C$99</f>
        <v>0.56035620052770452</v>
      </c>
    </row>
    <row r="101" spans="1:4" x14ac:dyDescent="0.3">
      <c r="A101" s="34" t="s">
        <v>17</v>
      </c>
      <c r="B101" s="20">
        <v>1</v>
      </c>
      <c r="C101" s="18">
        <v>39990</v>
      </c>
      <c r="D101" s="35">
        <f>C101/$C$99</f>
        <v>0.43964379947229554</v>
      </c>
    </row>
  </sheetData>
  <mergeCells count="1">
    <mergeCell ref="A1:L1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91"/>
  <sheetViews>
    <sheetView showGridLines="0" zoomScaleNormal="100" zoomScaleSheetLayoutView="100" workbookViewId="0">
      <selection activeCell="B29" sqref="B29"/>
    </sheetView>
  </sheetViews>
  <sheetFormatPr baseColWidth="10" defaultRowHeight="14.4" x14ac:dyDescent="0.3"/>
  <cols>
    <col min="1" max="1" width="13.44140625" bestFit="1" customWidth="1"/>
    <col min="2" max="2" width="14.109375" bestFit="1" customWidth="1"/>
    <col min="3" max="3" width="16.5546875" bestFit="1" customWidth="1"/>
    <col min="4" max="4" width="16.109375" bestFit="1" customWidth="1"/>
    <col min="5" max="5" width="32.77734375" bestFit="1" customWidth="1"/>
    <col min="6" max="6" width="15.33203125" bestFit="1" customWidth="1"/>
    <col min="7" max="7" width="25.109375" bestFit="1" customWidth="1"/>
    <col min="8" max="8" width="4.88671875" style="44" bestFit="1" customWidth="1"/>
    <col min="9" max="9" width="9" style="43" bestFit="1" customWidth="1"/>
    <col min="10" max="10" width="11.88671875" style="43" bestFit="1" customWidth="1"/>
    <col min="11" max="11" width="5.21875" style="44" bestFit="1" customWidth="1"/>
    <col min="12" max="12" width="4.33203125" style="36" bestFit="1" customWidth="1"/>
  </cols>
  <sheetData>
    <row r="1" spans="1:13" s="37" customFormat="1" x14ac:dyDescent="0.3">
      <c r="A1" s="45" t="s">
        <v>1512</v>
      </c>
      <c r="B1" s="45" t="s">
        <v>1513</v>
      </c>
      <c r="C1" s="45" t="s">
        <v>1514</v>
      </c>
      <c r="D1" s="45" t="s">
        <v>1515</v>
      </c>
      <c r="E1" s="45" t="s">
        <v>1516</v>
      </c>
      <c r="F1" s="45" t="s">
        <v>1517</v>
      </c>
      <c r="G1" s="45" t="s">
        <v>1518</v>
      </c>
      <c r="H1" s="45" t="s">
        <v>1519</v>
      </c>
      <c r="I1" s="45" t="s">
        <v>1520</v>
      </c>
      <c r="J1" s="45" t="s">
        <v>3</v>
      </c>
      <c r="K1" s="45" t="s">
        <v>1521</v>
      </c>
      <c r="L1" s="45" t="s">
        <v>69</v>
      </c>
    </row>
    <row r="2" spans="1:13" s="2" customFormat="1" ht="13.95" customHeight="1" x14ac:dyDescent="0.2">
      <c r="A2" s="46" t="s">
        <v>3</v>
      </c>
      <c r="B2" s="47"/>
      <c r="C2" s="47"/>
      <c r="D2" s="47"/>
      <c r="E2" s="47"/>
      <c r="F2" s="47"/>
      <c r="G2" s="47"/>
      <c r="H2" s="47">
        <f>SUM(H3:H991)</f>
        <v>2411</v>
      </c>
      <c r="I2" s="48"/>
      <c r="J2" s="48">
        <f>SUM(J3:J991)</f>
        <v>139108894</v>
      </c>
      <c r="K2" s="47">
        <f>SUM(K3:K991)</f>
        <v>17485</v>
      </c>
      <c r="L2" s="47"/>
      <c r="M2" s="49"/>
    </row>
    <row r="3" spans="1:13" s="2" customFormat="1" ht="13.95" customHeight="1" x14ac:dyDescent="0.2">
      <c r="A3" s="50" t="s">
        <v>70</v>
      </c>
      <c r="B3" s="50" t="s">
        <v>4</v>
      </c>
      <c r="C3" s="50" t="s">
        <v>48</v>
      </c>
      <c r="D3" s="50" t="s">
        <v>71</v>
      </c>
      <c r="E3" s="50" t="s">
        <v>72</v>
      </c>
      <c r="F3" s="50" t="s">
        <v>73</v>
      </c>
      <c r="G3" s="50" t="s">
        <v>74</v>
      </c>
      <c r="H3" s="51">
        <v>7</v>
      </c>
      <c r="I3" s="52">
        <f>J3/H3</f>
        <v>171990</v>
      </c>
      <c r="J3" s="52">
        <v>1203930</v>
      </c>
      <c r="K3" s="51">
        <v>2</v>
      </c>
      <c r="L3" s="53">
        <f>K3/H3*30</f>
        <v>8.5714285714285712</v>
      </c>
    </row>
    <row r="4" spans="1:13" s="2" customFormat="1" ht="13.95" customHeight="1" x14ac:dyDescent="0.2">
      <c r="A4" s="50" t="s">
        <v>70</v>
      </c>
      <c r="B4" s="50" t="s">
        <v>4</v>
      </c>
      <c r="C4" s="50" t="s">
        <v>56</v>
      </c>
      <c r="D4" s="50" t="s">
        <v>75</v>
      </c>
      <c r="E4" s="50" t="s">
        <v>76</v>
      </c>
      <c r="F4" s="50" t="s">
        <v>77</v>
      </c>
      <c r="G4" s="50" t="s">
        <v>78</v>
      </c>
      <c r="H4" s="51">
        <v>12</v>
      </c>
      <c r="I4" s="52">
        <f>J4/H4</f>
        <v>99990</v>
      </c>
      <c r="J4" s="52">
        <v>1199880</v>
      </c>
      <c r="K4" s="51">
        <v>2</v>
      </c>
      <c r="L4" s="53">
        <f>K4/H4*30</f>
        <v>5</v>
      </c>
    </row>
    <row r="5" spans="1:13" s="2" customFormat="1" ht="13.95" customHeight="1" x14ac:dyDescent="0.2">
      <c r="A5" s="50" t="s">
        <v>70</v>
      </c>
      <c r="B5" s="50" t="s">
        <v>4</v>
      </c>
      <c r="C5" s="50" t="s">
        <v>47</v>
      </c>
      <c r="D5" s="50" t="s">
        <v>79</v>
      </c>
      <c r="E5" s="50" t="s">
        <v>80</v>
      </c>
      <c r="F5" s="50" t="s">
        <v>81</v>
      </c>
      <c r="G5" s="50" t="s">
        <v>82</v>
      </c>
      <c r="H5" s="51">
        <v>3</v>
      </c>
      <c r="I5" s="52">
        <f>J5/H5</f>
        <v>386657</v>
      </c>
      <c r="J5" s="52">
        <v>1159971</v>
      </c>
      <c r="K5" s="51">
        <v>0</v>
      </c>
      <c r="L5" s="53">
        <f>K5/H5*30</f>
        <v>0</v>
      </c>
    </row>
    <row r="6" spans="1:13" s="2" customFormat="1" ht="13.95" customHeight="1" x14ac:dyDescent="0.2">
      <c r="A6" s="50" t="s">
        <v>70</v>
      </c>
      <c r="B6" s="50" t="s">
        <v>4</v>
      </c>
      <c r="C6" s="50" t="s">
        <v>48</v>
      </c>
      <c r="D6" s="50" t="s">
        <v>83</v>
      </c>
      <c r="E6" s="50" t="s">
        <v>72</v>
      </c>
      <c r="F6" s="50" t="s">
        <v>73</v>
      </c>
      <c r="G6" s="50" t="s">
        <v>84</v>
      </c>
      <c r="H6" s="51">
        <v>6</v>
      </c>
      <c r="I6" s="52">
        <f>J6/H6</f>
        <v>171990</v>
      </c>
      <c r="J6" s="52">
        <v>1031940</v>
      </c>
      <c r="K6" s="51">
        <v>3</v>
      </c>
      <c r="L6" s="53">
        <f>K6/H6*30</f>
        <v>15</v>
      </c>
    </row>
    <row r="7" spans="1:13" s="2" customFormat="1" ht="13.95" customHeight="1" x14ac:dyDescent="0.2">
      <c r="A7" s="50" t="s">
        <v>70</v>
      </c>
      <c r="B7" s="50" t="s">
        <v>4</v>
      </c>
      <c r="C7" s="50" t="s">
        <v>48</v>
      </c>
      <c r="D7" s="50" t="s">
        <v>85</v>
      </c>
      <c r="E7" s="50" t="s">
        <v>72</v>
      </c>
      <c r="F7" s="50" t="s">
        <v>73</v>
      </c>
      <c r="G7" s="50" t="s">
        <v>86</v>
      </c>
      <c r="H7" s="51">
        <v>6</v>
      </c>
      <c r="I7" s="52">
        <f>J7/H7</f>
        <v>157657.5</v>
      </c>
      <c r="J7" s="52">
        <v>945945</v>
      </c>
      <c r="K7" s="51">
        <v>8</v>
      </c>
      <c r="L7" s="53">
        <f>K7/H7*30</f>
        <v>40</v>
      </c>
    </row>
    <row r="8" spans="1:13" s="2" customFormat="1" ht="13.95" customHeight="1" x14ac:dyDescent="0.2">
      <c r="A8" s="50" t="s">
        <v>70</v>
      </c>
      <c r="B8" s="50" t="s">
        <v>4</v>
      </c>
      <c r="C8" s="50" t="s">
        <v>48</v>
      </c>
      <c r="D8" s="50" t="s">
        <v>87</v>
      </c>
      <c r="E8" s="50" t="s">
        <v>72</v>
      </c>
      <c r="F8" s="50" t="s">
        <v>73</v>
      </c>
      <c r="G8" s="50" t="s">
        <v>88</v>
      </c>
      <c r="H8" s="51">
        <v>5</v>
      </c>
      <c r="I8" s="52">
        <f>J8/H8</f>
        <v>171990</v>
      </c>
      <c r="J8" s="52">
        <v>859950</v>
      </c>
      <c r="K8" s="51">
        <v>8</v>
      </c>
      <c r="L8" s="53">
        <f>K8/H8*30</f>
        <v>48</v>
      </c>
    </row>
    <row r="9" spans="1:13" s="2" customFormat="1" ht="13.95" customHeight="1" x14ac:dyDescent="0.2">
      <c r="A9" s="50" t="s">
        <v>70</v>
      </c>
      <c r="B9" s="50" t="s">
        <v>4</v>
      </c>
      <c r="C9" s="50" t="s">
        <v>48</v>
      </c>
      <c r="D9" s="50" t="s">
        <v>89</v>
      </c>
      <c r="E9" s="50" t="s">
        <v>72</v>
      </c>
      <c r="F9" s="50" t="s">
        <v>73</v>
      </c>
      <c r="G9" s="50" t="s">
        <v>90</v>
      </c>
      <c r="H9" s="51">
        <v>5</v>
      </c>
      <c r="I9" s="52">
        <f>J9/H9</f>
        <v>171990</v>
      </c>
      <c r="J9" s="52">
        <v>859950</v>
      </c>
      <c r="K9" s="51">
        <v>6</v>
      </c>
      <c r="L9" s="53">
        <f>K9/H9*30</f>
        <v>36</v>
      </c>
    </row>
    <row r="10" spans="1:13" s="2" customFormat="1" ht="13.95" customHeight="1" x14ac:dyDescent="0.2">
      <c r="A10" s="50" t="s">
        <v>70</v>
      </c>
      <c r="B10" s="50" t="s">
        <v>5</v>
      </c>
      <c r="C10" s="50" t="s">
        <v>30</v>
      </c>
      <c r="D10" s="50" t="s">
        <v>91</v>
      </c>
      <c r="E10" s="50" t="s">
        <v>92</v>
      </c>
      <c r="F10" s="50" t="s">
        <v>73</v>
      </c>
      <c r="G10" s="50" t="s">
        <v>86</v>
      </c>
      <c r="H10" s="51">
        <v>19</v>
      </c>
      <c r="I10" s="52">
        <f>J10/H10</f>
        <v>44990</v>
      </c>
      <c r="J10" s="52">
        <v>854810</v>
      </c>
      <c r="K10" s="51">
        <v>51</v>
      </c>
      <c r="L10" s="53">
        <f>K10/H10*30</f>
        <v>80.526315789473685</v>
      </c>
    </row>
    <row r="11" spans="1:13" s="2" customFormat="1" ht="13.95" customHeight="1" x14ac:dyDescent="0.2">
      <c r="A11" s="50" t="s">
        <v>70</v>
      </c>
      <c r="B11" s="50" t="s">
        <v>4</v>
      </c>
      <c r="C11" s="50" t="s">
        <v>48</v>
      </c>
      <c r="D11" s="50" t="s">
        <v>93</v>
      </c>
      <c r="E11" s="50" t="s">
        <v>94</v>
      </c>
      <c r="F11" s="50" t="s">
        <v>73</v>
      </c>
      <c r="G11" s="50" t="s">
        <v>90</v>
      </c>
      <c r="H11" s="51">
        <v>5</v>
      </c>
      <c r="I11" s="52">
        <f>J11/H11</f>
        <v>165990</v>
      </c>
      <c r="J11" s="52">
        <v>829950</v>
      </c>
      <c r="K11" s="51">
        <v>1</v>
      </c>
      <c r="L11" s="53">
        <f>K11/H11*30</f>
        <v>6</v>
      </c>
    </row>
    <row r="12" spans="1:13" s="2" customFormat="1" ht="13.95" customHeight="1" x14ac:dyDescent="0.2">
      <c r="A12" s="50" t="s">
        <v>70</v>
      </c>
      <c r="B12" s="50" t="s">
        <v>4</v>
      </c>
      <c r="C12" s="50" t="s">
        <v>48</v>
      </c>
      <c r="D12" s="50" t="s">
        <v>95</v>
      </c>
      <c r="E12" s="50" t="s">
        <v>96</v>
      </c>
      <c r="F12" s="50" t="s">
        <v>73</v>
      </c>
      <c r="G12" s="50" t="s">
        <v>97</v>
      </c>
      <c r="H12" s="51">
        <v>7</v>
      </c>
      <c r="I12" s="52">
        <f>J12/H12</f>
        <v>114990</v>
      </c>
      <c r="J12" s="52">
        <v>804930</v>
      </c>
      <c r="K12" s="51">
        <v>11</v>
      </c>
      <c r="L12" s="53">
        <f>K12/H12*30</f>
        <v>47.142857142857139</v>
      </c>
    </row>
    <row r="13" spans="1:13" s="2" customFormat="1" ht="13.95" customHeight="1" x14ac:dyDescent="0.2">
      <c r="A13" s="50" t="s">
        <v>70</v>
      </c>
      <c r="B13" s="50" t="s">
        <v>4</v>
      </c>
      <c r="C13" s="50" t="s">
        <v>47</v>
      </c>
      <c r="D13" s="50" t="s">
        <v>98</v>
      </c>
      <c r="E13" s="50" t="s">
        <v>80</v>
      </c>
      <c r="F13" s="50" t="s">
        <v>81</v>
      </c>
      <c r="G13" s="50" t="s">
        <v>99</v>
      </c>
      <c r="H13" s="51">
        <v>2</v>
      </c>
      <c r="I13" s="52">
        <f>J13/H13</f>
        <v>399990</v>
      </c>
      <c r="J13" s="52">
        <v>799980</v>
      </c>
      <c r="K13" s="51">
        <v>2</v>
      </c>
      <c r="L13" s="53">
        <f>K13/H13*30</f>
        <v>30</v>
      </c>
    </row>
    <row r="14" spans="1:13" s="2" customFormat="1" ht="13.95" customHeight="1" x14ac:dyDescent="0.2">
      <c r="A14" s="50" t="s">
        <v>70</v>
      </c>
      <c r="B14" s="50" t="s">
        <v>4</v>
      </c>
      <c r="C14" s="50" t="s">
        <v>47</v>
      </c>
      <c r="D14" s="50" t="s">
        <v>100</v>
      </c>
      <c r="E14" s="50" t="s">
        <v>80</v>
      </c>
      <c r="F14" s="50" t="s">
        <v>81</v>
      </c>
      <c r="G14" s="50" t="s">
        <v>101</v>
      </c>
      <c r="H14" s="51">
        <v>2</v>
      </c>
      <c r="I14" s="52">
        <f>J14/H14</f>
        <v>399990</v>
      </c>
      <c r="J14" s="52">
        <v>799980</v>
      </c>
      <c r="K14" s="51">
        <v>8</v>
      </c>
      <c r="L14" s="53">
        <f>K14/H14*30</f>
        <v>120</v>
      </c>
    </row>
    <row r="15" spans="1:13" s="2" customFormat="1" ht="13.95" customHeight="1" x14ac:dyDescent="0.2">
      <c r="A15" s="50" t="s">
        <v>70</v>
      </c>
      <c r="B15" s="50" t="s">
        <v>4</v>
      </c>
      <c r="C15" s="50" t="s">
        <v>56</v>
      </c>
      <c r="D15" s="50" t="s">
        <v>102</v>
      </c>
      <c r="E15" s="50" t="s">
        <v>76</v>
      </c>
      <c r="F15" s="50" t="s">
        <v>77</v>
      </c>
      <c r="G15" s="50" t="s">
        <v>103</v>
      </c>
      <c r="H15" s="51">
        <v>8</v>
      </c>
      <c r="I15" s="52">
        <f>J15/H15</f>
        <v>99990</v>
      </c>
      <c r="J15" s="52">
        <v>799920</v>
      </c>
      <c r="K15" s="51">
        <v>0</v>
      </c>
      <c r="L15" s="53">
        <f>K15/H15*30</f>
        <v>0</v>
      </c>
    </row>
    <row r="16" spans="1:13" s="2" customFormat="1" ht="13.95" customHeight="1" x14ac:dyDescent="0.2">
      <c r="A16" s="50" t="s">
        <v>70</v>
      </c>
      <c r="B16" s="50" t="s">
        <v>4</v>
      </c>
      <c r="C16" s="50" t="s">
        <v>46</v>
      </c>
      <c r="D16" s="50" t="s">
        <v>104</v>
      </c>
      <c r="E16" s="50" t="s">
        <v>105</v>
      </c>
      <c r="F16" s="50" t="s">
        <v>106</v>
      </c>
      <c r="G16" s="50" t="s">
        <v>88</v>
      </c>
      <c r="H16" s="51">
        <v>4</v>
      </c>
      <c r="I16" s="52">
        <f>J16/H16</f>
        <v>189990</v>
      </c>
      <c r="J16" s="52">
        <v>759960</v>
      </c>
      <c r="K16" s="51">
        <v>3</v>
      </c>
      <c r="L16" s="53">
        <f>K16/H16*30</f>
        <v>22.5</v>
      </c>
    </row>
    <row r="17" spans="1:12" s="2" customFormat="1" ht="13.95" customHeight="1" x14ac:dyDescent="0.2">
      <c r="A17" s="50" t="s">
        <v>70</v>
      </c>
      <c r="B17" s="50" t="s">
        <v>4</v>
      </c>
      <c r="C17" s="50" t="s">
        <v>50</v>
      </c>
      <c r="D17" s="50" t="s">
        <v>107</v>
      </c>
      <c r="E17" s="50" t="s">
        <v>108</v>
      </c>
      <c r="F17" s="50" t="s">
        <v>73</v>
      </c>
      <c r="G17" s="50" t="s">
        <v>90</v>
      </c>
      <c r="H17" s="51">
        <v>4</v>
      </c>
      <c r="I17" s="52">
        <f>J17/H17</f>
        <v>189990</v>
      </c>
      <c r="J17" s="52">
        <v>759960</v>
      </c>
      <c r="K17" s="51">
        <v>6</v>
      </c>
      <c r="L17" s="53">
        <f>K17/H17*30</f>
        <v>45</v>
      </c>
    </row>
    <row r="18" spans="1:12" s="2" customFormat="1" ht="13.95" customHeight="1" x14ac:dyDescent="0.2">
      <c r="A18" s="50" t="s">
        <v>70</v>
      </c>
      <c r="B18" s="50" t="s">
        <v>4</v>
      </c>
      <c r="C18" s="50" t="s">
        <v>48</v>
      </c>
      <c r="D18" s="50" t="s">
        <v>109</v>
      </c>
      <c r="E18" s="50" t="s">
        <v>110</v>
      </c>
      <c r="F18" s="50" t="s">
        <v>106</v>
      </c>
      <c r="G18" s="50" t="s">
        <v>97</v>
      </c>
      <c r="H18" s="51">
        <v>8</v>
      </c>
      <c r="I18" s="52">
        <f>J18/H18</f>
        <v>89990</v>
      </c>
      <c r="J18" s="52">
        <v>719920</v>
      </c>
      <c r="K18" s="51">
        <v>14</v>
      </c>
      <c r="L18" s="53">
        <f>K18/H18*30</f>
        <v>52.5</v>
      </c>
    </row>
    <row r="19" spans="1:12" s="2" customFormat="1" ht="13.95" customHeight="1" x14ac:dyDescent="0.2">
      <c r="A19" s="50" t="s">
        <v>70</v>
      </c>
      <c r="B19" s="50" t="s">
        <v>4</v>
      </c>
      <c r="C19" s="50" t="s">
        <v>48</v>
      </c>
      <c r="D19" s="50" t="s">
        <v>111</v>
      </c>
      <c r="E19" s="50" t="s">
        <v>110</v>
      </c>
      <c r="F19" s="50" t="s">
        <v>106</v>
      </c>
      <c r="G19" s="50" t="s">
        <v>112</v>
      </c>
      <c r="H19" s="51">
        <v>8</v>
      </c>
      <c r="I19" s="52">
        <f>J19/H19</f>
        <v>89990</v>
      </c>
      <c r="J19" s="52">
        <v>719920</v>
      </c>
      <c r="K19" s="51">
        <v>10</v>
      </c>
      <c r="L19" s="53">
        <f>K19/H19*30</f>
        <v>37.5</v>
      </c>
    </row>
    <row r="20" spans="1:12" s="2" customFormat="1" ht="13.95" customHeight="1" x14ac:dyDescent="0.2">
      <c r="A20" s="50" t="s">
        <v>70</v>
      </c>
      <c r="B20" s="50" t="s">
        <v>4</v>
      </c>
      <c r="C20" s="50" t="s">
        <v>48</v>
      </c>
      <c r="D20" s="50" t="s">
        <v>113</v>
      </c>
      <c r="E20" s="50" t="s">
        <v>72</v>
      </c>
      <c r="F20" s="50" t="s">
        <v>73</v>
      </c>
      <c r="G20" s="50" t="s">
        <v>97</v>
      </c>
      <c r="H20" s="51">
        <v>4</v>
      </c>
      <c r="I20" s="52">
        <f>J20/H20</f>
        <v>171990</v>
      </c>
      <c r="J20" s="52">
        <v>687960</v>
      </c>
      <c r="K20" s="51">
        <v>8</v>
      </c>
      <c r="L20" s="53">
        <f>K20/H20*30</f>
        <v>60</v>
      </c>
    </row>
    <row r="21" spans="1:12" s="2" customFormat="1" ht="13.95" customHeight="1" x14ac:dyDescent="0.2">
      <c r="A21" s="50" t="s">
        <v>70</v>
      </c>
      <c r="B21" s="50" t="s">
        <v>4</v>
      </c>
      <c r="C21" s="50" t="s">
        <v>48</v>
      </c>
      <c r="D21" s="50" t="s">
        <v>114</v>
      </c>
      <c r="E21" s="50" t="s">
        <v>94</v>
      </c>
      <c r="F21" s="50" t="s">
        <v>73</v>
      </c>
      <c r="G21" s="50" t="s">
        <v>86</v>
      </c>
      <c r="H21" s="51">
        <v>4</v>
      </c>
      <c r="I21" s="52">
        <f>J21/H21</f>
        <v>165990</v>
      </c>
      <c r="J21" s="52">
        <v>663960</v>
      </c>
      <c r="K21" s="51">
        <v>10</v>
      </c>
      <c r="L21" s="53">
        <f>K21/H21*30</f>
        <v>75</v>
      </c>
    </row>
    <row r="22" spans="1:12" s="2" customFormat="1" ht="13.95" customHeight="1" x14ac:dyDescent="0.2">
      <c r="A22" s="50" t="s">
        <v>70</v>
      </c>
      <c r="B22" s="50" t="s">
        <v>4</v>
      </c>
      <c r="C22" s="50" t="s">
        <v>48</v>
      </c>
      <c r="D22" s="50" t="s">
        <v>115</v>
      </c>
      <c r="E22" s="50" t="s">
        <v>116</v>
      </c>
      <c r="F22" s="50" t="s">
        <v>106</v>
      </c>
      <c r="G22" s="50" t="s">
        <v>97</v>
      </c>
      <c r="H22" s="51">
        <v>3</v>
      </c>
      <c r="I22" s="52">
        <f>J22/H22</f>
        <v>210990</v>
      </c>
      <c r="J22" s="52">
        <v>632970</v>
      </c>
      <c r="K22" s="51">
        <v>12</v>
      </c>
      <c r="L22" s="53">
        <f>K22/H22*30</f>
        <v>120</v>
      </c>
    </row>
    <row r="23" spans="1:12" s="2" customFormat="1" ht="13.95" customHeight="1" x14ac:dyDescent="0.2">
      <c r="A23" s="50" t="s">
        <v>70</v>
      </c>
      <c r="B23" s="50" t="s">
        <v>4</v>
      </c>
      <c r="C23" s="50" t="s">
        <v>48</v>
      </c>
      <c r="D23" s="50" t="s">
        <v>117</v>
      </c>
      <c r="E23" s="50" t="s">
        <v>118</v>
      </c>
      <c r="F23" s="50" t="s">
        <v>106</v>
      </c>
      <c r="G23" s="50" t="s">
        <v>88</v>
      </c>
      <c r="H23" s="51">
        <v>5</v>
      </c>
      <c r="I23" s="52">
        <f>J23/H23</f>
        <v>119990</v>
      </c>
      <c r="J23" s="52">
        <v>599950</v>
      </c>
      <c r="K23" s="51">
        <v>4</v>
      </c>
      <c r="L23" s="53">
        <f>K23/H23*30</f>
        <v>24</v>
      </c>
    </row>
    <row r="24" spans="1:12" s="2" customFormat="1" ht="13.95" customHeight="1" x14ac:dyDescent="0.2">
      <c r="A24" s="50" t="s">
        <v>70</v>
      </c>
      <c r="B24" s="50" t="s">
        <v>5</v>
      </c>
      <c r="C24" s="50" t="s">
        <v>33</v>
      </c>
      <c r="D24" s="50" t="s">
        <v>119</v>
      </c>
      <c r="E24" s="50" t="s">
        <v>120</v>
      </c>
      <c r="F24" s="50" t="s">
        <v>73</v>
      </c>
      <c r="G24" s="50" t="s">
        <v>74</v>
      </c>
      <c r="H24" s="51">
        <v>9</v>
      </c>
      <c r="I24" s="52">
        <f>J24/H24</f>
        <v>65990</v>
      </c>
      <c r="J24" s="52">
        <v>593910</v>
      </c>
      <c r="K24" s="51">
        <v>2</v>
      </c>
      <c r="L24" s="53">
        <f>K24/H24*30</f>
        <v>6.6666666666666661</v>
      </c>
    </row>
    <row r="25" spans="1:12" s="2" customFormat="1" ht="13.95" customHeight="1" x14ac:dyDescent="0.2">
      <c r="A25" s="50" t="s">
        <v>121</v>
      </c>
      <c r="B25" s="50" t="s">
        <v>10</v>
      </c>
      <c r="C25" s="50" t="s">
        <v>66</v>
      </c>
      <c r="D25" s="50" t="s">
        <v>122</v>
      </c>
      <c r="E25" s="50" t="s">
        <v>123</v>
      </c>
      <c r="F25" s="50" t="s">
        <v>106</v>
      </c>
      <c r="G25" s="50" t="s">
        <v>84</v>
      </c>
      <c r="H25" s="51">
        <v>1</v>
      </c>
      <c r="I25" s="52">
        <f>J25/H25</f>
        <v>584991</v>
      </c>
      <c r="J25" s="52">
        <v>584991</v>
      </c>
      <c r="K25" s="51">
        <v>1</v>
      </c>
      <c r="L25" s="53">
        <f>K25/H25*30</f>
        <v>30</v>
      </c>
    </row>
    <row r="26" spans="1:12" s="2" customFormat="1" ht="13.95" customHeight="1" x14ac:dyDescent="0.2">
      <c r="A26" s="50" t="s">
        <v>70</v>
      </c>
      <c r="B26" s="50" t="s">
        <v>4</v>
      </c>
      <c r="C26" s="50" t="s">
        <v>50</v>
      </c>
      <c r="D26" s="50" t="s">
        <v>124</v>
      </c>
      <c r="E26" s="50" t="s">
        <v>125</v>
      </c>
      <c r="F26" s="50" t="s">
        <v>73</v>
      </c>
      <c r="G26" s="50" t="s">
        <v>84</v>
      </c>
      <c r="H26" s="51">
        <v>3</v>
      </c>
      <c r="I26" s="52">
        <f>J26/H26</f>
        <v>189990</v>
      </c>
      <c r="J26" s="52">
        <v>569970</v>
      </c>
      <c r="K26" s="51">
        <v>4</v>
      </c>
      <c r="L26" s="53">
        <f>K26/H26*30</f>
        <v>40</v>
      </c>
    </row>
    <row r="27" spans="1:12" s="2" customFormat="1" ht="13.95" customHeight="1" x14ac:dyDescent="0.2">
      <c r="A27" s="50" t="s">
        <v>70</v>
      </c>
      <c r="B27" s="50" t="s">
        <v>4</v>
      </c>
      <c r="C27" s="50" t="s">
        <v>46</v>
      </c>
      <c r="D27" s="50" t="s">
        <v>126</v>
      </c>
      <c r="E27" s="50" t="s">
        <v>127</v>
      </c>
      <c r="F27" s="50" t="s">
        <v>128</v>
      </c>
      <c r="G27" s="50" t="s">
        <v>129</v>
      </c>
      <c r="H27" s="51">
        <v>6</v>
      </c>
      <c r="I27" s="52">
        <f>J27/H27</f>
        <v>94990</v>
      </c>
      <c r="J27" s="52">
        <v>569940</v>
      </c>
      <c r="K27" s="51">
        <v>4</v>
      </c>
      <c r="L27" s="53">
        <f>K27/H27*30</f>
        <v>20</v>
      </c>
    </row>
    <row r="28" spans="1:12" s="2" customFormat="1" ht="13.95" customHeight="1" x14ac:dyDescent="0.2">
      <c r="A28" s="50" t="s">
        <v>70</v>
      </c>
      <c r="B28" s="50" t="s">
        <v>4</v>
      </c>
      <c r="C28" s="50" t="s">
        <v>46</v>
      </c>
      <c r="D28" s="50" t="s">
        <v>130</v>
      </c>
      <c r="E28" s="50" t="s">
        <v>127</v>
      </c>
      <c r="F28" s="50" t="s">
        <v>106</v>
      </c>
      <c r="G28" s="50" t="s">
        <v>86</v>
      </c>
      <c r="H28" s="51">
        <v>6</v>
      </c>
      <c r="I28" s="52">
        <f>J28/H28</f>
        <v>94990</v>
      </c>
      <c r="J28" s="52">
        <v>569940</v>
      </c>
      <c r="K28" s="51">
        <v>12</v>
      </c>
      <c r="L28" s="53">
        <f>K28/H28*30</f>
        <v>60</v>
      </c>
    </row>
    <row r="29" spans="1:12" s="2" customFormat="1" ht="13.95" customHeight="1" x14ac:dyDescent="0.2">
      <c r="A29" s="50" t="s">
        <v>70</v>
      </c>
      <c r="B29" s="50" t="s">
        <v>4</v>
      </c>
      <c r="C29" s="50" t="s">
        <v>49</v>
      </c>
      <c r="D29" s="50" t="s">
        <v>131</v>
      </c>
      <c r="E29" s="50" t="s">
        <v>132</v>
      </c>
      <c r="F29" s="50" t="s">
        <v>73</v>
      </c>
      <c r="G29" s="50" t="s">
        <v>90</v>
      </c>
      <c r="H29" s="51">
        <v>2</v>
      </c>
      <c r="I29" s="52">
        <f>J29/H29</f>
        <v>279990</v>
      </c>
      <c r="J29" s="52">
        <v>559980</v>
      </c>
      <c r="K29" s="51">
        <v>4</v>
      </c>
      <c r="L29" s="53">
        <f>K29/H29*30</f>
        <v>60</v>
      </c>
    </row>
    <row r="30" spans="1:12" s="2" customFormat="1" ht="13.95" customHeight="1" x14ac:dyDescent="0.2">
      <c r="A30" s="50" t="s">
        <v>70</v>
      </c>
      <c r="B30" s="50" t="s">
        <v>4</v>
      </c>
      <c r="C30" s="50" t="s">
        <v>49</v>
      </c>
      <c r="D30" s="50" t="s">
        <v>133</v>
      </c>
      <c r="E30" s="50" t="s">
        <v>132</v>
      </c>
      <c r="F30" s="50" t="s">
        <v>73</v>
      </c>
      <c r="G30" s="50" t="s">
        <v>84</v>
      </c>
      <c r="H30" s="51">
        <v>2</v>
      </c>
      <c r="I30" s="52">
        <f>J30/H30</f>
        <v>279990</v>
      </c>
      <c r="J30" s="52">
        <v>559980</v>
      </c>
      <c r="K30" s="51">
        <v>12</v>
      </c>
      <c r="L30" s="53">
        <f>K30/H30*30</f>
        <v>180</v>
      </c>
    </row>
    <row r="31" spans="1:12" s="2" customFormat="1" ht="13.95" customHeight="1" x14ac:dyDescent="0.2">
      <c r="A31" s="50" t="s">
        <v>70</v>
      </c>
      <c r="B31" s="50" t="s">
        <v>4</v>
      </c>
      <c r="C31" s="50" t="s">
        <v>48</v>
      </c>
      <c r="D31" s="50" t="s">
        <v>134</v>
      </c>
      <c r="E31" s="50" t="s">
        <v>110</v>
      </c>
      <c r="F31" s="50" t="s">
        <v>106</v>
      </c>
      <c r="G31" s="50" t="s">
        <v>86</v>
      </c>
      <c r="H31" s="51">
        <v>6</v>
      </c>
      <c r="I31" s="52">
        <f>J31/H31</f>
        <v>89990</v>
      </c>
      <c r="J31" s="52">
        <v>539940</v>
      </c>
      <c r="K31" s="51">
        <v>9</v>
      </c>
      <c r="L31" s="53">
        <f>K31/H31*30</f>
        <v>45</v>
      </c>
    </row>
    <row r="32" spans="1:12" s="2" customFormat="1" ht="13.95" customHeight="1" x14ac:dyDescent="0.2">
      <c r="A32" s="50" t="s">
        <v>70</v>
      </c>
      <c r="B32" s="50" t="s">
        <v>4</v>
      </c>
      <c r="C32" s="50" t="s">
        <v>48</v>
      </c>
      <c r="D32" s="50" t="s">
        <v>135</v>
      </c>
      <c r="E32" s="50" t="s">
        <v>136</v>
      </c>
      <c r="F32" s="50" t="s">
        <v>137</v>
      </c>
      <c r="G32" s="50" t="s">
        <v>88</v>
      </c>
      <c r="H32" s="51">
        <v>3</v>
      </c>
      <c r="I32" s="52">
        <f>J32/H32</f>
        <v>167990</v>
      </c>
      <c r="J32" s="52">
        <v>503970</v>
      </c>
      <c r="K32" s="51">
        <v>10</v>
      </c>
      <c r="L32" s="53">
        <f>K32/H32*30</f>
        <v>100</v>
      </c>
    </row>
    <row r="33" spans="1:12" s="2" customFormat="1" ht="13.95" customHeight="1" x14ac:dyDescent="0.2">
      <c r="A33" s="50" t="s">
        <v>70</v>
      </c>
      <c r="B33" s="50" t="s">
        <v>4</v>
      </c>
      <c r="C33" s="50" t="s">
        <v>46</v>
      </c>
      <c r="D33" s="50" t="s">
        <v>138</v>
      </c>
      <c r="E33" s="50" t="s">
        <v>139</v>
      </c>
      <c r="F33" s="50" t="s">
        <v>106</v>
      </c>
      <c r="G33" s="50" t="s">
        <v>140</v>
      </c>
      <c r="H33" s="51">
        <v>4</v>
      </c>
      <c r="I33" s="52">
        <f>J33/H33</f>
        <v>124990</v>
      </c>
      <c r="J33" s="52">
        <v>499960</v>
      </c>
      <c r="K33" s="51">
        <v>1</v>
      </c>
      <c r="L33" s="53">
        <f>K33/H33*30</f>
        <v>7.5</v>
      </c>
    </row>
    <row r="34" spans="1:12" s="2" customFormat="1" ht="13.95" customHeight="1" x14ac:dyDescent="0.2">
      <c r="A34" s="50" t="s">
        <v>70</v>
      </c>
      <c r="B34" s="50" t="s">
        <v>4</v>
      </c>
      <c r="C34" s="50" t="s">
        <v>46</v>
      </c>
      <c r="D34" s="50" t="s">
        <v>141</v>
      </c>
      <c r="E34" s="50" t="s">
        <v>139</v>
      </c>
      <c r="F34" s="50" t="s">
        <v>106</v>
      </c>
      <c r="G34" s="50" t="s">
        <v>74</v>
      </c>
      <c r="H34" s="51">
        <v>4</v>
      </c>
      <c r="I34" s="52">
        <f>J34/H34</f>
        <v>124990</v>
      </c>
      <c r="J34" s="52">
        <v>499960</v>
      </c>
      <c r="K34" s="51">
        <v>7</v>
      </c>
      <c r="L34" s="53">
        <f>K34/H34*30</f>
        <v>52.5</v>
      </c>
    </row>
    <row r="35" spans="1:12" s="2" customFormat="1" ht="13.95" customHeight="1" x14ac:dyDescent="0.2">
      <c r="A35" s="50" t="s">
        <v>70</v>
      </c>
      <c r="B35" s="50" t="s">
        <v>4</v>
      </c>
      <c r="C35" s="50" t="s">
        <v>56</v>
      </c>
      <c r="D35" s="50" t="s">
        <v>142</v>
      </c>
      <c r="E35" s="50" t="s">
        <v>76</v>
      </c>
      <c r="F35" s="50" t="s">
        <v>77</v>
      </c>
      <c r="G35" s="50" t="s">
        <v>143</v>
      </c>
      <c r="H35" s="51">
        <v>5</v>
      </c>
      <c r="I35" s="52">
        <f>J35/H35</f>
        <v>99990</v>
      </c>
      <c r="J35" s="52">
        <v>499950</v>
      </c>
      <c r="K35" s="51">
        <v>2</v>
      </c>
      <c r="L35" s="53">
        <f>K35/H35*30</f>
        <v>12</v>
      </c>
    </row>
    <row r="36" spans="1:12" s="2" customFormat="1" ht="13.95" customHeight="1" x14ac:dyDescent="0.2">
      <c r="A36" s="50" t="s">
        <v>70</v>
      </c>
      <c r="B36" s="50" t="s">
        <v>4</v>
      </c>
      <c r="C36" s="50" t="s">
        <v>48</v>
      </c>
      <c r="D36" s="50" t="s">
        <v>144</v>
      </c>
      <c r="E36" s="50" t="s">
        <v>94</v>
      </c>
      <c r="F36" s="50" t="s">
        <v>73</v>
      </c>
      <c r="G36" s="50" t="s">
        <v>88</v>
      </c>
      <c r="H36" s="51">
        <v>3</v>
      </c>
      <c r="I36" s="52">
        <f>J36/H36</f>
        <v>165990</v>
      </c>
      <c r="J36" s="52">
        <v>497970</v>
      </c>
      <c r="K36" s="51">
        <v>8</v>
      </c>
      <c r="L36" s="53">
        <f>K36/H36*30</f>
        <v>80</v>
      </c>
    </row>
    <row r="37" spans="1:12" s="2" customFormat="1" ht="13.95" customHeight="1" x14ac:dyDescent="0.2">
      <c r="A37" s="50" t="s">
        <v>70</v>
      </c>
      <c r="B37" s="50" t="s">
        <v>4</v>
      </c>
      <c r="C37" s="50" t="s">
        <v>48</v>
      </c>
      <c r="D37" s="50" t="s">
        <v>145</v>
      </c>
      <c r="E37" s="50" t="s">
        <v>94</v>
      </c>
      <c r="F37" s="50" t="s">
        <v>73</v>
      </c>
      <c r="G37" s="50" t="s">
        <v>84</v>
      </c>
      <c r="H37" s="51">
        <v>3</v>
      </c>
      <c r="I37" s="52">
        <f>J37/H37</f>
        <v>165990</v>
      </c>
      <c r="J37" s="52">
        <v>497970</v>
      </c>
      <c r="K37" s="51">
        <v>2</v>
      </c>
      <c r="L37" s="53">
        <f>K37/H37*30</f>
        <v>20</v>
      </c>
    </row>
    <row r="38" spans="1:12" s="2" customFormat="1" ht="13.95" customHeight="1" x14ac:dyDescent="0.2">
      <c r="A38" s="50" t="s">
        <v>70</v>
      </c>
      <c r="B38" s="50" t="s">
        <v>4</v>
      </c>
      <c r="C38" s="50" t="s">
        <v>48</v>
      </c>
      <c r="D38" s="50" t="s">
        <v>146</v>
      </c>
      <c r="E38" s="50" t="s">
        <v>136</v>
      </c>
      <c r="F38" s="50" t="s">
        <v>73</v>
      </c>
      <c r="G38" s="50" t="s">
        <v>97</v>
      </c>
      <c r="H38" s="51">
        <v>3</v>
      </c>
      <c r="I38" s="52">
        <f>J38/H38</f>
        <v>165990</v>
      </c>
      <c r="J38" s="52">
        <v>497970</v>
      </c>
      <c r="K38" s="51">
        <v>17</v>
      </c>
      <c r="L38" s="53">
        <f>K38/H38*30</f>
        <v>170</v>
      </c>
    </row>
    <row r="39" spans="1:12" s="2" customFormat="1" ht="13.95" customHeight="1" x14ac:dyDescent="0.2">
      <c r="A39" s="50" t="s">
        <v>70</v>
      </c>
      <c r="B39" s="50" t="s">
        <v>4</v>
      </c>
      <c r="C39" s="50" t="s">
        <v>48</v>
      </c>
      <c r="D39" s="50" t="s">
        <v>147</v>
      </c>
      <c r="E39" s="50" t="s">
        <v>136</v>
      </c>
      <c r="F39" s="50" t="s">
        <v>128</v>
      </c>
      <c r="G39" s="50" t="s">
        <v>148</v>
      </c>
      <c r="H39" s="51">
        <v>3</v>
      </c>
      <c r="I39" s="52">
        <f>J39/H39</f>
        <v>165990</v>
      </c>
      <c r="J39" s="52">
        <v>497970</v>
      </c>
      <c r="K39" s="51">
        <v>27</v>
      </c>
      <c r="L39" s="53">
        <f>K39/H39*30</f>
        <v>270</v>
      </c>
    </row>
    <row r="40" spans="1:12" s="2" customFormat="1" ht="13.95" customHeight="1" x14ac:dyDescent="0.2">
      <c r="A40" s="50" t="s">
        <v>70</v>
      </c>
      <c r="B40" s="50" t="s">
        <v>4</v>
      </c>
      <c r="C40" s="50" t="s">
        <v>48</v>
      </c>
      <c r="D40" s="50" t="s">
        <v>149</v>
      </c>
      <c r="E40" s="50" t="s">
        <v>136</v>
      </c>
      <c r="F40" s="50" t="s">
        <v>128</v>
      </c>
      <c r="G40" s="50" t="s">
        <v>150</v>
      </c>
      <c r="H40" s="51">
        <v>3</v>
      </c>
      <c r="I40" s="52">
        <f>J40/H40</f>
        <v>165990</v>
      </c>
      <c r="J40" s="52">
        <v>497970</v>
      </c>
      <c r="K40" s="51">
        <v>3</v>
      </c>
      <c r="L40" s="53">
        <f>K40/H40*30</f>
        <v>30</v>
      </c>
    </row>
    <row r="41" spans="1:12" s="2" customFormat="1" ht="13.95" customHeight="1" x14ac:dyDescent="0.2">
      <c r="A41" s="50" t="s">
        <v>70</v>
      </c>
      <c r="B41" s="50" t="s">
        <v>4</v>
      </c>
      <c r="C41" s="50" t="s">
        <v>48</v>
      </c>
      <c r="D41" s="50" t="s">
        <v>151</v>
      </c>
      <c r="E41" s="50" t="s">
        <v>136</v>
      </c>
      <c r="F41" s="50" t="s">
        <v>128</v>
      </c>
      <c r="G41" s="50" t="s">
        <v>152</v>
      </c>
      <c r="H41" s="51">
        <v>3</v>
      </c>
      <c r="I41" s="52">
        <f>J41/H41</f>
        <v>165990</v>
      </c>
      <c r="J41" s="52">
        <v>497970</v>
      </c>
      <c r="K41" s="51">
        <v>23</v>
      </c>
      <c r="L41" s="53">
        <f>K41/H41*30</f>
        <v>230</v>
      </c>
    </row>
    <row r="42" spans="1:12" s="2" customFormat="1" ht="13.95" customHeight="1" x14ac:dyDescent="0.2">
      <c r="A42" s="50" t="s">
        <v>70</v>
      </c>
      <c r="B42" s="50" t="s">
        <v>4</v>
      </c>
      <c r="C42" s="50" t="s">
        <v>48</v>
      </c>
      <c r="D42" s="50" t="s">
        <v>153</v>
      </c>
      <c r="E42" s="50" t="s">
        <v>136</v>
      </c>
      <c r="F42" s="50" t="s">
        <v>77</v>
      </c>
      <c r="G42" s="50" t="s">
        <v>103</v>
      </c>
      <c r="H42" s="51">
        <v>3</v>
      </c>
      <c r="I42" s="52">
        <f>J42/H42</f>
        <v>165990</v>
      </c>
      <c r="J42" s="52">
        <v>497970</v>
      </c>
      <c r="K42" s="51">
        <v>0</v>
      </c>
      <c r="L42" s="53">
        <f>K42/H42*30</f>
        <v>0</v>
      </c>
    </row>
    <row r="43" spans="1:12" s="2" customFormat="1" ht="13.95" customHeight="1" x14ac:dyDescent="0.2">
      <c r="A43" s="50" t="s">
        <v>70</v>
      </c>
      <c r="B43" s="50" t="s">
        <v>4</v>
      </c>
      <c r="C43" s="50" t="s">
        <v>48</v>
      </c>
      <c r="D43" s="50" t="s">
        <v>154</v>
      </c>
      <c r="E43" s="50" t="s">
        <v>136</v>
      </c>
      <c r="F43" s="50" t="s">
        <v>155</v>
      </c>
      <c r="G43" s="50" t="s">
        <v>156</v>
      </c>
      <c r="H43" s="51">
        <v>3</v>
      </c>
      <c r="I43" s="52">
        <f>J43/H43</f>
        <v>165990</v>
      </c>
      <c r="J43" s="52">
        <v>497970</v>
      </c>
      <c r="K43" s="51">
        <v>2</v>
      </c>
      <c r="L43" s="53">
        <f>K43/H43*30</f>
        <v>20</v>
      </c>
    </row>
    <row r="44" spans="1:12" s="2" customFormat="1" ht="13.95" customHeight="1" x14ac:dyDescent="0.2">
      <c r="A44" s="50" t="s">
        <v>70</v>
      </c>
      <c r="B44" s="50" t="s">
        <v>4</v>
      </c>
      <c r="C44" s="50" t="s">
        <v>52</v>
      </c>
      <c r="D44" s="50" t="s">
        <v>157</v>
      </c>
      <c r="E44" s="50" t="s">
        <v>158</v>
      </c>
      <c r="F44" s="50" t="s">
        <v>73</v>
      </c>
      <c r="G44" s="50" t="s">
        <v>90</v>
      </c>
      <c r="H44" s="51">
        <v>2</v>
      </c>
      <c r="I44" s="52">
        <f>J44/H44</f>
        <v>239990</v>
      </c>
      <c r="J44" s="52">
        <v>479980</v>
      </c>
      <c r="K44" s="51">
        <v>8</v>
      </c>
      <c r="L44" s="53">
        <f>K44/H44*30</f>
        <v>120</v>
      </c>
    </row>
    <row r="45" spans="1:12" s="2" customFormat="1" ht="13.95" customHeight="1" x14ac:dyDescent="0.2">
      <c r="A45" s="50" t="s">
        <v>70</v>
      </c>
      <c r="B45" s="50" t="s">
        <v>4</v>
      </c>
      <c r="C45" s="50" t="s">
        <v>52</v>
      </c>
      <c r="D45" s="50" t="s">
        <v>159</v>
      </c>
      <c r="E45" s="50" t="s">
        <v>158</v>
      </c>
      <c r="F45" s="50" t="s">
        <v>73</v>
      </c>
      <c r="G45" s="50" t="s">
        <v>97</v>
      </c>
      <c r="H45" s="51">
        <v>2</v>
      </c>
      <c r="I45" s="52">
        <f>J45/H45</f>
        <v>239990</v>
      </c>
      <c r="J45" s="52">
        <v>479980</v>
      </c>
      <c r="K45" s="51">
        <v>12</v>
      </c>
      <c r="L45" s="53">
        <f>K45/H45*30</f>
        <v>180</v>
      </c>
    </row>
    <row r="46" spans="1:12" s="2" customFormat="1" ht="13.95" customHeight="1" x14ac:dyDescent="0.2">
      <c r="A46" s="50" t="s">
        <v>70</v>
      </c>
      <c r="B46" s="50" t="s">
        <v>4</v>
      </c>
      <c r="C46" s="50" t="s">
        <v>52</v>
      </c>
      <c r="D46" s="50" t="s">
        <v>160</v>
      </c>
      <c r="E46" s="50" t="s">
        <v>158</v>
      </c>
      <c r="F46" s="50" t="s">
        <v>73</v>
      </c>
      <c r="G46" s="50" t="s">
        <v>84</v>
      </c>
      <c r="H46" s="51">
        <v>2</v>
      </c>
      <c r="I46" s="52">
        <f>J46/H46</f>
        <v>239990</v>
      </c>
      <c r="J46" s="52">
        <v>479980</v>
      </c>
      <c r="K46" s="51">
        <v>2</v>
      </c>
      <c r="L46" s="53">
        <f>K46/H46*30</f>
        <v>30</v>
      </c>
    </row>
    <row r="47" spans="1:12" s="2" customFormat="1" ht="13.95" customHeight="1" x14ac:dyDescent="0.2">
      <c r="A47" s="50" t="s">
        <v>70</v>
      </c>
      <c r="B47" s="50" t="s">
        <v>5</v>
      </c>
      <c r="C47" s="50" t="s">
        <v>30</v>
      </c>
      <c r="D47" s="50" t="s">
        <v>161</v>
      </c>
      <c r="E47" s="50" t="s">
        <v>162</v>
      </c>
      <c r="F47" s="50" t="s">
        <v>106</v>
      </c>
      <c r="G47" s="50" t="s">
        <v>74</v>
      </c>
      <c r="H47" s="51">
        <v>7</v>
      </c>
      <c r="I47" s="52">
        <f>J47/H47</f>
        <v>65990</v>
      </c>
      <c r="J47" s="52">
        <v>461930</v>
      </c>
      <c r="K47" s="51">
        <v>3</v>
      </c>
      <c r="L47" s="53">
        <f>K47/H47*30</f>
        <v>12.857142857142856</v>
      </c>
    </row>
    <row r="48" spans="1:12" s="2" customFormat="1" ht="13.95" customHeight="1" x14ac:dyDescent="0.2">
      <c r="A48" s="50" t="s">
        <v>70</v>
      </c>
      <c r="B48" s="50" t="s">
        <v>4</v>
      </c>
      <c r="C48" s="50" t="s">
        <v>46</v>
      </c>
      <c r="D48" s="50" t="s">
        <v>163</v>
      </c>
      <c r="E48" s="50" t="s">
        <v>164</v>
      </c>
      <c r="F48" s="50" t="s">
        <v>106</v>
      </c>
      <c r="G48" s="50" t="s">
        <v>112</v>
      </c>
      <c r="H48" s="51">
        <v>4</v>
      </c>
      <c r="I48" s="52">
        <f>J48/H48</f>
        <v>112990</v>
      </c>
      <c r="J48" s="52">
        <v>451960</v>
      </c>
      <c r="K48" s="51">
        <v>10</v>
      </c>
      <c r="L48" s="53">
        <f>K48/H48*30</f>
        <v>75</v>
      </c>
    </row>
    <row r="49" spans="1:12" s="2" customFormat="1" ht="13.95" customHeight="1" x14ac:dyDescent="0.2">
      <c r="A49" s="50" t="s">
        <v>165</v>
      </c>
      <c r="B49" s="50" t="s">
        <v>4</v>
      </c>
      <c r="C49" s="50" t="s">
        <v>49</v>
      </c>
      <c r="D49" s="50" t="s">
        <v>166</v>
      </c>
      <c r="E49" s="50" t="s">
        <v>167</v>
      </c>
      <c r="F49" s="50" t="s">
        <v>168</v>
      </c>
      <c r="G49" s="50" t="s">
        <v>86</v>
      </c>
      <c r="H49" s="51">
        <v>3</v>
      </c>
      <c r="I49" s="52">
        <f>J49/H49</f>
        <v>149990</v>
      </c>
      <c r="J49" s="52">
        <v>449970</v>
      </c>
      <c r="K49" s="51">
        <v>5</v>
      </c>
      <c r="L49" s="53">
        <f>K49/H49*30</f>
        <v>50</v>
      </c>
    </row>
    <row r="50" spans="1:12" s="2" customFormat="1" ht="13.95" customHeight="1" x14ac:dyDescent="0.2">
      <c r="A50" s="50" t="s">
        <v>70</v>
      </c>
      <c r="B50" s="50" t="s">
        <v>4</v>
      </c>
      <c r="C50" s="50" t="s">
        <v>48</v>
      </c>
      <c r="D50" s="50" t="s">
        <v>169</v>
      </c>
      <c r="E50" s="50" t="s">
        <v>110</v>
      </c>
      <c r="F50" s="50" t="s">
        <v>106</v>
      </c>
      <c r="G50" s="50" t="s">
        <v>74</v>
      </c>
      <c r="H50" s="51">
        <v>5</v>
      </c>
      <c r="I50" s="52">
        <f>J50/H50</f>
        <v>89990</v>
      </c>
      <c r="J50" s="52">
        <v>449950</v>
      </c>
      <c r="K50" s="51">
        <v>1</v>
      </c>
      <c r="L50" s="53">
        <f>K50/H50*30</f>
        <v>6</v>
      </c>
    </row>
    <row r="51" spans="1:12" s="2" customFormat="1" ht="13.95" customHeight="1" x14ac:dyDescent="0.2">
      <c r="A51" s="50" t="s">
        <v>70</v>
      </c>
      <c r="B51" s="50" t="s">
        <v>5</v>
      </c>
      <c r="C51" s="50" t="s">
        <v>30</v>
      </c>
      <c r="D51" s="50" t="s">
        <v>170</v>
      </c>
      <c r="E51" s="50" t="s">
        <v>171</v>
      </c>
      <c r="F51" s="50" t="s">
        <v>73</v>
      </c>
      <c r="G51" s="50" t="s">
        <v>90</v>
      </c>
      <c r="H51" s="51">
        <v>7</v>
      </c>
      <c r="I51" s="52">
        <f>J51/H51</f>
        <v>61990</v>
      </c>
      <c r="J51" s="52">
        <v>433930</v>
      </c>
      <c r="K51" s="51">
        <v>4</v>
      </c>
      <c r="L51" s="53">
        <f>K51/H51*30</f>
        <v>17.142857142857142</v>
      </c>
    </row>
    <row r="52" spans="1:12" s="2" customFormat="1" ht="13.95" customHeight="1" x14ac:dyDescent="0.2">
      <c r="A52" s="50" t="s">
        <v>70</v>
      </c>
      <c r="B52" s="50" t="s">
        <v>5</v>
      </c>
      <c r="C52" s="50" t="s">
        <v>45</v>
      </c>
      <c r="D52" s="50" t="s">
        <v>172</v>
      </c>
      <c r="E52" s="50" t="s">
        <v>173</v>
      </c>
      <c r="F52" s="50" t="s">
        <v>73</v>
      </c>
      <c r="G52" s="50" t="s">
        <v>84</v>
      </c>
      <c r="H52" s="51">
        <v>16</v>
      </c>
      <c r="I52" s="52">
        <f>J52/H52</f>
        <v>26990</v>
      </c>
      <c r="J52" s="52">
        <v>431840</v>
      </c>
      <c r="K52" s="51">
        <v>7</v>
      </c>
      <c r="L52" s="53">
        <f>K52/H52*30</f>
        <v>13.125</v>
      </c>
    </row>
    <row r="53" spans="1:12" s="2" customFormat="1" ht="13.95" customHeight="1" x14ac:dyDescent="0.2">
      <c r="A53" s="50" t="s">
        <v>70</v>
      </c>
      <c r="B53" s="50" t="s">
        <v>4</v>
      </c>
      <c r="C53" s="50" t="s">
        <v>47</v>
      </c>
      <c r="D53" s="50" t="s">
        <v>174</v>
      </c>
      <c r="E53" s="50" t="s">
        <v>175</v>
      </c>
      <c r="F53" s="50" t="s">
        <v>73</v>
      </c>
      <c r="G53" s="50" t="s">
        <v>88</v>
      </c>
      <c r="H53" s="51">
        <v>2</v>
      </c>
      <c r="I53" s="52">
        <f>J53/H53</f>
        <v>214990</v>
      </c>
      <c r="J53" s="52">
        <v>429980</v>
      </c>
      <c r="K53" s="51">
        <v>9</v>
      </c>
      <c r="L53" s="53">
        <f>K53/H53*30</f>
        <v>135</v>
      </c>
    </row>
    <row r="54" spans="1:12" s="2" customFormat="1" ht="13.95" customHeight="1" x14ac:dyDescent="0.2">
      <c r="A54" s="50" t="s">
        <v>70</v>
      </c>
      <c r="B54" s="50" t="s">
        <v>4</v>
      </c>
      <c r="C54" s="50" t="s">
        <v>48</v>
      </c>
      <c r="D54" s="50" t="s">
        <v>176</v>
      </c>
      <c r="E54" s="50" t="s">
        <v>116</v>
      </c>
      <c r="F54" s="50" t="s">
        <v>177</v>
      </c>
      <c r="G54" s="50" t="s">
        <v>86</v>
      </c>
      <c r="H54" s="51">
        <v>2</v>
      </c>
      <c r="I54" s="52">
        <f>J54/H54</f>
        <v>210990</v>
      </c>
      <c r="J54" s="52">
        <v>421980</v>
      </c>
      <c r="K54" s="51">
        <v>7</v>
      </c>
      <c r="L54" s="53">
        <f>K54/H54*30</f>
        <v>105</v>
      </c>
    </row>
    <row r="55" spans="1:12" s="2" customFormat="1" ht="13.95" customHeight="1" x14ac:dyDescent="0.2">
      <c r="A55" s="50" t="s">
        <v>70</v>
      </c>
      <c r="B55" s="50" t="s">
        <v>4</v>
      </c>
      <c r="C55" s="50" t="s">
        <v>46</v>
      </c>
      <c r="D55" s="50" t="s">
        <v>178</v>
      </c>
      <c r="E55" s="50" t="s">
        <v>179</v>
      </c>
      <c r="F55" s="50" t="s">
        <v>73</v>
      </c>
      <c r="G55" s="50" t="s">
        <v>86</v>
      </c>
      <c r="H55" s="51">
        <v>3</v>
      </c>
      <c r="I55" s="52">
        <f>J55/H55</f>
        <v>134990</v>
      </c>
      <c r="J55" s="52">
        <v>404970</v>
      </c>
      <c r="K55" s="51">
        <v>11</v>
      </c>
      <c r="L55" s="53">
        <f>K55/H55*30</f>
        <v>110</v>
      </c>
    </row>
    <row r="56" spans="1:12" s="2" customFormat="1" ht="13.95" customHeight="1" x14ac:dyDescent="0.2">
      <c r="A56" s="50" t="s">
        <v>70</v>
      </c>
      <c r="B56" s="50" t="s">
        <v>4</v>
      </c>
      <c r="C56" s="50" t="s">
        <v>47</v>
      </c>
      <c r="D56" s="50" t="s">
        <v>180</v>
      </c>
      <c r="E56" s="50" t="s">
        <v>80</v>
      </c>
      <c r="F56" s="50" t="s">
        <v>81</v>
      </c>
      <c r="G56" s="50" t="s">
        <v>181</v>
      </c>
      <c r="H56" s="51">
        <v>1</v>
      </c>
      <c r="I56" s="52">
        <f>J56/H56</f>
        <v>399999</v>
      </c>
      <c r="J56" s="52">
        <v>399999</v>
      </c>
      <c r="K56" s="51">
        <v>0</v>
      </c>
      <c r="L56" s="53">
        <f>K56/H56*30</f>
        <v>0</v>
      </c>
    </row>
    <row r="57" spans="1:12" s="2" customFormat="1" ht="13.95" customHeight="1" x14ac:dyDescent="0.2">
      <c r="A57" s="50" t="s">
        <v>70</v>
      </c>
      <c r="B57" s="50" t="s">
        <v>4</v>
      </c>
      <c r="C57" s="50" t="s">
        <v>47</v>
      </c>
      <c r="D57" s="50" t="s">
        <v>182</v>
      </c>
      <c r="E57" s="50" t="s">
        <v>80</v>
      </c>
      <c r="F57" s="50" t="s">
        <v>73</v>
      </c>
      <c r="G57" s="50" t="s">
        <v>90</v>
      </c>
      <c r="H57" s="51">
        <v>1</v>
      </c>
      <c r="I57" s="52">
        <f>J57/H57</f>
        <v>399990</v>
      </c>
      <c r="J57" s="52">
        <v>399990</v>
      </c>
      <c r="K57" s="51">
        <v>1</v>
      </c>
      <c r="L57" s="53">
        <f>K57/H57*30</f>
        <v>30</v>
      </c>
    </row>
    <row r="58" spans="1:12" s="2" customFormat="1" ht="13.95" customHeight="1" x14ac:dyDescent="0.2">
      <c r="A58" s="50" t="s">
        <v>70</v>
      </c>
      <c r="B58" s="50" t="s">
        <v>4</v>
      </c>
      <c r="C58" s="50" t="s">
        <v>47</v>
      </c>
      <c r="D58" s="50" t="s">
        <v>183</v>
      </c>
      <c r="E58" s="50" t="s">
        <v>80</v>
      </c>
      <c r="F58" s="50" t="s">
        <v>73</v>
      </c>
      <c r="G58" s="50" t="s">
        <v>84</v>
      </c>
      <c r="H58" s="51">
        <v>1</v>
      </c>
      <c r="I58" s="52">
        <f>J58/H58</f>
        <v>399990</v>
      </c>
      <c r="J58" s="52">
        <v>399990</v>
      </c>
      <c r="K58" s="51">
        <v>4</v>
      </c>
      <c r="L58" s="53">
        <f>K58/H58*30</f>
        <v>120</v>
      </c>
    </row>
    <row r="59" spans="1:12" s="2" customFormat="1" ht="13.95" customHeight="1" x14ac:dyDescent="0.2">
      <c r="A59" s="50" t="s">
        <v>70</v>
      </c>
      <c r="B59" s="50" t="s">
        <v>4</v>
      </c>
      <c r="C59" s="50" t="s">
        <v>47</v>
      </c>
      <c r="D59" s="50" t="s">
        <v>184</v>
      </c>
      <c r="E59" s="50" t="s">
        <v>80</v>
      </c>
      <c r="F59" s="50" t="s">
        <v>185</v>
      </c>
      <c r="G59" s="50" t="s">
        <v>86</v>
      </c>
      <c r="H59" s="51">
        <v>1</v>
      </c>
      <c r="I59" s="52">
        <f>J59/H59</f>
        <v>399990</v>
      </c>
      <c r="J59" s="52">
        <v>399990</v>
      </c>
      <c r="K59" s="51">
        <v>3</v>
      </c>
      <c r="L59" s="53">
        <f>K59/H59*30</f>
        <v>90</v>
      </c>
    </row>
    <row r="60" spans="1:12" s="2" customFormat="1" ht="13.95" customHeight="1" x14ac:dyDescent="0.2">
      <c r="A60" s="50" t="s">
        <v>70</v>
      </c>
      <c r="B60" s="50" t="s">
        <v>4</v>
      </c>
      <c r="C60" s="50" t="s">
        <v>47</v>
      </c>
      <c r="D60" s="50" t="s">
        <v>186</v>
      </c>
      <c r="E60" s="50" t="s">
        <v>80</v>
      </c>
      <c r="F60" s="50" t="s">
        <v>128</v>
      </c>
      <c r="G60" s="50" t="s">
        <v>187</v>
      </c>
      <c r="H60" s="51">
        <v>1</v>
      </c>
      <c r="I60" s="52">
        <f>J60/H60</f>
        <v>399990</v>
      </c>
      <c r="J60" s="52">
        <v>399990</v>
      </c>
      <c r="K60" s="51">
        <v>2</v>
      </c>
      <c r="L60" s="53">
        <f>K60/H60*30</f>
        <v>60</v>
      </c>
    </row>
    <row r="61" spans="1:12" s="2" customFormat="1" ht="13.95" customHeight="1" x14ac:dyDescent="0.2">
      <c r="A61" s="50" t="s">
        <v>70</v>
      </c>
      <c r="B61" s="50" t="s">
        <v>4</v>
      </c>
      <c r="C61" s="50" t="s">
        <v>47</v>
      </c>
      <c r="D61" s="50" t="s">
        <v>188</v>
      </c>
      <c r="E61" s="50" t="s">
        <v>80</v>
      </c>
      <c r="F61" s="50" t="s">
        <v>189</v>
      </c>
      <c r="G61" s="50" t="s">
        <v>190</v>
      </c>
      <c r="H61" s="51">
        <v>1</v>
      </c>
      <c r="I61" s="52">
        <f>J61/H61</f>
        <v>399990</v>
      </c>
      <c r="J61" s="52">
        <v>399990</v>
      </c>
      <c r="K61" s="51">
        <v>6</v>
      </c>
      <c r="L61" s="53">
        <f>K61/H61*30</f>
        <v>180</v>
      </c>
    </row>
    <row r="62" spans="1:12" s="2" customFormat="1" ht="13.95" customHeight="1" x14ac:dyDescent="0.2">
      <c r="A62" s="50" t="s">
        <v>70</v>
      </c>
      <c r="B62" s="50" t="s">
        <v>4</v>
      </c>
      <c r="C62" s="50" t="s">
        <v>47</v>
      </c>
      <c r="D62" s="50" t="s">
        <v>191</v>
      </c>
      <c r="E62" s="50" t="s">
        <v>80</v>
      </c>
      <c r="F62" s="50" t="s">
        <v>189</v>
      </c>
      <c r="G62" s="50" t="s">
        <v>192</v>
      </c>
      <c r="H62" s="51">
        <v>1</v>
      </c>
      <c r="I62" s="52">
        <f>J62/H62</f>
        <v>399990</v>
      </c>
      <c r="J62" s="52">
        <v>399990</v>
      </c>
      <c r="K62" s="51">
        <v>2</v>
      </c>
      <c r="L62" s="53">
        <f>K62/H62*30</f>
        <v>60</v>
      </c>
    </row>
    <row r="63" spans="1:12" s="2" customFormat="1" ht="13.95" customHeight="1" x14ac:dyDescent="0.2">
      <c r="A63" s="50" t="s">
        <v>70</v>
      </c>
      <c r="B63" s="50" t="s">
        <v>4</v>
      </c>
      <c r="C63" s="50" t="s">
        <v>47</v>
      </c>
      <c r="D63" s="50" t="s">
        <v>193</v>
      </c>
      <c r="E63" s="50" t="s">
        <v>80</v>
      </c>
      <c r="F63" s="50" t="s">
        <v>194</v>
      </c>
      <c r="G63" s="50" t="s">
        <v>190</v>
      </c>
      <c r="H63" s="51">
        <v>1</v>
      </c>
      <c r="I63" s="52">
        <f>J63/H63</f>
        <v>399990</v>
      </c>
      <c r="J63" s="52">
        <v>399990</v>
      </c>
      <c r="K63" s="51">
        <v>7</v>
      </c>
      <c r="L63" s="53">
        <f>K63/H63*30</f>
        <v>210</v>
      </c>
    </row>
    <row r="64" spans="1:12" s="2" customFormat="1" ht="13.95" customHeight="1" x14ac:dyDescent="0.2">
      <c r="A64" s="50" t="s">
        <v>70</v>
      </c>
      <c r="B64" s="50" t="s">
        <v>4</v>
      </c>
      <c r="C64" s="50" t="s">
        <v>47</v>
      </c>
      <c r="D64" s="50" t="s">
        <v>195</v>
      </c>
      <c r="E64" s="50" t="s">
        <v>80</v>
      </c>
      <c r="F64" s="50" t="s">
        <v>194</v>
      </c>
      <c r="G64" s="50" t="s">
        <v>196</v>
      </c>
      <c r="H64" s="51">
        <v>1</v>
      </c>
      <c r="I64" s="52">
        <f>J64/H64</f>
        <v>399990</v>
      </c>
      <c r="J64" s="52">
        <v>399990</v>
      </c>
      <c r="K64" s="51">
        <v>1</v>
      </c>
      <c r="L64" s="53">
        <f>K64/H64*30</f>
        <v>30</v>
      </c>
    </row>
    <row r="65" spans="1:12" s="2" customFormat="1" ht="13.95" customHeight="1" x14ac:dyDescent="0.2">
      <c r="A65" s="50" t="s">
        <v>70</v>
      </c>
      <c r="B65" s="50" t="s">
        <v>4</v>
      </c>
      <c r="C65" s="50" t="s">
        <v>49</v>
      </c>
      <c r="D65" s="50" t="s">
        <v>197</v>
      </c>
      <c r="E65" s="50" t="s">
        <v>198</v>
      </c>
      <c r="F65" s="50" t="s">
        <v>73</v>
      </c>
      <c r="G65" s="50" t="s">
        <v>86</v>
      </c>
      <c r="H65" s="51">
        <v>1</v>
      </c>
      <c r="I65" s="52">
        <f>J65/H65</f>
        <v>399990</v>
      </c>
      <c r="J65" s="52">
        <v>399990</v>
      </c>
      <c r="K65" s="51">
        <v>12</v>
      </c>
      <c r="L65" s="53">
        <f>K65/H65*30</f>
        <v>360</v>
      </c>
    </row>
    <row r="66" spans="1:12" s="2" customFormat="1" ht="13.95" customHeight="1" x14ac:dyDescent="0.2">
      <c r="A66" s="50" t="s">
        <v>70</v>
      </c>
      <c r="B66" s="50" t="s">
        <v>4</v>
      </c>
      <c r="C66" s="50" t="s">
        <v>49</v>
      </c>
      <c r="D66" s="50" t="s">
        <v>199</v>
      </c>
      <c r="E66" s="50" t="s">
        <v>198</v>
      </c>
      <c r="F66" s="50" t="s">
        <v>73</v>
      </c>
      <c r="G66" s="50" t="s">
        <v>84</v>
      </c>
      <c r="H66" s="51">
        <v>1</v>
      </c>
      <c r="I66" s="52">
        <f>J66/H66</f>
        <v>399990</v>
      </c>
      <c r="J66" s="52">
        <v>399990</v>
      </c>
      <c r="K66" s="51">
        <v>7</v>
      </c>
      <c r="L66" s="53">
        <f>K66/H66*30</f>
        <v>210</v>
      </c>
    </row>
    <row r="67" spans="1:12" s="2" customFormat="1" ht="13.95" customHeight="1" x14ac:dyDescent="0.2">
      <c r="A67" s="50" t="s">
        <v>70</v>
      </c>
      <c r="B67" s="50" t="s">
        <v>4</v>
      </c>
      <c r="C67" s="50" t="s">
        <v>52</v>
      </c>
      <c r="D67" s="50" t="s">
        <v>200</v>
      </c>
      <c r="E67" s="50" t="s">
        <v>201</v>
      </c>
      <c r="F67" s="50" t="s">
        <v>73</v>
      </c>
      <c r="G67" s="50" t="s">
        <v>86</v>
      </c>
      <c r="H67" s="51">
        <v>1</v>
      </c>
      <c r="I67" s="52">
        <f>J67/H67</f>
        <v>399990</v>
      </c>
      <c r="J67" s="52">
        <v>399990</v>
      </c>
      <c r="K67" s="51">
        <v>22</v>
      </c>
      <c r="L67" s="53">
        <f>K67/H67*30</f>
        <v>660</v>
      </c>
    </row>
    <row r="68" spans="1:12" s="2" customFormat="1" ht="13.95" customHeight="1" x14ac:dyDescent="0.2">
      <c r="A68" s="50" t="s">
        <v>70</v>
      </c>
      <c r="B68" s="50" t="s">
        <v>4</v>
      </c>
      <c r="C68" s="50" t="s">
        <v>48</v>
      </c>
      <c r="D68" s="50" t="s">
        <v>202</v>
      </c>
      <c r="E68" s="50" t="s">
        <v>203</v>
      </c>
      <c r="F68" s="50" t="s">
        <v>73</v>
      </c>
      <c r="G68" s="50" t="s">
        <v>86</v>
      </c>
      <c r="H68" s="51">
        <v>2</v>
      </c>
      <c r="I68" s="52">
        <f>J68/H68</f>
        <v>199990</v>
      </c>
      <c r="J68" s="52">
        <v>399980</v>
      </c>
      <c r="K68" s="51">
        <v>13</v>
      </c>
      <c r="L68" s="53">
        <f>K68/H68*30</f>
        <v>195</v>
      </c>
    </row>
    <row r="69" spans="1:12" s="2" customFormat="1" ht="13.95" customHeight="1" x14ac:dyDescent="0.2">
      <c r="A69" s="50" t="s">
        <v>70</v>
      </c>
      <c r="B69" s="50" t="s">
        <v>4</v>
      </c>
      <c r="C69" s="50" t="s">
        <v>48</v>
      </c>
      <c r="D69" s="50" t="s">
        <v>204</v>
      </c>
      <c r="E69" s="50" t="s">
        <v>205</v>
      </c>
      <c r="F69" s="50" t="s">
        <v>128</v>
      </c>
      <c r="G69" s="50" t="s">
        <v>206</v>
      </c>
      <c r="H69" s="51">
        <v>2</v>
      </c>
      <c r="I69" s="52">
        <f>J69/H69</f>
        <v>199990</v>
      </c>
      <c r="J69" s="52">
        <v>399980</v>
      </c>
      <c r="K69" s="51">
        <v>8</v>
      </c>
      <c r="L69" s="53">
        <f>K69/H69*30</f>
        <v>120</v>
      </c>
    </row>
    <row r="70" spans="1:12" s="2" customFormat="1" ht="13.95" customHeight="1" x14ac:dyDescent="0.2">
      <c r="A70" s="50" t="s">
        <v>70</v>
      </c>
      <c r="B70" s="50" t="s">
        <v>4</v>
      </c>
      <c r="C70" s="50" t="s">
        <v>56</v>
      </c>
      <c r="D70" s="50" t="s">
        <v>207</v>
      </c>
      <c r="E70" s="50" t="s">
        <v>76</v>
      </c>
      <c r="F70" s="50" t="s">
        <v>106</v>
      </c>
      <c r="G70" s="50" t="s">
        <v>86</v>
      </c>
      <c r="H70" s="51">
        <v>4</v>
      </c>
      <c r="I70" s="52">
        <f>J70/H70</f>
        <v>99990</v>
      </c>
      <c r="J70" s="52">
        <v>399960</v>
      </c>
      <c r="K70" s="51">
        <v>35</v>
      </c>
      <c r="L70" s="53">
        <f>K70/H70*30</f>
        <v>262.5</v>
      </c>
    </row>
    <row r="71" spans="1:12" s="2" customFormat="1" ht="13.95" customHeight="1" x14ac:dyDescent="0.2">
      <c r="A71" s="50" t="s">
        <v>70</v>
      </c>
      <c r="B71" s="50" t="s">
        <v>4</v>
      </c>
      <c r="C71" s="50" t="s">
        <v>56</v>
      </c>
      <c r="D71" s="50" t="s">
        <v>208</v>
      </c>
      <c r="E71" s="50" t="s">
        <v>76</v>
      </c>
      <c r="F71" s="50" t="s">
        <v>106</v>
      </c>
      <c r="G71" s="50" t="s">
        <v>112</v>
      </c>
      <c r="H71" s="51">
        <v>4</v>
      </c>
      <c r="I71" s="52">
        <f>J71/H71</f>
        <v>99990</v>
      </c>
      <c r="J71" s="52">
        <v>399960</v>
      </c>
      <c r="K71" s="51">
        <v>24</v>
      </c>
      <c r="L71" s="53">
        <f>K71/H71*30</f>
        <v>180</v>
      </c>
    </row>
    <row r="72" spans="1:12" s="2" customFormat="1" ht="13.95" customHeight="1" x14ac:dyDescent="0.2">
      <c r="A72" s="50" t="s">
        <v>70</v>
      </c>
      <c r="B72" s="50" t="s">
        <v>4</v>
      </c>
      <c r="C72" s="50" t="s">
        <v>49</v>
      </c>
      <c r="D72" s="50" t="s">
        <v>209</v>
      </c>
      <c r="E72" s="50" t="s">
        <v>210</v>
      </c>
      <c r="F72" s="50" t="s">
        <v>73</v>
      </c>
      <c r="G72" s="50" t="s">
        <v>90</v>
      </c>
      <c r="H72" s="51">
        <v>1</v>
      </c>
      <c r="I72" s="52">
        <f>J72/H72</f>
        <v>389990</v>
      </c>
      <c r="J72" s="52">
        <v>389990</v>
      </c>
      <c r="K72" s="51">
        <v>7</v>
      </c>
      <c r="L72" s="53">
        <f>K72/H72*30</f>
        <v>210</v>
      </c>
    </row>
    <row r="73" spans="1:12" s="2" customFormat="1" ht="13.95" customHeight="1" x14ac:dyDescent="0.2">
      <c r="A73" s="50" t="s">
        <v>70</v>
      </c>
      <c r="B73" s="50" t="s">
        <v>5</v>
      </c>
      <c r="C73" s="50" t="s">
        <v>34</v>
      </c>
      <c r="D73" s="50" t="s">
        <v>211</v>
      </c>
      <c r="E73" s="50" t="s">
        <v>212</v>
      </c>
      <c r="F73" s="50" t="s">
        <v>137</v>
      </c>
      <c r="G73" s="50" t="s">
        <v>74</v>
      </c>
      <c r="H73" s="51">
        <v>6</v>
      </c>
      <c r="I73" s="52">
        <f>J73/H73</f>
        <v>64990</v>
      </c>
      <c r="J73" s="52">
        <v>389940</v>
      </c>
      <c r="K73" s="51">
        <v>4</v>
      </c>
      <c r="L73" s="53">
        <f>K73/H73*30</f>
        <v>20</v>
      </c>
    </row>
    <row r="74" spans="1:12" s="2" customFormat="1" ht="13.95" customHeight="1" x14ac:dyDescent="0.2">
      <c r="A74" s="50" t="s">
        <v>70</v>
      </c>
      <c r="B74" s="50" t="s">
        <v>4</v>
      </c>
      <c r="C74" s="50" t="s">
        <v>46</v>
      </c>
      <c r="D74" s="50" t="s">
        <v>213</v>
      </c>
      <c r="E74" s="50" t="s">
        <v>127</v>
      </c>
      <c r="F74" s="50" t="s">
        <v>137</v>
      </c>
      <c r="G74" s="50" t="s">
        <v>88</v>
      </c>
      <c r="H74" s="51">
        <v>4</v>
      </c>
      <c r="I74" s="52">
        <f>J74/H74</f>
        <v>96990</v>
      </c>
      <c r="J74" s="52">
        <v>387960</v>
      </c>
      <c r="K74" s="51">
        <v>16</v>
      </c>
      <c r="L74" s="53">
        <f>K74/H74*30</f>
        <v>120</v>
      </c>
    </row>
    <row r="75" spans="1:12" s="2" customFormat="1" ht="13.95" customHeight="1" x14ac:dyDescent="0.2">
      <c r="A75" s="50" t="s">
        <v>70</v>
      </c>
      <c r="B75" s="50" t="s">
        <v>7</v>
      </c>
      <c r="C75" s="50" t="s">
        <v>21</v>
      </c>
      <c r="D75" s="50" t="s">
        <v>214</v>
      </c>
      <c r="E75" s="50" t="s">
        <v>215</v>
      </c>
      <c r="F75" s="50" t="s">
        <v>216</v>
      </c>
      <c r="G75" s="50" t="s">
        <v>112</v>
      </c>
      <c r="H75" s="51">
        <v>11</v>
      </c>
      <c r="I75" s="52">
        <f>J75/H75</f>
        <v>34990</v>
      </c>
      <c r="J75" s="52">
        <v>384890</v>
      </c>
      <c r="K75" s="51">
        <v>21</v>
      </c>
      <c r="L75" s="53">
        <f>K75/H75*30</f>
        <v>57.272727272727273</v>
      </c>
    </row>
    <row r="76" spans="1:12" s="2" customFormat="1" ht="13.95" customHeight="1" x14ac:dyDescent="0.2">
      <c r="A76" s="50" t="s">
        <v>70</v>
      </c>
      <c r="B76" s="50" t="s">
        <v>4</v>
      </c>
      <c r="C76" s="50" t="s">
        <v>46</v>
      </c>
      <c r="D76" s="50" t="s">
        <v>217</v>
      </c>
      <c r="E76" s="50" t="s">
        <v>105</v>
      </c>
      <c r="F76" s="50" t="s">
        <v>106</v>
      </c>
      <c r="G76" s="50" t="s">
        <v>86</v>
      </c>
      <c r="H76" s="51">
        <v>2</v>
      </c>
      <c r="I76" s="52">
        <f>J76/H76</f>
        <v>189990</v>
      </c>
      <c r="J76" s="52">
        <v>379980</v>
      </c>
      <c r="K76" s="51">
        <v>21</v>
      </c>
      <c r="L76" s="53">
        <f>K76/H76*30</f>
        <v>315</v>
      </c>
    </row>
    <row r="77" spans="1:12" s="2" customFormat="1" ht="13.95" customHeight="1" x14ac:dyDescent="0.2">
      <c r="A77" s="50" t="s">
        <v>70</v>
      </c>
      <c r="B77" s="50" t="s">
        <v>4</v>
      </c>
      <c r="C77" s="50" t="s">
        <v>50</v>
      </c>
      <c r="D77" s="50" t="s">
        <v>218</v>
      </c>
      <c r="E77" s="50" t="s">
        <v>125</v>
      </c>
      <c r="F77" s="50" t="s">
        <v>73</v>
      </c>
      <c r="G77" s="50" t="s">
        <v>88</v>
      </c>
      <c r="H77" s="51">
        <v>2</v>
      </c>
      <c r="I77" s="52">
        <f>J77/H77</f>
        <v>189990</v>
      </c>
      <c r="J77" s="52">
        <v>379980</v>
      </c>
      <c r="K77" s="51">
        <v>7</v>
      </c>
      <c r="L77" s="53">
        <f>K77/H77*30</f>
        <v>105</v>
      </c>
    </row>
    <row r="78" spans="1:12" s="2" customFormat="1" ht="13.95" customHeight="1" x14ac:dyDescent="0.2">
      <c r="A78" s="50" t="s">
        <v>70</v>
      </c>
      <c r="B78" s="50" t="s">
        <v>5</v>
      </c>
      <c r="C78" s="50" t="s">
        <v>34</v>
      </c>
      <c r="D78" s="50" t="s">
        <v>219</v>
      </c>
      <c r="E78" s="50" t="s">
        <v>220</v>
      </c>
      <c r="F78" s="50" t="s">
        <v>73</v>
      </c>
      <c r="G78" s="50" t="s">
        <v>88</v>
      </c>
      <c r="H78" s="51">
        <v>4</v>
      </c>
      <c r="I78" s="52">
        <f>J78/H78</f>
        <v>94990</v>
      </c>
      <c r="J78" s="52">
        <v>379960</v>
      </c>
      <c r="K78" s="51">
        <v>13</v>
      </c>
      <c r="L78" s="53">
        <f>K78/H78*30</f>
        <v>97.5</v>
      </c>
    </row>
    <row r="79" spans="1:12" s="2" customFormat="1" ht="13.95" customHeight="1" x14ac:dyDescent="0.2">
      <c r="A79" s="50" t="s">
        <v>70</v>
      </c>
      <c r="B79" s="50" t="s">
        <v>5</v>
      </c>
      <c r="C79" s="50" t="s">
        <v>34</v>
      </c>
      <c r="D79" s="50" t="s">
        <v>221</v>
      </c>
      <c r="E79" s="50" t="s">
        <v>220</v>
      </c>
      <c r="F79" s="50" t="s">
        <v>73</v>
      </c>
      <c r="G79" s="50" t="s">
        <v>84</v>
      </c>
      <c r="H79" s="51">
        <v>4</v>
      </c>
      <c r="I79" s="52">
        <f>J79/H79</f>
        <v>94990</v>
      </c>
      <c r="J79" s="52">
        <v>379960</v>
      </c>
      <c r="K79" s="51">
        <v>10</v>
      </c>
      <c r="L79" s="53">
        <f>K79/H79*30</f>
        <v>75</v>
      </c>
    </row>
    <row r="80" spans="1:12" s="2" customFormat="1" ht="13.95" customHeight="1" x14ac:dyDescent="0.2">
      <c r="A80" s="50" t="s">
        <v>70</v>
      </c>
      <c r="B80" s="50" t="s">
        <v>5</v>
      </c>
      <c r="C80" s="50" t="s">
        <v>34</v>
      </c>
      <c r="D80" s="50" t="s">
        <v>222</v>
      </c>
      <c r="E80" s="50" t="s">
        <v>220</v>
      </c>
      <c r="F80" s="50" t="s">
        <v>223</v>
      </c>
      <c r="G80" s="50" t="s">
        <v>224</v>
      </c>
      <c r="H80" s="51">
        <v>4</v>
      </c>
      <c r="I80" s="52">
        <f>J80/H80</f>
        <v>94990</v>
      </c>
      <c r="J80" s="52">
        <v>379960</v>
      </c>
      <c r="K80" s="51">
        <v>8</v>
      </c>
      <c r="L80" s="53">
        <f>K80/H80*30</f>
        <v>60</v>
      </c>
    </row>
    <row r="81" spans="1:12" s="2" customFormat="1" ht="13.95" customHeight="1" x14ac:dyDescent="0.2">
      <c r="A81" s="50" t="s">
        <v>70</v>
      </c>
      <c r="B81" s="50" t="s">
        <v>4</v>
      </c>
      <c r="C81" s="50" t="s">
        <v>46</v>
      </c>
      <c r="D81" s="50" t="s">
        <v>225</v>
      </c>
      <c r="E81" s="50" t="s">
        <v>139</v>
      </c>
      <c r="F81" s="50" t="s">
        <v>106</v>
      </c>
      <c r="G81" s="50" t="s">
        <v>86</v>
      </c>
      <c r="H81" s="51">
        <v>3</v>
      </c>
      <c r="I81" s="52">
        <f>J81/H81</f>
        <v>124990</v>
      </c>
      <c r="J81" s="52">
        <v>374970</v>
      </c>
      <c r="K81" s="51">
        <v>11</v>
      </c>
      <c r="L81" s="53">
        <f>K81/H81*30</f>
        <v>110</v>
      </c>
    </row>
    <row r="82" spans="1:12" s="2" customFormat="1" ht="13.95" customHeight="1" x14ac:dyDescent="0.2">
      <c r="A82" s="50" t="s">
        <v>70</v>
      </c>
      <c r="B82" s="50" t="s">
        <v>4</v>
      </c>
      <c r="C82" s="50" t="s">
        <v>48</v>
      </c>
      <c r="D82" s="50" t="s">
        <v>226</v>
      </c>
      <c r="E82" s="50" t="s">
        <v>118</v>
      </c>
      <c r="F82" s="50" t="s">
        <v>106</v>
      </c>
      <c r="G82" s="50" t="s">
        <v>86</v>
      </c>
      <c r="H82" s="51">
        <v>3</v>
      </c>
      <c r="I82" s="52">
        <f>J82/H82</f>
        <v>119990</v>
      </c>
      <c r="J82" s="52">
        <v>359970</v>
      </c>
      <c r="K82" s="51">
        <v>9</v>
      </c>
      <c r="L82" s="53">
        <f>K82/H82*30</f>
        <v>90</v>
      </c>
    </row>
    <row r="83" spans="1:12" s="2" customFormat="1" ht="13.95" customHeight="1" x14ac:dyDescent="0.2">
      <c r="A83" s="50" t="s">
        <v>165</v>
      </c>
      <c r="B83" s="50" t="s">
        <v>4</v>
      </c>
      <c r="C83" s="50" t="s">
        <v>46</v>
      </c>
      <c r="D83" s="50" t="s">
        <v>227</v>
      </c>
      <c r="E83" s="50" t="s">
        <v>228</v>
      </c>
      <c r="F83" s="50" t="s">
        <v>229</v>
      </c>
      <c r="G83" s="50" t="s">
        <v>230</v>
      </c>
      <c r="H83" s="51">
        <v>4</v>
      </c>
      <c r="I83" s="52">
        <f>J83/H83</f>
        <v>89990</v>
      </c>
      <c r="J83" s="52">
        <v>359960</v>
      </c>
      <c r="K83" s="51">
        <v>0</v>
      </c>
      <c r="L83" s="53">
        <f>K83/H83*30</f>
        <v>0</v>
      </c>
    </row>
    <row r="84" spans="1:12" s="2" customFormat="1" ht="13.95" customHeight="1" x14ac:dyDescent="0.2">
      <c r="A84" s="50" t="s">
        <v>70</v>
      </c>
      <c r="B84" s="50" t="s">
        <v>4</v>
      </c>
      <c r="C84" s="50" t="s">
        <v>54</v>
      </c>
      <c r="D84" s="50" t="s">
        <v>231</v>
      </c>
      <c r="E84" s="50" t="s">
        <v>232</v>
      </c>
      <c r="F84" s="50" t="s">
        <v>73</v>
      </c>
      <c r="G84" s="50" t="s">
        <v>90</v>
      </c>
      <c r="H84" s="51">
        <v>3</v>
      </c>
      <c r="I84" s="52">
        <f>J84/H84</f>
        <v>117990</v>
      </c>
      <c r="J84" s="52">
        <v>353970</v>
      </c>
      <c r="K84" s="51">
        <v>5</v>
      </c>
      <c r="L84" s="53">
        <f>K84/H84*30</f>
        <v>50</v>
      </c>
    </row>
    <row r="85" spans="1:12" s="2" customFormat="1" ht="13.95" customHeight="1" x14ac:dyDescent="0.2">
      <c r="A85" s="50" t="s">
        <v>121</v>
      </c>
      <c r="B85" s="50" t="s">
        <v>4</v>
      </c>
      <c r="C85" s="50" t="s">
        <v>52</v>
      </c>
      <c r="D85" s="50" t="s">
        <v>233</v>
      </c>
      <c r="E85" s="50" t="s">
        <v>234</v>
      </c>
      <c r="F85" s="50" t="s">
        <v>73</v>
      </c>
      <c r="G85" s="50" t="s">
        <v>86</v>
      </c>
      <c r="H85" s="51">
        <v>1</v>
      </c>
      <c r="I85" s="52">
        <f>J85/H85</f>
        <v>349990</v>
      </c>
      <c r="J85" s="52">
        <v>349990</v>
      </c>
      <c r="K85" s="51">
        <v>3</v>
      </c>
      <c r="L85" s="53">
        <f>K85/H85*30</f>
        <v>90</v>
      </c>
    </row>
    <row r="86" spans="1:12" s="2" customFormat="1" ht="13.95" customHeight="1" x14ac:dyDescent="0.2">
      <c r="A86" s="50" t="s">
        <v>121</v>
      </c>
      <c r="B86" s="50" t="s">
        <v>4</v>
      </c>
      <c r="C86" s="50" t="s">
        <v>52</v>
      </c>
      <c r="D86" s="50" t="s">
        <v>235</v>
      </c>
      <c r="E86" s="50" t="s">
        <v>234</v>
      </c>
      <c r="F86" s="50" t="s">
        <v>73</v>
      </c>
      <c r="G86" s="50" t="s">
        <v>84</v>
      </c>
      <c r="H86" s="51">
        <v>1</v>
      </c>
      <c r="I86" s="52">
        <f>J86/H86</f>
        <v>349990</v>
      </c>
      <c r="J86" s="52">
        <v>349990</v>
      </c>
      <c r="K86" s="51">
        <v>3</v>
      </c>
      <c r="L86" s="53">
        <f>K86/H86*30</f>
        <v>90</v>
      </c>
    </row>
    <row r="87" spans="1:12" s="2" customFormat="1" ht="13.95" customHeight="1" x14ac:dyDescent="0.2">
      <c r="A87" s="50" t="s">
        <v>70</v>
      </c>
      <c r="B87" s="50" t="s">
        <v>4</v>
      </c>
      <c r="C87" s="50" t="s">
        <v>46</v>
      </c>
      <c r="D87" s="50" t="s">
        <v>236</v>
      </c>
      <c r="E87" s="50" t="s">
        <v>237</v>
      </c>
      <c r="F87" s="50" t="s">
        <v>223</v>
      </c>
      <c r="G87" s="50" t="s">
        <v>224</v>
      </c>
      <c r="H87" s="51">
        <v>5</v>
      </c>
      <c r="I87" s="52">
        <f>J87/H87</f>
        <v>69990</v>
      </c>
      <c r="J87" s="52">
        <v>349950</v>
      </c>
      <c r="K87" s="51">
        <v>2</v>
      </c>
      <c r="L87" s="53">
        <f>K87/H87*30</f>
        <v>12</v>
      </c>
    </row>
    <row r="88" spans="1:12" s="2" customFormat="1" ht="13.95" customHeight="1" x14ac:dyDescent="0.2">
      <c r="A88" s="50" t="s">
        <v>238</v>
      </c>
      <c r="B88" s="50" t="s">
        <v>6</v>
      </c>
      <c r="C88" s="50" t="s">
        <v>65</v>
      </c>
      <c r="D88" s="50" t="s">
        <v>239</v>
      </c>
      <c r="E88" s="50" t="s">
        <v>240</v>
      </c>
      <c r="F88" s="50" t="s">
        <v>241</v>
      </c>
      <c r="G88" s="50" t="s">
        <v>242</v>
      </c>
      <c r="H88" s="51">
        <v>7</v>
      </c>
      <c r="I88" s="52">
        <f>J88/H88</f>
        <v>49990</v>
      </c>
      <c r="J88" s="52">
        <v>349930</v>
      </c>
      <c r="K88" s="51">
        <v>171</v>
      </c>
      <c r="L88" s="53">
        <f>K88/H88*30</f>
        <v>732.85714285714278</v>
      </c>
    </row>
    <row r="89" spans="1:12" s="2" customFormat="1" ht="13.95" customHeight="1" x14ac:dyDescent="0.2">
      <c r="A89" s="50" t="s">
        <v>70</v>
      </c>
      <c r="B89" s="50" t="s">
        <v>4</v>
      </c>
      <c r="C89" s="50" t="s">
        <v>48</v>
      </c>
      <c r="D89" s="50" t="s">
        <v>243</v>
      </c>
      <c r="E89" s="50" t="s">
        <v>96</v>
      </c>
      <c r="F89" s="50" t="s">
        <v>73</v>
      </c>
      <c r="G89" s="50" t="s">
        <v>88</v>
      </c>
      <c r="H89" s="51">
        <v>3</v>
      </c>
      <c r="I89" s="52">
        <f>J89/H89</f>
        <v>114990</v>
      </c>
      <c r="J89" s="52">
        <v>344970</v>
      </c>
      <c r="K89" s="51">
        <v>21</v>
      </c>
      <c r="L89" s="53">
        <f>K89/H89*30</f>
        <v>210</v>
      </c>
    </row>
    <row r="90" spans="1:12" s="2" customFormat="1" ht="13.95" customHeight="1" x14ac:dyDescent="0.2">
      <c r="A90" s="50" t="s">
        <v>70</v>
      </c>
      <c r="B90" s="50" t="s">
        <v>4</v>
      </c>
      <c r="C90" s="50" t="s">
        <v>48</v>
      </c>
      <c r="D90" s="50" t="s">
        <v>244</v>
      </c>
      <c r="E90" s="50" t="s">
        <v>96</v>
      </c>
      <c r="F90" s="50" t="s">
        <v>73</v>
      </c>
      <c r="G90" s="50" t="s">
        <v>86</v>
      </c>
      <c r="H90" s="51">
        <v>3</v>
      </c>
      <c r="I90" s="52">
        <f>J90/H90</f>
        <v>114990</v>
      </c>
      <c r="J90" s="52">
        <v>344970</v>
      </c>
      <c r="K90" s="51">
        <v>11</v>
      </c>
      <c r="L90" s="53">
        <f>K90/H90*30</f>
        <v>110</v>
      </c>
    </row>
    <row r="91" spans="1:12" s="2" customFormat="1" ht="13.95" customHeight="1" x14ac:dyDescent="0.2">
      <c r="A91" s="50" t="s">
        <v>70</v>
      </c>
      <c r="B91" s="50" t="s">
        <v>7</v>
      </c>
      <c r="C91" s="50" t="s">
        <v>12</v>
      </c>
      <c r="D91" s="50" t="s">
        <v>245</v>
      </c>
      <c r="E91" s="50" t="s">
        <v>246</v>
      </c>
      <c r="F91" s="50" t="s">
        <v>73</v>
      </c>
      <c r="G91" s="50" t="s">
        <v>84</v>
      </c>
      <c r="H91" s="51">
        <v>4</v>
      </c>
      <c r="I91" s="52">
        <f>J91/H91</f>
        <v>84990</v>
      </c>
      <c r="J91" s="52">
        <v>339960</v>
      </c>
      <c r="K91" s="51">
        <v>10</v>
      </c>
      <c r="L91" s="53">
        <f>K91/H91*30</f>
        <v>75</v>
      </c>
    </row>
    <row r="92" spans="1:12" s="2" customFormat="1" ht="13.95" customHeight="1" x14ac:dyDescent="0.2">
      <c r="A92" s="50" t="s">
        <v>70</v>
      </c>
      <c r="B92" s="50" t="s">
        <v>4</v>
      </c>
      <c r="C92" s="50" t="s">
        <v>46</v>
      </c>
      <c r="D92" s="50" t="s">
        <v>247</v>
      </c>
      <c r="E92" s="50" t="s">
        <v>164</v>
      </c>
      <c r="F92" s="50" t="s">
        <v>106</v>
      </c>
      <c r="G92" s="50" t="s">
        <v>140</v>
      </c>
      <c r="H92" s="51">
        <v>3</v>
      </c>
      <c r="I92" s="52">
        <f>J92/H92</f>
        <v>112990</v>
      </c>
      <c r="J92" s="52">
        <v>338970</v>
      </c>
      <c r="K92" s="51">
        <v>11</v>
      </c>
      <c r="L92" s="53">
        <f>K92/H92*30</f>
        <v>110</v>
      </c>
    </row>
    <row r="93" spans="1:12" s="2" customFormat="1" ht="13.95" customHeight="1" x14ac:dyDescent="0.2">
      <c r="A93" s="50" t="s">
        <v>70</v>
      </c>
      <c r="B93" s="50" t="s">
        <v>4</v>
      </c>
      <c r="C93" s="50" t="s">
        <v>53</v>
      </c>
      <c r="D93" s="50" t="s">
        <v>248</v>
      </c>
      <c r="E93" s="50" t="s">
        <v>249</v>
      </c>
      <c r="F93" s="50" t="s">
        <v>73</v>
      </c>
      <c r="G93" s="50" t="s">
        <v>86</v>
      </c>
      <c r="H93" s="51">
        <v>3</v>
      </c>
      <c r="I93" s="52">
        <f>J93/H93</f>
        <v>112990</v>
      </c>
      <c r="J93" s="52">
        <v>338970</v>
      </c>
      <c r="K93" s="51">
        <v>4</v>
      </c>
      <c r="L93" s="53">
        <f>K93/H93*30</f>
        <v>40</v>
      </c>
    </row>
    <row r="94" spans="1:12" s="2" customFormat="1" ht="13.95" customHeight="1" x14ac:dyDescent="0.2">
      <c r="A94" s="50" t="s">
        <v>70</v>
      </c>
      <c r="B94" s="50" t="s">
        <v>4</v>
      </c>
      <c r="C94" s="50" t="s">
        <v>48</v>
      </c>
      <c r="D94" s="50" t="s">
        <v>250</v>
      </c>
      <c r="E94" s="50" t="s">
        <v>136</v>
      </c>
      <c r="F94" s="50" t="s">
        <v>137</v>
      </c>
      <c r="G94" s="50" t="s">
        <v>86</v>
      </c>
      <c r="H94" s="51">
        <v>2</v>
      </c>
      <c r="I94" s="52">
        <f>J94/H94</f>
        <v>167990</v>
      </c>
      <c r="J94" s="52">
        <v>335980</v>
      </c>
      <c r="K94" s="51">
        <v>28</v>
      </c>
      <c r="L94" s="53">
        <f>K94/H94*30</f>
        <v>420</v>
      </c>
    </row>
    <row r="95" spans="1:12" s="2" customFormat="1" ht="13.95" customHeight="1" x14ac:dyDescent="0.2">
      <c r="A95" s="50" t="s">
        <v>70</v>
      </c>
      <c r="B95" s="50" t="s">
        <v>5</v>
      </c>
      <c r="C95" s="50" t="s">
        <v>30</v>
      </c>
      <c r="D95" s="50" t="s">
        <v>251</v>
      </c>
      <c r="E95" s="50" t="s">
        <v>252</v>
      </c>
      <c r="F95" s="50" t="s">
        <v>106</v>
      </c>
      <c r="G95" s="50" t="s">
        <v>86</v>
      </c>
      <c r="H95" s="51">
        <v>6</v>
      </c>
      <c r="I95" s="52">
        <f>J95/H95</f>
        <v>55990</v>
      </c>
      <c r="J95" s="52">
        <v>335940</v>
      </c>
      <c r="K95" s="51">
        <v>4</v>
      </c>
      <c r="L95" s="53">
        <f>K95/H95*30</f>
        <v>20</v>
      </c>
    </row>
    <row r="96" spans="1:12" s="2" customFormat="1" ht="13.95" customHeight="1" x14ac:dyDescent="0.2">
      <c r="A96" s="50" t="s">
        <v>70</v>
      </c>
      <c r="B96" s="50" t="s">
        <v>4</v>
      </c>
      <c r="C96" s="50" t="s">
        <v>48</v>
      </c>
      <c r="D96" s="50" t="s">
        <v>253</v>
      </c>
      <c r="E96" s="50" t="s">
        <v>136</v>
      </c>
      <c r="F96" s="50" t="s">
        <v>128</v>
      </c>
      <c r="G96" s="50" t="s">
        <v>254</v>
      </c>
      <c r="H96" s="51">
        <v>2</v>
      </c>
      <c r="I96" s="52">
        <f>J96/H96</f>
        <v>165990</v>
      </c>
      <c r="J96" s="52">
        <v>331980</v>
      </c>
      <c r="K96" s="51">
        <v>1</v>
      </c>
      <c r="L96" s="53">
        <f>K96/H96*30</f>
        <v>15</v>
      </c>
    </row>
    <row r="97" spans="1:12" s="2" customFormat="1" ht="13.95" customHeight="1" x14ac:dyDescent="0.2">
      <c r="A97" s="50" t="s">
        <v>70</v>
      </c>
      <c r="B97" s="50" t="s">
        <v>4</v>
      </c>
      <c r="C97" s="50" t="s">
        <v>48</v>
      </c>
      <c r="D97" s="50" t="s">
        <v>255</v>
      </c>
      <c r="E97" s="50" t="s">
        <v>256</v>
      </c>
      <c r="F97" s="50" t="s">
        <v>73</v>
      </c>
      <c r="G97" s="50" t="s">
        <v>88</v>
      </c>
      <c r="H97" s="51">
        <v>2</v>
      </c>
      <c r="I97" s="52">
        <f>J97/H97</f>
        <v>165990</v>
      </c>
      <c r="J97" s="52">
        <v>331980</v>
      </c>
      <c r="K97" s="51">
        <v>30</v>
      </c>
      <c r="L97" s="53">
        <f>K97/H97*30</f>
        <v>450</v>
      </c>
    </row>
    <row r="98" spans="1:12" s="2" customFormat="1" ht="13.95" customHeight="1" x14ac:dyDescent="0.2">
      <c r="A98" s="50" t="s">
        <v>257</v>
      </c>
      <c r="B98" s="50" t="s">
        <v>6</v>
      </c>
      <c r="C98" s="50" t="s">
        <v>60</v>
      </c>
      <c r="D98" s="50" t="s">
        <v>258</v>
      </c>
      <c r="E98" s="50" t="s">
        <v>259</v>
      </c>
      <c r="F98" s="50" t="s">
        <v>260</v>
      </c>
      <c r="G98" s="50" t="s">
        <v>86</v>
      </c>
      <c r="H98" s="51">
        <v>11</v>
      </c>
      <c r="I98" s="52">
        <f>J98/H98</f>
        <v>29990</v>
      </c>
      <c r="J98" s="52">
        <v>329890</v>
      </c>
      <c r="K98" s="51">
        <v>131</v>
      </c>
      <c r="L98" s="53">
        <f>K98/H98*30</f>
        <v>357.27272727272725</v>
      </c>
    </row>
    <row r="99" spans="1:12" s="2" customFormat="1" ht="13.95" customHeight="1" x14ac:dyDescent="0.2">
      <c r="A99" s="50" t="s">
        <v>70</v>
      </c>
      <c r="B99" s="50" t="s">
        <v>5</v>
      </c>
      <c r="C99" s="50" t="s">
        <v>30</v>
      </c>
      <c r="D99" s="50" t="s">
        <v>261</v>
      </c>
      <c r="E99" s="50" t="s">
        <v>262</v>
      </c>
      <c r="F99" s="50" t="s">
        <v>177</v>
      </c>
      <c r="G99" s="50" t="s">
        <v>86</v>
      </c>
      <c r="H99" s="51">
        <v>4</v>
      </c>
      <c r="I99" s="52">
        <f>J99/H99</f>
        <v>81990</v>
      </c>
      <c r="J99" s="52">
        <v>327960</v>
      </c>
      <c r="K99" s="51">
        <v>5</v>
      </c>
      <c r="L99" s="53">
        <f>K99/H99*30</f>
        <v>37.5</v>
      </c>
    </row>
    <row r="100" spans="1:12" s="2" customFormat="1" ht="13.95" customHeight="1" x14ac:dyDescent="0.2">
      <c r="A100" s="50" t="s">
        <v>70</v>
      </c>
      <c r="B100" s="50" t="s">
        <v>4</v>
      </c>
      <c r="C100" s="50" t="s">
        <v>52</v>
      </c>
      <c r="D100" s="50" t="s">
        <v>263</v>
      </c>
      <c r="E100" s="50" t="s">
        <v>264</v>
      </c>
      <c r="F100" s="50" t="s">
        <v>73</v>
      </c>
      <c r="G100" s="50" t="s">
        <v>88</v>
      </c>
      <c r="H100" s="51">
        <v>1</v>
      </c>
      <c r="I100" s="52">
        <f>J100/H100</f>
        <v>325990</v>
      </c>
      <c r="J100" s="52">
        <v>325990</v>
      </c>
      <c r="K100" s="51">
        <v>8</v>
      </c>
      <c r="L100" s="53">
        <f>K100/H100*30</f>
        <v>240</v>
      </c>
    </row>
    <row r="101" spans="1:12" s="2" customFormat="1" ht="13.95" customHeight="1" x14ac:dyDescent="0.2">
      <c r="A101" s="50" t="s">
        <v>70</v>
      </c>
      <c r="B101" s="50" t="s">
        <v>7</v>
      </c>
      <c r="C101" s="50" t="s">
        <v>21</v>
      </c>
      <c r="D101" s="50" t="s">
        <v>265</v>
      </c>
      <c r="E101" s="50" t="s">
        <v>266</v>
      </c>
      <c r="F101" s="50" t="s">
        <v>73</v>
      </c>
      <c r="G101" s="50" t="s">
        <v>88</v>
      </c>
      <c r="H101" s="51">
        <v>5</v>
      </c>
      <c r="I101" s="52">
        <f>J101/H101</f>
        <v>64990</v>
      </c>
      <c r="J101" s="52">
        <v>324950</v>
      </c>
      <c r="K101" s="51">
        <v>11</v>
      </c>
      <c r="L101" s="53">
        <f>K101/H101*30</f>
        <v>66</v>
      </c>
    </row>
    <row r="102" spans="1:12" s="2" customFormat="1" ht="13.95" customHeight="1" x14ac:dyDescent="0.2">
      <c r="A102" s="50" t="s">
        <v>70</v>
      </c>
      <c r="B102" s="50" t="s">
        <v>7</v>
      </c>
      <c r="C102" s="50" t="s">
        <v>21</v>
      </c>
      <c r="D102" s="50" t="s">
        <v>267</v>
      </c>
      <c r="E102" s="50" t="s">
        <v>266</v>
      </c>
      <c r="F102" s="50" t="s">
        <v>73</v>
      </c>
      <c r="G102" s="50" t="s">
        <v>86</v>
      </c>
      <c r="H102" s="51">
        <v>5</v>
      </c>
      <c r="I102" s="52">
        <f>J102/H102</f>
        <v>64990</v>
      </c>
      <c r="J102" s="52">
        <v>324950</v>
      </c>
      <c r="K102" s="51">
        <v>10</v>
      </c>
      <c r="L102" s="53">
        <f>K102/H102*30</f>
        <v>60</v>
      </c>
    </row>
    <row r="103" spans="1:12" s="2" customFormat="1" ht="13.95" customHeight="1" x14ac:dyDescent="0.2">
      <c r="A103" s="50" t="s">
        <v>70</v>
      </c>
      <c r="B103" s="50" t="s">
        <v>7</v>
      </c>
      <c r="C103" s="50" t="s">
        <v>21</v>
      </c>
      <c r="D103" s="50" t="s">
        <v>268</v>
      </c>
      <c r="E103" s="50" t="s">
        <v>266</v>
      </c>
      <c r="F103" s="50" t="s">
        <v>73</v>
      </c>
      <c r="G103" s="50" t="s">
        <v>84</v>
      </c>
      <c r="H103" s="51">
        <v>5</v>
      </c>
      <c r="I103" s="52">
        <f>J103/H103</f>
        <v>64990</v>
      </c>
      <c r="J103" s="52">
        <v>324950</v>
      </c>
      <c r="K103" s="51">
        <v>6</v>
      </c>
      <c r="L103" s="53">
        <f>K103/H103*30</f>
        <v>36</v>
      </c>
    </row>
    <row r="104" spans="1:12" s="2" customFormat="1" ht="13.95" customHeight="1" x14ac:dyDescent="0.2">
      <c r="A104" s="50" t="s">
        <v>70</v>
      </c>
      <c r="B104" s="50" t="s">
        <v>4</v>
      </c>
      <c r="C104" s="50" t="s">
        <v>46</v>
      </c>
      <c r="D104" s="50" t="s">
        <v>269</v>
      </c>
      <c r="E104" s="50" t="s">
        <v>270</v>
      </c>
      <c r="F104" s="50" t="s">
        <v>137</v>
      </c>
      <c r="G104" s="50" t="s">
        <v>88</v>
      </c>
      <c r="H104" s="51">
        <v>2</v>
      </c>
      <c r="I104" s="52">
        <f>J104/H104</f>
        <v>161990</v>
      </c>
      <c r="J104" s="52">
        <v>323980</v>
      </c>
      <c r="K104" s="51">
        <v>6</v>
      </c>
      <c r="L104" s="53">
        <f>K104/H104*30</f>
        <v>90</v>
      </c>
    </row>
    <row r="105" spans="1:12" s="2" customFormat="1" ht="13.95" customHeight="1" x14ac:dyDescent="0.2">
      <c r="A105" s="50" t="s">
        <v>70</v>
      </c>
      <c r="B105" s="50" t="s">
        <v>4</v>
      </c>
      <c r="C105" s="50" t="s">
        <v>46</v>
      </c>
      <c r="D105" s="50" t="s">
        <v>271</v>
      </c>
      <c r="E105" s="50" t="s">
        <v>270</v>
      </c>
      <c r="F105" s="50" t="s">
        <v>73</v>
      </c>
      <c r="G105" s="50" t="s">
        <v>97</v>
      </c>
      <c r="H105" s="51">
        <v>2</v>
      </c>
      <c r="I105" s="52">
        <f>J105/H105</f>
        <v>159990</v>
      </c>
      <c r="J105" s="52">
        <v>319980</v>
      </c>
      <c r="K105" s="51">
        <v>6</v>
      </c>
      <c r="L105" s="53">
        <f>K105/H105*30</f>
        <v>90</v>
      </c>
    </row>
    <row r="106" spans="1:12" s="2" customFormat="1" ht="13.95" customHeight="1" x14ac:dyDescent="0.2">
      <c r="A106" s="50" t="s">
        <v>70</v>
      </c>
      <c r="B106" s="50" t="s">
        <v>4</v>
      </c>
      <c r="C106" s="50" t="s">
        <v>46</v>
      </c>
      <c r="D106" s="50" t="s">
        <v>272</v>
      </c>
      <c r="E106" s="50" t="s">
        <v>270</v>
      </c>
      <c r="F106" s="50" t="s">
        <v>73</v>
      </c>
      <c r="G106" s="50" t="s">
        <v>84</v>
      </c>
      <c r="H106" s="51">
        <v>2</v>
      </c>
      <c r="I106" s="52">
        <f>J106/H106</f>
        <v>159990</v>
      </c>
      <c r="J106" s="52">
        <v>319980</v>
      </c>
      <c r="K106" s="51">
        <v>8</v>
      </c>
      <c r="L106" s="53">
        <f>K106/H106*30</f>
        <v>120</v>
      </c>
    </row>
    <row r="107" spans="1:12" s="2" customFormat="1" ht="13.95" customHeight="1" x14ac:dyDescent="0.2">
      <c r="A107" s="50" t="s">
        <v>70</v>
      </c>
      <c r="B107" s="50" t="s">
        <v>5</v>
      </c>
      <c r="C107" s="50" t="s">
        <v>30</v>
      </c>
      <c r="D107" s="50" t="s">
        <v>273</v>
      </c>
      <c r="E107" s="50" t="s">
        <v>92</v>
      </c>
      <c r="F107" s="50" t="s">
        <v>73</v>
      </c>
      <c r="G107" s="50" t="s">
        <v>90</v>
      </c>
      <c r="H107" s="51">
        <v>7</v>
      </c>
      <c r="I107" s="52">
        <f>J107/H107</f>
        <v>44990</v>
      </c>
      <c r="J107" s="52">
        <v>314930</v>
      </c>
      <c r="K107" s="51">
        <v>73</v>
      </c>
      <c r="L107" s="53">
        <f>K107/H107*30</f>
        <v>312.85714285714289</v>
      </c>
    </row>
    <row r="108" spans="1:12" s="2" customFormat="1" ht="13.95" customHeight="1" x14ac:dyDescent="0.2">
      <c r="A108" s="50" t="s">
        <v>70</v>
      </c>
      <c r="B108" s="50" t="s">
        <v>4</v>
      </c>
      <c r="C108" s="50" t="s">
        <v>47</v>
      </c>
      <c r="D108" s="50" t="s">
        <v>274</v>
      </c>
      <c r="E108" s="50" t="s">
        <v>275</v>
      </c>
      <c r="F108" s="50" t="s">
        <v>73</v>
      </c>
      <c r="G108" s="50" t="s">
        <v>90</v>
      </c>
      <c r="H108" s="51">
        <v>2</v>
      </c>
      <c r="I108" s="52">
        <f>J108/H108</f>
        <v>155990</v>
      </c>
      <c r="J108" s="52">
        <v>311980</v>
      </c>
      <c r="K108" s="51">
        <v>9</v>
      </c>
      <c r="L108" s="53">
        <f>K108/H108*30</f>
        <v>135</v>
      </c>
    </row>
    <row r="109" spans="1:12" s="2" customFormat="1" ht="13.95" customHeight="1" x14ac:dyDescent="0.2">
      <c r="A109" s="50" t="s">
        <v>70</v>
      </c>
      <c r="B109" s="50" t="s">
        <v>4</v>
      </c>
      <c r="C109" s="50" t="s">
        <v>47</v>
      </c>
      <c r="D109" s="50" t="s">
        <v>276</v>
      </c>
      <c r="E109" s="50" t="s">
        <v>275</v>
      </c>
      <c r="F109" s="50" t="s">
        <v>73</v>
      </c>
      <c r="G109" s="50" t="s">
        <v>86</v>
      </c>
      <c r="H109" s="51">
        <v>2</v>
      </c>
      <c r="I109" s="52">
        <f>J109/H109</f>
        <v>155990</v>
      </c>
      <c r="J109" s="52">
        <v>311980</v>
      </c>
      <c r="K109" s="51">
        <v>8</v>
      </c>
      <c r="L109" s="53">
        <f>K109/H109*30</f>
        <v>120</v>
      </c>
    </row>
    <row r="110" spans="1:12" s="2" customFormat="1" ht="13.95" customHeight="1" x14ac:dyDescent="0.2">
      <c r="A110" s="50" t="s">
        <v>277</v>
      </c>
      <c r="B110" s="50" t="s">
        <v>6</v>
      </c>
      <c r="C110" s="50" t="s">
        <v>58</v>
      </c>
      <c r="D110" s="50" t="s">
        <v>278</v>
      </c>
      <c r="E110" s="50" t="s">
        <v>279</v>
      </c>
      <c r="F110" s="50" t="s">
        <v>106</v>
      </c>
      <c r="G110" s="50" t="s">
        <v>280</v>
      </c>
      <c r="H110" s="51">
        <v>1</v>
      </c>
      <c r="I110" s="52">
        <f>J110/H110</f>
        <v>299990</v>
      </c>
      <c r="J110" s="52">
        <v>299990</v>
      </c>
      <c r="K110" s="51">
        <v>1</v>
      </c>
      <c r="L110" s="53">
        <f>K110/H110*30</f>
        <v>30</v>
      </c>
    </row>
    <row r="111" spans="1:12" s="2" customFormat="1" ht="13.95" customHeight="1" x14ac:dyDescent="0.2">
      <c r="A111" s="50" t="s">
        <v>277</v>
      </c>
      <c r="B111" s="50" t="s">
        <v>6</v>
      </c>
      <c r="C111" s="50" t="s">
        <v>58</v>
      </c>
      <c r="D111" s="50" t="s">
        <v>281</v>
      </c>
      <c r="E111" s="50" t="s">
        <v>282</v>
      </c>
      <c r="F111" s="50" t="s">
        <v>106</v>
      </c>
      <c r="G111" s="50" t="s">
        <v>88</v>
      </c>
      <c r="H111" s="51">
        <v>1</v>
      </c>
      <c r="I111" s="52">
        <f>J111/H111</f>
        <v>299990</v>
      </c>
      <c r="J111" s="52">
        <v>299990</v>
      </c>
      <c r="K111" s="51">
        <v>0</v>
      </c>
      <c r="L111" s="53">
        <f>K111/H111*30</f>
        <v>0</v>
      </c>
    </row>
    <row r="112" spans="1:12" s="2" customFormat="1" ht="13.95" customHeight="1" x14ac:dyDescent="0.2">
      <c r="A112" s="50" t="s">
        <v>277</v>
      </c>
      <c r="B112" s="50" t="s">
        <v>6</v>
      </c>
      <c r="C112" s="50" t="s">
        <v>58</v>
      </c>
      <c r="D112" s="50" t="s">
        <v>283</v>
      </c>
      <c r="E112" s="50" t="s">
        <v>284</v>
      </c>
      <c r="F112" s="50" t="s">
        <v>106</v>
      </c>
      <c r="G112" s="50" t="s">
        <v>86</v>
      </c>
      <c r="H112" s="51">
        <v>1</v>
      </c>
      <c r="I112" s="52">
        <f>J112/H112</f>
        <v>299990</v>
      </c>
      <c r="J112" s="52">
        <v>299990</v>
      </c>
      <c r="K112" s="51">
        <v>1</v>
      </c>
      <c r="L112" s="53">
        <f>K112/H112*30</f>
        <v>30</v>
      </c>
    </row>
    <row r="113" spans="1:12" s="2" customFormat="1" ht="13.95" customHeight="1" x14ac:dyDescent="0.2">
      <c r="A113" s="50" t="s">
        <v>70</v>
      </c>
      <c r="B113" s="50" t="s">
        <v>5</v>
      </c>
      <c r="C113" s="50" t="s">
        <v>42</v>
      </c>
      <c r="D113" s="50" t="s">
        <v>285</v>
      </c>
      <c r="E113" s="50" t="s">
        <v>286</v>
      </c>
      <c r="F113" s="50" t="s">
        <v>106</v>
      </c>
      <c r="G113" s="50" t="s">
        <v>140</v>
      </c>
      <c r="H113" s="51">
        <v>2</v>
      </c>
      <c r="I113" s="52">
        <f>J113/H113</f>
        <v>149990</v>
      </c>
      <c r="J113" s="52">
        <v>299980</v>
      </c>
      <c r="K113" s="51">
        <v>6</v>
      </c>
      <c r="L113" s="53">
        <f>K113/H113*30</f>
        <v>90</v>
      </c>
    </row>
    <row r="114" spans="1:12" s="2" customFormat="1" ht="13.95" customHeight="1" x14ac:dyDescent="0.2">
      <c r="A114" s="50" t="s">
        <v>70</v>
      </c>
      <c r="B114" s="50" t="s">
        <v>5</v>
      </c>
      <c r="C114" s="50" t="s">
        <v>30</v>
      </c>
      <c r="D114" s="50" t="s">
        <v>287</v>
      </c>
      <c r="E114" s="50" t="s">
        <v>288</v>
      </c>
      <c r="F114" s="50" t="s">
        <v>106</v>
      </c>
      <c r="G114" s="50" t="s">
        <v>88</v>
      </c>
      <c r="H114" s="51">
        <v>3</v>
      </c>
      <c r="I114" s="52">
        <f>J114/H114</f>
        <v>99990</v>
      </c>
      <c r="J114" s="52">
        <v>299970</v>
      </c>
      <c r="K114" s="51">
        <v>5</v>
      </c>
      <c r="L114" s="53">
        <f>K114/H114*30</f>
        <v>50</v>
      </c>
    </row>
    <row r="115" spans="1:12" s="2" customFormat="1" ht="13.95" customHeight="1" x14ac:dyDescent="0.2">
      <c r="A115" s="50" t="s">
        <v>70</v>
      </c>
      <c r="B115" s="50" t="s">
        <v>5</v>
      </c>
      <c r="C115" s="50" t="s">
        <v>30</v>
      </c>
      <c r="D115" s="50" t="s">
        <v>289</v>
      </c>
      <c r="E115" s="50" t="s">
        <v>288</v>
      </c>
      <c r="F115" s="50" t="s">
        <v>106</v>
      </c>
      <c r="G115" s="50" t="s">
        <v>74</v>
      </c>
      <c r="H115" s="51">
        <v>3</v>
      </c>
      <c r="I115" s="52">
        <f>J115/H115</f>
        <v>99990</v>
      </c>
      <c r="J115" s="52">
        <v>299970</v>
      </c>
      <c r="K115" s="51">
        <v>7</v>
      </c>
      <c r="L115" s="53">
        <f>K115/H115*30</f>
        <v>70</v>
      </c>
    </row>
    <row r="116" spans="1:12" s="2" customFormat="1" ht="13.95" customHeight="1" x14ac:dyDescent="0.2">
      <c r="A116" s="50" t="s">
        <v>290</v>
      </c>
      <c r="B116" s="50" t="s">
        <v>8</v>
      </c>
      <c r="C116" s="50" t="s">
        <v>8</v>
      </c>
      <c r="D116" s="50" t="s">
        <v>291</v>
      </c>
      <c r="E116" s="50" t="s">
        <v>292</v>
      </c>
      <c r="F116" s="50" t="s">
        <v>106</v>
      </c>
      <c r="G116" s="50" t="s">
        <v>86</v>
      </c>
      <c r="H116" s="51">
        <v>3</v>
      </c>
      <c r="I116" s="52">
        <f>J116/H116</f>
        <v>99990</v>
      </c>
      <c r="J116" s="52">
        <v>299970</v>
      </c>
      <c r="K116" s="51">
        <v>4</v>
      </c>
      <c r="L116" s="53">
        <f>K116/H116*30</f>
        <v>40</v>
      </c>
    </row>
    <row r="117" spans="1:12" s="2" customFormat="1" ht="13.95" customHeight="1" x14ac:dyDescent="0.2">
      <c r="A117" s="50" t="s">
        <v>238</v>
      </c>
      <c r="B117" s="50" t="s">
        <v>6</v>
      </c>
      <c r="C117" s="50" t="s">
        <v>65</v>
      </c>
      <c r="D117" s="50" t="s">
        <v>293</v>
      </c>
      <c r="E117" s="50" t="s">
        <v>240</v>
      </c>
      <c r="F117" s="50" t="s">
        <v>241</v>
      </c>
      <c r="G117" s="50" t="s">
        <v>294</v>
      </c>
      <c r="H117" s="51">
        <v>6</v>
      </c>
      <c r="I117" s="52">
        <f>J117/H117</f>
        <v>49990</v>
      </c>
      <c r="J117" s="52">
        <v>299940</v>
      </c>
      <c r="K117" s="51">
        <v>87</v>
      </c>
      <c r="L117" s="53">
        <f>K117/H117*30</f>
        <v>435</v>
      </c>
    </row>
    <row r="118" spans="1:12" s="2" customFormat="1" ht="13.95" customHeight="1" x14ac:dyDescent="0.2">
      <c r="A118" s="50" t="s">
        <v>70</v>
      </c>
      <c r="B118" s="50" t="s">
        <v>4</v>
      </c>
      <c r="C118" s="50" t="s">
        <v>48</v>
      </c>
      <c r="D118" s="50" t="s">
        <v>295</v>
      </c>
      <c r="E118" s="50" t="s">
        <v>296</v>
      </c>
      <c r="F118" s="50" t="s">
        <v>73</v>
      </c>
      <c r="G118" s="50" t="s">
        <v>84</v>
      </c>
      <c r="H118" s="51">
        <v>4</v>
      </c>
      <c r="I118" s="52">
        <f>J118/H118</f>
        <v>71990</v>
      </c>
      <c r="J118" s="52">
        <v>287960</v>
      </c>
      <c r="K118" s="51">
        <v>10</v>
      </c>
      <c r="L118" s="53">
        <f>K118/H118*30</f>
        <v>75</v>
      </c>
    </row>
    <row r="119" spans="1:12" s="2" customFormat="1" ht="13.95" customHeight="1" x14ac:dyDescent="0.2">
      <c r="A119" s="50" t="s">
        <v>70</v>
      </c>
      <c r="B119" s="50" t="s">
        <v>4</v>
      </c>
      <c r="C119" s="50" t="s">
        <v>50</v>
      </c>
      <c r="D119" s="50" t="s">
        <v>297</v>
      </c>
      <c r="E119" s="50" t="s">
        <v>298</v>
      </c>
      <c r="F119" s="50" t="s">
        <v>73</v>
      </c>
      <c r="G119" s="50" t="s">
        <v>84</v>
      </c>
      <c r="H119" s="51">
        <v>1</v>
      </c>
      <c r="I119" s="52">
        <f>J119/H119</f>
        <v>284990</v>
      </c>
      <c r="J119" s="52">
        <v>284990</v>
      </c>
      <c r="K119" s="51">
        <v>6</v>
      </c>
      <c r="L119" s="53">
        <f>K119/H119*30</f>
        <v>180</v>
      </c>
    </row>
    <row r="120" spans="1:12" s="2" customFormat="1" ht="13.95" customHeight="1" x14ac:dyDescent="0.2">
      <c r="A120" s="50" t="s">
        <v>70</v>
      </c>
      <c r="B120" s="50" t="s">
        <v>4</v>
      </c>
      <c r="C120" s="50" t="s">
        <v>46</v>
      </c>
      <c r="D120" s="50" t="s">
        <v>299</v>
      </c>
      <c r="E120" s="50" t="s">
        <v>127</v>
      </c>
      <c r="F120" s="50" t="s">
        <v>106</v>
      </c>
      <c r="G120" s="50" t="s">
        <v>74</v>
      </c>
      <c r="H120" s="51">
        <v>3</v>
      </c>
      <c r="I120" s="52">
        <f>J120/H120</f>
        <v>94990</v>
      </c>
      <c r="J120" s="52">
        <v>284970</v>
      </c>
      <c r="K120" s="51">
        <v>21</v>
      </c>
      <c r="L120" s="53">
        <f>K120/H120*30</f>
        <v>210</v>
      </c>
    </row>
    <row r="121" spans="1:12" s="2" customFormat="1" ht="13.95" customHeight="1" x14ac:dyDescent="0.2">
      <c r="A121" s="50" t="s">
        <v>70</v>
      </c>
      <c r="B121" s="50" t="s">
        <v>4</v>
      </c>
      <c r="C121" s="50" t="s">
        <v>46</v>
      </c>
      <c r="D121" s="50" t="s">
        <v>300</v>
      </c>
      <c r="E121" s="50" t="s">
        <v>127</v>
      </c>
      <c r="F121" s="50" t="s">
        <v>106</v>
      </c>
      <c r="G121" s="50" t="s">
        <v>112</v>
      </c>
      <c r="H121" s="51">
        <v>3</v>
      </c>
      <c r="I121" s="52">
        <f>J121/H121</f>
        <v>94990</v>
      </c>
      <c r="J121" s="52">
        <v>284970</v>
      </c>
      <c r="K121" s="51">
        <v>8</v>
      </c>
      <c r="L121" s="53">
        <f>K121/H121*30</f>
        <v>80</v>
      </c>
    </row>
    <row r="122" spans="1:12" s="2" customFormat="1" ht="13.95" customHeight="1" x14ac:dyDescent="0.2">
      <c r="A122" s="50" t="s">
        <v>70</v>
      </c>
      <c r="B122" s="50" t="s">
        <v>4</v>
      </c>
      <c r="C122" s="50" t="s">
        <v>49</v>
      </c>
      <c r="D122" s="50" t="s">
        <v>301</v>
      </c>
      <c r="E122" s="50" t="s">
        <v>302</v>
      </c>
      <c r="F122" s="50" t="s">
        <v>73</v>
      </c>
      <c r="G122" s="50" t="s">
        <v>88</v>
      </c>
      <c r="H122" s="51">
        <v>1</v>
      </c>
      <c r="I122" s="52">
        <f>J122/H122</f>
        <v>279990</v>
      </c>
      <c r="J122" s="52">
        <v>279990</v>
      </c>
      <c r="K122" s="51">
        <v>8</v>
      </c>
      <c r="L122" s="53">
        <f>K122/H122*30</f>
        <v>240</v>
      </c>
    </row>
    <row r="123" spans="1:12" s="2" customFormat="1" ht="13.95" customHeight="1" x14ac:dyDescent="0.2">
      <c r="A123" s="50" t="s">
        <v>70</v>
      </c>
      <c r="B123" s="50" t="s">
        <v>4</v>
      </c>
      <c r="C123" s="50" t="s">
        <v>49</v>
      </c>
      <c r="D123" s="50" t="s">
        <v>303</v>
      </c>
      <c r="E123" s="50" t="s">
        <v>302</v>
      </c>
      <c r="F123" s="50" t="s">
        <v>73</v>
      </c>
      <c r="G123" s="50" t="s">
        <v>86</v>
      </c>
      <c r="H123" s="51">
        <v>1</v>
      </c>
      <c r="I123" s="52">
        <f>J123/H123</f>
        <v>279990</v>
      </c>
      <c r="J123" s="52">
        <v>279990</v>
      </c>
      <c r="K123" s="51">
        <v>15</v>
      </c>
      <c r="L123" s="53">
        <f>K123/H123*30</f>
        <v>450</v>
      </c>
    </row>
    <row r="124" spans="1:12" s="2" customFormat="1" ht="13.95" customHeight="1" x14ac:dyDescent="0.2">
      <c r="A124" s="50" t="s">
        <v>70</v>
      </c>
      <c r="B124" s="50" t="s">
        <v>4</v>
      </c>
      <c r="C124" s="50" t="s">
        <v>49</v>
      </c>
      <c r="D124" s="50" t="s">
        <v>304</v>
      </c>
      <c r="E124" s="50" t="s">
        <v>132</v>
      </c>
      <c r="F124" s="50" t="s">
        <v>106</v>
      </c>
      <c r="G124" s="50" t="s">
        <v>112</v>
      </c>
      <c r="H124" s="51">
        <v>1</v>
      </c>
      <c r="I124" s="52">
        <f>J124/H124</f>
        <v>279990</v>
      </c>
      <c r="J124" s="52">
        <v>279990</v>
      </c>
      <c r="K124" s="51">
        <v>8</v>
      </c>
      <c r="L124" s="53">
        <f>K124/H124*30</f>
        <v>240</v>
      </c>
    </row>
    <row r="125" spans="1:12" s="2" customFormat="1" ht="13.95" customHeight="1" x14ac:dyDescent="0.2">
      <c r="A125" s="50" t="s">
        <v>70</v>
      </c>
      <c r="B125" s="50" t="s">
        <v>4</v>
      </c>
      <c r="C125" s="50" t="s">
        <v>46</v>
      </c>
      <c r="D125" s="50" t="s">
        <v>305</v>
      </c>
      <c r="E125" s="50" t="s">
        <v>237</v>
      </c>
      <c r="F125" s="50" t="s">
        <v>73</v>
      </c>
      <c r="G125" s="50" t="s">
        <v>88</v>
      </c>
      <c r="H125" s="51">
        <v>4</v>
      </c>
      <c r="I125" s="52">
        <f>J125/H125</f>
        <v>69990</v>
      </c>
      <c r="J125" s="52">
        <v>279960</v>
      </c>
      <c r="K125" s="51">
        <v>8</v>
      </c>
      <c r="L125" s="53">
        <f>K125/H125*30</f>
        <v>60</v>
      </c>
    </row>
    <row r="126" spans="1:12" s="2" customFormat="1" ht="13.95" customHeight="1" x14ac:dyDescent="0.2">
      <c r="A126" s="50" t="s">
        <v>70</v>
      </c>
      <c r="B126" s="50" t="s">
        <v>4</v>
      </c>
      <c r="C126" s="50" t="s">
        <v>46</v>
      </c>
      <c r="D126" s="50" t="s">
        <v>306</v>
      </c>
      <c r="E126" s="50" t="s">
        <v>237</v>
      </c>
      <c r="F126" s="50" t="s">
        <v>73</v>
      </c>
      <c r="G126" s="50" t="s">
        <v>86</v>
      </c>
      <c r="H126" s="51">
        <v>4</v>
      </c>
      <c r="I126" s="52">
        <f>J126/H126</f>
        <v>69990</v>
      </c>
      <c r="J126" s="52">
        <v>279960</v>
      </c>
      <c r="K126" s="51">
        <v>9</v>
      </c>
      <c r="L126" s="53">
        <f>K126/H126*30</f>
        <v>67.5</v>
      </c>
    </row>
    <row r="127" spans="1:12" s="2" customFormat="1" ht="13.95" customHeight="1" x14ac:dyDescent="0.2">
      <c r="A127" s="50" t="s">
        <v>70</v>
      </c>
      <c r="B127" s="50" t="s">
        <v>4</v>
      </c>
      <c r="C127" s="50" t="s">
        <v>46</v>
      </c>
      <c r="D127" s="50" t="s">
        <v>307</v>
      </c>
      <c r="E127" s="50" t="s">
        <v>237</v>
      </c>
      <c r="F127" s="50" t="s">
        <v>73</v>
      </c>
      <c r="G127" s="50" t="s">
        <v>74</v>
      </c>
      <c r="H127" s="51">
        <v>4</v>
      </c>
      <c r="I127" s="52">
        <f>J127/H127</f>
        <v>69990</v>
      </c>
      <c r="J127" s="52">
        <v>279960</v>
      </c>
      <c r="K127" s="51">
        <v>5</v>
      </c>
      <c r="L127" s="53">
        <f>K127/H127*30</f>
        <v>37.5</v>
      </c>
    </row>
    <row r="128" spans="1:12" s="2" customFormat="1" ht="13.95" customHeight="1" x14ac:dyDescent="0.2">
      <c r="A128" s="50" t="s">
        <v>70</v>
      </c>
      <c r="B128" s="50" t="s">
        <v>4</v>
      </c>
      <c r="C128" s="50" t="s">
        <v>50</v>
      </c>
      <c r="D128" s="50" t="s">
        <v>308</v>
      </c>
      <c r="E128" s="50" t="s">
        <v>309</v>
      </c>
      <c r="F128" s="50" t="s">
        <v>73</v>
      </c>
      <c r="G128" s="50" t="s">
        <v>88</v>
      </c>
      <c r="H128" s="51">
        <v>1</v>
      </c>
      <c r="I128" s="52">
        <f>J128/H128</f>
        <v>275990</v>
      </c>
      <c r="J128" s="52">
        <v>275990</v>
      </c>
      <c r="K128" s="51">
        <v>7</v>
      </c>
      <c r="L128" s="53">
        <f>K128/H128*30</f>
        <v>210</v>
      </c>
    </row>
    <row r="129" spans="1:12" s="2" customFormat="1" ht="13.95" customHeight="1" x14ac:dyDescent="0.2">
      <c r="A129" s="50" t="s">
        <v>70</v>
      </c>
      <c r="B129" s="50" t="s">
        <v>4</v>
      </c>
      <c r="C129" s="50" t="s">
        <v>50</v>
      </c>
      <c r="D129" s="50" t="s">
        <v>310</v>
      </c>
      <c r="E129" s="50" t="s">
        <v>309</v>
      </c>
      <c r="F129" s="50" t="s">
        <v>73</v>
      </c>
      <c r="G129" s="50" t="s">
        <v>90</v>
      </c>
      <c r="H129" s="51">
        <v>1</v>
      </c>
      <c r="I129" s="52">
        <f>J129/H129</f>
        <v>275990</v>
      </c>
      <c r="J129" s="52">
        <v>275990</v>
      </c>
      <c r="K129" s="51">
        <v>3</v>
      </c>
      <c r="L129" s="53">
        <f>K129/H129*30</f>
        <v>90</v>
      </c>
    </row>
    <row r="130" spans="1:12" s="2" customFormat="1" ht="13.95" customHeight="1" x14ac:dyDescent="0.2">
      <c r="A130" s="50" t="s">
        <v>70</v>
      </c>
      <c r="B130" s="50" t="s">
        <v>4</v>
      </c>
      <c r="C130" s="50" t="s">
        <v>50</v>
      </c>
      <c r="D130" s="50" t="s">
        <v>311</v>
      </c>
      <c r="E130" s="50" t="s">
        <v>309</v>
      </c>
      <c r="F130" s="50" t="s">
        <v>73</v>
      </c>
      <c r="G130" s="50" t="s">
        <v>84</v>
      </c>
      <c r="H130" s="51">
        <v>1</v>
      </c>
      <c r="I130" s="52">
        <f>J130/H130</f>
        <v>275990</v>
      </c>
      <c r="J130" s="52">
        <v>275990</v>
      </c>
      <c r="K130" s="51">
        <v>10</v>
      </c>
      <c r="L130" s="53">
        <f>K130/H130*30</f>
        <v>300</v>
      </c>
    </row>
    <row r="131" spans="1:12" s="2" customFormat="1" ht="13.95" customHeight="1" x14ac:dyDescent="0.2">
      <c r="A131" s="50" t="s">
        <v>70</v>
      </c>
      <c r="B131" s="50" t="s">
        <v>4</v>
      </c>
      <c r="C131" s="50" t="s">
        <v>48</v>
      </c>
      <c r="D131" s="50" t="s">
        <v>312</v>
      </c>
      <c r="E131" s="50" t="s">
        <v>313</v>
      </c>
      <c r="F131" s="50" t="s">
        <v>73</v>
      </c>
      <c r="G131" s="50" t="s">
        <v>88</v>
      </c>
      <c r="H131" s="51">
        <v>1</v>
      </c>
      <c r="I131" s="52">
        <f>J131/H131</f>
        <v>269990</v>
      </c>
      <c r="J131" s="52">
        <v>269990</v>
      </c>
      <c r="K131" s="51">
        <v>13</v>
      </c>
      <c r="L131" s="53">
        <f>K131/H131*30</f>
        <v>390</v>
      </c>
    </row>
    <row r="132" spans="1:12" s="2" customFormat="1" ht="13.95" customHeight="1" x14ac:dyDescent="0.2">
      <c r="A132" s="50" t="s">
        <v>70</v>
      </c>
      <c r="B132" s="50" t="s">
        <v>4</v>
      </c>
      <c r="C132" s="50" t="s">
        <v>48</v>
      </c>
      <c r="D132" s="50" t="s">
        <v>314</v>
      </c>
      <c r="E132" s="50" t="s">
        <v>313</v>
      </c>
      <c r="F132" s="50" t="s">
        <v>73</v>
      </c>
      <c r="G132" s="50" t="s">
        <v>84</v>
      </c>
      <c r="H132" s="51">
        <v>1</v>
      </c>
      <c r="I132" s="52">
        <f>J132/H132</f>
        <v>269990</v>
      </c>
      <c r="J132" s="52">
        <v>269990</v>
      </c>
      <c r="K132" s="51">
        <v>5</v>
      </c>
      <c r="L132" s="53">
        <f>K132/H132*30</f>
        <v>150</v>
      </c>
    </row>
    <row r="133" spans="1:12" s="2" customFormat="1" ht="13.95" customHeight="1" x14ac:dyDescent="0.2">
      <c r="A133" s="50" t="s">
        <v>70</v>
      </c>
      <c r="B133" s="50" t="s">
        <v>4</v>
      </c>
      <c r="C133" s="50" t="s">
        <v>48</v>
      </c>
      <c r="D133" s="50" t="s">
        <v>315</v>
      </c>
      <c r="E133" s="50" t="s">
        <v>313</v>
      </c>
      <c r="F133" s="50" t="s">
        <v>128</v>
      </c>
      <c r="G133" s="50" t="s">
        <v>316</v>
      </c>
      <c r="H133" s="51">
        <v>1</v>
      </c>
      <c r="I133" s="52">
        <f>J133/H133</f>
        <v>269990</v>
      </c>
      <c r="J133" s="52">
        <v>269990</v>
      </c>
      <c r="K133" s="51">
        <v>10</v>
      </c>
      <c r="L133" s="53">
        <f>K133/H133*30</f>
        <v>300</v>
      </c>
    </row>
    <row r="134" spans="1:12" s="2" customFormat="1" ht="13.95" customHeight="1" x14ac:dyDescent="0.2">
      <c r="A134" s="50" t="s">
        <v>70</v>
      </c>
      <c r="B134" s="50" t="s">
        <v>4</v>
      </c>
      <c r="C134" s="50" t="s">
        <v>46</v>
      </c>
      <c r="D134" s="50" t="s">
        <v>317</v>
      </c>
      <c r="E134" s="50" t="s">
        <v>179</v>
      </c>
      <c r="F134" s="50" t="s">
        <v>106</v>
      </c>
      <c r="G134" s="50" t="s">
        <v>97</v>
      </c>
      <c r="H134" s="51">
        <v>2</v>
      </c>
      <c r="I134" s="52">
        <f>J134/H134</f>
        <v>134990</v>
      </c>
      <c r="J134" s="52">
        <v>269980</v>
      </c>
      <c r="K134" s="51">
        <v>10</v>
      </c>
      <c r="L134" s="53">
        <f>K134/H134*30</f>
        <v>150</v>
      </c>
    </row>
    <row r="135" spans="1:12" s="2" customFormat="1" ht="13.95" customHeight="1" x14ac:dyDescent="0.2">
      <c r="A135" s="50" t="s">
        <v>70</v>
      </c>
      <c r="B135" s="50" t="s">
        <v>4</v>
      </c>
      <c r="C135" s="50" t="s">
        <v>46</v>
      </c>
      <c r="D135" s="50" t="s">
        <v>318</v>
      </c>
      <c r="E135" s="50" t="s">
        <v>179</v>
      </c>
      <c r="F135" s="50" t="s">
        <v>106</v>
      </c>
      <c r="G135" s="50" t="s">
        <v>86</v>
      </c>
      <c r="H135" s="51">
        <v>2</v>
      </c>
      <c r="I135" s="52">
        <f>J135/H135</f>
        <v>134990</v>
      </c>
      <c r="J135" s="52">
        <v>269980</v>
      </c>
      <c r="K135" s="51">
        <v>26</v>
      </c>
      <c r="L135" s="53">
        <f>K135/H135*30</f>
        <v>390</v>
      </c>
    </row>
    <row r="136" spans="1:12" s="2" customFormat="1" ht="13.95" customHeight="1" x14ac:dyDescent="0.2">
      <c r="A136" s="50" t="s">
        <v>70</v>
      </c>
      <c r="B136" s="50" t="s">
        <v>5</v>
      </c>
      <c r="C136" s="50" t="s">
        <v>30</v>
      </c>
      <c r="D136" s="50" t="s">
        <v>319</v>
      </c>
      <c r="E136" s="50" t="s">
        <v>320</v>
      </c>
      <c r="F136" s="50" t="s">
        <v>73</v>
      </c>
      <c r="G136" s="50" t="s">
        <v>88</v>
      </c>
      <c r="H136" s="51">
        <v>3</v>
      </c>
      <c r="I136" s="52">
        <f>J136/H136</f>
        <v>89990</v>
      </c>
      <c r="J136" s="52">
        <v>269970</v>
      </c>
      <c r="K136" s="51">
        <v>15</v>
      </c>
      <c r="L136" s="53">
        <f>K136/H136*30</f>
        <v>150</v>
      </c>
    </row>
    <row r="137" spans="1:12" s="2" customFormat="1" ht="13.95" customHeight="1" x14ac:dyDescent="0.2">
      <c r="A137" s="50" t="s">
        <v>70</v>
      </c>
      <c r="B137" s="50" t="s">
        <v>5</v>
      </c>
      <c r="C137" s="50" t="s">
        <v>30</v>
      </c>
      <c r="D137" s="50" t="s">
        <v>321</v>
      </c>
      <c r="E137" s="50" t="s">
        <v>322</v>
      </c>
      <c r="F137" s="50" t="s">
        <v>73</v>
      </c>
      <c r="G137" s="50" t="s">
        <v>88</v>
      </c>
      <c r="H137" s="51">
        <v>3</v>
      </c>
      <c r="I137" s="52">
        <f>J137/H137</f>
        <v>89990</v>
      </c>
      <c r="J137" s="52">
        <v>269970</v>
      </c>
      <c r="K137" s="51">
        <v>4</v>
      </c>
      <c r="L137" s="53">
        <f>K137/H137*30</f>
        <v>40</v>
      </c>
    </row>
    <row r="138" spans="1:12" s="2" customFormat="1" ht="13.95" customHeight="1" x14ac:dyDescent="0.2">
      <c r="A138" s="50" t="s">
        <v>70</v>
      </c>
      <c r="B138" s="50" t="s">
        <v>5</v>
      </c>
      <c r="C138" s="50" t="s">
        <v>30</v>
      </c>
      <c r="D138" s="50" t="s">
        <v>323</v>
      </c>
      <c r="E138" s="50" t="s">
        <v>324</v>
      </c>
      <c r="F138" s="50" t="s">
        <v>106</v>
      </c>
      <c r="G138" s="50" t="s">
        <v>74</v>
      </c>
      <c r="H138" s="51">
        <v>3</v>
      </c>
      <c r="I138" s="52">
        <f>J138/H138</f>
        <v>89990</v>
      </c>
      <c r="J138" s="52">
        <v>269970</v>
      </c>
      <c r="K138" s="51">
        <v>12</v>
      </c>
      <c r="L138" s="53">
        <f>K138/H138*30</f>
        <v>120</v>
      </c>
    </row>
    <row r="139" spans="1:12" s="2" customFormat="1" ht="13.95" customHeight="1" x14ac:dyDescent="0.2">
      <c r="A139" s="50" t="s">
        <v>70</v>
      </c>
      <c r="B139" s="50" t="s">
        <v>4</v>
      </c>
      <c r="C139" s="50" t="s">
        <v>46</v>
      </c>
      <c r="D139" s="50" t="s">
        <v>325</v>
      </c>
      <c r="E139" s="50" t="s">
        <v>326</v>
      </c>
      <c r="F139" s="50" t="s">
        <v>128</v>
      </c>
      <c r="G139" s="50" t="s">
        <v>129</v>
      </c>
      <c r="H139" s="51">
        <v>3</v>
      </c>
      <c r="I139" s="52">
        <f>J139/H139</f>
        <v>89990</v>
      </c>
      <c r="J139" s="52">
        <v>269970</v>
      </c>
      <c r="K139" s="51">
        <v>5</v>
      </c>
      <c r="L139" s="53">
        <f>K139/H139*30</f>
        <v>50</v>
      </c>
    </row>
    <row r="140" spans="1:12" s="2" customFormat="1" ht="13.95" customHeight="1" x14ac:dyDescent="0.2">
      <c r="A140" s="50" t="s">
        <v>70</v>
      </c>
      <c r="B140" s="50" t="s">
        <v>4</v>
      </c>
      <c r="C140" s="50" t="s">
        <v>46</v>
      </c>
      <c r="D140" s="50" t="s">
        <v>327</v>
      </c>
      <c r="E140" s="50" t="s">
        <v>328</v>
      </c>
      <c r="F140" s="50" t="s">
        <v>106</v>
      </c>
      <c r="G140" s="50" t="s">
        <v>112</v>
      </c>
      <c r="H140" s="51">
        <v>3</v>
      </c>
      <c r="I140" s="52">
        <f>J140/H140</f>
        <v>89990</v>
      </c>
      <c r="J140" s="52">
        <v>269970</v>
      </c>
      <c r="K140" s="51">
        <v>14</v>
      </c>
      <c r="L140" s="53">
        <f>K140/H140*30</f>
        <v>140</v>
      </c>
    </row>
    <row r="141" spans="1:12" s="2" customFormat="1" ht="13.95" customHeight="1" x14ac:dyDescent="0.2">
      <c r="A141" s="50" t="s">
        <v>70</v>
      </c>
      <c r="B141" s="50" t="s">
        <v>5</v>
      </c>
      <c r="C141" s="50" t="s">
        <v>45</v>
      </c>
      <c r="D141" s="50" t="s">
        <v>329</v>
      </c>
      <c r="E141" s="50" t="s">
        <v>173</v>
      </c>
      <c r="F141" s="50" t="s">
        <v>106</v>
      </c>
      <c r="G141" s="50" t="s">
        <v>330</v>
      </c>
      <c r="H141" s="51">
        <v>10</v>
      </c>
      <c r="I141" s="52">
        <f>J141/H141</f>
        <v>26990</v>
      </c>
      <c r="J141" s="52">
        <v>269900</v>
      </c>
      <c r="K141" s="51">
        <v>6</v>
      </c>
      <c r="L141" s="53">
        <f>K141/H141*30</f>
        <v>18</v>
      </c>
    </row>
    <row r="142" spans="1:12" s="2" customFormat="1" ht="13.95" customHeight="1" x14ac:dyDescent="0.2">
      <c r="A142" s="50" t="s">
        <v>70</v>
      </c>
      <c r="B142" s="50" t="s">
        <v>5</v>
      </c>
      <c r="C142" s="50" t="s">
        <v>33</v>
      </c>
      <c r="D142" s="50" t="s">
        <v>331</v>
      </c>
      <c r="E142" s="50" t="s">
        <v>120</v>
      </c>
      <c r="F142" s="50" t="s">
        <v>73</v>
      </c>
      <c r="G142" s="50" t="s">
        <v>97</v>
      </c>
      <c r="H142" s="51">
        <v>4</v>
      </c>
      <c r="I142" s="52">
        <f>J142/H142</f>
        <v>65990</v>
      </c>
      <c r="J142" s="52">
        <v>263960</v>
      </c>
      <c r="K142" s="51">
        <v>13</v>
      </c>
      <c r="L142" s="53">
        <f>K142/H142*30</f>
        <v>97.5</v>
      </c>
    </row>
    <row r="143" spans="1:12" s="2" customFormat="1" ht="13.95" customHeight="1" x14ac:dyDescent="0.2">
      <c r="A143" s="50" t="s">
        <v>70</v>
      </c>
      <c r="B143" s="50" t="s">
        <v>5</v>
      </c>
      <c r="C143" s="50" t="s">
        <v>33</v>
      </c>
      <c r="D143" s="50" t="s">
        <v>332</v>
      </c>
      <c r="E143" s="50" t="s">
        <v>333</v>
      </c>
      <c r="F143" s="50" t="s">
        <v>73</v>
      </c>
      <c r="G143" s="50" t="s">
        <v>88</v>
      </c>
      <c r="H143" s="51">
        <v>11</v>
      </c>
      <c r="I143" s="52">
        <f>J143/H143</f>
        <v>23990</v>
      </c>
      <c r="J143" s="52">
        <v>263890</v>
      </c>
      <c r="K143" s="51">
        <v>27</v>
      </c>
      <c r="L143" s="53">
        <f>K143/H143*30</f>
        <v>73.63636363636364</v>
      </c>
    </row>
    <row r="144" spans="1:12" s="2" customFormat="1" ht="13.95" customHeight="1" x14ac:dyDescent="0.2">
      <c r="A144" s="50" t="s">
        <v>70</v>
      </c>
      <c r="B144" s="50" t="s">
        <v>4</v>
      </c>
      <c r="C144" s="50" t="s">
        <v>52</v>
      </c>
      <c r="D144" s="50" t="s">
        <v>334</v>
      </c>
      <c r="E144" s="50" t="s">
        <v>335</v>
      </c>
      <c r="F144" s="50" t="s">
        <v>73</v>
      </c>
      <c r="G144" s="50" t="s">
        <v>86</v>
      </c>
      <c r="H144" s="51">
        <v>1</v>
      </c>
      <c r="I144" s="52">
        <f>J144/H144</f>
        <v>259990</v>
      </c>
      <c r="J144" s="52">
        <v>259990</v>
      </c>
      <c r="K144" s="51">
        <v>8</v>
      </c>
      <c r="L144" s="53">
        <f>K144/H144*30</f>
        <v>240</v>
      </c>
    </row>
    <row r="145" spans="1:12" s="2" customFormat="1" ht="13.95" customHeight="1" x14ac:dyDescent="0.2">
      <c r="A145" s="50" t="s">
        <v>70</v>
      </c>
      <c r="B145" s="50" t="s">
        <v>4</v>
      </c>
      <c r="C145" s="50" t="s">
        <v>52</v>
      </c>
      <c r="D145" s="50" t="s">
        <v>336</v>
      </c>
      <c r="E145" s="50" t="s">
        <v>335</v>
      </c>
      <c r="F145" s="50" t="s">
        <v>73</v>
      </c>
      <c r="G145" s="50" t="s">
        <v>84</v>
      </c>
      <c r="H145" s="51">
        <v>1</v>
      </c>
      <c r="I145" s="52">
        <f>J145/H145</f>
        <v>259990</v>
      </c>
      <c r="J145" s="52">
        <v>259990</v>
      </c>
      <c r="K145" s="51">
        <v>5</v>
      </c>
      <c r="L145" s="53">
        <f>K145/H145*30</f>
        <v>150</v>
      </c>
    </row>
    <row r="146" spans="1:12" s="2" customFormat="1" ht="13.95" customHeight="1" x14ac:dyDescent="0.2">
      <c r="A146" s="50" t="s">
        <v>70</v>
      </c>
      <c r="B146" s="50" t="s">
        <v>5</v>
      </c>
      <c r="C146" s="50" t="s">
        <v>34</v>
      </c>
      <c r="D146" s="50" t="s">
        <v>337</v>
      </c>
      <c r="E146" s="50" t="s">
        <v>338</v>
      </c>
      <c r="F146" s="50" t="s">
        <v>73</v>
      </c>
      <c r="G146" s="50" t="s">
        <v>84</v>
      </c>
      <c r="H146" s="51">
        <v>5</v>
      </c>
      <c r="I146" s="52">
        <f>J146/H146</f>
        <v>51990</v>
      </c>
      <c r="J146" s="52">
        <v>259950</v>
      </c>
      <c r="K146" s="51">
        <v>7</v>
      </c>
      <c r="L146" s="53">
        <f>K146/H146*30</f>
        <v>42</v>
      </c>
    </row>
    <row r="147" spans="1:12" s="2" customFormat="1" ht="13.95" customHeight="1" x14ac:dyDescent="0.2">
      <c r="A147" s="50" t="s">
        <v>70</v>
      </c>
      <c r="B147" s="50" t="s">
        <v>5</v>
      </c>
      <c r="C147" s="50" t="s">
        <v>40</v>
      </c>
      <c r="D147" s="50" t="s">
        <v>339</v>
      </c>
      <c r="E147" s="50" t="s">
        <v>340</v>
      </c>
      <c r="F147" s="50" t="s">
        <v>106</v>
      </c>
      <c r="G147" s="50" t="s">
        <v>330</v>
      </c>
      <c r="H147" s="51">
        <v>20</v>
      </c>
      <c r="I147" s="52">
        <f>J147/H147</f>
        <v>12990</v>
      </c>
      <c r="J147" s="52">
        <v>259800</v>
      </c>
      <c r="K147" s="51">
        <v>25</v>
      </c>
      <c r="L147" s="53">
        <f>K147/H147*30</f>
        <v>37.5</v>
      </c>
    </row>
    <row r="148" spans="1:12" s="2" customFormat="1" ht="13.95" customHeight="1" x14ac:dyDescent="0.2">
      <c r="A148" s="50" t="s">
        <v>70</v>
      </c>
      <c r="B148" s="50" t="s">
        <v>4</v>
      </c>
      <c r="C148" s="50" t="s">
        <v>54</v>
      </c>
      <c r="D148" s="50" t="s">
        <v>341</v>
      </c>
      <c r="E148" s="50" t="s">
        <v>342</v>
      </c>
      <c r="F148" s="50" t="s">
        <v>73</v>
      </c>
      <c r="G148" s="50" t="s">
        <v>86</v>
      </c>
      <c r="H148" s="51">
        <v>2</v>
      </c>
      <c r="I148" s="52">
        <f>J148/H148</f>
        <v>127990</v>
      </c>
      <c r="J148" s="52">
        <v>255980</v>
      </c>
      <c r="K148" s="51">
        <v>2</v>
      </c>
      <c r="L148" s="53">
        <f>K148/H148*30</f>
        <v>30</v>
      </c>
    </row>
    <row r="149" spans="1:12" s="2" customFormat="1" ht="13.95" customHeight="1" x14ac:dyDescent="0.2">
      <c r="A149" s="50" t="s">
        <v>70</v>
      </c>
      <c r="B149" s="50" t="s">
        <v>7</v>
      </c>
      <c r="C149" s="50" t="s">
        <v>12</v>
      </c>
      <c r="D149" s="50" t="s">
        <v>343</v>
      </c>
      <c r="E149" s="50" t="s">
        <v>246</v>
      </c>
      <c r="F149" s="50" t="s">
        <v>73</v>
      </c>
      <c r="G149" s="50" t="s">
        <v>344</v>
      </c>
      <c r="H149" s="51">
        <v>3</v>
      </c>
      <c r="I149" s="52">
        <f>J149/H149</f>
        <v>84990</v>
      </c>
      <c r="J149" s="52">
        <v>254970</v>
      </c>
      <c r="K149" s="51">
        <v>13</v>
      </c>
      <c r="L149" s="53">
        <f>K149/H149*30</f>
        <v>130</v>
      </c>
    </row>
    <row r="150" spans="1:12" s="2" customFormat="1" ht="13.95" customHeight="1" x14ac:dyDescent="0.2">
      <c r="A150" s="50" t="s">
        <v>70</v>
      </c>
      <c r="B150" s="50" t="s">
        <v>5</v>
      </c>
      <c r="C150" s="50" t="s">
        <v>34</v>
      </c>
      <c r="D150" s="50" t="s">
        <v>345</v>
      </c>
      <c r="E150" s="50" t="s">
        <v>346</v>
      </c>
      <c r="F150" s="50" t="s">
        <v>73</v>
      </c>
      <c r="G150" s="50" t="s">
        <v>90</v>
      </c>
      <c r="H150" s="51">
        <v>2</v>
      </c>
      <c r="I150" s="52">
        <f>J150/H150</f>
        <v>125990</v>
      </c>
      <c r="J150" s="52">
        <v>251980</v>
      </c>
      <c r="K150" s="51">
        <v>5</v>
      </c>
      <c r="L150" s="53">
        <f>K150/H150*30</f>
        <v>75</v>
      </c>
    </row>
    <row r="151" spans="1:12" s="2" customFormat="1" ht="13.95" customHeight="1" x14ac:dyDescent="0.2">
      <c r="A151" s="50" t="s">
        <v>70</v>
      </c>
      <c r="B151" s="50" t="s">
        <v>5</v>
      </c>
      <c r="C151" s="50" t="s">
        <v>30</v>
      </c>
      <c r="D151" s="50" t="s">
        <v>347</v>
      </c>
      <c r="E151" s="50" t="s">
        <v>348</v>
      </c>
      <c r="F151" s="50" t="s">
        <v>73</v>
      </c>
      <c r="G151" s="50" t="s">
        <v>86</v>
      </c>
      <c r="H151" s="51">
        <v>4</v>
      </c>
      <c r="I151" s="52">
        <f>J151/H151</f>
        <v>62990</v>
      </c>
      <c r="J151" s="52">
        <v>251960</v>
      </c>
      <c r="K151" s="51">
        <v>12</v>
      </c>
      <c r="L151" s="53">
        <f>K151/H151*30</f>
        <v>90</v>
      </c>
    </row>
    <row r="152" spans="1:12" s="2" customFormat="1" ht="13.95" customHeight="1" x14ac:dyDescent="0.2">
      <c r="A152" s="50" t="s">
        <v>238</v>
      </c>
      <c r="B152" s="50" t="s">
        <v>6</v>
      </c>
      <c r="C152" s="50" t="s">
        <v>65</v>
      </c>
      <c r="D152" s="50" t="s">
        <v>349</v>
      </c>
      <c r="E152" s="50" t="s">
        <v>240</v>
      </c>
      <c r="F152" s="50" t="s">
        <v>241</v>
      </c>
      <c r="G152" s="50" t="s">
        <v>330</v>
      </c>
      <c r="H152" s="51">
        <v>5</v>
      </c>
      <c r="I152" s="52">
        <f>J152/H152</f>
        <v>49990</v>
      </c>
      <c r="J152" s="52">
        <v>249950</v>
      </c>
      <c r="K152" s="51">
        <v>3</v>
      </c>
      <c r="L152" s="53">
        <f>K152/H152*30</f>
        <v>18</v>
      </c>
    </row>
    <row r="153" spans="1:12" s="2" customFormat="1" ht="13.95" customHeight="1" x14ac:dyDescent="0.2">
      <c r="A153" s="50" t="s">
        <v>70</v>
      </c>
      <c r="B153" s="50" t="s">
        <v>5</v>
      </c>
      <c r="C153" s="50" t="s">
        <v>30</v>
      </c>
      <c r="D153" s="50" t="s">
        <v>350</v>
      </c>
      <c r="E153" s="50" t="s">
        <v>262</v>
      </c>
      <c r="F153" s="50" t="s">
        <v>106</v>
      </c>
      <c r="G153" s="50" t="s">
        <v>330</v>
      </c>
      <c r="H153" s="51">
        <v>3</v>
      </c>
      <c r="I153" s="52">
        <f>J153/H153</f>
        <v>81990</v>
      </c>
      <c r="J153" s="52">
        <v>245970</v>
      </c>
      <c r="K153" s="51">
        <v>5</v>
      </c>
      <c r="L153" s="53">
        <f>K153/H153*30</f>
        <v>50</v>
      </c>
    </row>
    <row r="154" spans="1:12" s="2" customFormat="1" ht="13.95" customHeight="1" x14ac:dyDescent="0.2">
      <c r="A154" s="50" t="s">
        <v>70</v>
      </c>
      <c r="B154" s="50" t="s">
        <v>4</v>
      </c>
      <c r="C154" s="50" t="s">
        <v>46</v>
      </c>
      <c r="D154" s="50" t="s">
        <v>351</v>
      </c>
      <c r="E154" s="50" t="s">
        <v>328</v>
      </c>
      <c r="F154" s="50" t="s">
        <v>128</v>
      </c>
      <c r="G154" s="50" t="s">
        <v>152</v>
      </c>
      <c r="H154" s="51">
        <v>3</v>
      </c>
      <c r="I154" s="52">
        <f>J154/H154</f>
        <v>81990</v>
      </c>
      <c r="J154" s="52">
        <v>245970</v>
      </c>
      <c r="K154" s="51">
        <v>10</v>
      </c>
      <c r="L154" s="53">
        <f>K154/H154*30</f>
        <v>100</v>
      </c>
    </row>
    <row r="155" spans="1:12" s="2" customFormat="1" ht="13.95" customHeight="1" x14ac:dyDescent="0.2">
      <c r="A155" s="50" t="s">
        <v>70</v>
      </c>
      <c r="B155" s="50" t="s">
        <v>4</v>
      </c>
      <c r="C155" s="50" t="s">
        <v>46</v>
      </c>
      <c r="D155" s="50" t="s">
        <v>352</v>
      </c>
      <c r="E155" s="50" t="s">
        <v>353</v>
      </c>
      <c r="F155" s="50" t="s">
        <v>73</v>
      </c>
      <c r="G155" s="50" t="s">
        <v>88</v>
      </c>
      <c r="H155" s="51">
        <v>1</v>
      </c>
      <c r="I155" s="52">
        <f>J155/H155</f>
        <v>244990</v>
      </c>
      <c r="J155" s="52">
        <v>244990</v>
      </c>
      <c r="K155" s="51">
        <v>7</v>
      </c>
      <c r="L155" s="53">
        <f>K155/H155*30</f>
        <v>210</v>
      </c>
    </row>
    <row r="156" spans="1:12" s="2" customFormat="1" ht="13.95" customHeight="1" x14ac:dyDescent="0.2">
      <c r="A156" s="50" t="s">
        <v>70</v>
      </c>
      <c r="B156" s="50" t="s">
        <v>5</v>
      </c>
      <c r="C156" s="50" t="s">
        <v>45</v>
      </c>
      <c r="D156" s="50" t="s">
        <v>354</v>
      </c>
      <c r="E156" s="50" t="s">
        <v>173</v>
      </c>
      <c r="F156" s="50" t="s">
        <v>73</v>
      </c>
      <c r="G156" s="50" t="s">
        <v>97</v>
      </c>
      <c r="H156" s="51">
        <v>9</v>
      </c>
      <c r="I156" s="52">
        <f>J156/H156</f>
        <v>26990</v>
      </c>
      <c r="J156" s="52">
        <v>242910</v>
      </c>
      <c r="K156" s="51">
        <v>1</v>
      </c>
      <c r="L156" s="53">
        <f>K156/H156*30</f>
        <v>3.333333333333333</v>
      </c>
    </row>
    <row r="157" spans="1:12" s="2" customFormat="1" ht="13.95" customHeight="1" x14ac:dyDescent="0.2">
      <c r="A157" s="50" t="s">
        <v>70</v>
      </c>
      <c r="B157" s="50" t="s">
        <v>5</v>
      </c>
      <c r="C157" s="50" t="s">
        <v>45</v>
      </c>
      <c r="D157" s="50" t="s">
        <v>355</v>
      </c>
      <c r="E157" s="50" t="s">
        <v>356</v>
      </c>
      <c r="F157" s="50" t="s">
        <v>73</v>
      </c>
      <c r="G157" s="50" t="s">
        <v>330</v>
      </c>
      <c r="H157" s="51">
        <v>9</v>
      </c>
      <c r="I157" s="52">
        <f>J157/H157</f>
        <v>26990</v>
      </c>
      <c r="J157" s="52">
        <v>242910</v>
      </c>
      <c r="K157" s="51">
        <v>5</v>
      </c>
      <c r="L157" s="53">
        <f>K157/H157*30</f>
        <v>16.666666666666668</v>
      </c>
    </row>
    <row r="158" spans="1:12" s="2" customFormat="1" ht="13.95" customHeight="1" x14ac:dyDescent="0.2">
      <c r="A158" s="50" t="s">
        <v>70</v>
      </c>
      <c r="B158" s="50" t="s">
        <v>4</v>
      </c>
      <c r="C158" s="50" t="s">
        <v>52</v>
      </c>
      <c r="D158" s="50" t="s">
        <v>357</v>
      </c>
      <c r="E158" s="50" t="s">
        <v>158</v>
      </c>
      <c r="F158" s="50" t="s">
        <v>73</v>
      </c>
      <c r="G158" s="50" t="s">
        <v>88</v>
      </c>
      <c r="H158" s="51">
        <v>1</v>
      </c>
      <c r="I158" s="52">
        <f>J158/H158</f>
        <v>239990</v>
      </c>
      <c r="J158" s="52">
        <v>239990</v>
      </c>
      <c r="K158" s="51">
        <v>13</v>
      </c>
      <c r="L158" s="53">
        <f>K158/H158*30</f>
        <v>390</v>
      </c>
    </row>
    <row r="159" spans="1:12" s="2" customFormat="1" ht="13.95" customHeight="1" x14ac:dyDescent="0.2">
      <c r="A159" s="50" t="s">
        <v>70</v>
      </c>
      <c r="B159" s="50" t="s">
        <v>4</v>
      </c>
      <c r="C159" s="50" t="s">
        <v>52</v>
      </c>
      <c r="D159" s="50" t="s">
        <v>358</v>
      </c>
      <c r="E159" s="50" t="s">
        <v>158</v>
      </c>
      <c r="F159" s="50" t="s">
        <v>73</v>
      </c>
      <c r="G159" s="50" t="s">
        <v>86</v>
      </c>
      <c r="H159" s="51">
        <v>1</v>
      </c>
      <c r="I159" s="52">
        <f>J159/H159</f>
        <v>239990</v>
      </c>
      <c r="J159" s="52">
        <v>239990</v>
      </c>
      <c r="K159" s="51">
        <v>8</v>
      </c>
      <c r="L159" s="53">
        <f>K159/H159*30</f>
        <v>240</v>
      </c>
    </row>
    <row r="160" spans="1:12" s="2" customFormat="1" ht="13.95" customHeight="1" x14ac:dyDescent="0.2">
      <c r="A160" s="50" t="s">
        <v>70</v>
      </c>
      <c r="B160" s="50" t="s">
        <v>4</v>
      </c>
      <c r="C160" s="50" t="s">
        <v>52</v>
      </c>
      <c r="D160" s="50" t="s">
        <v>359</v>
      </c>
      <c r="E160" s="50" t="s">
        <v>158</v>
      </c>
      <c r="F160" s="50" t="s">
        <v>223</v>
      </c>
      <c r="G160" s="50" t="s">
        <v>224</v>
      </c>
      <c r="H160" s="51">
        <v>1</v>
      </c>
      <c r="I160" s="52">
        <f>J160/H160</f>
        <v>239990</v>
      </c>
      <c r="J160" s="52">
        <v>239990</v>
      </c>
      <c r="K160" s="51">
        <v>4</v>
      </c>
      <c r="L160" s="53">
        <f>K160/H160*30</f>
        <v>120</v>
      </c>
    </row>
    <row r="161" spans="1:12" s="2" customFormat="1" ht="13.95" customHeight="1" x14ac:dyDescent="0.2">
      <c r="A161" s="50" t="s">
        <v>70</v>
      </c>
      <c r="B161" s="50" t="s">
        <v>11</v>
      </c>
      <c r="C161" s="50" t="s">
        <v>11</v>
      </c>
      <c r="D161" s="50" t="s">
        <v>360</v>
      </c>
      <c r="E161" s="50" t="s">
        <v>361</v>
      </c>
      <c r="F161" s="50"/>
      <c r="G161" s="50"/>
      <c r="H161" s="51">
        <v>1</v>
      </c>
      <c r="I161" s="52">
        <f>J161/H161</f>
        <v>239990</v>
      </c>
      <c r="J161" s="52">
        <v>239990</v>
      </c>
      <c r="K161" s="51">
        <v>0</v>
      </c>
      <c r="L161" s="53">
        <f>K161/H161*30</f>
        <v>0</v>
      </c>
    </row>
    <row r="162" spans="1:12" s="2" customFormat="1" ht="13.95" customHeight="1" x14ac:dyDescent="0.2">
      <c r="A162" s="50" t="s">
        <v>362</v>
      </c>
      <c r="B162" s="50" t="s">
        <v>9</v>
      </c>
      <c r="C162" s="50" t="s">
        <v>28</v>
      </c>
      <c r="D162" s="50" t="s">
        <v>363</v>
      </c>
      <c r="E162" s="50" t="s">
        <v>364</v>
      </c>
      <c r="F162" s="50" t="s">
        <v>365</v>
      </c>
      <c r="G162" s="50" t="s">
        <v>84</v>
      </c>
      <c r="H162" s="51">
        <v>2</v>
      </c>
      <c r="I162" s="52">
        <f>J162/H162</f>
        <v>119990</v>
      </c>
      <c r="J162" s="52">
        <v>239980</v>
      </c>
      <c r="K162" s="51">
        <v>3</v>
      </c>
      <c r="L162" s="53">
        <f>K162/H162*30</f>
        <v>45</v>
      </c>
    </row>
    <row r="163" spans="1:12" s="2" customFormat="1" ht="13.95" customHeight="1" x14ac:dyDescent="0.2">
      <c r="A163" s="50" t="s">
        <v>362</v>
      </c>
      <c r="B163" s="50" t="s">
        <v>9</v>
      </c>
      <c r="C163" s="50" t="s">
        <v>28</v>
      </c>
      <c r="D163" s="50" t="s">
        <v>366</v>
      </c>
      <c r="E163" s="50" t="s">
        <v>364</v>
      </c>
      <c r="F163" s="50" t="s">
        <v>365</v>
      </c>
      <c r="G163" s="50" t="s">
        <v>330</v>
      </c>
      <c r="H163" s="51">
        <v>2</v>
      </c>
      <c r="I163" s="52">
        <f>J163/H163</f>
        <v>119990</v>
      </c>
      <c r="J163" s="52">
        <v>239980</v>
      </c>
      <c r="K163" s="51">
        <v>1</v>
      </c>
      <c r="L163" s="53">
        <f>K163/H163*30</f>
        <v>15</v>
      </c>
    </row>
    <row r="164" spans="1:12" s="2" customFormat="1" ht="13.95" customHeight="1" x14ac:dyDescent="0.2">
      <c r="A164" s="50" t="s">
        <v>362</v>
      </c>
      <c r="B164" s="50" t="s">
        <v>9</v>
      </c>
      <c r="C164" s="50" t="s">
        <v>28</v>
      </c>
      <c r="D164" s="50" t="s">
        <v>367</v>
      </c>
      <c r="E164" s="50" t="s">
        <v>368</v>
      </c>
      <c r="F164" s="50" t="s">
        <v>365</v>
      </c>
      <c r="G164" s="50" t="s">
        <v>369</v>
      </c>
      <c r="H164" s="51">
        <v>2</v>
      </c>
      <c r="I164" s="52">
        <f>J164/H164</f>
        <v>119990</v>
      </c>
      <c r="J164" s="52">
        <v>239980</v>
      </c>
      <c r="K164" s="51">
        <v>3</v>
      </c>
      <c r="L164" s="53">
        <f>K164/H164*30</f>
        <v>45</v>
      </c>
    </row>
    <row r="165" spans="1:12" s="2" customFormat="1" ht="13.95" customHeight="1" x14ac:dyDescent="0.2">
      <c r="A165" s="50" t="s">
        <v>362</v>
      </c>
      <c r="B165" s="50" t="s">
        <v>9</v>
      </c>
      <c r="C165" s="50" t="s">
        <v>28</v>
      </c>
      <c r="D165" s="50" t="s">
        <v>370</v>
      </c>
      <c r="E165" s="50" t="s">
        <v>368</v>
      </c>
      <c r="F165" s="50" t="s">
        <v>365</v>
      </c>
      <c r="G165" s="50" t="s">
        <v>86</v>
      </c>
      <c r="H165" s="51">
        <v>2</v>
      </c>
      <c r="I165" s="52">
        <f>J165/H165</f>
        <v>119990</v>
      </c>
      <c r="J165" s="52">
        <v>239980</v>
      </c>
      <c r="K165" s="51">
        <v>24</v>
      </c>
      <c r="L165" s="53">
        <f>K165/H165*30</f>
        <v>360</v>
      </c>
    </row>
    <row r="166" spans="1:12" s="2" customFormat="1" ht="13.95" customHeight="1" x14ac:dyDescent="0.2">
      <c r="A166" s="50" t="s">
        <v>257</v>
      </c>
      <c r="B166" s="50" t="s">
        <v>6</v>
      </c>
      <c r="C166" s="50" t="s">
        <v>60</v>
      </c>
      <c r="D166" s="50" t="s">
        <v>371</v>
      </c>
      <c r="E166" s="50" t="s">
        <v>259</v>
      </c>
      <c r="F166" s="50" t="s">
        <v>260</v>
      </c>
      <c r="G166" s="50" t="s">
        <v>143</v>
      </c>
      <c r="H166" s="51">
        <v>8</v>
      </c>
      <c r="I166" s="52">
        <f>J166/H166</f>
        <v>29990</v>
      </c>
      <c r="J166" s="52">
        <v>239920</v>
      </c>
      <c r="K166" s="51">
        <v>138</v>
      </c>
      <c r="L166" s="53">
        <f>K166/H166*30</f>
        <v>517.5</v>
      </c>
    </row>
    <row r="167" spans="1:12" s="2" customFormat="1" ht="13.95" customHeight="1" x14ac:dyDescent="0.2">
      <c r="A167" s="50" t="s">
        <v>70</v>
      </c>
      <c r="B167" s="50" t="s">
        <v>5</v>
      </c>
      <c r="C167" s="50" t="s">
        <v>42</v>
      </c>
      <c r="D167" s="50" t="s">
        <v>372</v>
      </c>
      <c r="E167" s="50" t="s">
        <v>373</v>
      </c>
      <c r="F167" s="50" t="s">
        <v>374</v>
      </c>
      <c r="G167" s="50" t="s">
        <v>140</v>
      </c>
      <c r="H167" s="51">
        <v>15</v>
      </c>
      <c r="I167" s="52">
        <f>J167/H167</f>
        <v>15990</v>
      </c>
      <c r="J167" s="52">
        <v>239850</v>
      </c>
      <c r="K167" s="51">
        <v>53</v>
      </c>
      <c r="L167" s="53">
        <f>K167/H167*30</f>
        <v>106</v>
      </c>
    </row>
    <row r="168" spans="1:12" s="2" customFormat="1" ht="13.95" customHeight="1" x14ac:dyDescent="0.2">
      <c r="A168" s="50" t="s">
        <v>70</v>
      </c>
      <c r="B168" s="50" t="s">
        <v>5</v>
      </c>
      <c r="C168" s="50" t="s">
        <v>32</v>
      </c>
      <c r="D168" s="50" t="s">
        <v>375</v>
      </c>
      <c r="E168" s="50" t="s">
        <v>376</v>
      </c>
      <c r="F168" s="50" t="s">
        <v>223</v>
      </c>
      <c r="G168" s="50" t="s">
        <v>224</v>
      </c>
      <c r="H168" s="51">
        <v>2</v>
      </c>
      <c r="I168" s="52">
        <f>J168/H168</f>
        <v>116990</v>
      </c>
      <c r="J168" s="52">
        <v>233980</v>
      </c>
      <c r="K168" s="51">
        <v>6</v>
      </c>
      <c r="L168" s="53">
        <f>K168/H168*30</f>
        <v>90</v>
      </c>
    </row>
    <row r="169" spans="1:12" s="2" customFormat="1" ht="13.95" customHeight="1" x14ac:dyDescent="0.2">
      <c r="A169" s="50" t="s">
        <v>70</v>
      </c>
      <c r="B169" s="50" t="s">
        <v>4</v>
      </c>
      <c r="C169" s="50" t="s">
        <v>49</v>
      </c>
      <c r="D169" s="50" t="s">
        <v>377</v>
      </c>
      <c r="E169" s="50" t="s">
        <v>378</v>
      </c>
      <c r="F169" s="50" t="s">
        <v>73</v>
      </c>
      <c r="G169" s="50" t="s">
        <v>88</v>
      </c>
      <c r="H169" s="51">
        <v>1</v>
      </c>
      <c r="I169" s="52">
        <f>J169/H169</f>
        <v>232990</v>
      </c>
      <c r="J169" s="52">
        <v>232990</v>
      </c>
      <c r="K169" s="51">
        <v>21</v>
      </c>
      <c r="L169" s="53">
        <f>K169/H169*30</f>
        <v>630</v>
      </c>
    </row>
    <row r="170" spans="1:12" s="2" customFormat="1" ht="13.95" customHeight="1" x14ac:dyDescent="0.2">
      <c r="A170" s="50" t="s">
        <v>70</v>
      </c>
      <c r="B170" s="50" t="s">
        <v>4</v>
      </c>
      <c r="C170" s="50" t="s">
        <v>49</v>
      </c>
      <c r="D170" s="50" t="s">
        <v>379</v>
      </c>
      <c r="E170" s="50" t="s">
        <v>378</v>
      </c>
      <c r="F170" s="50" t="s">
        <v>73</v>
      </c>
      <c r="G170" s="50" t="s">
        <v>97</v>
      </c>
      <c r="H170" s="51">
        <v>1</v>
      </c>
      <c r="I170" s="52">
        <f>J170/H170</f>
        <v>232990</v>
      </c>
      <c r="J170" s="52">
        <v>232990</v>
      </c>
      <c r="K170" s="51">
        <v>12</v>
      </c>
      <c r="L170" s="53">
        <f>K170/H170*30</f>
        <v>360</v>
      </c>
    </row>
    <row r="171" spans="1:12" s="2" customFormat="1" ht="13.95" customHeight="1" x14ac:dyDescent="0.2">
      <c r="A171" s="50" t="s">
        <v>70</v>
      </c>
      <c r="B171" s="50" t="s">
        <v>4</v>
      </c>
      <c r="C171" s="50" t="s">
        <v>49</v>
      </c>
      <c r="D171" s="50" t="s">
        <v>380</v>
      </c>
      <c r="E171" s="50" t="s">
        <v>378</v>
      </c>
      <c r="F171" s="50" t="s">
        <v>73</v>
      </c>
      <c r="G171" s="50" t="s">
        <v>74</v>
      </c>
      <c r="H171" s="51">
        <v>1</v>
      </c>
      <c r="I171" s="52">
        <f>J171/H171</f>
        <v>232990</v>
      </c>
      <c r="J171" s="52">
        <v>232990</v>
      </c>
      <c r="K171" s="51">
        <v>13</v>
      </c>
      <c r="L171" s="53">
        <f>K171/H171*30</f>
        <v>390</v>
      </c>
    </row>
    <row r="172" spans="1:12" s="2" customFormat="1" ht="13.95" customHeight="1" x14ac:dyDescent="0.2">
      <c r="A172" s="50" t="s">
        <v>70</v>
      </c>
      <c r="B172" s="50" t="s">
        <v>4</v>
      </c>
      <c r="C172" s="50" t="s">
        <v>49</v>
      </c>
      <c r="D172" s="50" t="s">
        <v>381</v>
      </c>
      <c r="E172" s="50" t="s">
        <v>378</v>
      </c>
      <c r="F172" s="50" t="s">
        <v>73</v>
      </c>
      <c r="G172" s="50" t="s">
        <v>84</v>
      </c>
      <c r="H172" s="51">
        <v>1</v>
      </c>
      <c r="I172" s="52">
        <f>J172/H172</f>
        <v>232990</v>
      </c>
      <c r="J172" s="52">
        <v>232990</v>
      </c>
      <c r="K172" s="51">
        <v>8</v>
      </c>
      <c r="L172" s="53">
        <f>K172/H172*30</f>
        <v>240</v>
      </c>
    </row>
    <row r="173" spans="1:12" s="2" customFormat="1" ht="13.95" customHeight="1" x14ac:dyDescent="0.2">
      <c r="A173" s="50" t="s">
        <v>70</v>
      </c>
      <c r="B173" s="50" t="s">
        <v>4</v>
      </c>
      <c r="C173" s="50" t="s">
        <v>49</v>
      </c>
      <c r="D173" s="50" t="s">
        <v>382</v>
      </c>
      <c r="E173" s="50" t="s">
        <v>378</v>
      </c>
      <c r="F173" s="50" t="s">
        <v>223</v>
      </c>
      <c r="G173" s="50" t="s">
        <v>224</v>
      </c>
      <c r="H173" s="51">
        <v>1</v>
      </c>
      <c r="I173" s="52">
        <f>J173/H173</f>
        <v>232990</v>
      </c>
      <c r="J173" s="52">
        <v>232990</v>
      </c>
      <c r="K173" s="51">
        <v>13</v>
      </c>
      <c r="L173" s="53">
        <f>K173/H173*30</f>
        <v>390</v>
      </c>
    </row>
    <row r="174" spans="1:12" s="2" customFormat="1" ht="13.95" customHeight="1" x14ac:dyDescent="0.2">
      <c r="A174" s="50" t="s">
        <v>70</v>
      </c>
      <c r="B174" s="50" t="s">
        <v>4</v>
      </c>
      <c r="C174" s="50" t="s">
        <v>48</v>
      </c>
      <c r="D174" s="50" t="s">
        <v>383</v>
      </c>
      <c r="E174" s="50" t="s">
        <v>384</v>
      </c>
      <c r="F174" s="50" t="s">
        <v>73</v>
      </c>
      <c r="G174" s="50" t="s">
        <v>88</v>
      </c>
      <c r="H174" s="51">
        <v>1</v>
      </c>
      <c r="I174" s="52">
        <f>J174/H174</f>
        <v>229990</v>
      </c>
      <c r="J174" s="52">
        <v>229990</v>
      </c>
      <c r="K174" s="51">
        <v>4</v>
      </c>
      <c r="L174" s="53">
        <f>K174/H174*30</f>
        <v>120</v>
      </c>
    </row>
    <row r="175" spans="1:12" s="2" customFormat="1" ht="13.95" customHeight="1" x14ac:dyDescent="0.2">
      <c r="A175" s="50" t="s">
        <v>70</v>
      </c>
      <c r="B175" s="50" t="s">
        <v>4</v>
      </c>
      <c r="C175" s="50" t="s">
        <v>48</v>
      </c>
      <c r="D175" s="50" t="s">
        <v>385</v>
      </c>
      <c r="E175" s="50" t="s">
        <v>384</v>
      </c>
      <c r="F175" s="50" t="s">
        <v>73</v>
      </c>
      <c r="G175" s="50" t="s">
        <v>84</v>
      </c>
      <c r="H175" s="51">
        <v>1</v>
      </c>
      <c r="I175" s="52">
        <f>J175/H175</f>
        <v>229990</v>
      </c>
      <c r="J175" s="52">
        <v>229990</v>
      </c>
      <c r="K175" s="51">
        <v>9</v>
      </c>
      <c r="L175" s="53">
        <f>K175/H175*30</f>
        <v>270</v>
      </c>
    </row>
    <row r="176" spans="1:12" s="2" customFormat="1" ht="13.95" customHeight="1" x14ac:dyDescent="0.2">
      <c r="A176" s="50" t="s">
        <v>70</v>
      </c>
      <c r="B176" s="50" t="s">
        <v>4</v>
      </c>
      <c r="C176" s="50" t="s">
        <v>48</v>
      </c>
      <c r="D176" s="50" t="s">
        <v>386</v>
      </c>
      <c r="E176" s="50" t="s">
        <v>96</v>
      </c>
      <c r="F176" s="50" t="s">
        <v>73</v>
      </c>
      <c r="G176" s="50" t="s">
        <v>74</v>
      </c>
      <c r="H176" s="51">
        <v>2</v>
      </c>
      <c r="I176" s="52">
        <f>J176/H176</f>
        <v>114990</v>
      </c>
      <c r="J176" s="52">
        <v>229980</v>
      </c>
      <c r="K176" s="51">
        <v>11</v>
      </c>
      <c r="L176" s="53">
        <f>K176/H176*30</f>
        <v>165</v>
      </c>
    </row>
    <row r="177" spans="1:12" s="2" customFormat="1" ht="13.95" customHeight="1" x14ac:dyDescent="0.2">
      <c r="A177" s="50" t="s">
        <v>70</v>
      </c>
      <c r="B177" s="50" t="s">
        <v>4</v>
      </c>
      <c r="C177" s="50" t="s">
        <v>48</v>
      </c>
      <c r="D177" s="50" t="s">
        <v>387</v>
      </c>
      <c r="E177" s="50" t="s">
        <v>96</v>
      </c>
      <c r="F177" s="50" t="s">
        <v>73</v>
      </c>
      <c r="G177" s="50" t="s">
        <v>84</v>
      </c>
      <c r="H177" s="51">
        <v>2</v>
      </c>
      <c r="I177" s="52">
        <f>J177/H177</f>
        <v>114990</v>
      </c>
      <c r="J177" s="52">
        <v>229980</v>
      </c>
      <c r="K177" s="51">
        <v>11</v>
      </c>
      <c r="L177" s="53">
        <f>K177/H177*30</f>
        <v>165</v>
      </c>
    </row>
    <row r="178" spans="1:12" s="2" customFormat="1" ht="13.95" customHeight="1" x14ac:dyDescent="0.2">
      <c r="A178" s="50" t="s">
        <v>70</v>
      </c>
      <c r="B178" s="50" t="s">
        <v>4</v>
      </c>
      <c r="C178" s="50" t="s">
        <v>48</v>
      </c>
      <c r="D178" s="50" t="s">
        <v>388</v>
      </c>
      <c r="E178" s="50" t="s">
        <v>96</v>
      </c>
      <c r="F178" s="50" t="s">
        <v>374</v>
      </c>
      <c r="G178" s="50" t="s">
        <v>140</v>
      </c>
      <c r="H178" s="51">
        <v>2</v>
      </c>
      <c r="I178" s="52">
        <f>J178/H178</f>
        <v>114990</v>
      </c>
      <c r="J178" s="52">
        <v>229980</v>
      </c>
      <c r="K178" s="51">
        <v>8</v>
      </c>
      <c r="L178" s="53">
        <f>K178/H178*30</f>
        <v>120</v>
      </c>
    </row>
    <row r="179" spans="1:12" s="2" customFormat="1" ht="13.95" customHeight="1" x14ac:dyDescent="0.2">
      <c r="A179" s="50" t="s">
        <v>70</v>
      </c>
      <c r="B179" s="50" t="s">
        <v>4</v>
      </c>
      <c r="C179" s="50" t="s">
        <v>48</v>
      </c>
      <c r="D179" s="50" t="s">
        <v>389</v>
      </c>
      <c r="E179" s="50" t="s">
        <v>96</v>
      </c>
      <c r="F179" s="50" t="s">
        <v>374</v>
      </c>
      <c r="G179" s="50" t="s">
        <v>330</v>
      </c>
      <c r="H179" s="51">
        <v>2</v>
      </c>
      <c r="I179" s="52">
        <f>J179/H179</f>
        <v>114990</v>
      </c>
      <c r="J179" s="52">
        <v>229980</v>
      </c>
      <c r="K179" s="51">
        <v>7</v>
      </c>
      <c r="L179" s="53">
        <f>K179/H179*30</f>
        <v>105</v>
      </c>
    </row>
    <row r="180" spans="1:12" s="2" customFormat="1" ht="13.95" customHeight="1" x14ac:dyDescent="0.2">
      <c r="A180" s="50" t="s">
        <v>70</v>
      </c>
      <c r="B180" s="50" t="s">
        <v>4</v>
      </c>
      <c r="C180" s="50" t="s">
        <v>46</v>
      </c>
      <c r="D180" s="50" t="s">
        <v>390</v>
      </c>
      <c r="E180" s="50" t="s">
        <v>164</v>
      </c>
      <c r="F180" s="50" t="s">
        <v>106</v>
      </c>
      <c r="G180" s="50" t="s">
        <v>88</v>
      </c>
      <c r="H180" s="51">
        <v>2</v>
      </c>
      <c r="I180" s="52">
        <f>J180/H180</f>
        <v>112990</v>
      </c>
      <c r="J180" s="52">
        <v>225980</v>
      </c>
      <c r="K180" s="51">
        <v>6</v>
      </c>
      <c r="L180" s="53">
        <f>K180/H180*30</f>
        <v>90</v>
      </c>
    </row>
    <row r="181" spans="1:12" s="2" customFormat="1" ht="13.95" customHeight="1" x14ac:dyDescent="0.2">
      <c r="A181" s="50" t="s">
        <v>70</v>
      </c>
      <c r="B181" s="50" t="s">
        <v>4</v>
      </c>
      <c r="C181" s="50" t="s">
        <v>50</v>
      </c>
      <c r="D181" s="50" t="s">
        <v>391</v>
      </c>
      <c r="E181" s="50" t="s">
        <v>392</v>
      </c>
      <c r="F181" s="50" t="s">
        <v>73</v>
      </c>
      <c r="G181" s="50" t="s">
        <v>90</v>
      </c>
      <c r="H181" s="51">
        <v>1</v>
      </c>
      <c r="I181" s="52">
        <f>J181/H181</f>
        <v>224990</v>
      </c>
      <c r="J181" s="52">
        <v>224990</v>
      </c>
      <c r="K181" s="51">
        <v>2</v>
      </c>
      <c r="L181" s="53">
        <f>K181/H181*30</f>
        <v>60</v>
      </c>
    </row>
    <row r="182" spans="1:12" s="2" customFormat="1" ht="13.95" customHeight="1" x14ac:dyDescent="0.2">
      <c r="A182" s="50" t="s">
        <v>70</v>
      </c>
      <c r="B182" s="50" t="s">
        <v>4</v>
      </c>
      <c r="C182" s="50" t="s">
        <v>50</v>
      </c>
      <c r="D182" s="50" t="s">
        <v>393</v>
      </c>
      <c r="E182" s="50" t="s">
        <v>392</v>
      </c>
      <c r="F182" s="50" t="s">
        <v>73</v>
      </c>
      <c r="G182" s="50" t="s">
        <v>86</v>
      </c>
      <c r="H182" s="51">
        <v>1</v>
      </c>
      <c r="I182" s="52">
        <f>J182/H182</f>
        <v>224990</v>
      </c>
      <c r="J182" s="52">
        <v>224990</v>
      </c>
      <c r="K182" s="51">
        <v>12</v>
      </c>
      <c r="L182" s="53">
        <f>K182/H182*30</f>
        <v>360</v>
      </c>
    </row>
    <row r="183" spans="1:12" s="2" customFormat="1" ht="13.95" customHeight="1" x14ac:dyDescent="0.2">
      <c r="A183" s="50" t="s">
        <v>70</v>
      </c>
      <c r="B183" s="50" t="s">
        <v>5</v>
      </c>
      <c r="C183" s="50" t="s">
        <v>30</v>
      </c>
      <c r="D183" s="50" t="s">
        <v>394</v>
      </c>
      <c r="E183" s="50" t="s">
        <v>92</v>
      </c>
      <c r="F183" s="50" t="s">
        <v>177</v>
      </c>
      <c r="G183" s="50" t="s">
        <v>86</v>
      </c>
      <c r="H183" s="51">
        <v>5</v>
      </c>
      <c r="I183" s="52">
        <f>J183/H183</f>
        <v>44990</v>
      </c>
      <c r="J183" s="52">
        <v>224950</v>
      </c>
      <c r="K183" s="51">
        <v>52</v>
      </c>
      <c r="L183" s="53">
        <f>K183/H183*30</f>
        <v>312</v>
      </c>
    </row>
    <row r="184" spans="1:12" s="2" customFormat="1" ht="13.95" customHeight="1" x14ac:dyDescent="0.2">
      <c r="A184" s="50" t="s">
        <v>70</v>
      </c>
      <c r="B184" s="50" t="s">
        <v>5</v>
      </c>
      <c r="C184" s="50" t="s">
        <v>30</v>
      </c>
      <c r="D184" s="50" t="s">
        <v>395</v>
      </c>
      <c r="E184" s="50" t="s">
        <v>92</v>
      </c>
      <c r="F184" s="50" t="s">
        <v>106</v>
      </c>
      <c r="G184" s="50" t="s">
        <v>330</v>
      </c>
      <c r="H184" s="51">
        <v>5</v>
      </c>
      <c r="I184" s="52">
        <f>J184/H184</f>
        <v>44990</v>
      </c>
      <c r="J184" s="52">
        <v>224950</v>
      </c>
      <c r="K184" s="51">
        <v>5</v>
      </c>
      <c r="L184" s="53">
        <f>K184/H184*30</f>
        <v>30</v>
      </c>
    </row>
    <row r="185" spans="1:12" s="2" customFormat="1" ht="13.95" customHeight="1" x14ac:dyDescent="0.2">
      <c r="A185" s="50" t="s">
        <v>70</v>
      </c>
      <c r="B185" s="50" t="s">
        <v>5</v>
      </c>
      <c r="C185" s="50" t="s">
        <v>30</v>
      </c>
      <c r="D185" s="50" t="s">
        <v>396</v>
      </c>
      <c r="E185" s="50" t="s">
        <v>397</v>
      </c>
      <c r="F185" s="50" t="s">
        <v>106</v>
      </c>
      <c r="G185" s="50" t="s">
        <v>140</v>
      </c>
      <c r="H185" s="51">
        <v>4</v>
      </c>
      <c r="I185" s="52">
        <f>J185/H185</f>
        <v>55990</v>
      </c>
      <c r="J185" s="52">
        <v>223960</v>
      </c>
      <c r="K185" s="51">
        <v>18</v>
      </c>
      <c r="L185" s="53">
        <f>K185/H185*30</f>
        <v>135</v>
      </c>
    </row>
    <row r="186" spans="1:12" s="2" customFormat="1" ht="13.95" customHeight="1" x14ac:dyDescent="0.2">
      <c r="A186" s="50" t="s">
        <v>70</v>
      </c>
      <c r="B186" s="50" t="s">
        <v>5</v>
      </c>
      <c r="C186" s="50" t="s">
        <v>30</v>
      </c>
      <c r="D186" s="50" t="s">
        <v>398</v>
      </c>
      <c r="E186" s="50" t="s">
        <v>397</v>
      </c>
      <c r="F186" s="50" t="s">
        <v>106</v>
      </c>
      <c r="G186" s="50" t="s">
        <v>112</v>
      </c>
      <c r="H186" s="51">
        <v>4</v>
      </c>
      <c r="I186" s="52">
        <f>J186/H186</f>
        <v>55990</v>
      </c>
      <c r="J186" s="52">
        <v>223960</v>
      </c>
      <c r="K186" s="51">
        <v>14</v>
      </c>
      <c r="L186" s="53">
        <f>K186/H186*30</f>
        <v>105</v>
      </c>
    </row>
    <row r="187" spans="1:12" s="2" customFormat="1" ht="13.95" customHeight="1" x14ac:dyDescent="0.2">
      <c r="A187" s="50" t="s">
        <v>121</v>
      </c>
      <c r="B187" s="50" t="s">
        <v>7</v>
      </c>
      <c r="C187" s="50" t="s">
        <v>19</v>
      </c>
      <c r="D187" s="50" t="s">
        <v>399</v>
      </c>
      <c r="E187" s="50" t="s">
        <v>400</v>
      </c>
      <c r="F187" s="50" t="s">
        <v>73</v>
      </c>
      <c r="G187" s="50" t="s">
        <v>86</v>
      </c>
      <c r="H187" s="51">
        <v>1</v>
      </c>
      <c r="I187" s="52">
        <f>J187/H187</f>
        <v>219990</v>
      </c>
      <c r="J187" s="52">
        <v>219990</v>
      </c>
      <c r="K187" s="51">
        <v>6</v>
      </c>
      <c r="L187" s="53">
        <f>K187/H187*30</f>
        <v>180</v>
      </c>
    </row>
    <row r="188" spans="1:12" s="2" customFormat="1" ht="13.95" customHeight="1" x14ac:dyDescent="0.2">
      <c r="A188" s="50" t="s">
        <v>70</v>
      </c>
      <c r="B188" s="50" t="s">
        <v>5</v>
      </c>
      <c r="C188" s="50" t="s">
        <v>42</v>
      </c>
      <c r="D188" s="50" t="s">
        <v>401</v>
      </c>
      <c r="E188" s="50" t="s">
        <v>373</v>
      </c>
      <c r="F188" s="50" t="s">
        <v>73</v>
      </c>
      <c r="G188" s="50" t="s">
        <v>74</v>
      </c>
      <c r="H188" s="51">
        <v>14</v>
      </c>
      <c r="I188" s="52">
        <f>J188/H188</f>
        <v>15647.357142857143</v>
      </c>
      <c r="J188" s="52">
        <v>219063</v>
      </c>
      <c r="K188" s="51">
        <v>30</v>
      </c>
      <c r="L188" s="53">
        <f>K188/H188*30</f>
        <v>64.285714285714278</v>
      </c>
    </row>
    <row r="189" spans="1:12" s="2" customFormat="1" ht="13.95" customHeight="1" x14ac:dyDescent="0.2">
      <c r="A189" s="50" t="s">
        <v>70</v>
      </c>
      <c r="B189" s="50" t="s">
        <v>5</v>
      </c>
      <c r="C189" s="50" t="s">
        <v>45</v>
      </c>
      <c r="D189" s="50" t="s">
        <v>402</v>
      </c>
      <c r="E189" s="50" t="s">
        <v>173</v>
      </c>
      <c r="F189" s="50" t="s">
        <v>73</v>
      </c>
      <c r="G189" s="50" t="s">
        <v>86</v>
      </c>
      <c r="H189" s="51">
        <v>8</v>
      </c>
      <c r="I189" s="52">
        <f>J189/H189</f>
        <v>26990</v>
      </c>
      <c r="J189" s="52">
        <v>215920</v>
      </c>
      <c r="K189" s="51">
        <v>10</v>
      </c>
      <c r="L189" s="53">
        <f>K189/H189*30</f>
        <v>37.5</v>
      </c>
    </row>
    <row r="190" spans="1:12" s="2" customFormat="1" ht="13.95" customHeight="1" x14ac:dyDescent="0.2">
      <c r="A190" s="50" t="s">
        <v>70</v>
      </c>
      <c r="B190" s="50" t="s">
        <v>5</v>
      </c>
      <c r="C190" s="50" t="s">
        <v>45</v>
      </c>
      <c r="D190" s="50" t="s">
        <v>403</v>
      </c>
      <c r="E190" s="50" t="s">
        <v>173</v>
      </c>
      <c r="F190" s="50" t="s">
        <v>73</v>
      </c>
      <c r="G190" s="50" t="s">
        <v>74</v>
      </c>
      <c r="H190" s="51">
        <v>8</v>
      </c>
      <c r="I190" s="52">
        <f>J190/H190</f>
        <v>26990</v>
      </c>
      <c r="J190" s="52">
        <v>215920</v>
      </c>
      <c r="K190" s="51">
        <v>18</v>
      </c>
      <c r="L190" s="53">
        <f>K190/H190*30</f>
        <v>67.5</v>
      </c>
    </row>
    <row r="191" spans="1:12" s="2" customFormat="1" ht="13.95" customHeight="1" x14ac:dyDescent="0.2">
      <c r="A191" s="50" t="s">
        <v>404</v>
      </c>
      <c r="B191" s="50" t="s">
        <v>4</v>
      </c>
      <c r="C191" s="50" t="s">
        <v>12</v>
      </c>
      <c r="D191" s="50" t="s">
        <v>405</v>
      </c>
      <c r="E191" s="50" t="s">
        <v>406</v>
      </c>
      <c r="F191" s="50" t="s">
        <v>73</v>
      </c>
      <c r="G191" s="50" t="s">
        <v>86</v>
      </c>
      <c r="H191" s="51">
        <v>1</v>
      </c>
      <c r="I191" s="52">
        <f>J191/H191</f>
        <v>214990</v>
      </c>
      <c r="J191" s="52">
        <v>214990</v>
      </c>
      <c r="K191" s="51">
        <v>8</v>
      </c>
      <c r="L191" s="53">
        <f>K191/H191*30</f>
        <v>240</v>
      </c>
    </row>
    <row r="192" spans="1:12" s="2" customFormat="1" ht="13.95" customHeight="1" x14ac:dyDescent="0.2">
      <c r="A192" s="50" t="s">
        <v>404</v>
      </c>
      <c r="B192" s="50" t="s">
        <v>4</v>
      </c>
      <c r="C192" s="50" t="s">
        <v>12</v>
      </c>
      <c r="D192" s="50" t="s">
        <v>407</v>
      </c>
      <c r="E192" s="50" t="s">
        <v>406</v>
      </c>
      <c r="F192" s="50" t="s">
        <v>73</v>
      </c>
      <c r="G192" s="50" t="s">
        <v>84</v>
      </c>
      <c r="H192" s="51">
        <v>1</v>
      </c>
      <c r="I192" s="52">
        <f>J192/H192</f>
        <v>214990</v>
      </c>
      <c r="J192" s="52">
        <v>214990</v>
      </c>
      <c r="K192" s="51">
        <v>9</v>
      </c>
      <c r="L192" s="53">
        <f>K192/H192*30</f>
        <v>270</v>
      </c>
    </row>
    <row r="193" spans="1:12" s="2" customFormat="1" ht="13.95" customHeight="1" x14ac:dyDescent="0.2">
      <c r="A193" s="50" t="s">
        <v>70</v>
      </c>
      <c r="B193" s="50" t="s">
        <v>5</v>
      </c>
      <c r="C193" s="50" t="s">
        <v>33</v>
      </c>
      <c r="D193" s="50" t="s">
        <v>408</v>
      </c>
      <c r="E193" s="50" t="s">
        <v>409</v>
      </c>
      <c r="F193" s="50" t="s">
        <v>106</v>
      </c>
      <c r="G193" s="50" t="s">
        <v>74</v>
      </c>
      <c r="H193" s="51">
        <v>5</v>
      </c>
      <c r="I193" s="52">
        <f>J193/H193</f>
        <v>42290.6</v>
      </c>
      <c r="J193" s="52">
        <v>211453</v>
      </c>
      <c r="K193" s="51">
        <v>18</v>
      </c>
      <c r="L193" s="53">
        <f>K193/H193*30</f>
        <v>108</v>
      </c>
    </row>
    <row r="194" spans="1:12" s="2" customFormat="1" ht="13.95" customHeight="1" x14ac:dyDescent="0.2">
      <c r="A194" s="50" t="s">
        <v>277</v>
      </c>
      <c r="B194" s="50" t="s">
        <v>6</v>
      </c>
      <c r="C194" s="50" t="s">
        <v>58</v>
      </c>
      <c r="D194" s="50" t="s">
        <v>410</v>
      </c>
      <c r="E194" s="50" t="s">
        <v>282</v>
      </c>
      <c r="F194" s="50" t="s">
        <v>106</v>
      </c>
      <c r="G194" s="50" t="s">
        <v>88</v>
      </c>
      <c r="H194" s="51">
        <v>1</v>
      </c>
      <c r="I194" s="52">
        <f>J194/H194</f>
        <v>209993</v>
      </c>
      <c r="J194" s="52">
        <v>209993</v>
      </c>
      <c r="K194" s="51">
        <v>1</v>
      </c>
      <c r="L194" s="53">
        <f>K194/H194*30</f>
        <v>30</v>
      </c>
    </row>
    <row r="195" spans="1:12" s="2" customFormat="1" ht="13.95" customHeight="1" x14ac:dyDescent="0.2">
      <c r="A195" s="50" t="s">
        <v>70</v>
      </c>
      <c r="B195" s="50" t="s">
        <v>4</v>
      </c>
      <c r="C195" s="50" t="s">
        <v>46</v>
      </c>
      <c r="D195" s="50" t="s">
        <v>411</v>
      </c>
      <c r="E195" s="50" t="s">
        <v>237</v>
      </c>
      <c r="F195" s="50" t="s">
        <v>223</v>
      </c>
      <c r="G195" s="50" t="s">
        <v>86</v>
      </c>
      <c r="H195" s="51">
        <v>3</v>
      </c>
      <c r="I195" s="52">
        <f>J195/H195</f>
        <v>69990</v>
      </c>
      <c r="J195" s="52">
        <v>209970</v>
      </c>
      <c r="K195" s="51">
        <v>7</v>
      </c>
      <c r="L195" s="53">
        <f>K195/H195*30</f>
        <v>70</v>
      </c>
    </row>
    <row r="196" spans="1:12" s="2" customFormat="1" ht="13.95" customHeight="1" x14ac:dyDescent="0.2">
      <c r="A196" s="50" t="s">
        <v>70</v>
      </c>
      <c r="B196" s="50" t="s">
        <v>7</v>
      </c>
      <c r="C196" s="50" t="s">
        <v>21</v>
      </c>
      <c r="D196" s="50" t="s">
        <v>412</v>
      </c>
      <c r="E196" s="50" t="s">
        <v>413</v>
      </c>
      <c r="F196" s="50" t="s">
        <v>216</v>
      </c>
      <c r="G196" s="50" t="s">
        <v>414</v>
      </c>
      <c r="H196" s="51">
        <v>6</v>
      </c>
      <c r="I196" s="52">
        <f>J196/H196</f>
        <v>34990</v>
      </c>
      <c r="J196" s="52">
        <v>209940</v>
      </c>
      <c r="K196" s="51">
        <v>12</v>
      </c>
      <c r="L196" s="53">
        <f>K196/H196*30</f>
        <v>60</v>
      </c>
    </row>
    <row r="197" spans="1:12" s="2" customFormat="1" ht="13.95" customHeight="1" x14ac:dyDescent="0.2">
      <c r="A197" s="50" t="s">
        <v>70</v>
      </c>
      <c r="B197" s="50" t="s">
        <v>7</v>
      </c>
      <c r="C197" s="50" t="s">
        <v>21</v>
      </c>
      <c r="D197" s="50" t="s">
        <v>415</v>
      </c>
      <c r="E197" s="50" t="s">
        <v>413</v>
      </c>
      <c r="F197" s="50" t="s">
        <v>216</v>
      </c>
      <c r="G197" s="50" t="s">
        <v>112</v>
      </c>
      <c r="H197" s="51">
        <v>6</v>
      </c>
      <c r="I197" s="52">
        <f>J197/H197</f>
        <v>34990</v>
      </c>
      <c r="J197" s="52">
        <v>209940</v>
      </c>
      <c r="K197" s="51">
        <v>17</v>
      </c>
      <c r="L197" s="53">
        <f>K197/H197*30</f>
        <v>85</v>
      </c>
    </row>
    <row r="198" spans="1:12" s="2" customFormat="1" ht="13.95" customHeight="1" x14ac:dyDescent="0.2">
      <c r="A198" s="50" t="s">
        <v>416</v>
      </c>
      <c r="B198" s="50" t="s">
        <v>8</v>
      </c>
      <c r="C198" s="50" t="s">
        <v>8</v>
      </c>
      <c r="D198" s="50" t="s">
        <v>417</v>
      </c>
      <c r="E198" s="50" t="s">
        <v>418</v>
      </c>
      <c r="F198" s="50" t="s">
        <v>365</v>
      </c>
      <c r="G198" s="50" t="s">
        <v>86</v>
      </c>
      <c r="H198" s="51">
        <v>4</v>
      </c>
      <c r="I198" s="52">
        <f>J198/H198</f>
        <v>51990</v>
      </c>
      <c r="J198" s="52">
        <v>207960</v>
      </c>
      <c r="K198" s="51">
        <v>15</v>
      </c>
      <c r="L198" s="53">
        <f>K198/H198*30</f>
        <v>112.5</v>
      </c>
    </row>
    <row r="199" spans="1:12" s="2" customFormat="1" ht="13.95" customHeight="1" x14ac:dyDescent="0.2">
      <c r="A199" s="50" t="s">
        <v>70</v>
      </c>
      <c r="B199" s="50" t="s">
        <v>5</v>
      </c>
      <c r="C199" s="50" t="s">
        <v>42</v>
      </c>
      <c r="D199" s="50" t="s">
        <v>419</v>
      </c>
      <c r="E199" s="50" t="s">
        <v>373</v>
      </c>
      <c r="F199" s="50" t="s">
        <v>73</v>
      </c>
      <c r="G199" s="50" t="s">
        <v>86</v>
      </c>
      <c r="H199" s="51">
        <v>13</v>
      </c>
      <c r="I199" s="52">
        <f>J199/H199</f>
        <v>15990</v>
      </c>
      <c r="J199" s="52">
        <v>207870</v>
      </c>
      <c r="K199" s="51">
        <v>36</v>
      </c>
      <c r="L199" s="53">
        <f>K199/H199*30</f>
        <v>83.07692307692308</v>
      </c>
    </row>
    <row r="200" spans="1:12" s="2" customFormat="1" ht="13.95" customHeight="1" x14ac:dyDescent="0.2">
      <c r="A200" s="50" t="s">
        <v>70</v>
      </c>
      <c r="B200" s="50" t="s">
        <v>5</v>
      </c>
      <c r="C200" s="50" t="s">
        <v>42</v>
      </c>
      <c r="D200" s="50" t="s">
        <v>420</v>
      </c>
      <c r="E200" s="50" t="s">
        <v>373</v>
      </c>
      <c r="F200" s="50" t="s">
        <v>223</v>
      </c>
      <c r="G200" s="50" t="s">
        <v>224</v>
      </c>
      <c r="H200" s="51">
        <v>13</v>
      </c>
      <c r="I200" s="52">
        <f>J200/H200</f>
        <v>15990</v>
      </c>
      <c r="J200" s="52">
        <v>207870</v>
      </c>
      <c r="K200" s="51">
        <v>56</v>
      </c>
      <c r="L200" s="53">
        <f>K200/H200*30</f>
        <v>129.23076923076923</v>
      </c>
    </row>
    <row r="201" spans="1:12" s="2" customFormat="1" ht="13.95" customHeight="1" x14ac:dyDescent="0.2">
      <c r="A201" s="50" t="s">
        <v>70</v>
      </c>
      <c r="B201" s="50" t="s">
        <v>4</v>
      </c>
      <c r="C201" s="50" t="s">
        <v>48</v>
      </c>
      <c r="D201" s="50" t="s">
        <v>421</v>
      </c>
      <c r="E201" s="50" t="s">
        <v>203</v>
      </c>
      <c r="F201" s="50" t="s">
        <v>73</v>
      </c>
      <c r="G201" s="50" t="s">
        <v>90</v>
      </c>
      <c r="H201" s="51">
        <v>1</v>
      </c>
      <c r="I201" s="52">
        <f>J201/H201</f>
        <v>199990</v>
      </c>
      <c r="J201" s="52">
        <v>199990</v>
      </c>
      <c r="K201" s="51">
        <v>7</v>
      </c>
      <c r="L201" s="53">
        <f>K201/H201*30</f>
        <v>210</v>
      </c>
    </row>
    <row r="202" spans="1:12" s="2" customFormat="1" ht="13.95" customHeight="1" x14ac:dyDescent="0.2">
      <c r="A202" s="50" t="s">
        <v>70</v>
      </c>
      <c r="B202" s="50" t="s">
        <v>4</v>
      </c>
      <c r="C202" s="50" t="s">
        <v>48</v>
      </c>
      <c r="D202" s="50" t="s">
        <v>422</v>
      </c>
      <c r="E202" s="50" t="s">
        <v>423</v>
      </c>
      <c r="F202" s="50" t="s">
        <v>73</v>
      </c>
      <c r="G202" s="50" t="s">
        <v>88</v>
      </c>
      <c r="H202" s="51">
        <v>1</v>
      </c>
      <c r="I202" s="52">
        <f>J202/H202</f>
        <v>199990</v>
      </c>
      <c r="J202" s="52">
        <v>199990</v>
      </c>
      <c r="K202" s="51">
        <v>13</v>
      </c>
      <c r="L202" s="53">
        <f>K202/H202*30</f>
        <v>390</v>
      </c>
    </row>
    <row r="203" spans="1:12" s="2" customFormat="1" ht="13.95" customHeight="1" x14ac:dyDescent="0.2">
      <c r="A203" s="50" t="s">
        <v>70</v>
      </c>
      <c r="B203" s="50" t="s">
        <v>4</v>
      </c>
      <c r="C203" s="50" t="s">
        <v>48</v>
      </c>
      <c r="D203" s="50" t="s">
        <v>424</v>
      </c>
      <c r="E203" s="50" t="s">
        <v>205</v>
      </c>
      <c r="F203" s="50" t="s">
        <v>128</v>
      </c>
      <c r="G203" s="50" t="s">
        <v>425</v>
      </c>
      <c r="H203" s="51">
        <v>1</v>
      </c>
      <c r="I203" s="52">
        <f>J203/H203</f>
        <v>199990</v>
      </c>
      <c r="J203" s="52">
        <v>199990</v>
      </c>
      <c r="K203" s="51">
        <v>9</v>
      </c>
      <c r="L203" s="53">
        <f>K203/H203*30</f>
        <v>270</v>
      </c>
    </row>
    <row r="204" spans="1:12" s="2" customFormat="1" ht="13.95" customHeight="1" x14ac:dyDescent="0.2">
      <c r="A204" s="50" t="s">
        <v>165</v>
      </c>
      <c r="B204" s="50" t="s">
        <v>4</v>
      </c>
      <c r="C204" s="50" t="s">
        <v>46</v>
      </c>
      <c r="D204" s="50" t="s">
        <v>426</v>
      </c>
      <c r="E204" s="50" t="s">
        <v>427</v>
      </c>
      <c r="F204" s="50" t="s">
        <v>428</v>
      </c>
      <c r="G204" s="50" t="s">
        <v>86</v>
      </c>
      <c r="H204" s="51">
        <v>2</v>
      </c>
      <c r="I204" s="52">
        <f>J204/H204</f>
        <v>99990</v>
      </c>
      <c r="J204" s="52">
        <v>199980</v>
      </c>
      <c r="K204" s="51">
        <v>3</v>
      </c>
      <c r="L204" s="53">
        <f>K204/H204*30</f>
        <v>45</v>
      </c>
    </row>
    <row r="205" spans="1:12" s="2" customFormat="1" ht="13.95" customHeight="1" x14ac:dyDescent="0.2">
      <c r="A205" s="50" t="s">
        <v>70</v>
      </c>
      <c r="B205" s="50" t="s">
        <v>5</v>
      </c>
      <c r="C205" s="50" t="s">
        <v>30</v>
      </c>
      <c r="D205" s="50" t="s">
        <v>429</v>
      </c>
      <c r="E205" s="50" t="s">
        <v>288</v>
      </c>
      <c r="F205" s="50" t="s">
        <v>168</v>
      </c>
      <c r="G205" s="50" t="s">
        <v>86</v>
      </c>
      <c r="H205" s="51">
        <v>2</v>
      </c>
      <c r="I205" s="52">
        <f>J205/H205</f>
        <v>99990</v>
      </c>
      <c r="J205" s="52">
        <v>199980</v>
      </c>
      <c r="K205" s="51">
        <v>5</v>
      </c>
      <c r="L205" s="53">
        <f>K205/H205*30</f>
        <v>75</v>
      </c>
    </row>
    <row r="206" spans="1:12" s="2" customFormat="1" ht="13.95" customHeight="1" x14ac:dyDescent="0.2">
      <c r="A206" s="50" t="s">
        <v>70</v>
      </c>
      <c r="B206" s="50" t="s">
        <v>5</v>
      </c>
      <c r="C206" s="50" t="s">
        <v>34</v>
      </c>
      <c r="D206" s="50" t="s">
        <v>430</v>
      </c>
      <c r="E206" s="50" t="s">
        <v>431</v>
      </c>
      <c r="F206" s="50" t="s">
        <v>73</v>
      </c>
      <c r="G206" s="50" t="s">
        <v>86</v>
      </c>
      <c r="H206" s="51">
        <v>2</v>
      </c>
      <c r="I206" s="52">
        <f>J206/H206</f>
        <v>99990</v>
      </c>
      <c r="J206" s="52">
        <v>199980</v>
      </c>
      <c r="K206" s="51">
        <v>9</v>
      </c>
      <c r="L206" s="53">
        <f>K206/H206*30</f>
        <v>135</v>
      </c>
    </row>
    <row r="207" spans="1:12" s="2" customFormat="1" ht="13.95" customHeight="1" x14ac:dyDescent="0.2">
      <c r="A207" s="50" t="s">
        <v>290</v>
      </c>
      <c r="B207" s="50" t="s">
        <v>8</v>
      </c>
      <c r="C207" s="50" t="s">
        <v>8</v>
      </c>
      <c r="D207" s="50" t="s">
        <v>432</v>
      </c>
      <c r="E207" s="50" t="s">
        <v>292</v>
      </c>
      <c r="F207" s="50" t="s">
        <v>106</v>
      </c>
      <c r="G207" s="50" t="s">
        <v>86</v>
      </c>
      <c r="H207" s="51">
        <v>2</v>
      </c>
      <c r="I207" s="52">
        <f>J207/H207</f>
        <v>99990</v>
      </c>
      <c r="J207" s="52">
        <v>199980</v>
      </c>
      <c r="K207" s="51">
        <v>0</v>
      </c>
      <c r="L207" s="53">
        <f>K207/H207*30</f>
        <v>0</v>
      </c>
    </row>
    <row r="208" spans="1:12" s="2" customFormat="1" ht="13.95" customHeight="1" x14ac:dyDescent="0.2">
      <c r="A208" s="50" t="s">
        <v>290</v>
      </c>
      <c r="B208" s="50" t="s">
        <v>8</v>
      </c>
      <c r="C208" s="50" t="s">
        <v>8</v>
      </c>
      <c r="D208" s="50" t="s">
        <v>433</v>
      </c>
      <c r="E208" s="50" t="s">
        <v>292</v>
      </c>
      <c r="F208" s="50" t="s">
        <v>106</v>
      </c>
      <c r="G208" s="50" t="s">
        <v>86</v>
      </c>
      <c r="H208" s="51">
        <v>2</v>
      </c>
      <c r="I208" s="52">
        <f>J208/H208</f>
        <v>99990</v>
      </c>
      <c r="J208" s="52">
        <v>199980</v>
      </c>
      <c r="K208" s="51">
        <v>5</v>
      </c>
      <c r="L208" s="53">
        <f>K208/H208*30</f>
        <v>75</v>
      </c>
    </row>
    <row r="209" spans="1:12" s="2" customFormat="1" ht="13.95" customHeight="1" x14ac:dyDescent="0.2">
      <c r="A209" s="50" t="s">
        <v>290</v>
      </c>
      <c r="B209" s="50" t="s">
        <v>8</v>
      </c>
      <c r="C209" s="50" t="s">
        <v>8</v>
      </c>
      <c r="D209" s="50" t="s">
        <v>434</v>
      </c>
      <c r="E209" s="50" t="s">
        <v>435</v>
      </c>
      <c r="F209" s="50" t="s">
        <v>106</v>
      </c>
      <c r="G209" s="50" t="s">
        <v>88</v>
      </c>
      <c r="H209" s="51">
        <v>2</v>
      </c>
      <c r="I209" s="52">
        <f>J209/H209</f>
        <v>99990</v>
      </c>
      <c r="J209" s="52">
        <v>199980</v>
      </c>
      <c r="K209" s="51">
        <v>5</v>
      </c>
      <c r="L209" s="53">
        <f>K209/H209*30</f>
        <v>75</v>
      </c>
    </row>
    <row r="210" spans="1:12" s="2" customFormat="1" ht="13.95" customHeight="1" x14ac:dyDescent="0.2">
      <c r="A210" s="50" t="s">
        <v>290</v>
      </c>
      <c r="B210" s="50" t="s">
        <v>8</v>
      </c>
      <c r="C210" s="50" t="s">
        <v>8</v>
      </c>
      <c r="D210" s="50" t="s">
        <v>436</v>
      </c>
      <c r="E210" s="50" t="s">
        <v>435</v>
      </c>
      <c r="F210" s="50" t="s">
        <v>106</v>
      </c>
      <c r="G210" s="50" t="s">
        <v>88</v>
      </c>
      <c r="H210" s="51">
        <v>2</v>
      </c>
      <c r="I210" s="52">
        <f>J210/H210</f>
        <v>99990</v>
      </c>
      <c r="J210" s="52">
        <v>199980</v>
      </c>
      <c r="K210" s="51">
        <v>4</v>
      </c>
      <c r="L210" s="53">
        <f>K210/H210*30</f>
        <v>60</v>
      </c>
    </row>
    <row r="211" spans="1:12" s="2" customFormat="1" ht="13.95" customHeight="1" x14ac:dyDescent="0.2">
      <c r="A211" s="50" t="s">
        <v>290</v>
      </c>
      <c r="B211" s="50" t="s">
        <v>8</v>
      </c>
      <c r="C211" s="50" t="s">
        <v>8</v>
      </c>
      <c r="D211" s="50" t="s">
        <v>437</v>
      </c>
      <c r="E211" s="50" t="s">
        <v>435</v>
      </c>
      <c r="F211" s="50" t="s">
        <v>106</v>
      </c>
      <c r="G211" s="50" t="s">
        <v>88</v>
      </c>
      <c r="H211" s="51">
        <v>2</v>
      </c>
      <c r="I211" s="52">
        <f>J211/H211</f>
        <v>99990</v>
      </c>
      <c r="J211" s="52">
        <v>199980</v>
      </c>
      <c r="K211" s="51">
        <v>12</v>
      </c>
      <c r="L211" s="53">
        <f>K211/H211*30</f>
        <v>180</v>
      </c>
    </row>
    <row r="212" spans="1:12" s="2" customFormat="1" ht="13.95" customHeight="1" x14ac:dyDescent="0.2">
      <c r="A212" s="50" t="s">
        <v>238</v>
      </c>
      <c r="B212" s="50" t="s">
        <v>6</v>
      </c>
      <c r="C212" s="50" t="s">
        <v>65</v>
      </c>
      <c r="D212" s="50" t="s">
        <v>438</v>
      </c>
      <c r="E212" s="50" t="s">
        <v>240</v>
      </c>
      <c r="F212" s="50" t="s">
        <v>241</v>
      </c>
      <c r="G212" s="50" t="s">
        <v>294</v>
      </c>
      <c r="H212" s="51">
        <v>4</v>
      </c>
      <c r="I212" s="52">
        <f>J212/H212</f>
        <v>49990</v>
      </c>
      <c r="J212" s="52">
        <v>199960</v>
      </c>
      <c r="K212" s="51">
        <v>107</v>
      </c>
      <c r="L212" s="53">
        <f>K212/H212*30</f>
        <v>802.5</v>
      </c>
    </row>
    <row r="213" spans="1:12" s="2" customFormat="1" ht="13.95" customHeight="1" x14ac:dyDescent="0.2">
      <c r="A213" s="50" t="s">
        <v>238</v>
      </c>
      <c r="B213" s="50" t="s">
        <v>6</v>
      </c>
      <c r="C213" s="50" t="s">
        <v>65</v>
      </c>
      <c r="D213" s="50" t="s">
        <v>439</v>
      </c>
      <c r="E213" s="50" t="s">
        <v>240</v>
      </c>
      <c r="F213" s="50" t="s">
        <v>241</v>
      </c>
      <c r="G213" s="50" t="s">
        <v>242</v>
      </c>
      <c r="H213" s="51">
        <v>4</v>
      </c>
      <c r="I213" s="52">
        <f>J213/H213</f>
        <v>49990</v>
      </c>
      <c r="J213" s="52">
        <v>199960</v>
      </c>
      <c r="K213" s="51">
        <v>157</v>
      </c>
      <c r="L213" s="53">
        <f>K213/H213*30</f>
        <v>1177.5</v>
      </c>
    </row>
    <row r="214" spans="1:12" s="2" customFormat="1" ht="13.95" customHeight="1" x14ac:dyDescent="0.2">
      <c r="A214" s="50" t="s">
        <v>238</v>
      </c>
      <c r="B214" s="50" t="s">
        <v>6</v>
      </c>
      <c r="C214" s="50" t="s">
        <v>65</v>
      </c>
      <c r="D214" s="50" t="s">
        <v>440</v>
      </c>
      <c r="E214" s="50" t="s">
        <v>240</v>
      </c>
      <c r="F214" s="50" t="s">
        <v>241</v>
      </c>
      <c r="G214" s="50" t="s">
        <v>86</v>
      </c>
      <c r="H214" s="51">
        <v>4</v>
      </c>
      <c r="I214" s="52">
        <f>J214/H214</f>
        <v>49990</v>
      </c>
      <c r="J214" s="52">
        <v>199960</v>
      </c>
      <c r="K214" s="51">
        <v>131</v>
      </c>
      <c r="L214" s="53">
        <f>K214/H214*30</f>
        <v>982.5</v>
      </c>
    </row>
    <row r="215" spans="1:12" s="2" customFormat="1" ht="13.95" customHeight="1" x14ac:dyDescent="0.2">
      <c r="A215" s="50" t="s">
        <v>238</v>
      </c>
      <c r="B215" s="50" t="s">
        <v>6</v>
      </c>
      <c r="C215" s="50" t="s">
        <v>65</v>
      </c>
      <c r="D215" s="50" t="s">
        <v>441</v>
      </c>
      <c r="E215" s="50" t="s">
        <v>240</v>
      </c>
      <c r="F215" s="50" t="s">
        <v>241</v>
      </c>
      <c r="G215" s="50" t="s">
        <v>86</v>
      </c>
      <c r="H215" s="51">
        <v>4</v>
      </c>
      <c r="I215" s="52">
        <f>J215/H215</f>
        <v>49990</v>
      </c>
      <c r="J215" s="52">
        <v>199960</v>
      </c>
      <c r="K215" s="51">
        <v>134</v>
      </c>
      <c r="L215" s="53">
        <f>K215/H215*30</f>
        <v>1005</v>
      </c>
    </row>
    <row r="216" spans="1:12" s="2" customFormat="1" ht="13.95" customHeight="1" x14ac:dyDescent="0.2">
      <c r="A216" s="50" t="s">
        <v>238</v>
      </c>
      <c r="B216" s="50" t="s">
        <v>6</v>
      </c>
      <c r="C216" s="50" t="s">
        <v>65</v>
      </c>
      <c r="D216" s="50" t="s">
        <v>442</v>
      </c>
      <c r="E216" s="50" t="s">
        <v>240</v>
      </c>
      <c r="F216" s="50" t="s">
        <v>241</v>
      </c>
      <c r="G216" s="50" t="s">
        <v>86</v>
      </c>
      <c r="H216" s="51">
        <v>4</v>
      </c>
      <c r="I216" s="52">
        <f>J216/H216</f>
        <v>49990</v>
      </c>
      <c r="J216" s="52">
        <v>199960</v>
      </c>
      <c r="K216" s="51">
        <v>88</v>
      </c>
      <c r="L216" s="53">
        <f>K216/H216*30</f>
        <v>660</v>
      </c>
    </row>
    <row r="217" spans="1:12" s="2" customFormat="1" ht="13.95" customHeight="1" x14ac:dyDescent="0.2">
      <c r="A217" s="50" t="s">
        <v>416</v>
      </c>
      <c r="B217" s="50" t="s">
        <v>8</v>
      </c>
      <c r="C217" s="50" t="s">
        <v>8</v>
      </c>
      <c r="D217" s="50" t="s">
        <v>443</v>
      </c>
      <c r="E217" s="50" t="s">
        <v>444</v>
      </c>
      <c r="F217" s="50" t="s">
        <v>73</v>
      </c>
      <c r="G217" s="50" t="s">
        <v>84</v>
      </c>
      <c r="H217" s="51">
        <v>5</v>
      </c>
      <c r="I217" s="52">
        <f>J217/H217</f>
        <v>39990</v>
      </c>
      <c r="J217" s="52">
        <v>199950</v>
      </c>
      <c r="K217" s="51">
        <v>0</v>
      </c>
      <c r="L217" s="53">
        <f>K217/H217*30</f>
        <v>0</v>
      </c>
    </row>
    <row r="218" spans="1:12" s="2" customFormat="1" ht="13.95" customHeight="1" x14ac:dyDescent="0.2">
      <c r="A218" s="50" t="s">
        <v>445</v>
      </c>
      <c r="B218" s="50" t="s">
        <v>6</v>
      </c>
      <c r="C218" s="50" t="s">
        <v>62</v>
      </c>
      <c r="D218" s="50" t="s">
        <v>446</v>
      </c>
      <c r="E218" s="50" t="s">
        <v>447</v>
      </c>
      <c r="F218" s="50" t="s">
        <v>260</v>
      </c>
      <c r="G218" s="50" t="s">
        <v>448</v>
      </c>
      <c r="H218" s="51">
        <v>10</v>
      </c>
      <c r="I218" s="52">
        <f>J218/H218</f>
        <v>19990</v>
      </c>
      <c r="J218" s="52">
        <v>199900</v>
      </c>
      <c r="K218" s="51">
        <v>5</v>
      </c>
      <c r="L218" s="53">
        <f>K218/H218*30</f>
        <v>15</v>
      </c>
    </row>
    <row r="219" spans="1:12" s="2" customFormat="1" ht="13.95" customHeight="1" x14ac:dyDescent="0.2">
      <c r="A219" s="50" t="s">
        <v>70</v>
      </c>
      <c r="B219" s="50" t="s">
        <v>5</v>
      </c>
      <c r="C219" s="50" t="s">
        <v>32</v>
      </c>
      <c r="D219" s="50" t="s">
        <v>449</v>
      </c>
      <c r="E219" s="50" t="s">
        <v>450</v>
      </c>
      <c r="F219" s="50" t="s">
        <v>223</v>
      </c>
      <c r="G219" s="50" t="s">
        <v>86</v>
      </c>
      <c r="H219" s="51">
        <v>3</v>
      </c>
      <c r="I219" s="52">
        <f>J219/H219</f>
        <v>65990</v>
      </c>
      <c r="J219" s="52">
        <v>197970</v>
      </c>
      <c r="K219" s="51">
        <v>1</v>
      </c>
      <c r="L219" s="53">
        <f>K219/H219*30</f>
        <v>10</v>
      </c>
    </row>
    <row r="220" spans="1:12" s="2" customFormat="1" ht="13.95" customHeight="1" x14ac:dyDescent="0.2">
      <c r="A220" s="50" t="s">
        <v>70</v>
      </c>
      <c r="B220" s="50" t="s">
        <v>5</v>
      </c>
      <c r="C220" s="50" t="s">
        <v>33</v>
      </c>
      <c r="D220" s="50" t="s">
        <v>451</v>
      </c>
      <c r="E220" s="50" t="s">
        <v>120</v>
      </c>
      <c r="F220" s="50" t="s">
        <v>106</v>
      </c>
      <c r="G220" s="50" t="s">
        <v>88</v>
      </c>
      <c r="H220" s="51">
        <v>3</v>
      </c>
      <c r="I220" s="52">
        <f>J220/H220</f>
        <v>65990</v>
      </c>
      <c r="J220" s="52">
        <v>197970</v>
      </c>
      <c r="K220" s="51">
        <v>14</v>
      </c>
      <c r="L220" s="53">
        <f>K220/H220*30</f>
        <v>140</v>
      </c>
    </row>
    <row r="221" spans="1:12" s="2" customFormat="1" ht="13.95" customHeight="1" x14ac:dyDescent="0.2">
      <c r="A221" s="50" t="s">
        <v>70</v>
      </c>
      <c r="B221" s="50" t="s">
        <v>4</v>
      </c>
      <c r="C221" s="50" t="s">
        <v>54</v>
      </c>
      <c r="D221" s="50" t="s">
        <v>452</v>
      </c>
      <c r="E221" s="50" t="s">
        <v>453</v>
      </c>
      <c r="F221" s="50" t="s">
        <v>73</v>
      </c>
      <c r="G221" s="50" t="s">
        <v>84</v>
      </c>
      <c r="H221" s="51">
        <v>3</v>
      </c>
      <c r="I221" s="52">
        <f>J221/H221</f>
        <v>65990</v>
      </c>
      <c r="J221" s="52">
        <v>197970</v>
      </c>
      <c r="K221" s="51">
        <v>6</v>
      </c>
      <c r="L221" s="53">
        <f>K221/H221*30</f>
        <v>60</v>
      </c>
    </row>
    <row r="222" spans="1:12" s="2" customFormat="1" ht="13.95" customHeight="1" x14ac:dyDescent="0.2">
      <c r="A222" s="50" t="s">
        <v>70</v>
      </c>
      <c r="B222" s="50" t="s">
        <v>4</v>
      </c>
      <c r="C222" s="50" t="s">
        <v>54</v>
      </c>
      <c r="D222" s="50" t="s">
        <v>454</v>
      </c>
      <c r="E222" s="50" t="s">
        <v>455</v>
      </c>
      <c r="F222" s="50" t="s">
        <v>73</v>
      </c>
      <c r="G222" s="50" t="s">
        <v>86</v>
      </c>
      <c r="H222" s="51">
        <v>3</v>
      </c>
      <c r="I222" s="52">
        <f>J222/H222</f>
        <v>65990</v>
      </c>
      <c r="J222" s="52">
        <v>197970</v>
      </c>
      <c r="K222" s="51">
        <v>2</v>
      </c>
      <c r="L222" s="53">
        <f>K222/H222*30</f>
        <v>20</v>
      </c>
    </row>
    <row r="223" spans="1:12" s="2" customFormat="1" ht="13.95" customHeight="1" x14ac:dyDescent="0.2">
      <c r="A223" s="50" t="s">
        <v>70</v>
      </c>
      <c r="B223" s="50" t="s">
        <v>4</v>
      </c>
      <c r="C223" s="50" t="s">
        <v>48</v>
      </c>
      <c r="D223" s="50" t="s">
        <v>688</v>
      </c>
      <c r="E223" s="50" t="s">
        <v>96</v>
      </c>
      <c r="F223" s="50" t="s">
        <v>73</v>
      </c>
      <c r="G223" s="50" t="s">
        <v>330</v>
      </c>
      <c r="H223" s="51">
        <v>2</v>
      </c>
      <c r="I223" s="52">
        <f>J223/H223</f>
        <v>97990</v>
      </c>
      <c r="J223" s="52">
        <v>195980</v>
      </c>
      <c r="K223" s="51">
        <v>1</v>
      </c>
      <c r="L223" s="53">
        <f>K223/H223*30</f>
        <v>15</v>
      </c>
    </row>
    <row r="224" spans="1:12" s="2" customFormat="1" ht="13.95" customHeight="1" x14ac:dyDescent="0.2">
      <c r="A224" s="50" t="s">
        <v>70</v>
      </c>
      <c r="B224" s="50" t="s">
        <v>5</v>
      </c>
      <c r="C224" s="50" t="s">
        <v>30</v>
      </c>
      <c r="D224" s="50" t="s">
        <v>456</v>
      </c>
      <c r="E224" s="50" t="s">
        <v>457</v>
      </c>
      <c r="F224" s="50" t="s">
        <v>73</v>
      </c>
      <c r="G224" s="50" t="s">
        <v>88</v>
      </c>
      <c r="H224" s="51">
        <v>3</v>
      </c>
      <c r="I224" s="52">
        <f>J224/H224</f>
        <v>64990</v>
      </c>
      <c r="J224" s="52">
        <v>194970</v>
      </c>
      <c r="K224" s="51">
        <v>1</v>
      </c>
      <c r="L224" s="53">
        <f>K224/H224*30</f>
        <v>10</v>
      </c>
    </row>
    <row r="225" spans="1:12" s="2" customFormat="1" ht="13.95" customHeight="1" x14ac:dyDescent="0.2">
      <c r="A225" s="50" t="s">
        <v>70</v>
      </c>
      <c r="B225" s="50" t="s">
        <v>5</v>
      </c>
      <c r="C225" s="50" t="s">
        <v>30</v>
      </c>
      <c r="D225" s="50" t="s">
        <v>458</v>
      </c>
      <c r="E225" s="50" t="s">
        <v>459</v>
      </c>
      <c r="F225" s="50" t="s">
        <v>137</v>
      </c>
      <c r="G225" s="50" t="s">
        <v>88</v>
      </c>
      <c r="H225" s="51">
        <v>2</v>
      </c>
      <c r="I225" s="52">
        <f>J225/H225</f>
        <v>96990</v>
      </c>
      <c r="J225" s="52">
        <v>193980</v>
      </c>
      <c r="K225" s="51">
        <v>7</v>
      </c>
      <c r="L225" s="53">
        <f>K225/H225*30</f>
        <v>105</v>
      </c>
    </row>
    <row r="226" spans="1:12" s="2" customFormat="1" ht="13.95" customHeight="1" x14ac:dyDescent="0.2">
      <c r="A226" s="50" t="s">
        <v>70</v>
      </c>
      <c r="B226" s="50" t="s">
        <v>4</v>
      </c>
      <c r="C226" s="50" t="s">
        <v>46</v>
      </c>
      <c r="D226" s="50" t="s">
        <v>460</v>
      </c>
      <c r="E226" s="50" t="s">
        <v>127</v>
      </c>
      <c r="F226" s="50" t="s">
        <v>137</v>
      </c>
      <c r="G226" s="50" t="s">
        <v>86</v>
      </c>
      <c r="H226" s="51">
        <v>2</v>
      </c>
      <c r="I226" s="52">
        <f>J226/H226</f>
        <v>96990</v>
      </c>
      <c r="J226" s="52">
        <v>193980</v>
      </c>
      <c r="K226" s="51">
        <v>18</v>
      </c>
      <c r="L226" s="53">
        <f>K226/H226*30</f>
        <v>270</v>
      </c>
    </row>
    <row r="227" spans="1:12" s="2" customFormat="1" ht="13.95" customHeight="1" x14ac:dyDescent="0.2">
      <c r="A227" s="50" t="s">
        <v>165</v>
      </c>
      <c r="B227" s="50" t="s">
        <v>4</v>
      </c>
      <c r="C227" s="50" t="s">
        <v>46</v>
      </c>
      <c r="D227" s="50" t="s">
        <v>461</v>
      </c>
      <c r="E227" s="50" t="s">
        <v>462</v>
      </c>
      <c r="F227" s="50" t="s">
        <v>428</v>
      </c>
      <c r="G227" s="50" t="s">
        <v>463</v>
      </c>
      <c r="H227" s="51">
        <v>2</v>
      </c>
      <c r="I227" s="52">
        <f>J227/H227</f>
        <v>95990</v>
      </c>
      <c r="J227" s="52">
        <v>191980</v>
      </c>
      <c r="K227" s="51">
        <v>10</v>
      </c>
      <c r="L227" s="53">
        <f>K227/H227*30</f>
        <v>150</v>
      </c>
    </row>
    <row r="228" spans="1:12" s="2" customFormat="1" ht="13.95" customHeight="1" x14ac:dyDescent="0.2">
      <c r="A228" s="50" t="s">
        <v>70</v>
      </c>
      <c r="B228" s="50" t="s">
        <v>4</v>
      </c>
      <c r="C228" s="50" t="s">
        <v>46</v>
      </c>
      <c r="D228" s="50" t="s">
        <v>464</v>
      </c>
      <c r="E228" s="50" t="s">
        <v>105</v>
      </c>
      <c r="F228" s="50" t="s">
        <v>106</v>
      </c>
      <c r="G228" s="50" t="s">
        <v>97</v>
      </c>
      <c r="H228" s="51">
        <v>1</v>
      </c>
      <c r="I228" s="52">
        <f>J228/H228</f>
        <v>189990</v>
      </c>
      <c r="J228" s="52">
        <v>189990</v>
      </c>
      <c r="K228" s="51">
        <v>3</v>
      </c>
      <c r="L228" s="53">
        <f>K228/H228*30</f>
        <v>90</v>
      </c>
    </row>
    <row r="229" spans="1:12" s="2" customFormat="1" ht="13.95" customHeight="1" x14ac:dyDescent="0.2">
      <c r="A229" s="50" t="s">
        <v>70</v>
      </c>
      <c r="B229" s="50" t="s">
        <v>4</v>
      </c>
      <c r="C229" s="50" t="s">
        <v>46</v>
      </c>
      <c r="D229" s="50" t="s">
        <v>465</v>
      </c>
      <c r="E229" s="50" t="s">
        <v>105</v>
      </c>
      <c r="F229" s="50" t="s">
        <v>106</v>
      </c>
      <c r="G229" s="50" t="s">
        <v>74</v>
      </c>
      <c r="H229" s="51">
        <v>1</v>
      </c>
      <c r="I229" s="52">
        <f>J229/H229</f>
        <v>189990</v>
      </c>
      <c r="J229" s="52">
        <v>189990</v>
      </c>
      <c r="K229" s="51">
        <v>24</v>
      </c>
      <c r="L229" s="53">
        <f>K229/H229*30</f>
        <v>720</v>
      </c>
    </row>
    <row r="230" spans="1:12" s="2" customFormat="1" ht="13.95" customHeight="1" x14ac:dyDescent="0.2">
      <c r="A230" s="50" t="s">
        <v>70</v>
      </c>
      <c r="B230" s="50" t="s">
        <v>4</v>
      </c>
      <c r="C230" s="50" t="s">
        <v>50</v>
      </c>
      <c r="D230" s="50" t="s">
        <v>466</v>
      </c>
      <c r="E230" s="50" t="s">
        <v>125</v>
      </c>
      <c r="F230" s="50" t="s">
        <v>73</v>
      </c>
      <c r="G230" s="50" t="s">
        <v>86</v>
      </c>
      <c r="H230" s="51">
        <v>1</v>
      </c>
      <c r="I230" s="52">
        <f>J230/H230</f>
        <v>189990</v>
      </c>
      <c r="J230" s="52">
        <v>189990</v>
      </c>
      <c r="K230" s="51">
        <v>9</v>
      </c>
      <c r="L230" s="53">
        <f>K230/H230*30</f>
        <v>270</v>
      </c>
    </row>
    <row r="231" spans="1:12" s="2" customFormat="1" ht="13.95" customHeight="1" x14ac:dyDescent="0.2">
      <c r="A231" s="50" t="s">
        <v>70</v>
      </c>
      <c r="B231" s="50" t="s">
        <v>4</v>
      </c>
      <c r="C231" s="50" t="s">
        <v>50</v>
      </c>
      <c r="D231" s="50" t="s">
        <v>467</v>
      </c>
      <c r="E231" s="50" t="s">
        <v>125</v>
      </c>
      <c r="F231" s="50" t="s">
        <v>128</v>
      </c>
      <c r="G231" s="50" t="s">
        <v>254</v>
      </c>
      <c r="H231" s="51">
        <v>1</v>
      </c>
      <c r="I231" s="52">
        <f>J231/H231</f>
        <v>189990</v>
      </c>
      <c r="J231" s="52">
        <v>189990</v>
      </c>
      <c r="K231" s="51">
        <v>4</v>
      </c>
      <c r="L231" s="53">
        <f>K231/H231*30</f>
        <v>120</v>
      </c>
    </row>
    <row r="232" spans="1:12" s="2" customFormat="1" ht="13.95" customHeight="1" x14ac:dyDescent="0.2">
      <c r="A232" s="50" t="s">
        <v>70</v>
      </c>
      <c r="B232" s="50" t="s">
        <v>4</v>
      </c>
      <c r="C232" s="50" t="s">
        <v>50</v>
      </c>
      <c r="D232" s="50" t="s">
        <v>468</v>
      </c>
      <c r="E232" s="50" t="s">
        <v>108</v>
      </c>
      <c r="F232" s="50" t="s">
        <v>73</v>
      </c>
      <c r="G232" s="50" t="s">
        <v>86</v>
      </c>
      <c r="H232" s="51">
        <v>1</v>
      </c>
      <c r="I232" s="52">
        <f>J232/H232</f>
        <v>189990</v>
      </c>
      <c r="J232" s="52">
        <v>189990</v>
      </c>
      <c r="K232" s="51">
        <v>8</v>
      </c>
      <c r="L232" s="53">
        <f>K232/H232*30</f>
        <v>240</v>
      </c>
    </row>
    <row r="233" spans="1:12" s="2" customFormat="1" ht="13.95" customHeight="1" x14ac:dyDescent="0.2">
      <c r="A233" s="50" t="s">
        <v>70</v>
      </c>
      <c r="B233" s="50" t="s">
        <v>5</v>
      </c>
      <c r="C233" s="50" t="s">
        <v>34</v>
      </c>
      <c r="D233" s="50" t="s">
        <v>469</v>
      </c>
      <c r="E233" s="50" t="s">
        <v>470</v>
      </c>
      <c r="F233" s="50" t="s">
        <v>73</v>
      </c>
      <c r="G233" s="50" t="s">
        <v>86</v>
      </c>
      <c r="H233" s="51">
        <v>2</v>
      </c>
      <c r="I233" s="52">
        <f>J233/H233</f>
        <v>94990</v>
      </c>
      <c r="J233" s="52">
        <v>189980</v>
      </c>
      <c r="K233" s="51">
        <v>19</v>
      </c>
      <c r="L233" s="53">
        <f>K233/H233*30</f>
        <v>285</v>
      </c>
    </row>
    <row r="234" spans="1:12" s="2" customFormat="1" ht="13.95" customHeight="1" x14ac:dyDescent="0.2">
      <c r="A234" s="50" t="s">
        <v>70</v>
      </c>
      <c r="B234" s="50" t="s">
        <v>4</v>
      </c>
      <c r="C234" s="50" t="s">
        <v>46</v>
      </c>
      <c r="D234" s="50" t="s">
        <v>471</v>
      </c>
      <c r="E234" s="50" t="s">
        <v>127</v>
      </c>
      <c r="F234" s="50" t="s">
        <v>73</v>
      </c>
      <c r="G234" s="50" t="s">
        <v>86</v>
      </c>
      <c r="H234" s="51">
        <v>2</v>
      </c>
      <c r="I234" s="52">
        <f>J234/H234</f>
        <v>94990</v>
      </c>
      <c r="J234" s="52">
        <v>189980</v>
      </c>
      <c r="K234" s="51">
        <v>4</v>
      </c>
      <c r="L234" s="53">
        <f>K234/H234*30</f>
        <v>60</v>
      </c>
    </row>
    <row r="235" spans="1:12" s="2" customFormat="1" ht="13.95" customHeight="1" x14ac:dyDescent="0.2">
      <c r="A235" s="50" t="s">
        <v>70</v>
      </c>
      <c r="B235" s="50" t="s">
        <v>4</v>
      </c>
      <c r="C235" s="50" t="s">
        <v>46</v>
      </c>
      <c r="D235" s="50" t="s">
        <v>472</v>
      </c>
      <c r="E235" s="50" t="s">
        <v>127</v>
      </c>
      <c r="F235" s="50" t="s">
        <v>73</v>
      </c>
      <c r="G235" s="50" t="s">
        <v>74</v>
      </c>
      <c r="H235" s="51">
        <v>2</v>
      </c>
      <c r="I235" s="52">
        <f>J235/H235</f>
        <v>94990</v>
      </c>
      <c r="J235" s="52">
        <v>189980</v>
      </c>
      <c r="K235" s="51">
        <v>8</v>
      </c>
      <c r="L235" s="53">
        <f>K235/H235*30</f>
        <v>120</v>
      </c>
    </row>
    <row r="236" spans="1:12" s="2" customFormat="1" ht="13.95" customHeight="1" x14ac:dyDescent="0.2">
      <c r="A236" s="50" t="s">
        <v>70</v>
      </c>
      <c r="B236" s="50" t="s">
        <v>5</v>
      </c>
      <c r="C236" s="50" t="s">
        <v>45</v>
      </c>
      <c r="D236" s="50" t="s">
        <v>473</v>
      </c>
      <c r="E236" s="50" t="s">
        <v>474</v>
      </c>
      <c r="F236" s="50" t="s">
        <v>73</v>
      </c>
      <c r="G236" s="50" t="s">
        <v>97</v>
      </c>
      <c r="H236" s="51">
        <v>19</v>
      </c>
      <c r="I236" s="52">
        <f>J236/H236</f>
        <v>9990</v>
      </c>
      <c r="J236" s="52">
        <v>189810</v>
      </c>
      <c r="K236" s="51">
        <v>23</v>
      </c>
      <c r="L236" s="53">
        <f>K236/H236*30</f>
        <v>36.315789473684212</v>
      </c>
    </row>
    <row r="237" spans="1:12" s="2" customFormat="1" ht="13.95" customHeight="1" x14ac:dyDescent="0.2">
      <c r="A237" s="50" t="s">
        <v>70</v>
      </c>
      <c r="B237" s="50" t="s">
        <v>5</v>
      </c>
      <c r="C237" s="50" t="s">
        <v>45</v>
      </c>
      <c r="D237" s="50" t="s">
        <v>475</v>
      </c>
      <c r="E237" s="50" t="s">
        <v>173</v>
      </c>
      <c r="F237" s="50" t="s">
        <v>106</v>
      </c>
      <c r="G237" s="50" t="s">
        <v>112</v>
      </c>
      <c r="H237" s="51">
        <v>7</v>
      </c>
      <c r="I237" s="52">
        <f>J237/H237</f>
        <v>26990</v>
      </c>
      <c r="J237" s="52">
        <v>188930</v>
      </c>
      <c r="K237" s="51">
        <v>1</v>
      </c>
      <c r="L237" s="53">
        <f>K237/H237*30</f>
        <v>4.2857142857142856</v>
      </c>
    </row>
    <row r="238" spans="1:12" s="2" customFormat="1" ht="13.95" customHeight="1" x14ac:dyDescent="0.2">
      <c r="A238" s="50" t="s">
        <v>70</v>
      </c>
      <c r="B238" s="50" t="s">
        <v>5</v>
      </c>
      <c r="C238" s="50" t="s">
        <v>45</v>
      </c>
      <c r="D238" s="50" t="s">
        <v>476</v>
      </c>
      <c r="E238" s="50" t="s">
        <v>356</v>
      </c>
      <c r="F238" s="50" t="s">
        <v>73</v>
      </c>
      <c r="G238" s="50" t="s">
        <v>86</v>
      </c>
      <c r="H238" s="51">
        <v>7</v>
      </c>
      <c r="I238" s="52">
        <f>J238/H238</f>
        <v>26990</v>
      </c>
      <c r="J238" s="52">
        <v>188930</v>
      </c>
      <c r="K238" s="51">
        <v>18</v>
      </c>
      <c r="L238" s="53">
        <f>K238/H238*30</f>
        <v>77.142857142857153</v>
      </c>
    </row>
    <row r="239" spans="1:12" s="2" customFormat="1" ht="13.95" customHeight="1" x14ac:dyDescent="0.2">
      <c r="A239" s="50" t="s">
        <v>70</v>
      </c>
      <c r="B239" s="50" t="s">
        <v>5</v>
      </c>
      <c r="C239" s="50" t="s">
        <v>45</v>
      </c>
      <c r="D239" s="50" t="s">
        <v>477</v>
      </c>
      <c r="E239" s="50" t="s">
        <v>356</v>
      </c>
      <c r="F239" s="50" t="s">
        <v>223</v>
      </c>
      <c r="G239" s="50" t="s">
        <v>224</v>
      </c>
      <c r="H239" s="51">
        <v>7</v>
      </c>
      <c r="I239" s="52">
        <f>J239/H239</f>
        <v>26990</v>
      </c>
      <c r="J239" s="52">
        <v>188930</v>
      </c>
      <c r="K239" s="51">
        <v>15</v>
      </c>
      <c r="L239" s="53">
        <f>K239/H239*30</f>
        <v>64.285714285714278</v>
      </c>
    </row>
    <row r="240" spans="1:12" s="2" customFormat="1" ht="13.95" customHeight="1" x14ac:dyDescent="0.2">
      <c r="A240" s="50" t="s">
        <v>70</v>
      </c>
      <c r="B240" s="50" t="s">
        <v>5</v>
      </c>
      <c r="C240" s="50" t="s">
        <v>30</v>
      </c>
      <c r="D240" s="50" t="s">
        <v>478</v>
      </c>
      <c r="E240" s="50" t="s">
        <v>171</v>
      </c>
      <c r="F240" s="50" t="s">
        <v>106</v>
      </c>
      <c r="G240" s="50" t="s">
        <v>140</v>
      </c>
      <c r="H240" s="51">
        <v>3</v>
      </c>
      <c r="I240" s="52">
        <f>J240/H240</f>
        <v>61990</v>
      </c>
      <c r="J240" s="52">
        <v>185970</v>
      </c>
      <c r="K240" s="51">
        <v>2</v>
      </c>
      <c r="L240" s="53">
        <f>K240/H240*30</f>
        <v>20</v>
      </c>
    </row>
    <row r="241" spans="1:12" s="2" customFormat="1" ht="13.95" customHeight="1" x14ac:dyDescent="0.2">
      <c r="A241" s="50" t="s">
        <v>70</v>
      </c>
      <c r="B241" s="50" t="s">
        <v>4</v>
      </c>
      <c r="C241" s="50" t="s">
        <v>48</v>
      </c>
      <c r="D241" s="50" t="s">
        <v>479</v>
      </c>
      <c r="E241" s="50" t="s">
        <v>480</v>
      </c>
      <c r="F241" s="50" t="s">
        <v>73</v>
      </c>
      <c r="G241" s="50" t="s">
        <v>88</v>
      </c>
      <c r="H241" s="51">
        <v>1</v>
      </c>
      <c r="I241" s="52">
        <f>J241/H241</f>
        <v>179990</v>
      </c>
      <c r="J241" s="52">
        <v>179990</v>
      </c>
      <c r="K241" s="51">
        <v>23</v>
      </c>
      <c r="L241" s="53">
        <f>K241/H241*30</f>
        <v>690</v>
      </c>
    </row>
    <row r="242" spans="1:12" s="2" customFormat="1" ht="13.95" customHeight="1" x14ac:dyDescent="0.2">
      <c r="A242" s="50" t="s">
        <v>70</v>
      </c>
      <c r="B242" s="50" t="s">
        <v>4</v>
      </c>
      <c r="C242" s="50" t="s">
        <v>48</v>
      </c>
      <c r="D242" s="50" t="s">
        <v>481</v>
      </c>
      <c r="E242" s="50" t="s">
        <v>480</v>
      </c>
      <c r="F242" s="50" t="s">
        <v>73</v>
      </c>
      <c r="G242" s="50" t="s">
        <v>86</v>
      </c>
      <c r="H242" s="51">
        <v>1</v>
      </c>
      <c r="I242" s="52">
        <f>J242/H242</f>
        <v>179990</v>
      </c>
      <c r="J242" s="52">
        <v>179990</v>
      </c>
      <c r="K242" s="51">
        <v>9</v>
      </c>
      <c r="L242" s="53">
        <f>K242/H242*30</f>
        <v>270</v>
      </c>
    </row>
    <row r="243" spans="1:12" s="2" customFormat="1" ht="13.95" customHeight="1" x14ac:dyDescent="0.2">
      <c r="A243" s="50" t="s">
        <v>70</v>
      </c>
      <c r="B243" s="50" t="s">
        <v>4</v>
      </c>
      <c r="C243" s="50" t="s">
        <v>48</v>
      </c>
      <c r="D243" s="50" t="s">
        <v>482</v>
      </c>
      <c r="E243" s="50" t="s">
        <v>480</v>
      </c>
      <c r="F243" s="50" t="s">
        <v>223</v>
      </c>
      <c r="G243" s="50" t="s">
        <v>224</v>
      </c>
      <c r="H243" s="51">
        <v>1</v>
      </c>
      <c r="I243" s="52">
        <f>J243/H243</f>
        <v>179990</v>
      </c>
      <c r="J243" s="52">
        <v>179990</v>
      </c>
      <c r="K243" s="51">
        <v>2</v>
      </c>
      <c r="L243" s="53">
        <f>K243/H243*30</f>
        <v>60</v>
      </c>
    </row>
    <row r="244" spans="1:12" s="2" customFormat="1" ht="13.95" customHeight="1" x14ac:dyDescent="0.2">
      <c r="A244" s="50" t="s">
        <v>165</v>
      </c>
      <c r="B244" s="50" t="s">
        <v>4</v>
      </c>
      <c r="C244" s="50" t="s">
        <v>46</v>
      </c>
      <c r="D244" s="50" t="s">
        <v>483</v>
      </c>
      <c r="E244" s="50" t="s">
        <v>228</v>
      </c>
      <c r="F244" s="50" t="s">
        <v>484</v>
      </c>
      <c r="G244" s="50" t="s">
        <v>485</v>
      </c>
      <c r="H244" s="51">
        <v>2</v>
      </c>
      <c r="I244" s="52">
        <f>J244/H244</f>
        <v>89990</v>
      </c>
      <c r="J244" s="52">
        <v>179980</v>
      </c>
      <c r="K244" s="51">
        <v>21</v>
      </c>
      <c r="L244" s="53">
        <f>K244/H244*30</f>
        <v>315</v>
      </c>
    </row>
    <row r="245" spans="1:12" s="2" customFormat="1" ht="13.95" customHeight="1" x14ac:dyDescent="0.2">
      <c r="A245" s="50" t="s">
        <v>165</v>
      </c>
      <c r="B245" s="50" t="s">
        <v>4</v>
      </c>
      <c r="C245" s="50" t="s">
        <v>48</v>
      </c>
      <c r="D245" s="50" t="s">
        <v>486</v>
      </c>
      <c r="E245" s="50" t="s">
        <v>228</v>
      </c>
      <c r="F245" s="50" t="s">
        <v>484</v>
      </c>
      <c r="G245" s="50" t="s">
        <v>86</v>
      </c>
      <c r="H245" s="51">
        <v>2</v>
      </c>
      <c r="I245" s="52">
        <f>J245/H245</f>
        <v>89990</v>
      </c>
      <c r="J245" s="52">
        <v>179980</v>
      </c>
      <c r="K245" s="51">
        <v>23</v>
      </c>
      <c r="L245" s="53">
        <f>K245/H245*30</f>
        <v>345</v>
      </c>
    </row>
    <row r="246" spans="1:12" s="2" customFormat="1" ht="13.95" customHeight="1" x14ac:dyDescent="0.2">
      <c r="A246" s="50" t="s">
        <v>70</v>
      </c>
      <c r="B246" s="50" t="s">
        <v>5</v>
      </c>
      <c r="C246" s="50" t="s">
        <v>30</v>
      </c>
      <c r="D246" s="50" t="s">
        <v>487</v>
      </c>
      <c r="E246" s="50" t="s">
        <v>320</v>
      </c>
      <c r="F246" s="50" t="s">
        <v>73</v>
      </c>
      <c r="G246" s="50" t="s">
        <v>84</v>
      </c>
      <c r="H246" s="51">
        <v>2</v>
      </c>
      <c r="I246" s="52">
        <f>J246/H246</f>
        <v>89990</v>
      </c>
      <c r="J246" s="52">
        <v>179980</v>
      </c>
      <c r="K246" s="51">
        <v>14</v>
      </c>
      <c r="L246" s="53">
        <f>K246/H246*30</f>
        <v>210</v>
      </c>
    </row>
    <row r="247" spans="1:12" s="2" customFormat="1" ht="13.95" customHeight="1" x14ac:dyDescent="0.2">
      <c r="A247" s="50" t="s">
        <v>70</v>
      </c>
      <c r="B247" s="50" t="s">
        <v>5</v>
      </c>
      <c r="C247" s="50" t="s">
        <v>30</v>
      </c>
      <c r="D247" s="50" t="s">
        <v>488</v>
      </c>
      <c r="E247" s="50" t="s">
        <v>322</v>
      </c>
      <c r="F247" s="50" t="s">
        <v>73</v>
      </c>
      <c r="G247" s="50" t="s">
        <v>97</v>
      </c>
      <c r="H247" s="51">
        <v>2</v>
      </c>
      <c r="I247" s="52">
        <f>J247/H247</f>
        <v>89990</v>
      </c>
      <c r="J247" s="52">
        <v>179980</v>
      </c>
      <c r="K247" s="51">
        <v>7</v>
      </c>
      <c r="L247" s="53">
        <f>K247/H247*30</f>
        <v>105</v>
      </c>
    </row>
    <row r="248" spans="1:12" s="2" customFormat="1" ht="13.95" customHeight="1" x14ac:dyDescent="0.2">
      <c r="A248" s="50" t="s">
        <v>70</v>
      </c>
      <c r="B248" s="50" t="s">
        <v>5</v>
      </c>
      <c r="C248" s="50" t="s">
        <v>30</v>
      </c>
      <c r="D248" s="50" t="s">
        <v>489</v>
      </c>
      <c r="E248" s="50" t="s">
        <v>322</v>
      </c>
      <c r="F248" s="50" t="s">
        <v>73</v>
      </c>
      <c r="G248" s="50" t="s">
        <v>74</v>
      </c>
      <c r="H248" s="51">
        <v>2</v>
      </c>
      <c r="I248" s="52">
        <f>J248/H248</f>
        <v>89990</v>
      </c>
      <c r="J248" s="52">
        <v>179980</v>
      </c>
      <c r="K248" s="51">
        <v>14</v>
      </c>
      <c r="L248" s="53">
        <f>K248/H248*30</f>
        <v>210</v>
      </c>
    </row>
    <row r="249" spans="1:12" s="2" customFormat="1" ht="13.95" customHeight="1" x14ac:dyDescent="0.2">
      <c r="A249" s="50" t="s">
        <v>70</v>
      </c>
      <c r="B249" s="50" t="s">
        <v>5</v>
      </c>
      <c r="C249" s="50" t="s">
        <v>30</v>
      </c>
      <c r="D249" s="50" t="s">
        <v>490</v>
      </c>
      <c r="E249" s="50" t="s">
        <v>322</v>
      </c>
      <c r="F249" s="50" t="s">
        <v>73</v>
      </c>
      <c r="G249" s="50" t="s">
        <v>84</v>
      </c>
      <c r="H249" s="51">
        <v>2</v>
      </c>
      <c r="I249" s="52">
        <f>J249/H249</f>
        <v>89990</v>
      </c>
      <c r="J249" s="52">
        <v>179980</v>
      </c>
      <c r="K249" s="51">
        <v>3</v>
      </c>
      <c r="L249" s="53">
        <f>K249/H249*30</f>
        <v>45</v>
      </c>
    </row>
    <row r="250" spans="1:12" s="2" customFormat="1" ht="13.95" customHeight="1" x14ac:dyDescent="0.2">
      <c r="A250" s="50" t="s">
        <v>70</v>
      </c>
      <c r="B250" s="50" t="s">
        <v>5</v>
      </c>
      <c r="C250" s="50" t="s">
        <v>30</v>
      </c>
      <c r="D250" s="50" t="s">
        <v>491</v>
      </c>
      <c r="E250" s="50" t="s">
        <v>324</v>
      </c>
      <c r="F250" s="50" t="s">
        <v>73</v>
      </c>
      <c r="G250" s="50" t="s">
        <v>88</v>
      </c>
      <c r="H250" s="51">
        <v>2</v>
      </c>
      <c r="I250" s="52">
        <f>J250/H250</f>
        <v>89990</v>
      </c>
      <c r="J250" s="52">
        <v>179980</v>
      </c>
      <c r="K250" s="51">
        <v>3</v>
      </c>
      <c r="L250" s="53">
        <f>K250/H250*30</f>
        <v>45</v>
      </c>
    </row>
    <row r="251" spans="1:12" s="2" customFormat="1" ht="13.95" customHeight="1" x14ac:dyDescent="0.2">
      <c r="A251" s="50" t="s">
        <v>70</v>
      </c>
      <c r="B251" s="50" t="s">
        <v>5</v>
      </c>
      <c r="C251" s="50" t="s">
        <v>30</v>
      </c>
      <c r="D251" s="50" t="s">
        <v>492</v>
      </c>
      <c r="E251" s="50" t="s">
        <v>324</v>
      </c>
      <c r="F251" s="50" t="s">
        <v>106</v>
      </c>
      <c r="G251" s="50" t="s">
        <v>88</v>
      </c>
      <c r="H251" s="51">
        <v>2</v>
      </c>
      <c r="I251" s="52">
        <f>J251/H251</f>
        <v>89990</v>
      </c>
      <c r="J251" s="52">
        <v>179980</v>
      </c>
      <c r="K251" s="51">
        <v>8</v>
      </c>
      <c r="L251" s="53">
        <f>K251/H251*30</f>
        <v>120</v>
      </c>
    </row>
    <row r="252" spans="1:12" s="2" customFormat="1" ht="13.95" customHeight="1" x14ac:dyDescent="0.2">
      <c r="A252" s="50" t="s">
        <v>70</v>
      </c>
      <c r="B252" s="50" t="s">
        <v>4</v>
      </c>
      <c r="C252" s="50" t="s">
        <v>46</v>
      </c>
      <c r="D252" s="50" t="s">
        <v>493</v>
      </c>
      <c r="E252" s="50" t="s">
        <v>326</v>
      </c>
      <c r="F252" s="50" t="s">
        <v>128</v>
      </c>
      <c r="G252" s="50" t="s">
        <v>152</v>
      </c>
      <c r="H252" s="51">
        <v>2</v>
      </c>
      <c r="I252" s="52">
        <f>J252/H252</f>
        <v>89990</v>
      </c>
      <c r="J252" s="52">
        <v>179980</v>
      </c>
      <c r="K252" s="51">
        <v>16</v>
      </c>
      <c r="L252" s="53">
        <f>K252/H252*30</f>
        <v>240</v>
      </c>
    </row>
    <row r="253" spans="1:12" s="2" customFormat="1" ht="13.95" customHeight="1" x14ac:dyDescent="0.2">
      <c r="A253" s="50" t="s">
        <v>70</v>
      </c>
      <c r="B253" s="50" t="s">
        <v>4</v>
      </c>
      <c r="C253" s="50" t="s">
        <v>46</v>
      </c>
      <c r="D253" s="50" t="s">
        <v>494</v>
      </c>
      <c r="E253" s="50" t="s">
        <v>328</v>
      </c>
      <c r="F253" s="50" t="s">
        <v>106</v>
      </c>
      <c r="G253" s="50" t="s">
        <v>86</v>
      </c>
      <c r="H253" s="51">
        <v>2</v>
      </c>
      <c r="I253" s="52">
        <f>J253/H253</f>
        <v>89990</v>
      </c>
      <c r="J253" s="52">
        <v>179980</v>
      </c>
      <c r="K253" s="51">
        <v>10</v>
      </c>
      <c r="L253" s="53">
        <f>K253/H253*30</f>
        <v>150</v>
      </c>
    </row>
    <row r="254" spans="1:12" s="2" customFormat="1" ht="13.95" customHeight="1" x14ac:dyDescent="0.2">
      <c r="A254" s="50" t="s">
        <v>70</v>
      </c>
      <c r="B254" s="50" t="s">
        <v>4</v>
      </c>
      <c r="C254" s="50" t="s">
        <v>46</v>
      </c>
      <c r="D254" s="50" t="s">
        <v>495</v>
      </c>
      <c r="E254" s="50" t="s">
        <v>328</v>
      </c>
      <c r="F254" s="50" t="s">
        <v>155</v>
      </c>
      <c r="G254" s="50" t="s">
        <v>156</v>
      </c>
      <c r="H254" s="51">
        <v>2</v>
      </c>
      <c r="I254" s="52">
        <f>J254/H254</f>
        <v>89990</v>
      </c>
      <c r="J254" s="52">
        <v>179980</v>
      </c>
      <c r="K254" s="51">
        <v>4</v>
      </c>
      <c r="L254" s="53">
        <f>K254/H254*30</f>
        <v>60</v>
      </c>
    </row>
    <row r="255" spans="1:12" s="2" customFormat="1" ht="13.95" customHeight="1" x14ac:dyDescent="0.2">
      <c r="A255" s="50" t="s">
        <v>70</v>
      </c>
      <c r="B255" s="50" t="s">
        <v>4</v>
      </c>
      <c r="C255" s="50" t="s">
        <v>48</v>
      </c>
      <c r="D255" s="50" t="s">
        <v>496</v>
      </c>
      <c r="E255" s="50" t="s">
        <v>110</v>
      </c>
      <c r="F255" s="50" t="s">
        <v>106</v>
      </c>
      <c r="G255" s="50" t="s">
        <v>88</v>
      </c>
      <c r="H255" s="51">
        <v>2</v>
      </c>
      <c r="I255" s="52">
        <f>J255/H255</f>
        <v>89990</v>
      </c>
      <c r="J255" s="52">
        <v>179980</v>
      </c>
      <c r="K255" s="51">
        <v>4</v>
      </c>
      <c r="L255" s="53">
        <f>K255/H255*30</f>
        <v>60</v>
      </c>
    </row>
    <row r="256" spans="1:12" s="2" customFormat="1" ht="13.95" customHeight="1" x14ac:dyDescent="0.2">
      <c r="A256" s="50" t="s">
        <v>70</v>
      </c>
      <c r="B256" s="50" t="s">
        <v>5</v>
      </c>
      <c r="C256" s="50" t="s">
        <v>30</v>
      </c>
      <c r="D256" s="50" t="s">
        <v>497</v>
      </c>
      <c r="E256" s="50" t="s">
        <v>92</v>
      </c>
      <c r="F256" s="50" t="s">
        <v>106</v>
      </c>
      <c r="G256" s="50" t="s">
        <v>140</v>
      </c>
      <c r="H256" s="51">
        <v>4</v>
      </c>
      <c r="I256" s="52">
        <f>J256/H256</f>
        <v>44990</v>
      </c>
      <c r="J256" s="52">
        <v>179960</v>
      </c>
      <c r="K256" s="51">
        <v>39</v>
      </c>
      <c r="L256" s="53">
        <f>K256/H256*30</f>
        <v>292.5</v>
      </c>
    </row>
    <row r="257" spans="1:12" s="2" customFormat="1" ht="13.95" customHeight="1" x14ac:dyDescent="0.2">
      <c r="A257" s="50" t="s">
        <v>70</v>
      </c>
      <c r="B257" s="50" t="s">
        <v>4</v>
      </c>
      <c r="C257" s="50" t="s">
        <v>51</v>
      </c>
      <c r="D257" s="50" t="s">
        <v>498</v>
      </c>
      <c r="E257" s="50" t="s">
        <v>499</v>
      </c>
      <c r="F257" s="50" t="s">
        <v>73</v>
      </c>
      <c r="G257" s="50" t="s">
        <v>86</v>
      </c>
      <c r="H257" s="51">
        <v>2</v>
      </c>
      <c r="I257" s="52">
        <f>J257/H257</f>
        <v>88990</v>
      </c>
      <c r="J257" s="52">
        <v>177980</v>
      </c>
      <c r="K257" s="51">
        <v>10</v>
      </c>
      <c r="L257" s="53">
        <f>K257/H257*30</f>
        <v>150</v>
      </c>
    </row>
    <row r="258" spans="1:12" s="2" customFormat="1" ht="13.95" customHeight="1" x14ac:dyDescent="0.2">
      <c r="A258" s="50" t="s">
        <v>70</v>
      </c>
      <c r="B258" s="50" t="s">
        <v>4</v>
      </c>
      <c r="C258" s="50" t="s">
        <v>51</v>
      </c>
      <c r="D258" s="50" t="s">
        <v>500</v>
      </c>
      <c r="E258" s="50" t="s">
        <v>501</v>
      </c>
      <c r="F258" s="50" t="s">
        <v>73</v>
      </c>
      <c r="G258" s="50" t="s">
        <v>86</v>
      </c>
      <c r="H258" s="51">
        <v>2</v>
      </c>
      <c r="I258" s="52">
        <f>J258/H258</f>
        <v>88990</v>
      </c>
      <c r="J258" s="52">
        <v>177980</v>
      </c>
      <c r="K258" s="51">
        <v>13</v>
      </c>
      <c r="L258" s="53">
        <f>K258/H258*30</f>
        <v>195</v>
      </c>
    </row>
    <row r="259" spans="1:12" s="2" customFormat="1" ht="13.95" customHeight="1" x14ac:dyDescent="0.2">
      <c r="A259" s="50" t="s">
        <v>70</v>
      </c>
      <c r="B259" s="50" t="s">
        <v>5</v>
      </c>
      <c r="C259" s="50" t="s">
        <v>42</v>
      </c>
      <c r="D259" s="50" t="s">
        <v>502</v>
      </c>
      <c r="E259" s="50" t="s">
        <v>373</v>
      </c>
      <c r="F259" s="50" t="s">
        <v>73</v>
      </c>
      <c r="G259" s="50" t="s">
        <v>84</v>
      </c>
      <c r="H259" s="51">
        <v>11</v>
      </c>
      <c r="I259" s="52">
        <f>J259/H259</f>
        <v>15990</v>
      </c>
      <c r="J259" s="52">
        <v>175890</v>
      </c>
      <c r="K259" s="51">
        <v>46</v>
      </c>
      <c r="L259" s="53">
        <f>K259/H259*30</f>
        <v>125.45454545454545</v>
      </c>
    </row>
    <row r="260" spans="1:12" s="2" customFormat="1" ht="13.95" customHeight="1" x14ac:dyDescent="0.2">
      <c r="A260" s="50" t="s">
        <v>70</v>
      </c>
      <c r="B260" s="50" t="s">
        <v>7</v>
      </c>
      <c r="C260" s="50" t="s">
        <v>12</v>
      </c>
      <c r="D260" s="50" t="s">
        <v>503</v>
      </c>
      <c r="E260" s="50" t="s">
        <v>246</v>
      </c>
      <c r="F260" s="50" t="s">
        <v>73</v>
      </c>
      <c r="G260" s="50" t="s">
        <v>86</v>
      </c>
      <c r="H260" s="51">
        <v>2</v>
      </c>
      <c r="I260" s="52">
        <f>J260/H260</f>
        <v>84990</v>
      </c>
      <c r="J260" s="52">
        <v>169980</v>
      </c>
      <c r="K260" s="51">
        <v>14</v>
      </c>
      <c r="L260" s="53">
        <f>K260/H260*30</f>
        <v>210</v>
      </c>
    </row>
    <row r="261" spans="1:12" s="2" customFormat="1" ht="13.95" customHeight="1" x14ac:dyDescent="0.2">
      <c r="A261" s="50" t="s">
        <v>70</v>
      </c>
      <c r="B261" s="50" t="s">
        <v>4</v>
      </c>
      <c r="C261" s="50" t="s">
        <v>48</v>
      </c>
      <c r="D261" s="50" t="s">
        <v>504</v>
      </c>
      <c r="E261" s="50" t="s">
        <v>94</v>
      </c>
      <c r="F261" s="50" t="s">
        <v>137</v>
      </c>
      <c r="G261" s="50" t="s">
        <v>74</v>
      </c>
      <c r="H261" s="51">
        <v>1</v>
      </c>
      <c r="I261" s="52">
        <f>J261/H261</f>
        <v>167990</v>
      </c>
      <c r="J261" s="52">
        <v>167990</v>
      </c>
      <c r="K261" s="51">
        <v>0</v>
      </c>
      <c r="L261" s="53">
        <f>K261/H261*30</f>
        <v>0</v>
      </c>
    </row>
    <row r="262" spans="1:12" s="2" customFormat="1" ht="13.95" customHeight="1" x14ac:dyDescent="0.2">
      <c r="A262" s="50" t="s">
        <v>70</v>
      </c>
      <c r="B262" s="50" t="s">
        <v>4</v>
      </c>
      <c r="C262" s="50" t="s">
        <v>48</v>
      </c>
      <c r="D262" s="50" t="s">
        <v>505</v>
      </c>
      <c r="E262" s="50" t="s">
        <v>136</v>
      </c>
      <c r="F262" s="50" t="s">
        <v>137</v>
      </c>
      <c r="G262" s="50" t="s">
        <v>74</v>
      </c>
      <c r="H262" s="51">
        <v>1</v>
      </c>
      <c r="I262" s="52">
        <f>J262/H262</f>
        <v>167990</v>
      </c>
      <c r="J262" s="52">
        <v>167990</v>
      </c>
      <c r="K262" s="51">
        <v>19</v>
      </c>
      <c r="L262" s="53">
        <f>K262/H262*30</f>
        <v>570</v>
      </c>
    </row>
    <row r="263" spans="1:12" s="2" customFormat="1" ht="13.95" customHeight="1" x14ac:dyDescent="0.2">
      <c r="A263" s="50" t="s">
        <v>70</v>
      </c>
      <c r="B263" s="50" t="s">
        <v>4</v>
      </c>
      <c r="C263" s="50" t="s">
        <v>53</v>
      </c>
      <c r="D263" s="50" t="s">
        <v>506</v>
      </c>
      <c r="E263" s="50" t="s">
        <v>507</v>
      </c>
      <c r="F263" s="50" t="s">
        <v>223</v>
      </c>
      <c r="G263" s="50" t="s">
        <v>224</v>
      </c>
      <c r="H263" s="51">
        <v>2</v>
      </c>
      <c r="I263" s="52">
        <f>J263/H263</f>
        <v>83990</v>
      </c>
      <c r="J263" s="52">
        <v>167980</v>
      </c>
      <c r="K263" s="51">
        <v>19</v>
      </c>
      <c r="L263" s="53">
        <f>K263/H263*30</f>
        <v>285</v>
      </c>
    </row>
    <row r="264" spans="1:12" s="2" customFormat="1" ht="13.95" customHeight="1" x14ac:dyDescent="0.2">
      <c r="A264" s="50" t="s">
        <v>70</v>
      </c>
      <c r="B264" s="50" t="s">
        <v>4</v>
      </c>
      <c r="C264" s="50" t="s">
        <v>53</v>
      </c>
      <c r="D264" s="50" t="s">
        <v>508</v>
      </c>
      <c r="E264" s="50" t="s">
        <v>507</v>
      </c>
      <c r="F264" s="50" t="s">
        <v>374</v>
      </c>
      <c r="G264" s="50" t="s">
        <v>86</v>
      </c>
      <c r="H264" s="51">
        <v>2</v>
      </c>
      <c r="I264" s="52">
        <f>J264/H264</f>
        <v>83990</v>
      </c>
      <c r="J264" s="52">
        <v>167980</v>
      </c>
      <c r="K264" s="51">
        <v>5</v>
      </c>
      <c r="L264" s="53">
        <f>K264/H264*30</f>
        <v>75</v>
      </c>
    </row>
    <row r="265" spans="1:12" s="2" customFormat="1" ht="13.95" customHeight="1" x14ac:dyDescent="0.2">
      <c r="A265" s="50" t="s">
        <v>70</v>
      </c>
      <c r="B265" s="50" t="s">
        <v>4</v>
      </c>
      <c r="C265" s="50" t="s">
        <v>48</v>
      </c>
      <c r="D265" s="50" t="s">
        <v>509</v>
      </c>
      <c r="E265" s="50" t="s">
        <v>136</v>
      </c>
      <c r="F265" s="50" t="s">
        <v>73</v>
      </c>
      <c r="G265" s="50" t="s">
        <v>86</v>
      </c>
      <c r="H265" s="51">
        <v>1</v>
      </c>
      <c r="I265" s="52">
        <f>J265/H265</f>
        <v>165990</v>
      </c>
      <c r="J265" s="52">
        <v>165990</v>
      </c>
      <c r="K265" s="51">
        <v>52</v>
      </c>
      <c r="L265" s="53">
        <f>K265/H265*30</f>
        <v>1560</v>
      </c>
    </row>
    <row r="266" spans="1:12" s="2" customFormat="1" ht="13.95" customHeight="1" x14ac:dyDescent="0.2">
      <c r="A266" s="50" t="s">
        <v>70</v>
      </c>
      <c r="B266" s="50" t="s">
        <v>4</v>
      </c>
      <c r="C266" s="50" t="s">
        <v>48</v>
      </c>
      <c r="D266" s="50" t="s">
        <v>510</v>
      </c>
      <c r="E266" s="50" t="s">
        <v>136</v>
      </c>
      <c r="F266" s="50" t="s">
        <v>73</v>
      </c>
      <c r="G266" s="50" t="s">
        <v>84</v>
      </c>
      <c r="H266" s="51">
        <v>1</v>
      </c>
      <c r="I266" s="52">
        <f>J266/H266</f>
        <v>165990</v>
      </c>
      <c r="J266" s="52">
        <v>165990</v>
      </c>
      <c r="K266" s="51">
        <v>19</v>
      </c>
      <c r="L266" s="53">
        <f>K266/H266*30</f>
        <v>570</v>
      </c>
    </row>
    <row r="267" spans="1:12" s="2" customFormat="1" ht="13.95" customHeight="1" x14ac:dyDescent="0.2">
      <c r="A267" s="50" t="s">
        <v>70</v>
      </c>
      <c r="B267" s="50" t="s">
        <v>4</v>
      </c>
      <c r="C267" s="50" t="s">
        <v>48</v>
      </c>
      <c r="D267" s="50" t="s">
        <v>511</v>
      </c>
      <c r="E267" s="50" t="s">
        <v>136</v>
      </c>
      <c r="F267" s="50" t="s">
        <v>155</v>
      </c>
      <c r="G267" s="50" t="s">
        <v>512</v>
      </c>
      <c r="H267" s="51">
        <v>1</v>
      </c>
      <c r="I267" s="52">
        <f>J267/H267</f>
        <v>165990</v>
      </c>
      <c r="J267" s="52">
        <v>165990</v>
      </c>
      <c r="K267" s="51">
        <v>0</v>
      </c>
      <c r="L267" s="53">
        <f>K267/H267*30</f>
        <v>0</v>
      </c>
    </row>
    <row r="268" spans="1:12" s="2" customFormat="1" ht="13.95" customHeight="1" x14ac:dyDescent="0.2">
      <c r="A268" s="50" t="s">
        <v>70</v>
      </c>
      <c r="B268" s="50" t="s">
        <v>4</v>
      </c>
      <c r="C268" s="50" t="s">
        <v>48</v>
      </c>
      <c r="D268" s="50" t="s">
        <v>513</v>
      </c>
      <c r="E268" s="50" t="s">
        <v>514</v>
      </c>
      <c r="F268" s="50" t="s">
        <v>73</v>
      </c>
      <c r="G268" s="50" t="s">
        <v>74</v>
      </c>
      <c r="H268" s="51">
        <v>1</v>
      </c>
      <c r="I268" s="52">
        <f>J268/H268</f>
        <v>165990</v>
      </c>
      <c r="J268" s="52">
        <v>165990</v>
      </c>
      <c r="K268" s="51">
        <v>7</v>
      </c>
      <c r="L268" s="53">
        <f>K268/H268*30</f>
        <v>210</v>
      </c>
    </row>
    <row r="269" spans="1:12" s="2" customFormat="1" ht="13.95" customHeight="1" x14ac:dyDescent="0.2">
      <c r="A269" s="50" t="s">
        <v>70</v>
      </c>
      <c r="B269" s="50" t="s">
        <v>4</v>
      </c>
      <c r="C269" s="50" t="s">
        <v>48</v>
      </c>
      <c r="D269" s="50" t="s">
        <v>515</v>
      </c>
      <c r="E269" s="50" t="s">
        <v>514</v>
      </c>
      <c r="F269" s="50" t="s">
        <v>223</v>
      </c>
      <c r="G269" s="50" t="s">
        <v>224</v>
      </c>
      <c r="H269" s="51">
        <v>1</v>
      </c>
      <c r="I269" s="52">
        <f>J269/H269</f>
        <v>165990</v>
      </c>
      <c r="J269" s="52">
        <v>165990</v>
      </c>
      <c r="K269" s="51">
        <v>5</v>
      </c>
      <c r="L269" s="53">
        <f>K269/H269*30</f>
        <v>150</v>
      </c>
    </row>
    <row r="270" spans="1:12" s="2" customFormat="1" ht="13.95" customHeight="1" x14ac:dyDescent="0.2">
      <c r="A270" s="50" t="s">
        <v>70</v>
      </c>
      <c r="B270" s="50" t="s">
        <v>4</v>
      </c>
      <c r="C270" s="50" t="s">
        <v>48</v>
      </c>
      <c r="D270" s="50" t="s">
        <v>516</v>
      </c>
      <c r="E270" s="50" t="s">
        <v>256</v>
      </c>
      <c r="F270" s="50" t="s">
        <v>73</v>
      </c>
      <c r="G270" s="50" t="s">
        <v>86</v>
      </c>
      <c r="H270" s="51">
        <v>1</v>
      </c>
      <c r="I270" s="52">
        <f>J270/H270</f>
        <v>165990</v>
      </c>
      <c r="J270" s="52">
        <v>165990</v>
      </c>
      <c r="K270" s="51">
        <v>75</v>
      </c>
      <c r="L270" s="53">
        <f>K270/H270*30</f>
        <v>2250</v>
      </c>
    </row>
    <row r="271" spans="1:12" s="2" customFormat="1" ht="13.95" customHeight="1" x14ac:dyDescent="0.2">
      <c r="A271" s="50" t="s">
        <v>70</v>
      </c>
      <c r="B271" s="50" t="s">
        <v>4</v>
      </c>
      <c r="C271" s="50" t="s">
        <v>48</v>
      </c>
      <c r="D271" s="50" t="s">
        <v>517</v>
      </c>
      <c r="E271" s="50" t="s">
        <v>256</v>
      </c>
      <c r="F271" s="50" t="s">
        <v>73</v>
      </c>
      <c r="G271" s="50" t="s">
        <v>74</v>
      </c>
      <c r="H271" s="51">
        <v>1</v>
      </c>
      <c r="I271" s="52">
        <f>J271/H271</f>
        <v>165990</v>
      </c>
      <c r="J271" s="52">
        <v>165990</v>
      </c>
      <c r="K271" s="51">
        <v>19</v>
      </c>
      <c r="L271" s="53">
        <f>K271/H271*30</f>
        <v>570</v>
      </c>
    </row>
    <row r="272" spans="1:12" s="2" customFormat="1" ht="13.95" customHeight="1" x14ac:dyDescent="0.2">
      <c r="A272" s="50" t="s">
        <v>70</v>
      </c>
      <c r="B272" s="50" t="s">
        <v>4</v>
      </c>
      <c r="C272" s="50" t="s">
        <v>48</v>
      </c>
      <c r="D272" s="50" t="s">
        <v>518</v>
      </c>
      <c r="E272" s="50" t="s">
        <v>256</v>
      </c>
      <c r="F272" s="50" t="s">
        <v>128</v>
      </c>
      <c r="G272" s="50" t="s">
        <v>150</v>
      </c>
      <c r="H272" s="51">
        <v>1</v>
      </c>
      <c r="I272" s="52">
        <f>J272/H272</f>
        <v>165990</v>
      </c>
      <c r="J272" s="52">
        <v>165990</v>
      </c>
      <c r="K272" s="51">
        <v>1</v>
      </c>
      <c r="L272" s="53">
        <f>K272/H272*30</f>
        <v>30</v>
      </c>
    </row>
    <row r="273" spans="1:12" s="2" customFormat="1" ht="13.95" customHeight="1" x14ac:dyDescent="0.2">
      <c r="A273" s="50" t="s">
        <v>70</v>
      </c>
      <c r="B273" s="50" t="s">
        <v>4</v>
      </c>
      <c r="C273" s="50" t="s">
        <v>48</v>
      </c>
      <c r="D273" s="50" t="s">
        <v>519</v>
      </c>
      <c r="E273" s="50" t="s">
        <v>256</v>
      </c>
      <c r="F273" s="50" t="s">
        <v>128</v>
      </c>
      <c r="G273" s="50" t="s">
        <v>152</v>
      </c>
      <c r="H273" s="51">
        <v>1</v>
      </c>
      <c r="I273" s="52">
        <f>J273/H273</f>
        <v>165990</v>
      </c>
      <c r="J273" s="52">
        <v>165990</v>
      </c>
      <c r="K273" s="51">
        <v>19</v>
      </c>
      <c r="L273" s="53">
        <f>K273/H273*30</f>
        <v>570</v>
      </c>
    </row>
    <row r="274" spans="1:12" s="2" customFormat="1" ht="13.95" customHeight="1" x14ac:dyDescent="0.2">
      <c r="A274" s="50" t="s">
        <v>70</v>
      </c>
      <c r="B274" s="50" t="s">
        <v>4</v>
      </c>
      <c r="C274" s="50" t="s">
        <v>48</v>
      </c>
      <c r="D274" s="50" t="s">
        <v>520</v>
      </c>
      <c r="E274" s="50" t="s">
        <v>256</v>
      </c>
      <c r="F274" s="50" t="s">
        <v>374</v>
      </c>
      <c r="G274" s="50" t="s">
        <v>140</v>
      </c>
      <c r="H274" s="51">
        <v>1</v>
      </c>
      <c r="I274" s="52">
        <f>J274/H274</f>
        <v>165990</v>
      </c>
      <c r="J274" s="52">
        <v>165990</v>
      </c>
      <c r="K274" s="51">
        <v>13</v>
      </c>
      <c r="L274" s="53">
        <f>K274/H274*30</f>
        <v>390</v>
      </c>
    </row>
    <row r="275" spans="1:12" s="2" customFormat="1" ht="13.95" customHeight="1" x14ac:dyDescent="0.2">
      <c r="A275" s="50" t="s">
        <v>70</v>
      </c>
      <c r="B275" s="50" t="s">
        <v>5</v>
      </c>
      <c r="C275" s="50" t="s">
        <v>30</v>
      </c>
      <c r="D275" s="50" t="s">
        <v>521</v>
      </c>
      <c r="E275" s="50" t="s">
        <v>262</v>
      </c>
      <c r="F275" s="50" t="s">
        <v>106</v>
      </c>
      <c r="G275" s="50" t="s">
        <v>140</v>
      </c>
      <c r="H275" s="51">
        <v>2</v>
      </c>
      <c r="I275" s="52">
        <f>J275/H275</f>
        <v>81990</v>
      </c>
      <c r="J275" s="52">
        <v>163980</v>
      </c>
      <c r="K275" s="51">
        <v>8</v>
      </c>
      <c r="L275" s="53">
        <f>K275/H275*30</f>
        <v>120</v>
      </c>
    </row>
    <row r="276" spans="1:12" s="2" customFormat="1" ht="13.95" customHeight="1" x14ac:dyDescent="0.2">
      <c r="A276" s="50" t="s">
        <v>70</v>
      </c>
      <c r="B276" s="50" t="s">
        <v>5</v>
      </c>
      <c r="C276" s="50" t="s">
        <v>30</v>
      </c>
      <c r="D276" s="50" t="s">
        <v>522</v>
      </c>
      <c r="E276" s="50" t="s">
        <v>262</v>
      </c>
      <c r="F276" s="50" t="s">
        <v>106</v>
      </c>
      <c r="G276" s="50" t="s">
        <v>90</v>
      </c>
      <c r="H276" s="51">
        <v>2</v>
      </c>
      <c r="I276" s="52">
        <f>J276/H276</f>
        <v>81990</v>
      </c>
      <c r="J276" s="52">
        <v>163980</v>
      </c>
      <c r="K276" s="51">
        <v>0</v>
      </c>
      <c r="L276" s="53">
        <f>K276/H276*30</f>
        <v>0</v>
      </c>
    </row>
    <row r="277" spans="1:12" s="2" customFormat="1" ht="13.95" customHeight="1" x14ac:dyDescent="0.2">
      <c r="A277" s="50" t="s">
        <v>70</v>
      </c>
      <c r="B277" s="50" t="s">
        <v>5</v>
      </c>
      <c r="C277" s="50" t="s">
        <v>40</v>
      </c>
      <c r="D277" s="50" t="s">
        <v>523</v>
      </c>
      <c r="E277" s="50" t="s">
        <v>524</v>
      </c>
      <c r="F277" s="50" t="s">
        <v>137</v>
      </c>
      <c r="G277" s="50" t="s">
        <v>88</v>
      </c>
      <c r="H277" s="51">
        <v>6</v>
      </c>
      <c r="I277" s="52">
        <f>J277/H277</f>
        <v>26990</v>
      </c>
      <c r="J277" s="52">
        <v>161940</v>
      </c>
      <c r="K277" s="51">
        <v>15</v>
      </c>
      <c r="L277" s="53">
        <f>K277/H277*30</f>
        <v>75</v>
      </c>
    </row>
    <row r="278" spans="1:12" s="2" customFormat="1" ht="13.95" customHeight="1" x14ac:dyDescent="0.2">
      <c r="A278" s="50" t="s">
        <v>70</v>
      </c>
      <c r="B278" s="50" t="s">
        <v>5</v>
      </c>
      <c r="C278" s="50" t="s">
        <v>40</v>
      </c>
      <c r="D278" s="50" t="s">
        <v>525</v>
      </c>
      <c r="E278" s="50" t="s">
        <v>524</v>
      </c>
      <c r="F278" s="50" t="s">
        <v>137</v>
      </c>
      <c r="G278" s="50" t="s">
        <v>74</v>
      </c>
      <c r="H278" s="51">
        <v>6</v>
      </c>
      <c r="I278" s="52">
        <f>J278/H278</f>
        <v>26990</v>
      </c>
      <c r="J278" s="52">
        <v>161940</v>
      </c>
      <c r="K278" s="51">
        <v>25</v>
      </c>
      <c r="L278" s="53">
        <f>K278/H278*30</f>
        <v>125.00000000000001</v>
      </c>
    </row>
    <row r="279" spans="1:12" s="2" customFormat="1" ht="13.95" customHeight="1" x14ac:dyDescent="0.2">
      <c r="A279" s="50" t="s">
        <v>70</v>
      </c>
      <c r="B279" s="50" t="s">
        <v>5</v>
      </c>
      <c r="C279" s="50" t="s">
        <v>45</v>
      </c>
      <c r="D279" s="50" t="s">
        <v>526</v>
      </c>
      <c r="E279" s="50" t="s">
        <v>173</v>
      </c>
      <c r="F279" s="50" t="s">
        <v>106</v>
      </c>
      <c r="G279" s="50" t="s">
        <v>86</v>
      </c>
      <c r="H279" s="51">
        <v>6</v>
      </c>
      <c r="I279" s="52">
        <f>J279/H279</f>
        <v>26990</v>
      </c>
      <c r="J279" s="52">
        <v>161940</v>
      </c>
      <c r="K279" s="51">
        <v>3</v>
      </c>
      <c r="L279" s="53">
        <f>K279/H279*30</f>
        <v>15</v>
      </c>
    </row>
    <row r="280" spans="1:12" s="2" customFormat="1" ht="13.95" customHeight="1" x14ac:dyDescent="0.2">
      <c r="A280" s="50" t="s">
        <v>70</v>
      </c>
      <c r="B280" s="50" t="s">
        <v>5</v>
      </c>
      <c r="C280" s="50" t="s">
        <v>45</v>
      </c>
      <c r="D280" s="50" t="s">
        <v>527</v>
      </c>
      <c r="E280" s="50" t="s">
        <v>356</v>
      </c>
      <c r="F280" s="50" t="s">
        <v>106</v>
      </c>
      <c r="G280" s="50" t="s">
        <v>140</v>
      </c>
      <c r="H280" s="51">
        <v>6</v>
      </c>
      <c r="I280" s="52">
        <f>J280/H280</f>
        <v>26990</v>
      </c>
      <c r="J280" s="52">
        <v>161940</v>
      </c>
      <c r="K280" s="51">
        <v>1</v>
      </c>
      <c r="L280" s="53">
        <f>K280/H280*30</f>
        <v>5</v>
      </c>
    </row>
    <row r="281" spans="1:12" s="2" customFormat="1" ht="13.95" customHeight="1" x14ac:dyDescent="0.2">
      <c r="A281" s="50" t="s">
        <v>70</v>
      </c>
      <c r="B281" s="50" t="s">
        <v>5</v>
      </c>
      <c r="C281" s="50" t="s">
        <v>45</v>
      </c>
      <c r="D281" s="50" t="s">
        <v>528</v>
      </c>
      <c r="E281" s="50" t="s">
        <v>356</v>
      </c>
      <c r="F281" s="50" t="s">
        <v>106</v>
      </c>
      <c r="G281" s="50" t="s">
        <v>112</v>
      </c>
      <c r="H281" s="51">
        <v>6</v>
      </c>
      <c r="I281" s="52">
        <f>J281/H281</f>
        <v>26990</v>
      </c>
      <c r="J281" s="52">
        <v>161940</v>
      </c>
      <c r="K281" s="51">
        <v>23</v>
      </c>
      <c r="L281" s="53">
        <f>K281/H281*30</f>
        <v>115</v>
      </c>
    </row>
    <row r="282" spans="1:12" s="2" customFormat="1" ht="13.95" customHeight="1" x14ac:dyDescent="0.2">
      <c r="A282" s="50" t="s">
        <v>70</v>
      </c>
      <c r="B282" s="50" t="s">
        <v>4</v>
      </c>
      <c r="C282" s="50" t="s">
        <v>46</v>
      </c>
      <c r="D282" s="50" t="s">
        <v>529</v>
      </c>
      <c r="E282" s="50" t="s">
        <v>270</v>
      </c>
      <c r="F282" s="50" t="s">
        <v>73</v>
      </c>
      <c r="G282" s="50" t="s">
        <v>140</v>
      </c>
      <c r="H282" s="51">
        <v>1</v>
      </c>
      <c r="I282" s="52">
        <f>J282/H282</f>
        <v>159990</v>
      </c>
      <c r="J282" s="52">
        <v>159990</v>
      </c>
      <c r="K282" s="51">
        <v>8</v>
      </c>
      <c r="L282" s="53">
        <f>K282/H282*30</f>
        <v>240</v>
      </c>
    </row>
    <row r="283" spans="1:12" s="2" customFormat="1" ht="13.95" customHeight="1" x14ac:dyDescent="0.2">
      <c r="A283" s="50" t="s">
        <v>70</v>
      </c>
      <c r="B283" s="50" t="s">
        <v>4</v>
      </c>
      <c r="C283" s="50" t="s">
        <v>46</v>
      </c>
      <c r="D283" s="50" t="s">
        <v>530</v>
      </c>
      <c r="E283" s="50" t="s">
        <v>270</v>
      </c>
      <c r="F283" s="50" t="s">
        <v>73</v>
      </c>
      <c r="G283" s="50" t="s">
        <v>86</v>
      </c>
      <c r="H283" s="51">
        <v>1</v>
      </c>
      <c r="I283" s="52">
        <f>J283/H283</f>
        <v>159990</v>
      </c>
      <c r="J283" s="52">
        <v>159990</v>
      </c>
      <c r="K283" s="51">
        <v>12</v>
      </c>
      <c r="L283" s="53">
        <f>K283/H283*30</f>
        <v>360</v>
      </c>
    </row>
    <row r="284" spans="1:12" s="2" customFormat="1" ht="13.95" customHeight="1" x14ac:dyDescent="0.2">
      <c r="A284" s="50" t="s">
        <v>70</v>
      </c>
      <c r="B284" s="50" t="s">
        <v>4</v>
      </c>
      <c r="C284" s="50" t="s">
        <v>46</v>
      </c>
      <c r="D284" s="50" t="s">
        <v>531</v>
      </c>
      <c r="E284" s="50" t="s">
        <v>270</v>
      </c>
      <c r="F284" s="50" t="s">
        <v>374</v>
      </c>
      <c r="G284" s="50" t="s">
        <v>330</v>
      </c>
      <c r="H284" s="51">
        <v>1</v>
      </c>
      <c r="I284" s="52">
        <f>J284/H284</f>
        <v>159990</v>
      </c>
      <c r="J284" s="52">
        <v>159990</v>
      </c>
      <c r="K284" s="51">
        <v>5</v>
      </c>
      <c r="L284" s="53">
        <f>K284/H284*30</f>
        <v>150</v>
      </c>
    </row>
    <row r="285" spans="1:12" s="2" customFormat="1" ht="13.95" customHeight="1" x14ac:dyDescent="0.2">
      <c r="A285" s="50" t="s">
        <v>532</v>
      </c>
      <c r="B285" s="50" t="s">
        <v>6</v>
      </c>
      <c r="C285" s="50" t="s">
        <v>59</v>
      </c>
      <c r="D285" s="50" t="s">
        <v>533</v>
      </c>
      <c r="E285" s="50" t="s">
        <v>534</v>
      </c>
      <c r="F285" s="50" t="s">
        <v>535</v>
      </c>
      <c r="G285" s="50" t="s">
        <v>86</v>
      </c>
      <c r="H285" s="51">
        <v>1</v>
      </c>
      <c r="I285" s="52">
        <f>J285/H285</f>
        <v>159990</v>
      </c>
      <c r="J285" s="52">
        <v>159990</v>
      </c>
      <c r="K285" s="51">
        <v>1</v>
      </c>
      <c r="L285" s="53">
        <f>K285/H285*30</f>
        <v>30</v>
      </c>
    </row>
    <row r="286" spans="1:12" s="2" customFormat="1" ht="13.95" customHeight="1" x14ac:dyDescent="0.2">
      <c r="A286" s="50" t="s">
        <v>70</v>
      </c>
      <c r="B286" s="50" t="s">
        <v>4</v>
      </c>
      <c r="C286" s="50" t="s">
        <v>48</v>
      </c>
      <c r="D286" s="50" t="s">
        <v>536</v>
      </c>
      <c r="E286" s="50" t="s">
        <v>537</v>
      </c>
      <c r="F286" s="50" t="s">
        <v>137</v>
      </c>
      <c r="G286" s="50" t="s">
        <v>86</v>
      </c>
      <c r="H286" s="51">
        <v>2</v>
      </c>
      <c r="I286" s="52">
        <f>J286/H286</f>
        <v>79990</v>
      </c>
      <c r="J286" s="52">
        <v>159980</v>
      </c>
      <c r="K286" s="51">
        <v>30</v>
      </c>
      <c r="L286" s="53">
        <f>K286/H286*30</f>
        <v>450</v>
      </c>
    </row>
    <row r="287" spans="1:12" s="2" customFormat="1" ht="13.95" customHeight="1" x14ac:dyDescent="0.2">
      <c r="A287" s="50" t="s">
        <v>416</v>
      </c>
      <c r="B287" s="50" t="s">
        <v>8</v>
      </c>
      <c r="C287" s="50" t="s">
        <v>8</v>
      </c>
      <c r="D287" s="50" t="s">
        <v>538</v>
      </c>
      <c r="E287" s="50" t="s">
        <v>444</v>
      </c>
      <c r="F287" s="50" t="s">
        <v>73</v>
      </c>
      <c r="G287" s="50" t="s">
        <v>74</v>
      </c>
      <c r="H287" s="51">
        <v>4</v>
      </c>
      <c r="I287" s="52">
        <f>J287/H287</f>
        <v>39990</v>
      </c>
      <c r="J287" s="52">
        <v>159960</v>
      </c>
      <c r="K287" s="51">
        <v>2</v>
      </c>
      <c r="L287" s="53">
        <f>K287/H287*30</f>
        <v>15</v>
      </c>
    </row>
    <row r="288" spans="1:12" s="2" customFormat="1" ht="13.95" customHeight="1" x14ac:dyDescent="0.2">
      <c r="A288" s="50" t="s">
        <v>70</v>
      </c>
      <c r="B288" s="50" t="s">
        <v>7</v>
      </c>
      <c r="C288" s="50" t="s">
        <v>17</v>
      </c>
      <c r="D288" s="50" t="s">
        <v>539</v>
      </c>
      <c r="E288" s="50" t="s">
        <v>540</v>
      </c>
      <c r="F288" s="50" t="s">
        <v>106</v>
      </c>
      <c r="G288" s="50" t="s">
        <v>112</v>
      </c>
      <c r="H288" s="51">
        <v>4</v>
      </c>
      <c r="I288" s="52">
        <f>J288/H288</f>
        <v>39990</v>
      </c>
      <c r="J288" s="52">
        <v>159960</v>
      </c>
      <c r="K288" s="51">
        <v>2</v>
      </c>
      <c r="L288" s="53">
        <f>K288/H288*30</f>
        <v>15</v>
      </c>
    </row>
    <row r="289" spans="1:12" s="2" customFormat="1" ht="13.95" customHeight="1" x14ac:dyDescent="0.2">
      <c r="A289" s="50" t="s">
        <v>70</v>
      </c>
      <c r="B289" s="50" t="s">
        <v>4</v>
      </c>
      <c r="C289" s="50" t="s">
        <v>51</v>
      </c>
      <c r="D289" s="50" t="s">
        <v>541</v>
      </c>
      <c r="E289" s="50" t="s">
        <v>542</v>
      </c>
      <c r="F289" s="50" t="s">
        <v>73</v>
      </c>
      <c r="G289" s="50" t="s">
        <v>88</v>
      </c>
      <c r="H289" s="51">
        <v>4</v>
      </c>
      <c r="I289" s="52">
        <f>J289/H289</f>
        <v>39990</v>
      </c>
      <c r="J289" s="52">
        <v>159960</v>
      </c>
      <c r="K289" s="51">
        <v>11</v>
      </c>
      <c r="L289" s="53">
        <f>K289/H289*30</f>
        <v>82.5</v>
      </c>
    </row>
    <row r="290" spans="1:12" s="2" customFormat="1" ht="13.95" customHeight="1" x14ac:dyDescent="0.2">
      <c r="A290" s="50" t="s">
        <v>70</v>
      </c>
      <c r="B290" s="50" t="s">
        <v>4</v>
      </c>
      <c r="C290" s="50" t="s">
        <v>51</v>
      </c>
      <c r="D290" s="50" t="s">
        <v>543</v>
      </c>
      <c r="E290" s="50" t="s">
        <v>542</v>
      </c>
      <c r="F290" s="50" t="s">
        <v>128</v>
      </c>
      <c r="G290" s="50" t="s">
        <v>129</v>
      </c>
      <c r="H290" s="51">
        <v>4</v>
      </c>
      <c r="I290" s="52">
        <f>J290/H290</f>
        <v>39990</v>
      </c>
      <c r="J290" s="52">
        <v>159960</v>
      </c>
      <c r="K290" s="51">
        <v>7</v>
      </c>
      <c r="L290" s="53">
        <f>K290/H290*30</f>
        <v>52.5</v>
      </c>
    </row>
    <row r="291" spans="1:12" s="2" customFormat="1" ht="13.95" customHeight="1" x14ac:dyDescent="0.2">
      <c r="A291" s="50" t="s">
        <v>70</v>
      </c>
      <c r="B291" s="50" t="s">
        <v>4</v>
      </c>
      <c r="C291" s="50" t="s">
        <v>47</v>
      </c>
      <c r="D291" s="50" t="s">
        <v>544</v>
      </c>
      <c r="E291" s="50" t="s">
        <v>275</v>
      </c>
      <c r="F291" s="50" t="s">
        <v>73</v>
      </c>
      <c r="G291" s="50" t="s">
        <v>84</v>
      </c>
      <c r="H291" s="51">
        <v>1</v>
      </c>
      <c r="I291" s="52">
        <f>J291/H291</f>
        <v>155990</v>
      </c>
      <c r="J291" s="52">
        <v>155990</v>
      </c>
      <c r="K291" s="51">
        <v>24</v>
      </c>
      <c r="L291" s="53">
        <f>K291/H291*30</f>
        <v>720</v>
      </c>
    </row>
    <row r="292" spans="1:12" s="2" customFormat="1" ht="13.95" customHeight="1" x14ac:dyDescent="0.2">
      <c r="A292" s="50" t="s">
        <v>70</v>
      </c>
      <c r="B292" s="50" t="s">
        <v>4</v>
      </c>
      <c r="C292" s="50" t="s">
        <v>48</v>
      </c>
      <c r="D292" s="50" t="s">
        <v>545</v>
      </c>
      <c r="E292" s="50" t="s">
        <v>275</v>
      </c>
      <c r="F292" s="50" t="s">
        <v>223</v>
      </c>
      <c r="G292" s="50" t="s">
        <v>224</v>
      </c>
      <c r="H292" s="51">
        <v>1</v>
      </c>
      <c r="I292" s="52">
        <f>J292/H292</f>
        <v>155990</v>
      </c>
      <c r="J292" s="52">
        <v>155990</v>
      </c>
      <c r="K292" s="51">
        <v>11</v>
      </c>
      <c r="L292" s="53">
        <f>K292/H292*30</f>
        <v>330</v>
      </c>
    </row>
    <row r="293" spans="1:12" s="2" customFormat="1" ht="13.95" customHeight="1" x14ac:dyDescent="0.2">
      <c r="A293" s="50" t="s">
        <v>416</v>
      </c>
      <c r="B293" s="50" t="s">
        <v>8</v>
      </c>
      <c r="C293" s="50" t="s">
        <v>8</v>
      </c>
      <c r="D293" s="50" t="s">
        <v>546</v>
      </c>
      <c r="E293" s="50" t="s">
        <v>547</v>
      </c>
      <c r="F293" s="50" t="s">
        <v>365</v>
      </c>
      <c r="G293" s="50" t="s">
        <v>84</v>
      </c>
      <c r="H293" s="51">
        <v>3</v>
      </c>
      <c r="I293" s="52">
        <f>J293/H293</f>
        <v>51990</v>
      </c>
      <c r="J293" s="52">
        <v>155970</v>
      </c>
      <c r="K293" s="51">
        <v>2</v>
      </c>
      <c r="L293" s="53">
        <f>K293/H293*30</f>
        <v>20</v>
      </c>
    </row>
    <row r="294" spans="1:12" s="2" customFormat="1" ht="13.95" customHeight="1" x14ac:dyDescent="0.2">
      <c r="A294" s="50" t="s">
        <v>416</v>
      </c>
      <c r="B294" s="50" t="s">
        <v>8</v>
      </c>
      <c r="C294" s="50" t="s">
        <v>8</v>
      </c>
      <c r="D294" s="50" t="s">
        <v>548</v>
      </c>
      <c r="E294" s="50" t="s">
        <v>547</v>
      </c>
      <c r="F294" s="50" t="s">
        <v>365</v>
      </c>
      <c r="G294" s="50" t="s">
        <v>84</v>
      </c>
      <c r="H294" s="51">
        <v>3</v>
      </c>
      <c r="I294" s="52">
        <f>J294/H294</f>
        <v>51990</v>
      </c>
      <c r="J294" s="52">
        <v>155970</v>
      </c>
      <c r="K294" s="51">
        <v>7</v>
      </c>
      <c r="L294" s="53">
        <f>K294/H294*30</f>
        <v>70</v>
      </c>
    </row>
    <row r="295" spans="1:12" s="2" customFormat="1" ht="13.95" customHeight="1" x14ac:dyDescent="0.2">
      <c r="A295" s="50" t="s">
        <v>416</v>
      </c>
      <c r="B295" s="50" t="s">
        <v>8</v>
      </c>
      <c r="C295" s="50" t="s">
        <v>8</v>
      </c>
      <c r="D295" s="50" t="s">
        <v>549</v>
      </c>
      <c r="E295" s="50" t="s">
        <v>418</v>
      </c>
      <c r="F295" s="50" t="s">
        <v>365</v>
      </c>
      <c r="G295" s="50" t="s">
        <v>112</v>
      </c>
      <c r="H295" s="51">
        <v>3</v>
      </c>
      <c r="I295" s="52">
        <f>J295/H295</f>
        <v>51990</v>
      </c>
      <c r="J295" s="52">
        <v>155970</v>
      </c>
      <c r="K295" s="51">
        <v>9</v>
      </c>
      <c r="L295" s="53">
        <f>K295/H295*30</f>
        <v>90</v>
      </c>
    </row>
    <row r="296" spans="1:12" s="2" customFormat="1" ht="13.95" customHeight="1" x14ac:dyDescent="0.2">
      <c r="A296" s="50" t="s">
        <v>416</v>
      </c>
      <c r="B296" s="50" t="s">
        <v>8</v>
      </c>
      <c r="C296" s="50" t="s">
        <v>8</v>
      </c>
      <c r="D296" s="50" t="s">
        <v>550</v>
      </c>
      <c r="E296" s="50" t="s">
        <v>551</v>
      </c>
      <c r="F296" s="50" t="s">
        <v>73</v>
      </c>
      <c r="G296" s="50" t="s">
        <v>552</v>
      </c>
      <c r="H296" s="51">
        <v>3</v>
      </c>
      <c r="I296" s="52">
        <f>J296/H296</f>
        <v>51990</v>
      </c>
      <c r="J296" s="52">
        <v>155970</v>
      </c>
      <c r="K296" s="51">
        <v>3</v>
      </c>
      <c r="L296" s="53">
        <f>K296/H296*30</f>
        <v>30</v>
      </c>
    </row>
    <row r="297" spans="1:12" s="2" customFormat="1" ht="13.95" customHeight="1" x14ac:dyDescent="0.2">
      <c r="A297" s="50" t="s">
        <v>70</v>
      </c>
      <c r="B297" s="50" t="s">
        <v>4</v>
      </c>
      <c r="C297" s="50" t="s">
        <v>48</v>
      </c>
      <c r="D297" s="50" t="s">
        <v>553</v>
      </c>
      <c r="E297" s="50" t="s">
        <v>537</v>
      </c>
      <c r="F297" s="50" t="s">
        <v>223</v>
      </c>
      <c r="G297" s="50" t="s">
        <v>224</v>
      </c>
      <c r="H297" s="51">
        <v>2</v>
      </c>
      <c r="I297" s="52">
        <f>J297/H297</f>
        <v>75990</v>
      </c>
      <c r="J297" s="52">
        <v>151980</v>
      </c>
      <c r="K297" s="51">
        <v>11</v>
      </c>
      <c r="L297" s="53">
        <f>K297/H297*30</f>
        <v>165</v>
      </c>
    </row>
    <row r="298" spans="1:12" s="2" customFormat="1" ht="13.95" customHeight="1" x14ac:dyDescent="0.2">
      <c r="A298" s="50" t="s">
        <v>70</v>
      </c>
      <c r="B298" s="50" t="s">
        <v>5</v>
      </c>
      <c r="C298" s="50" t="s">
        <v>42</v>
      </c>
      <c r="D298" s="50" t="s">
        <v>554</v>
      </c>
      <c r="E298" s="50" t="s">
        <v>286</v>
      </c>
      <c r="F298" s="50" t="s">
        <v>137</v>
      </c>
      <c r="G298" s="50" t="s">
        <v>88</v>
      </c>
      <c r="H298" s="51">
        <v>1</v>
      </c>
      <c r="I298" s="52">
        <f>J298/H298</f>
        <v>150990</v>
      </c>
      <c r="J298" s="52">
        <v>150990</v>
      </c>
      <c r="K298" s="51">
        <v>5</v>
      </c>
      <c r="L298" s="53">
        <f>K298/H298*30</f>
        <v>150</v>
      </c>
    </row>
    <row r="299" spans="1:12" s="2" customFormat="1" ht="13.95" customHeight="1" x14ac:dyDescent="0.2">
      <c r="A299" s="50" t="s">
        <v>165</v>
      </c>
      <c r="B299" s="50" t="s">
        <v>4</v>
      </c>
      <c r="C299" s="50" t="s">
        <v>49</v>
      </c>
      <c r="D299" s="50" t="s">
        <v>555</v>
      </c>
      <c r="E299" s="50" t="s">
        <v>167</v>
      </c>
      <c r="F299" s="50" t="s">
        <v>428</v>
      </c>
      <c r="G299" s="50" t="s">
        <v>463</v>
      </c>
      <c r="H299" s="51">
        <v>1</v>
      </c>
      <c r="I299" s="52">
        <f>J299/H299</f>
        <v>149990</v>
      </c>
      <c r="J299" s="52">
        <v>149990</v>
      </c>
      <c r="K299" s="51">
        <v>10</v>
      </c>
      <c r="L299" s="53">
        <f>K299/H299*30</f>
        <v>300</v>
      </c>
    </row>
    <row r="300" spans="1:12" s="2" customFormat="1" ht="13.95" customHeight="1" x14ac:dyDescent="0.2">
      <c r="A300" s="50" t="s">
        <v>165</v>
      </c>
      <c r="B300" s="50" t="s">
        <v>4</v>
      </c>
      <c r="C300" s="50" t="s">
        <v>49</v>
      </c>
      <c r="D300" s="50" t="s">
        <v>556</v>
      </c>
      <c r="E300" s="50" t="s">
        <v>167</v>
      </c>
      <c r="F300" s="50" t="s">
        <v>168</v>
      </c>
      <c r="G300" s="50" t="s">
        <v>112</v>
      </c>
      <c r="H300" s="51">
        <v>1</v>
      </c>
      <c r="I300" s="52">
        <f>J300/H300</f>
        <v>149990</v>
      </c>
      <c r="J300" s="52">
        <v>149990</v>
      </c>
      <c r="K300" s="51">
        <v>5</v>
      </c>
      <c r="L300" s="53">
        <f>K300/H300*30</f>
        <v>150</v>
      </c>
    </row>
    <row r="301" spans="1:12" s="2" customFormat="1" ht="13.95" customHeight="1" x14ac:dyDescent="0.2">
      <c r="A301" s="50" t="s">
        <v>165</v>
      </c>
      <c r="B301" s="50" t="s">
        <v>4</v>
      </c>
      <c r="C301" s="50" t="s">
        <v>49</v>
      </c>
      <c r="D301" s="50" t="s">
        <v>557</v>
      </c>
      <c r="E301" s="50" t="s">
        <v>558</v>
      </c>
      <c r="F301" s="50" t="s">
        <v>168</v>
      </c>
      <c r="G301" s="50" t="s">
        <v>559</v>
      </c>
      <c r="H301" s="51">
        <v>1</v>
      </c>
      <c r="I301" s="52">
        <f>J301/H301</f>
        <v>149990</v>
      </c>
      <c r="J301" s="52">
        <v>149990</v>
      </c>
      <c r="K301" s="51">
        <v>4</v>
      </c>
      <c r="L301" s="53">
        <f>K301/H301*30</f>
        <v>120</v>
      </c>
    </row>
    <row r="302" spans="1:12" s="2" customFormat="1" ht="13.95" customHeight="1" x14ac:dyDescent="0.2">
      <c r="A302" s="50" t="s">
        <v>70</v>
      </c>
      <c r="B302" s="50" t="s">
        <v>5</v>
      </c>
      <c r="C302" s="50" t="s">
        <v>42</v>
      </c>
      <c r="D302" s="50" t="s">
        <v>560</v>
      </c>
      <c r="E302" s="50" t="s">
        <v>286</v>
      </c>
      <c r="F302" s="50" t="s">
        <v>106</v>
      </c>
      <c r="G302" s="50" t="s">
        <v>88</v>
      </c>
      <c r="H302" s="51">
        <v>1</v>
      </c>
      <c r="I302" s="52">
        <f>J302/H302</f>
        <v>149990</v>
      </c>
      <c r="J302" s="52">
        <v>149990</v>
      </c>
      <c r="K302" s="51">
        <v>7</v>
      </c>
      <c r="L302" s="53">
        <f>K302/H302*30</f>
        <v>210</v>
      </c>
    </row>
    <row r="303" spans="1:12" s="2" customFormat="1" ht="13.95" customHeight="1" x14ac:dyDescent="0.2">
      <c r="A303" s="50" t="s">
        <v>70</v>
      </c>
      <c r="B303" s="50" t="s">
        <v>5</v>
      </c>
      <c r="C303" s="50" t="s">
        <v>42</v>
      </c>
      <c r="D303" s="50" t="s">
        <v>561</v>
      </c>
      <c r="E303" s="50" t="s">
        <v>286</v>
      </c>
      <c r="F303" s="50" t="s">
        <v>106</v>
      </c>
      <c r="G303" s="50" t="s">
        <v>86</v>
      </c>
      <c r="H303" s="51">
        <v>1</v>
      </c>
      <c r="I303" s="52">
        <f>J303/H303</f>
        <v>149990</v>
      </c>
      <c r="J303" s="52">
        <v>149990</v>
      </c>
      <c r="K303" s="51">
        <v>6</v>
      </c>
      <c r="L303" s="53">
        <f>K303/H303*30</f>
        <v>180</v>
      </c>
    </row>
    <row r="304" spans="1:12" s="2" customFormat="1" ht="13.95" customHeight="1" x14ac:dyDescent="0.2">
      <c r="A304" s="50" t="s">
        <v>70</v>
      </c>
      <c r="B304" s="50" t="s">
        <v>5</v>
      </c>
      <c r="C304" s="50" t="s">
        <v>42</v>
      </c>
      <c r="D304" s="50" t="s">
        <v>562</v>
      </c>
      <c r="E304" s="50" t="s">
        <v>286</v>
      </c>
      <c r="F304" s="50" t="s">
        <v>106</v>
      </c>
      <c r="G304" s="50" t="s">
        <v>330</v>
      </c>
      <c r="H304" s="51">
        <v>1</v>
      </c>
      <c r="I304" s="52">
        <f>J304/H304</f>
        <v>149990</v>
      </c>
      <c r="J304" s="52">
        <v>149990</v>
      </c>
      <c r="K304" s="51">
        <v>5</v>
      </c>
      <c r="L304" s="53">
        <f>K304/H304*30</f>
        <v>150</v>
      </c>
    </row>
    <row r="305" spans="1:12" s="2" customFormat="1" ht="13.95" customHeight="1" x14ac:dyDescent="0.2">
      <c r="A305" s="50" t="s">
        <v>70</v>
      </c>
      <c r="B305" s="50" t="s">
        <v>5</v>
      </c>
      <c r="C305" s="50" t="s">
        <v>33</v>
      </c>
      <c r="D305" s="50" t="s">
        <v>563</v>
      </c>
      <c r="E305" s="50" t="s">
        <v>564</v>
      </c>
      <c r="F305" s="50" t="s">
        <v>137</v>
      </c>
      <c r="G305" s="50" t="s">
        <v>74</v>
      </c>
      <c r="H305" s="51">
        <v>3</v>
      </c>
      <c r="I305" s="52">
        <f>J305/H305</f>
        <v>49990</v>
      </c>
      <c r="J305" s="52">
        <v>149970</v>
      </c>
      <c r="K305" s="51">
        <v>9</v>
      </c>
      <c r="L305" s="53">
        <f>K305/H305*30</f>
        <v>90</v>
      </c>
    </row>
    <row r="306" spans="1:12" s="2" customFormat="1" ht="13.95" customHeight="1" x14ac:dyDescent="0.2">
      <c r="A306" s="50" t="s">
        <v>238</v>
      </c>
      <c r="B306" s="50" t="s">
        <v>6</v>
      </c>
      <c r="C306" s="50" t="s">
        <v>65</v>
      </c>
      <c r="D306" s="50" t="s">
        <v>565</v>
      </c>
      <c r="E306" s="50" t="s">
        <v>240</v>
      </c>
      <c r="F306" s="50" t="s">
        <v>241</v>
      </c>
      <c r="G306" s="50" t="s">
        <v>242</v>
      </c>
      <c r="H306" s="51">
        <v>3</v>
      </c>
      <c r="I306" s="52">
        <f>J306/H306</f>
        <v>49990</v>
      </c>
      <c r="J306" s="52">
        <v>149970</v>
      </c>
      <c r="K306" s="51">
        <v>90</v>
      </c>
      <c r="L306" s="53">
        <f>K306/H306*30</f>
        <v>900</v>
      </c>
    </row>
    <row r="307" spans="1:12" s="2" customFormat="1" ht="13.95" customHeight="1" x14ac:dyDescent="0.2">
      <c r="A307" s="50" t="s">
        <v>238</v>
      </c>
      <c r="B307" s="50" t="s">
        <v>6</v>
      </c>
      <c r="C307" s="50" t="s">
        <v>65</v>
      </c>
      <c r="D307" s="50" t="s">
        <v>566</v>
      </c>
      <c r="E307" s="50" t="s">
        <v>240</v>
      </c>
      <c r="F307" s="50" t="s">
        <v>241</v>
      </c>
      <c r="G307" s="50" t="s">
        <v>242</v>
      </c>
      <c r="H307" s="51">
        <v>3</v>
      </c>
      <c r="I307" s="52">
        <f>J307/H307</f>
        <v>49990</v>
      </c>
      <c r="J307" s="52">
        <v>149970</v>
      </c>
      <c r="K307" s="51">
        <v>58</v>
      </c>
      <c r="L307" s="53">
        <f>K307/H307*30</f>
        <v>580</v>
      </c>
    </row>
    <row r="308" spans="1:12" s="2" customFormat="1" ht="13.95" customHeight="1" x14ac:dyDescent="0.2">
      <c r="A308" s="50" t="s">
        <v>238</v>
      </c>
      <c r="B308" s="50" t="s">
        <v>6</v>
      </c>
      <c r="C308" s="50" t="s">
        <v>65</v>
      </c>
      <c r="D308" s="50" t="s">
        <v>567</v>
      </c>
      <c r="E308" s="50" t="s">
        <v>240</v>
      </c>
      <c r="F308" s="50" t="s">
        <v>241</v>
      </c>
      <c r="G308" s="50" t="s">
        <v>86</v>
      </c>
      <c r="H308" s="51">
        <v>3</v>
      </c>
      <c r="I308" s="52">
        <f>J308/H308</f>
        <v>49990</v>
      </c>
      <c r="J308" s="52">
        <v>149970</v>
      </c>
      <c r="K308" s="51">
        <v>96</v>
      </c>
      <c r="L308" s="53">
        <f>K308/H308*30</f>
        <v>960</v>
      </c>
    </row>
    <row r="309" spans="1:12" s="2" customFormat="1" ht="13.95" customHeight="1" x14ac:dyDescent="0.2">
      <c r="A309" s="50" t="s">
        <v>238</v>
      </c>
      <c r="B309" s="50" t="s">
        <v>6</v>
      </c>
      <c r="C309" s="50" t="s">
        <v>65</v>
      </c>
      <c r="D309" s="50" t="s">
        <v>568</v>
      </c>
      <c r="E309" s="50" t="s">
        <v>569</v>
      </c>
      <c r="F309" s="50" t="s">
        <v>241</v>
      </c>
      <c r="G309" s="50" t="s">
        <v>570</v>
      </c>
      <c r="H309" s="51">
        <v>3</v>
      </c>
      <c r="I309" s="52">
        <f>J309/H309</f>
        <v>49990</v>
      </c>
      <c r="J309" s="52">
        <v>149970</v>
      </c>
      <c r="K309" s="51">
        <v>58</v>
      </c>
      <c r="L309" s="53">
        <f>K309/H309*30</f>
        <v>580</v>
      </c>
    </row>
    <row r="310" spans="1:12" s="2" customFormat="1" ht="13.95" customHeight="1" x14ac:dyDescent="0.2">
      <c r="A310" s="50" t="s">
        <v>238</v>
      </c>
      <c r="B310" s="50" t="s">
        <v>6</v>
      </c>
      <c r="C310" s="50" t="s">
        <v>65</v>
      </c>
      <c r="D310" s="50" t="s">
        <v>571</v>
      </c>
      <c r="E310" s="50" t="s">
        <v>572</v>
      </c>
      <c r="F310" s="50" t="s">
        <v>241</v>
      </c>
      <c r="G310" s="50" t="s">
        <v>294</v>
      </c>
      <c r="H310" s="51">
        <v>3</v>
      </c>
      <c r="I310" s="52">
        <f>J310/H310</f>
        <v>49990</v>
      </c>
      <c r="J310" s="52">
        <v>149970</v>
      </c>
      <c r="K310" s="51">
        <v>79</v>
      </c>
      <c r="L310" s="53">
        <f>K310/H310*30</f>
        <v>790</v>
      </c>
    </row>
    <row r="311" spans="1:12" s="2" customFormat="1" ht="13.95" customHeight="1" x14ac:dyDescent="0.2">
      <c r="A311" s="50" t="s">
        <v>573</v>
      </c>
      <c r="B311" s="50" t="s">
        <v>6</v>
      </c>
      <c r="C311" s="50" t="s">
        <v>61</v>
      </c>
      <c r="D311" s="50" t="s">
        <v>574</v>
      </c>
      <c r="E311" s="50" t="s">
        <v>575</v>
      </c>
      <c r="F311" s="50" t="s">
        <v>576</v>
      </c>
      <c r="G311" s="50" t="s">
        <v>577</v>
      </c>
      <c r="H311" s="51">
        <v>3</v>
      </c>
      <c r="I311" s="52">
        <f>J311/H311</f>
        <v>49990</v>
      </c>
      <c r="J311" s="52">
        <v>149970</v>
      </c>
      <c r="K311" s="51">
        <v>2</v>
      </c>
      <c r="L311" s="53">
        <f>K311/H311*30</f>
        <v>20</v>
      </c>
    </row>
    <row r="312" spans="1:12" s="2" customFormat="1" ht="13.95" customHeight="1" x14ac:dyDescent="0.2">
      <c r="A312" s="50" t="s">
        <v>70</v>
      </c>
      <c r="B312" s="50" t="s">
        <v>7</v>
      </c>
      <c r="C312" s="50" t="s">
        <v>18</v>
      </c>
      <c r="D312" s="50" t="s">
        <v>578</v>
      </c>
      <c r="E312" s="50" t="s">
        <v>579</v>
      </c>
      <c r="F312" s="50" t="s">
        <v>580</v>
      </c>
      <c r="G312" s="50" t="s">
        <v>581</v>
      </c>
      <c r="H312" s="51">
        <v>5</v>
      </c>
      <c r="I312" s="52">
        <f>J312/H312</f>
        <v>29990</v>
      </c>
      <c r="J312" s="52">
        <v>149950</v>
      </c>
      <c r="K312" s="51">
        <v>3</v>
      </c>
      <c r="L312" s="53">
        <f>K312/H312*30</f>
        <v>18</v>
      </c>
    </row>
    <row r="313" spans="1:12" s="2" customFormat="1" ht="13.95" customHeight="1" x14ac:dyDescent="0.2">
      <c r="A313" s="50" t="s">
        <v>70</v>
      </c>
      <c r="B313" s="50" t="s">
        <v>4</v>
      </c>
      <c r="C313" s="50" t="s">
        <v>48</v>
      </c>
      <c r="D313" s="50" t="s">
        <v>582</v>
      </c>
      <c r="E313" s="50" t="s">
        <v>296</v>
      </c>
      <c r="F313" s="50" t="s">
        <v>73</v>
      </c>
      <c r="G313" s="50" t="s">
        <v>97</v>
      </c>
      <c r="H313" s="51">
        <v>2</v>
      </c>
      <c r="I313" s="52">
        <f>J313/H313</f>
        <v>71990</v>
      </c>
      <c r="J313" s="52">
        <v>143980</v>
      </c>
      <c r="K313" s="51">
        <v>13</v>
      </c>
      <c r="L313" s="53">
        <f>K313/H313*30</f>
        <v>195</v>
      </c>
    </row>
    <row r="314" spans="1:12" s="2" customFormat="1" ht="13.95" customHeight="1" x14ac:dyDescent="0.2">
      <c r="A314" s="50" t="s">
        <v>70</v>
      </c>
      <c r="B314" s="50" t="s">
        <v>4</v>
      </c>
      <c r="C314" s="50" t="s">
        <v>48</v>
      </c>
      <c r="D314" s="50" t="s">
        <v>583</v>
      </c>
      <c r="E314" s="50" t="s">
        <v>296</v>
      </c>
      <c r="F314" s="50" t="s">
        <v>73</v>
      </c>
      <c r="G314" s="50" t="s">
        <v>86</v>
      </c>
      <c r="H314" s="51">
        <v>2</v>
      </c>
      <c r="I314" s="52">
        <f>J314/H314</f>
        <v>71990</v>
      </c>
      <c r="J314" s="52">
        <v>143980</v>
      </c>
      <c r="K314" s="51">
        <v>49</v>
      </c>
      <c r="L314" s="53">
        <f>K314/H314*30</f>
        <v>735</v>
      </c>
    </row>
    <row r="315" spans="1:12" s="2" customFormat="1" ht="13.95" customHeight="1" x14ac:dyDescent="0.2">
      <c r="A315" s="50" t="s">
        <v>70</v>
      </c>
      <c r="B315" s="50" t="s">
        <v>5</v>
      </c>
      <c r="C315" s="50" t="s">
        <v>42</v>
      </c>
      <c r="D315" s="50" t="s">
        <v>584</v>
      </c>
      <c r="E315" s="50" t="s">
        <v>373</v>
      </c>
      <c r="F315" s="50" t="s">
        <v>73</v>
      </c>
      <c r="G315" s="50" t="s">
        <v>97</v>
      </c>
      <c r="H315" s="51">
        <v>9</v>
      </c>
      <c r="I315" s="52">
        <f>J315/H315</f>
        <v>15990</v>
      </c>
      <c r="J315" s="52">
        <v>143910</v>
      </c>
      <c r="K315" s="51">
        <v>9</v>
      </c>
      <c r="L315" s="53">
        <f>K315/H315*30</f>
        <v>30</v>
      </c>
    </row>
    <row r="316" spans="1:12" s="2" customFormat="1" ht="13.95" customHeight="1" x14ac:dyDescent="0.2">
      <c r="A316" s="50" t="s">
        <v>70</v>
      </c>
      <c r="B316" s="50" t="s">
        <v>4</v>
      </c>
      <c r="C316" s="50" t="s">
        <v>46</v>
      </c>
      <c r="D316" s="50" t="s">
        <v>585</v>
      </c>
      <c r="E316" s="50" t="s">
        <v>586</v>
      </c>
      <c r="F316" s="50" t="s">
        <v>106</v>
      </c>
      <c r="G316" s="50" t="s">
        <v>88</v>
      </c>
      <c r="H316" s="51">
        <v>1</v>
      </c>
      <c r="I316" s="52">
        <f>J316/H316</f>
        <v>139990</v>
      </c>
      <c r="J316" s="52">
        <v>139990</v>
      </c>
      <c r="K316" s="51">
        <v>7</v>
      </c>
      <c r="L316" s="53">
        <f>K316/H316*30</f>
        <v>210</v>
      </c>
    </row>
    <row r="317" spans="1:12" s="2" customFormat="1" ht="13.95" customHeight="1" x14ac:dyDescent="0.2">
      <c r="A317" s="50" t="s">
        <v>70</v>
      </c>
      <c r="B317" s="50" t="s">
        <v>4</v>
      </c>
      <c r="C317" s="50" t="s">
        <v>46</v>
      </c>
      <c r="D317" s="50" t="s">
        <v>587</v>
      </c>
      <c r="E317" s="50" t="s">
        <v>586</v>
      </c>
      <c r="F317" s="50" t="s">
        <v>106</v>
      </c>
      <c r="G317" s="50" t="s">
        <v>74</v>
      </c>
      <c r="H317" s="51">
        <v>1</v>
      </c>
      <c r="I317" s="52">
        <f>J317/H317</f>
        <v>139990</v>
      </c>
      <c r="J317" s="52">
        <v>139990</v>
      </c>
      <c r="K317" s="51">
        <v>4</v>
      </c>
      <c r="L317" s="53">
        <f>K317/H317*30</f>
        <v>120</v>
      </c>
    </row>
    <row r="318" spans="1:12" s="2" customFormat="1" ht="13.95" customHeight="1" x14ac:dyDescent="0.2">
      <c r="A318" s="50" t="s">
        <v>70</v>
      </c>
      <c r="B318" s="50" t="s">
        <v>4</v>
      </c>
      <c r="C318" s="50" t="s">
        <v>53</v>
      </c>
      <c r="D318" s="50" t="s">
        <v>588</v>
      </c>
      <c r="E318" s="50" t="s">
        <v>589</v>
      </c>
      <c r="F318" s="50" t="s">
        <v>223</v>
      </c>
      <c r="G318" s="50" t="s">
        <v>86</v>
      </c>
      <c r="H318" s="51">
        <v>2</v>
      </c>
      <c r="I318" s="52">
        <f>J318/H318</f>
        <v>69990</v>
      </c>
      <c r="J318" s="52">
        <v>139980</v>
      </c>
      <c r="K318" s="51">
        <v>1</v>
      </c>
      <c r="L318" s="53">
        <f>K318/H318*30</f>
        <v>15</v>
      </c>
    </row>
    <row r="319" spans="1:12" s="2" customFormat="1" ht="13.95" customHeight="1" x14ac:dyDescent="0.2">
      <c r="A319" s="50" t="s">
        <v>70</v>
      </c>
      <c r="B319" s="50" t="s">
        <v>7</v>
      </c>
      <c r="C319" s="50" t="s">
        <v>21</v>
      </c>
      <c r="D319" s="50" t="s">
        <v>590</v>
      </c>
      <c r="E319" s="50" t="s">
        <v>215</v>
      </c>
      <c r="F319" s="50" t="s">
        <v>216</v>
      </c>
      <c r="G319" s="50" t="s">
        <v>414</v>
      </c>
      <c r="H319" s="51">
        <v>4</v>
      </c>
      <c r="I319" s="52">
        <f>J319/H319</f>
        <v>34990</v>
      </c>
      <c r="J319" s="52">
        <v>139960</v>
      </c>
      <c r="K319" s="51">
        <v>10</v>
      </c>
      <c r="L319" s="53">
        <f>K319/H319*30</f>
        <v>75</v>
      </c>
    </row>
    <row r="320" spans="1:12" s="2" customFormat="1" ht="13.95" customHeight="1" x14ac:dyDescent="0.2">
      <c r="A320" s="50" t="s">
        <v>70</v>
      </c>
      <c r="B320" s="50" t="s">
        <v>5</v>
      </c>
      <c r="C320" s="50" t="s">
        <v>45</v>
      </c>
      <c r="D320" s="50" t="s">
        <v>591</v>
      </c>
      <c r="E320" s="50" t="s">
        <v>592</v>
      </c>
      <c r="F320" s="50" t="s">
        <v>137</v>
      </c>
      <c r="G320" s="50" t="s">
        <v>88</v>
      </c>
      <c r="H320" s="51">
        <v>10</v>
      </c>
      <c r="I320" s="52">
        <f>J320/H320</f>
        <v>13990</v>
      </c>
      <c r="J320" s="52">
        <v>139900</v>
      </c>
      <c r="K320" s="51">
        <v>17</v>
      </c>
      <c r="L320" s="53">
        <f>K320/H320*30</f>
        <v>51</v>
      </c>
    </row>
    <row r="321" spans="1:12" s="2" customFormat="1" ht="13.95" customHeight="1" x14ac:dyDescent="0.2">
      <c r="A321" s="50" t="s">
        <v>70</v>
      </c>
      <c r="B321" s="50" t="s">
        <v>5</v>
      </c>
      <c r="C321" s="50" t="s">
        <v>45</v>
      </c>
      <c r="D321" s="50" t="s">
        <v>593</v>
      </c>
      <c r="E321" s="50" t="s">
        <v>592</v>
      </c>
      <c r="F321" s="50" t="s">
        <v>73</v>
      </c>
      <c r="G321" s="50" t="s">
        <v>74</v>
      </c>
      <c r="H321" s="51">
        <v>11</v>
      </c>
      <c r="I321" s="52">
        <f>J321/H321</f>
        <v>12635.727272727272</v>
      </c>
      <c r="J321" s="52">
        <v>138993</v>
      </c>
      <c r="K321" s="51">
        <v>43</v>
      </c>
      <c r="L321" s="53">
        <f>K321/H321*30</f>
        <v>117.27272727272728</v>
      </c>
    </row>
    <row r="322" spans="1:12" s="2" customFormat="1" ht="13.95" customHeight="1" x14ac:dyDescent="0.2">
      <c r="A322" s="50" t="s">
        <v>70</v>
      </c>
      <c r="B322" s="50" t="s">
        <v>5</v>
      </c>
      <c r="C322" s="50" t="s">
        <v>42</v>
      </c>
      <c r="D322" s="50" t="s">
        <v>594</v>
      </c>
      <c r="E322" s="50" t="s">
        <v>373</v>
      </c>
      <c r="F322" s="50" t="s">
        <v>137</v>
      </c>
      <c r="G322" s="50" t="s">
        <v>140</v>
      </c>
      <c r="H322" s="51">
        <v>8</v>
      </c>
      <c r="I322" s="52">
        <f>J322/H322</f>
        <v>16990</v>
      </c>
      <c r="J322" s="52">
        <v>135920</v>
      </c>
      <c r="K322" s="51">
        <v>17</v>
      </c>
      <c r="L322" s="53">
        <f>K322/H322*30</f>
        <v>63.75</v>
      </c>
    </row>
    <row r="323" spans="1:12" s="2" customFormat="1" ht="13.95" customHeight="1" x14ac:dyDescent="0.2">
      <c r="A323" s="50" t="s">
        <v>70</v>
      </c>
      <c r="B323" s="50" t="s">
        <v>4</v>
      </c>
      <c r="C323" s="50" t="s">
        <v>46</v>
      </c>
      <c r="D323" s="50" t="s">
        <v>595</v>
      </c>
      <c r="E323" s="50" t="s">
        <v>179</v>
      </c>
      <c r="F323" s="50" t="s">
        <v>73</v>
      </c>
      <c r="G323" s="50" t="s">
        <v>88</v>
      </c>
      <c r="H323" s="51">
        <v>1</v>
      </c>
      <c r="I323" s="52">
        <f>J323/H323</f>
        <v>134990</v>
      </c>
      <c r="J323" s="52">
        <v>134990</v>
      </c>
      <c r="K323" s="51">
        <v>6</v>
      </c>
      <c r="L323" s="53">
        <f>K323/H323*30</f>
        <v>180</v>
      </c>
    </row>
    <row r="324" spans="1:12" s="2" customFormat="1" ht="13.95" customHeight="1" x14ac:dyDescent="0.2">
      <c r="A324" s="50" t="s">
        <v>70</v>
      </c>
      <c r="B324" s="50" t="s">
        <v>4</v>
      </c>
      <c r="C324" s="50" t="s">
        <v>46</v>
      </c>
      <c r="D324" s="50" t="s">
        <v>596</v>
      </c>
      <c r="E324" s="50" t="s">
        <v>179</v>
      </c>
      <c r="F324" s="50" t="s">
        <v>128</v>
      </c>
      <c r="G324" s="50" t="s">
        <v>316</v>
      </c>
      <c r="H324" s="51">
        <v>1</v>
      </c>
      <c r="I324" s="52">
        <f>J324/H324</f>
        <v>134990</v>
      </c>
      <c r="J324" s="52">
        <v>134990</v>
      </c>
      <c r="K324" s="51">
        <v>28</v>
      </c>
      <c r="L324" s="53">
        <f>K324/H324*30</f>
        <v>840</v>
      </c>
    </row>
    <row r="325" spans="1:12" s="2" customFormat="1" ht="13.95" customHeight="1" x14ac:dyDescent="0.2">
      <c r="A325" s="50" t="s">
        <v>70</v>
      </c>
      <c r="B325" s="50" t="s">
        <v>4</v>
      </c>
      <c r="C325" s="50" t="s">
        <v>46</v>
      </c>
      <c r="D325" s="50" t="s">
        <v>597</v>
      </c>
      <c r="E325" s="50" t="s">
        <v>179</v>
      </c>
      <c r="F325" s="50" t="s">
        <v>128</v>
      </c>
      <c r="G325" s="50" t="s">
        <v>598</v>
      </c>
      <c r="H325" s="51">
        <v>1</v>
      </c>
      <c r="I325" s="52">
        <f>J325/H325</f>
        <v>134990</v>
      </c>
      <c r="J325" s="52">
        <v>134990</v>
      </c>
      <c r="K325" s="51">
        <v>29</v>
      </c>
      <c r="L325" s="53">
        <f>K325/H325*30</f>
        <v>870</v>
      </c>
    </row>
    <row r="326" spans="1:12" s="2" customFormat="1" ht="13.95" customHeight="1" x14ac:dyDescent="0.2">
      <c r="A326" s="50" t="s">
        <v>70</v>
      </c>
      <c r="B326" s="50" t="s">
        <v>4</v>
      </c>
      <c r="C326" s="50" t="s">
        <v>46</v>
      </c>
      <c r="D326" s="50" t="s">
        <v>599</v>
      </c>
      <c r="E326" s="50" t="s">
        <v>179</v>
      </c>
      <c r="F326" s="50" t="s">
        <v>128</v>
      </c>
      <c r="G326" s="50" t="s">
        <v>600</v>
      </c>
      <c r="H326" s="51">
        <v>1</v>
      </c>
      <c r="I326" s="52">
        <f>J326/H326</f>
        <v>134990</v>
      </c>
      <c r="J326" s="52">
        <v>134990</v>
      </c>
      <c r="K326" s="51">
        <v>26</v>
      </c>
      <c r="L326" s="53">
        <f>K326/H326*30</f>
        <v>780</v>
      </c>
    </row>
    <row r="327" spans="1:12" s="2" customFormat="1" ht="13.95" customHeight="1" x14ac:dyDescent="0.2">
      <c r="A327" s="50" t="s">
        <v>70</v>
      </c>
      <c r="B327" s="50" t="s">
        <v>4</v>
      </c>
      <c r="C327" s="50" t="s">
        <v>46</v>
      </c>
      <c r="D327" s="50" t="s">
        <v>601</v>
      </c>
      <c r="E327" s="50" t="s">
        <v>179</v>
      </c>
      <c r="F327" s="50" t="s">
        <v>106</v>
      </c>
      <c r="G327" s="50" t="s">
        <v>74</v>
      </c>
      <c r="H327" s="51">
        <v>1</v>
      </c>
      <c r="I327" s="52">
        <f>J327/H327</f>
        <v>134990</v>
      </c>
      <c r="J327" s="52">
        <v>134990</v>
      </c>
      <c r="K327" s="51">
        <v>38</v>
      </c>
      <c r="L327" s="53">
        <f>K327/H327*30</f>
        <v>1140</v>
      </c>
    </row>
    <row r="328" spans="1:12" s="2" customFormat="1" ht="13.95" customHeight="1" x14ac:dyDescent="0.2">
      <c r="A328" s="50" t="s">
        <v>70</v>
      </c>
      <c r="B328" s="50" t="s">
        <v>4</v>
      </c>
      <c r="C328" s="50" t="s">
        <v>46</v>
      </c>
      <c r="D328" s="50" t="s">
        <v>602</v>
      </c>
      <c r="E328" s="50" t="s">
        <v>179</v>
      </c>
      <c r="F328" s="50" t="s">
        <v>106</v>
      </c>
      <c r="G328" s="50" t="s">
        <v>112</v>
      </c>
      <c r="H328" s="51">
        <v>1</v>
      </c>
      <c r="I328" s="52">
        <f>J328/H328</f>
        <v>134990</v>
      </c>
      <c r="J328" s="52">
        <v>134990</v>
      </c>
      <c r="K328" s="51">
        <v>6</v>
      </c>
      <c r="L328" s="53">
        <f>K328/H328*30</f>
        <v>180</v>
      </c>
    </row>
    <row r="329" spans="1:12" s="2" customFormat="1" ht="13.95" customHeight="1" x14ac:dyDescent="0.2">
      <c r="A329" s="50" t="s">
        <v>70</v>
      </c>
      <c r="B329" s="50" t="s">
        <v>4</v>
      </c>
      <c r="C329" s="50" t="s">
        <v>46</v>
      </c>
      <c r="D329" s="50" t="s">
        <v>603</v>
      </c>
      <c r="E329" s="50" t="s">
        <v>179</v>
      </c>
      <c r="F329" s="50" t="s">
        <v>106</v>
      </c>
      <c r="G329" s="50" t="s">
        <v>330</v>
      </c>
      <c r="H329" s="51">
        <v>1</v>
      </c>
      <c r="I329" s="52">
        <f>J329/H329</f>
        <v>134990</v>
      </c>
      <c r="J329" s="52">
        <v>134990</v>
      </c>
      <c r="K329" s="51">
        <v>0</v>
      </c>
      <c r="L329" s="53">
        <f>K329/H329*30</f>
        <v>0</v>
      </c>
    </row>
    <row r="330" spans="1:12" s="2" customFormat="1" ht="13.95" customHeight="1" x14ac:dyDescent="0.2">
      <c r="A330" s="50" t="s">
        <v>70</v>
      </c>
      <c r="B330" s="50" t="s">
        <v>5</v>
      </c>
      <c r="C330" s="50" t="s">
        <v>30</v>
      </c>
      <c r="D330" s="50" t="s">
        <v>604</v>
      </c>
      <c r="E330" s="50" t="s">
        <v>92</v>
      </c>
      <c r="F330" s="50" t="s">
        <v>223</v>
      </c>
      <c r="G330" s="50" t="s">
        <v>224</v>
      </c>
      <c r="H330" s="51">
        <v>3</v>
      </c>
      <c r="I330" s="52">
        <f>J330/H330</f>
        <v>44990</v>
      </c>
      <c r="J330" s="52">
        <v>134970</v>
      </c>
      <c r="K330" s="51">
        <v>21</v>
      </c>
      <c r="L330" s="53">
        <f>K330/H330*30</f>
        <v>210</v>
      </c>
    </row>
    <row r="331" spans="1:12" s="2" customFormat="1" ht="13.95" customHeight="1" x14ac:dyDescent="0.2">
      <c r="A331" s="50" t="s">
        <v>70</v>
      </c>
      <c r="B331" s="50" t="s">
        <v>5</v>
      </c>
      <c r="C331" s="50" t="s">
        <v>30</v>
      </c>
      <c r="D331" s="50" t="s">
        <v>605</v>
      </c>
      <c r="E331" s="50" t="s">
        <v>92</v>
      </c>
      <c r="F331" s="50" t="s">
        <v>106</v>
      </c>
      <c r="G331" s="50" t="s">
        <v>84</v>
      </c>
      <c r="H331" s="51">
        <v>3</v>
      </c>
      <c r="I331" s="52">
        <f>J331/H331</f>
        <v>44990</v>
      </c>
      <c r="J331" s="52">
        <v>134970</v>
      </c>
      <c r="K331" s="51">
        <v>2</v>
      </c>
      <c r="L331" s="53">
        <f>K331/H331*30</f>
        <v>20</v>
      </c>
    </row>
    <row r="332" spans="1:12" s="2" customFormat="1" ht="13.95" customHeight="1" x14ac:dyDescent="0.2">
      <c r="A332" s="50" t="s">
        <v>70</v>
      </c>
      <c r="B332" s="50" t="s">
        <v>5</v>
      </c>
      <c r="C332" s="50" t="s">
        <v>33</v>
      </c>
      <c r="D332" s="50" t="s">
        <v>606</v>
      </c>
      <c r="E332" s="50" t="s">
        <v>409</v>
      </c>
      <c r="F332" s="50" t="s">
        <v>106</v>
      </c>
      <c r="G332" s="50" t="s">
        <v>84</v>
      </c>
      <c r="H332" s="51">
        <v>3</v>
      </c>
      <c r="I332" s="52">
        <f>J332/H332</f>
        <v>44990</v>
      </c>
      <c r="J332" s="52">
        <v>134970</v>
      </c>
      <c r="K332" s="51">
        <v>10</v>
      </c>
      <c r="L332" s="53">
        <f>K332/H332*30</f>
        <v>100</v>
      </c>
    </row>
    <row r="333" spans="1:12" s="2" customFormat="1" ht="13.95" customHeight="1" x14ac:dyDescent="0.2">
      <c r="A333" s="50" t="s">
        <v>70</v>
      </c>
      <c r="B333" s="50" t="s">
        <v>5</v>
      </c>
      <c r="C333" s="50" t="s">
        <v>40</v>
      </c>
      <c r="D333" s="50" t="s">
        <v>607</v>
      </c>
      <c r="E333" s="50" t="s">
        <v>524</v>
      </c>
      <c r="F333" s="50" t="s">
        <v>137</v>
      </c>
      <c r="G333" s="50" t="s">
        <v>140</v>
      </c>
      <c r="H333" s="51">
        <v>5</v>
      </c>
      <c r="I333" s="52">
        <f>J333/H333</f>
        <v>26990</v>
      </c>
      <c r="J333" s="52">
        <v>134950</v>
      </c>
      <c r="K333" s="51">
        <v>5</v>
      </c>
      <c r="L333" s="53">
        <f>K333/H333*30</f>
        <v>30</v>
      </c>
    </row>
    <row r="334" spans="1:12" s="2" customFormat="1" ht="13.95" customHeight="1" x14ac:dyDescent="0.2">
      <c r="A334" s="50" t="s">
        <v>70</v>
      </c>
      <c r="B334" s="50" t="s">
        <v>5</v>
      </c>
      <c r="C334" s="50" t="s">
        <v>45</v>
      </c>
      <c r="D334" s="50" t="s">
        <v>608</v>
      </c>
      <c r="E334" s="50" t="s">
        <v>356</v>
      </c>
      <c r="F334" s="50" t="s">
        <v>106</v>
      </c>
      <c r="G334" s="50" t="s">
        <v>86</v>
      </c>
      <c r="H334" s="51">
        <v>5</v>
      </c>
      <c r="I334" s="52">
        <f>J334/H334</f>
        <v>26990</v>
      </c>
      <c r="J334" s="52">
        <v>134950</v>
      </c>
      <c r="K334" s="51">
        <v>24</v>
      </c>
      <c r="L334" s="53">
        <f>K334/H334*30</f>
        <v>144</v>
      </c>
    </row>
    <row r="335" spans="1:12" s="2" customFormat="1" ht="13.95" customHeight="1" x14ac:dyDescent="0.2">
      <c r="A335" s="50" t="s">
        <v>70</v>
      </c>
      <c r="B335" s="50" t="s">
        <v>4</v>
      </c>
      <c r="C335" s="50" t="s">
        <v>53</v>
      </c>
      <c r="D335" s="50" t="s">
        <v>609</v>
      </c>
      <c r="E335" s="50" t="s">
        <v>610</v>
      </c>
      <c r="F335" s="50" t="s">
        <v>223</v>
      </c>
      <c r="G335" s="50" t="s">
        <v>86</v>
      </c>
      <c r="H335" s="51">
        <v>2</v>
      </c>
      <c r="I335" s="52">
        <f>J335/H335</f>
        <v>66990</v>
      </c>
      <c r="J335" s="52">
        <v>133980</v>
      </c>
      <c r="K335" s="51">
        <v>8</v>
      </c>
      <c r="L335" s="53">
        <f>K335/H335*30</f>
        <v>120</v>
      </c>
    </row>
    <row r="336" spans="1:12" s="2" customFormat="1" ht="13.95" customHeight="1" x14ac:dyDescent="0.2">
      <c r="A336" s="50" t="s">
        <v>70</v>
      </c>
      <c r="B336" s="50" t="s">
        <v>4</v>
      </c>
      <c r="C336" s="50" t="s">
        <v>53</v>
      </c>
      <c r="D336" s="50" t="s">
        <v>611</v>
      </c>
      <c r="E336" s="50" t="s">
        <v>610</v>
      </c>
      <c r="F336" s="50" t="s">
        <v>374</v>
      </c>
      <c r="G336" s="50" t="s">
        <v>86</v>
      </c>
      <c r="H336" s="51">
        <v>2</v>
      </c>
      <c r="I336" s="52">
        <f>J336/H336</f>
        <v>66990</v>
      </c>
      <c r="J336" s="52">
        <v>133980</v>
      </c>
      <c r="K336" s="51">
        <v>5</v>
      </c>
      <c r="L336" s="53">
        <f>K336/H336*30</f>
        <v>75</v>
      </c>
    </row>
    <row r="337" spans="1:12" s="2" customFormat="1" ht="13.95" customHeight="1" x14ac:dyDescent="0.2">
      <c r="A337" s="50" t="s">
        <v>70</v>
      </c>
      <c r="B337" s="50" t="s">
        <v>4</v>
      </c>
      <c r="C337" s="50" t="s">
        <v>53</v>
      </c>
      <c r="D337" s="50" t="s">
        <v>612</v>
      </c>
      <c r="E337" s="50" t="s">
        <v>610</v>
      </c>
      <c r="F337" s="50" t="s">
        <v>374</v>
      </c>
      <c r="G337" s="50" t="s">
        <v>84</v>
      </c>
      <c r="H337" s="51">
        <v>2</v>
      </c>
      <c r="I337" s="52">
        <f>J337/H337</f>
        <v>66990</v>
      </c>
      <c r="J337" s="52">
        <v>133980</v>
      </c>
      <c r="K337" s="51">
        <v>6</v>
      </c>
      <c r="L337" s="53">
        <f>K337/H337*30</f>
        <v>90</v>
      </c>
    </row>
    <row r="338" spans="1:12" s="2" customFormat="1" ht="13.95" customHeight="1" x14ac:dyDescent="0.2">
      <c r="A338" s="50" t="s">
        <v>70</v>
      </c>
      <c r="B338" s="50" t="s">
        <v>5</v>
      </c>
      <c r="C338" s="50" t="s">
        <v>45</v>
      </c>
      <c r="D338" s="50" t="s">
        <v>613</v>
      </c>
      <c r="E338" s="50" t="s">
        <v>614</v>
      </c>
      <c r="F338" s="50" t="s">
        <v>73</v>
      </c>
      <c r="G338" s="50" t="s">
        <v>86</v>
      </c>
      <c r="H338" s="51">
        <v>7</v>
      </c>
      <c r="I338" s="52">
        <f>J338/H338</f>
        <v>18990</v>
      </c>
      <c r="J338" s="52">
        <v>132930</v>
      </c>
      <c r="K338" s="51">
        <v>25</v>
      </c>
      <c r="L338" s="53">
        <f>K338/H338*30</f>
        <v>107.14285714285715</v>
      </c>
    </row>
    <row r="339" spans="1:12" s="2" customFormat="1" ht="13.95" customHeight="1" x14ac:dyDescent="0.2">
      <c r="A339" s="50" t="s">
        <v>70</v>
      </c>
      <c r="B339" s="50" t="s">
        <v>5</v>
      </c>
      <c r="C339" s="50" t="s">
        <v>30</v>
      </c>
      <c r="D339" s="50" t="s">
        <v>615</v>
      </c>
      <c r="E339" s="50" t="s">
        <v>162</v>
      </c>
      <c r="F339" s="50" t="s">
        <v>374</v>
      </c>
      <c r="G339" s="50" t="s">
        <v>330</v>
      </c>
      <c r="H339" s="51">
        <v>2</v>
      </c>
      <c r="I339" s="52">
        <f>J339/H339</f>
        <v>65990</v>
      </c>
      <c r="J339" s="52">
        <v>131980</v>
      </c>
      <c r="K339" s="51">
        <v>7</v>
      </c>
      <c r="L339" s="53">
        <f>K339/H339*30</f>
        <v>105</v>
      </c>
    </row>
    <row r="340" spans="1:12" s="2" customFormat="1" ht="13.95" customHeight="1" x14ac:dyDescent="0.2">
      <c r="A340" s="50" t="s">
        <v>70</v>
      </c>
      <c r="B340" s="50" t="s">
        <v>5</v>
      </c>
      <c r="C340" s="50" t="s">
        <v>30</v>
      </c>
      <c r="D340" s="50" t="s">
        <v>616</v>
      </c>
      <c r="E340" s="50" t="s">
        <v>162</v>
      </c>
      <c r="F340" s="50" t="s">
        <v>106</v>
      </c>
      <c r="G340" s="50" t="s">
        <v>88</v>
      </c>
      <c r="H340" s="51">
        <v>2</v>
      </c>
      <c r="I340" s="52">
        <f>J340/H340</f>
        <v>65990</v>
      </c>
      <c r="J340" s="52">
        <v>131980</v>
      </c>
      <c r="K340" s="51">
        <v>16</v>
      </c>
      <c r="L340" s="53">
        <f>K340/H340*30</f>
        <v>240</v>
      </c>
    </row>
    <row r="341" spans="1:12" s="2" customFormat="1" ht="13.95" customHeight="1" x14ac:dyDescent="0.2">
      <c r="A341" s="50" t="s">
        <v>70</v>
      </c>
      <c r="B341" s="50" t="s">
        <v>4</v>
      </c>
      <c r="C341" s="50" t="s">
        <v>54</v>
      </c>
      <c r="D341" s="50" t="s">
        <v>617</v>
      </c>
      <c r="E341" s="50" t="s">
        <v>455</v>
      </c>
      <c r="F341" s="50" t="s">
        <v>73</v>
      </c>
      <c r="G341" s="50" t="s">
        <v>84</v>
      </c>
      <c r="H341" s="51">
        <v>2</v>
      </c>
      <c r="I341" s="52">
        <f>J341/H341</f>
        <v>65990</v>
      </c>
      <c r="J341" s="52">
        <v>131980</v>
      </c>
      <c r="K341" s="51">
        <v>14</v>
      </c>
      <c r="L341" s="53">
        <f>K341/H341*30</f>
        <v>210</v>
      </c>
    </row>
    <row r="342" spans="1:12" s="2" customFormat="1" ht="13.95" customHeight="1" x14ac:dyDescent="0.2">
      <c r="A342" s="50" t="s">
        <v>70</v>
      </c>
      <c r="B342" s="50" t="s">
        <v>4</v>
      </c>
      <c r="C342" s="50" t="s">
        <v>48</v>
      </c>
      <c r="D342" s="50" t="s">
        <v>618</v>
      </c>
      <c r="E342" s="50" t="s">
        <v>619</v>
      </c>
      <c r="F342" s="50" t="s">
        <v>229</v>
      </c>
      <c r="G342" s="50" t="s">
        <v>88</v>
      </c>
      <c r="H342" s="51">
        <v>2</v>
      </c>
      <c r="I342" s="52">
        <f>J342/H342</f>
        <v>64990</v>
      </c>
      <c r="J342" s="52">
        <v>129980</v>
      </c>
      <c r="K342" s="51">
        <v>0</v>
      </c>
      <c r="L342" s="53">
        <f>K342/H342*30</f>
        <v>0</v>
      </c>
    </row>
    <row r="343" spans="1:12" s="2" customFormat="1" ht="13.95" customHeight="1" x14ac:dyDescent="0.2">
      <c r="A343" s="50" t="s">
        <v>70</v>
      </c>
      <c r="B343" s="50" t="s">
        <v>5</v>
      </c>
      <c r="C343" s="50" t="s">
        <v>40</v>
      </c>
      <c r="D343" s="50" t="s">
        <v>620</v>
      </c>
      <c r="E343" s="50" t="s">
        <v>340</v>
      </c>
      <c r="F343" s="50" t="s">
        <v>106</v>
      </c>
      <c r="G343" s="50" t="s">
        <v>97</v>
      </c>
      <c r="H343" s="51">
        <v>10</v>
      </c>
      <c r="I343" s="52">
        <f>J343/H343</f>
        <v>12990</v>
      </c>
      <c r="J343" s="52">
        <v>129900</v>
      </c>
      <c r="K343" s="51">
        <v>30</v>
      </c>
      <c r="L343" s="53">
        <f>K343/H343*30</f>
        <v>90</v>
      </c>
    </row>
    <row r="344" spans="1:12" s="2" customFormat="1" ht="13.95" customHeight="1" x14ac:dyDescent="0.2">
      <c r="A344" s="50" t="s">
        <v>70</v>
      </c>
      <c r="B344" s="50" t="s">
        <v>5</v>
      </c>
      <c r="C344" s="50" t="s">
        <v>40</v>
      </c>
      <c r="D344" s="50" t="s">
        <v>621</v>
      </c>
      <c r="E344" s="50" t="s">
        <v>340</v>
      </c>
      <c r="F344" s="50" t="s">
        <v>106</v>
      </c>
      <c r="G344" s="50" t="s">
        <v>74</v>
      </c>
      <c r="H344" s="51">
        <v>10</v>
      </c>
      <c r="I344" s="52">
        <f>J344/H344</f>
        <v>12990</v>
      </c>
      <c r="J344" s="52">
        <v>129900</v>
      </c>
      <c r="K344" s="51">
        <v>27</v>
      </c>
      <c r="L344" s="53">
        <f>K344/H344*30</f>
        <v>81</v>
      </c>
    </row>
    <row r="345" spans="1:12" s="2" customFormat="1" ht="13.95" customHeight="1" x14ac:dyDescent="0.2">
      <c r="A345" s="50" t="s">
        <v>70</v>
      </c>
      <c r="B345" s="50" t="s">
        <v>5</v>
      </c>
      <c r="C345" s="50" t="s">
        <v>40</v>
      </c>
      <c r="D345" s="50" t="s">
        <v>622</v>
      </c>
      <c r="E345" s="50" t="s">
        <v>340</v>
      </c>
      <c r="F345" s="50" t="s">
        <v>106</v>
      </c>
      <c r="G345" s="50" t="s">
        <v>112</v>
      </c>
      <c r="H345" s="51">
        <v>10</v>
      </c>
      <c r="I345" s="52">
        <f>J345/H345</f>
        <v>12990</v>
      </c>
      <c r="J345" s="52">
        <v>129900</v>
      </c>
      <c r="K345" s="51">
        <v>20</v>
      </c>
      <c r="L345" s="53">
        <f>K345/H345*30</f>
        <v>60</v>
      </c>
    </row>
    <row r="346" spans="1:12" s="2" customFormat="1" ht="13.95" customHeight="1" x14ac:dyDescent="0.2">
      <c r="A346" s="50" t="s">
        <v>70</v>
      </c>
      <c r="B346" s="50" t="s">
        <v>5</v>
      </c>
      <c r="C346" s="50" t="s">
        <v>45</v>
      </c>
      <c r="D346" s="50" t="s">
        <v>623</v>
      </c>
      <c r="E346" s="50" t="s">
        <v>474</v>
      </c>
      <c r="F346" s="50" t="s">
        <v>374</v>
      </c>
      <c r="G346" s="50" t="s">
        <v>140</v>
      </c>
      <c r="H346" s="51">
        <v>13</v>
      </c>
      <c r="I346" s="52">
        <f>J346/H346</f>
        <v>9990</v>
      </c>
      <c r="J346" s="52">
        <v>129870</v>
      </c>
      <c r="K346" s="51">
        <v>32</v>
      </c>
      <c r="L346" s="53">
        <f>K346/H346*30</f>
        <v>73.846153846153854</v>
      </c>
    </row>
    <row r="347" spans="1:12" s="2" customFormat="1" ht="13.95" customHeight="1" x14ac:dyDescent="0.2">
      <c r="A347" s="50" t="s">
        <v>70</v>
      </c>
      <c r="B347" s="50" t="s">
        <v>4</v>
      </c>
      <c r="C347" s="50" t="s">
        <v>54</v>
      </c>
      <c r="D347" s="50" t="s">
        <v>624</v>
      </c>
      <c r="E347" s="50" t="s">
        <v>342</v>
      </c>
      <c r="F347" s="50" t="s">
        <v>73</v>
      </c>
      <c r="G347" s="50" t="s">
        <v>88</v>
      </c>
      <c r="H347" s="51">
        <v>1</v>
      </c>
      <c r="I347" s="52">
        <f>J347/H347</f>
        <v>127990</v>
      </c>
      <c r="J347" s="52">
        <v>127990</v>
      </c>
      <c r="K347" s="51">
        <v>5</v>
      </c>
      <c r="L347" s="53">
        <f>K347/H347*30</f>
        <v>150</v>
      </c>
    </row>
    <row r="348" spans="1:12" s="2" customFormat="1" ht="13.95" customHeight="1" x14ac:dyDescent="0.2">
      <c r="A348" s="50" t="s">
        <v>70</v>
      </c>
      <c r="B348" s="50" t="s">
        <v>4</v>
      </c>
      <c r="C348" s="50" t="s">
        <v>54</v>
      </c>
      <c r="D348" s="50" t="s">
        <v>625</v>
      </c>
      <c r="E348" s="50" t="s">
        <v>342</v>
      </c>
      <c r="F348" s="50" t="s">
        <v>73</v>
      </c>
      <c r="G348" s="50" t="s">
        <v>90</v>
      </c>
      <c r="H348" s="51">
        <v>1</v>
      </c>
      <c r="I348" s="52">
        <f>J348/H348</f>
        <v>127990</v>
      </c>
      <c r="J348" s="52">
        <v>127990</v>
      </c>
      <c r="K348" s="51">
        <v>0</v>
      </c>
      <c r="L348" s="53">
        <f>K348/H348*30</f>
        <v>0</v>
      </c>
    </row>
    <row r="349" spans="1:12" s="2" customFormat="1" ht="13.95" customHeight="1" x14ac:dyDescent="0.2">
      <c r="A349" s="50" t="s">
        <v>70</v>
      </c>
      <c r="B349" s="50" t="s">
        <v>4</v>
      </c>
      <c r="C349" s="50" t="s">
        <v>54</v>
      </c>
      <c r="D349" s="50" t="s">
        <v>626</v>
      </c>
      <c r="E349" s="50" t="s">
        <v>342</v>
      </c>
      <c r="F349" s="50" t="s">
        <v>73</v>
      </c>
      <c r="G349" s="50" t="s">
        <v>84</v>
      </c>
      <c r="H349" s="51">
        <v>1</v>
      </c>
      <c r="I349" s="52">
        <f>J349/H349</f>
        <v>127990</v>
      </c>
      <c r="J349" s="52">
        <v>127990</v>
      </c>
      <c r="K349" s="51">
        <v>3</v>
      </c>
      <c r="L349" s="53">
        <f>K349/H349*30</f>
        <v>90</v>
      </c>
    </row>
    <row r="350" spans="1:12" s="2" customFormat="1" ht="13.95" customHeight="1" x14ac:dyDescent="0.2">
      <c r="A350" s="50" t="s">
        <v>70</v>
      </c>
      <c r="B350" s="50" t="s">
        <v>4</v>
      </c>
      <c r="C350" s="50" t="s">
        <v>54</v>
      </c>
      <c r="D350" s="50" t="s">
        <v>627</v>
      </c>
      <c r="E350" s="50" t="s">
        <v>628</v>
      </c>
      <c r="F350" s="50" t="s">
        <v>73</v>
      </c>
      <c r="G350" s="50" t="s">
        <v>86</v>
      </c>
      <c r="H350" s="51">
        <v>1</v>
      </c>
      <c r="I350" s="52">
        <f>J350/H350</f>
        <v>127990</v>
      </c>
      <c r="J350" s="52">
        <v>127990</v>
      </c>
      <c r="K350" s="51">
        <v>7</v>
      </c>
      <c r="L350" s="53">
        <f>K350/H350*30</f>
        <v>210</v>
      </c>
    </row>
    <row r="351" spans="1:12" s="2" customFormat="1" ht="13.95" customHeight="1" x14ac:dyDescent="0.2">
      <c r="A351" s="50" t="s">
        <v>70</v>
      </c>
      <c r="B351" s="50" t="s">
        <v>5</v>
      </c>
      <c r="C351" s="50" t="s">
        <v>34</v>
      </c>
      <c r="D351" s="50" t="s">
        <v>629</v>
      </c>
      <c r="E351" s="50" t="s">
        <v>346</v>
      </c>
      <c r="F351" s="50" t="s">
        <v>73</v>
      </c>
      <c r="G351" s="50" t="s">
        <v>88</v>
      </c>
      <c r="H351" s="51">
        <v>1</v>
      </c>
      <c r="I351" s="52">
        <f>J351/H351</f>
        <v>125990</v>
      </c>
      <c r="J351" s="52">
        <v>125990</v>
      </c>
      <c r="K351" s="51">
        <v>5</v>
      </c>
      <c r="L351" s="53">
        <f>K351/H351*30</f>
        <v>150</v>
      </c>
    </row>
    <row r="352" spans="1:12" s="2" customFormat="1" ht="13.95" customHeight="1" x14ac:dyDescent="0.2">
      <c r="A352" s="50" t="s">
        <v>70</v>
      </c>
      <c r="B352" s="50" t="s">
        <v>5</v>
      </c>
      <c r="C352" s="50" t="s">
        <v>34</v>
      </c>
      <c r="D352" s="50" t="s">
        <v>630</v>
      </c>
      <c r="E352" s="50" t="s">
        <v>346</v>
      </c>
      <c r="F352" s="50" t="s">
        <v>73</v>
      </c>
      <c r="G352" s="50" t="s">
        <v>86</v>
      </c>
      <c r="H352" s="51">
        <v>1</v>
      </c>
      <c r="I352" s="52">
        <f>J352/H352</f>
        <v>125990</v>
      </c>
      <c r="J352" s="52">
        <v>125990</v>
      </c>
      <c r="K352" s="51">
        <v>5</v>
      </c>
      <c r="L352" s="53">
        <f>K352/H352*30</f>
        <v>150</v>
      </c>
    </row>
    <row r="353" spans="1:12" s="2" customFormat="1" ht="13.95" customHeight="1" x14ac:dyDescent="0.2">
      <c r="A353" s="50" t="s">
        <v>70</v>
      </c>
      <c r="B353" s="50" t="s">
        <v>5</v>
      </c>
      <c r="C353" s="50" t="s">
        <v>34</v>
      </c>
      <c r="D353" s="50" t="s">
        <v>631</v>
      </c>
      <c r="E353" s="50" t="s">
        <v>346</v>
      </c>
      <c r="F353" s="50" t="s">
        <v>73</v>
      </c>
      <c r="G353" s="50" t="s">
        <v>84</v>
      </c>
      <c r="H353" s="51">
        <v>1</v>
      </c>
      <c r="I353" s="52">
        <f>J353/H353</f>
        <v>125990</v>
      </c>
      <c r="J353" s="52">
        <v>125990</v>
      </c>
      <c r="K353" s="51">
        <v>6</v>
      </c>
      <c r="L353" s="53">
        <f>K353/H353*30</f>
        <v>180</v>
      </c>
    </row>
    <row r="354" spans="1:12" s="2" customFormat="1" ht="13.95" customHeight="1" x14ac:dyDescent="0.2">
      <c r="A354" s="50" t="s">
        <v>70</v>
      </c>
      <c r="B354" s="50" t="s">
        <v>5</v>
      </c>
      <c r="C354" s="50" t="s">
        <v>30</v>
      </c>
      <c r="D354" s="50" t="s">
        <v>632</v>
      </c>
      <c r="E354" s="50" t="s">
        <v>348</v>
      </c>
      <c r="F354" s="50" t="s">
        <v>106</v>
      </c>
      <c r="G354" s="50" t="s">
        <v>86</v>
      </c>
      <c r="H354" s="51">
        <v>2</v>
      </c>
      <c r="I354" s="52">
        <f>J354/H354</f>
        <v>62990</v>
      </c>
      <c r="J354" s="52">
        <v>125980</v>
      </c>
      <c r="K354" s="51">
        <v>14</v>
      </c>
      <c r="L354" s="53">
        <f>K354/H354*30</f>
        <v>210</v>
      </c>
    </row>
    <row r="355" spans="1:12" s="2" customFormat="1" ht="13.95" customHeight="1" x14ac:dyDescent="0.2">
      <c r="A355" s="50" t="s">
        <v>70</v>
      </c>
      <c r="B355" s="50" t="s">
        <v>5</v>
      </c>
      <c r="C355" s="50" t="s">
        <v>30</v>
      </c>
      <c r="D355" s="50" t="s">
        <v>633</v>
      </c>
      <c r="E355" s="50" t="s">
        <v>348</v>
      </c>
      <c r="F355" s="50" t="s">
        <v>106</v>
      </c>
      <c r="G355" s="50" t="s">
        <v>330</v>
      </c>
      <c r="H355" s="51">
        <v>2</v>
      </c>
      <c r="I355" s="52">
        <f>J355/H355</f>
        <v>62990</v>
      </c>
      <c r="J355" s="52">
        <v>125980</v>
      </c>
      <c r="K355" s="51">
        <v>3</v>
      </c>
      <c r="L355" s="53">
        <f>K355/H355*30</f>
        <v>45</v>
      </c>
    </row>
    <row r="356" spans="1:12" s="2" customFormat="1" ht="13.95" customHeight="1" x14ac:dyDescent="0.2">
      <c r="A356" s="50" t="s">
        <v>70</v>
      </c>
      <c r="B356" s="50" t="s">
        <v>5</v>
      </c>
      <c r="C356" s="50" t="s">
        <v>33</v>
      </c>
      <c r="D356" s="50" t="s">
        <v>634</v>
      </c>
      <c r="E356" s="50" t="s">
        <v>333</v>
      </c>
      <c r="F356" s="50" t="s">
        <v>137</v>
      </c>
      <c r="G356" s="50" t="s">
        <v>88</v>
      </c>
      <c r="H356" s="51">
        <v>5</v>
      </c>
      <c r="I356" s="52">
        <f>J356/H356</f>
        <v>24990</v>
      </c>
      <c r="J356" s="52">
        <v>124950</v>
      </c>
      <c r="K356" s="51">
        <v>8</v>
      </c>
      <c r="L356" s="53">
        <f>K356/H356*30</f>
        <v>48</v>
      </c>
    </row>
    <row r="357" spans="1:12" s="2" customFormat="1" ht="13.95" customHeight="1" x14ac:dyDescent="0.2">
      <c r="A357" s="50" t="s">
        <v>70</v>
      </c>
      <c r="B357" s="50" t="s">
        <v>5</v>
      </c>
      <c r="C357" s="50" t="s">
        <v>30</v>
      </c>
      <c r="D357" s="50" t="s">
        <v>635</v>
      </c>
      <c r="E357" s="50" t="s">
        <v>171</v>
      </c>
      <c r="F357" s="50" t="s">
        <v>73</v>
      </c>
      <c r="G357" s="50" t="s">
        <v>88</v>
      </c>
      <c r="H357" s="51">
        <v>2</v>
      </c>
      <c r="I357" s="52">
        <f>J357/H357</f>
        <v>61990</v>
      </c>
      <c r="J357" s="52">
        <v>123980</v>
      </c>
      <c r="K357" s="51">
        <v>13</v>
      </c>
      <c r="L357" s="53">
        <f>K357/H357*30</f>
        <v>195</v>
      </c>
    </row>
    <row r="358" spans="1:12" s="2" customFormat="1" ht="13.95" customHeight="1" x14ac:dyDescent="0.2">
      <c r="A358" s="50" t="s">
        <v>70</v>
      </c>
      <c r="B358" s="50" t="s">
        <v>5</v>
      </c>
      <c r="C358" s="50" t="s">
        <v>30</v>
      </c>
      <c r="D358" s="50" t="s">
        <v>636</v>
      </c>
      <c r="E358" s="50" t="s">
        <v>171</v>
      </c>
      <c r="F358" s="50" t="s">
        <v>73</v>
      </c>
      <c r="G358" s="50" t="s">
        <v>86</v>
      </c>
      <c r="H358" s="51">
        <v>2</v>
      </c>
      <c r="I358" s="52">
        <f>J358/H358</f>
        <v>61990</v>
      </c>
      <c r="J358" s="52">
        <v>123980</v>
      </c>
      <c r="K358" s="51">
        <v>15</v>
      </c>
      <c r="L358" s="53">
        <f>K358/H358*30</f>
        <v>225</v>
      </c>
    </row>
    <row r="359" spans="1:12" s="2" customFormat="1" ht="13.95" customHeight="1" x14ac:dyDescent="0.2">
      <c r="A359" s="50" t="s">
        <v>70</v>
      </c>
      <c r="B359" s="50" t="s">
        <v>5</v>
      </c>
      <c r="C359" s="50" t="s">
        <v>30</v>
      </c>
      <c r="D359" s="50" t="s">
        <v>637</v>
      </c>
      <c r="E359" s="50" t="s">
        <v>171</v>
      </c>
      <c r="F359" s="50" t="s">
        <v>73</v>
      </c>
      <c r="G359" s="50" t="s">
        <v>84</v>
      </c>
      <c r="H359" s="51">
        <v>2</v>
      </c>
      <c r="I359" s="52">
        <f>J359/H359</f>
        <v>61990</v>
      </c>
      <c r="J359" s="52">
        <v>123980</v>
      </c>
      <c r="K359" s="51">
        <v>8</v>
      </c>
      <c r="L359" s="53">
        <f>K359/H359*30</f>
        <v>120</v>
      </c>
    </row>
    <row r="360" spans="1:12" s="2" customFormat="1" ht="13.95" customHeight="1" x14ac:dyDescent="0.2">
      <c r="A360" s="50" t="s">
        <v>70</v>
      </c>
      <c r="B360" s="50" t="s">
        <v>5</v>
      </c>
      <c r="C360" s="50" t="s">
        <v>30</v>
      </c>
      <c r="D360" s="50" t="s">
        <v>638</v>
      </c>
      <c r="E360" s="50" t="s">
        <v>171</v>
      </c>
      <c r="F360" s="50" t="s">
        <v>106</v>
      </c>
      <c r="G360" s="50" t="s">
        <v>86</v>
      </c>
      <c r="H360" s="51">
        <v>2</v>
      </c>
      <c r="I360" s="52">
        <f>J360/H360</f>
        <v>61990</v>
      </c>
      <c r="J360" s="52">
        <v>123980</v>
      </c>
      <c r="K360" s="51">
        <v>2</v>
      </c>
      <c r="L360" s="53">
        <f>K360/H360*30</f>
        <v>30</v>
      </c>
    </row>
    <row r="361" spans="1:12" s="2" customFormat="1" ht="13.95" customHeight="1" x14ac:dyDescent="0.2">
      <c r="A361" s="50" t="s">
        <v>639</v>
      </c>
      <c r="B361" s="50" t="s">
        <v>9</v>
      </c>
      <c r="C361" s="50" t="s">
        <v>24</v>
      </c>
      <c r="D361" s="50" t="s">
        <v>640</v>
      </c>
      <c r="E361" s="50" t="s">
        <v>641</v>
      </c>
      <c r="F361" s="50" t="s">
        <v>365</v>
      </c>
      <c r="G361" s="50" t="s">
        <v>86</v>
      </c>
      <c r="H361" s="51">
        <v>1</v>
      </c>
      <c r="I361" s="52">
        <f>J361/H361</f>
        <v>119990</v>
      </c>
      <c r="J361" s="52">
        <v>119990</v>
      </c>
      <c r="K361" s="51">
        <v>2</v>
      </c>
      <c r="L361" s="53">
        <f>K361/H361*30</f>
        <v>60</v>
      </c>
    </row>
    <row r="362" spans="1:12" s="2" customFormat="1" ht="13.95" customHeight="1" x14ac:dyDescent="0.2">
      <c r="A362" s="50" t="s">
        <v>639</v>
      </c>
      <c r="B362" s="50" t="s">
        <v>9</v>
      </c>
      <c r="C362" s="50" t="s">
        <v>24</v>
      </c>
      <c r="D362" s="50" t="s">
        <v>642</v>
      </c>
      <c r="E362" s="50" t="s">
        <v>641</v>
      </c>
      <c r="F362" s="50" t="s">
        <v>365</v>
      </c>
      <c r="G362" s="50" t="s">
        <v>86</v>
      </c>
      <c r="H362" s="51">
        <v>1</v>
      </c>
      <c r="I362" s="52">
        <f>J362/H362</f>
        <v>119990</v>
      </c>
      <c r="J362" s="52">
        <v>119990</v>
      </c>
      <c r="K362" s="51">
        <v>2</v>
      </c>
      <c r="L362" s="53">
        <f>K362/H362*30</f>
        <v>60</v>
      </c>
    </row>
    <row r="363" spans="1:12" s="2" customFormat="1" ht="13.95" customHeight="1" x14ac:dyDescent="0.2">
      <c r="A363" s="50" t="s">
        <v>70</v>
      </c>
      <c r="B363" s="50" t="s">
        <v>4</v>
      </c>
      <c r="C363" s="50" t="s">
        <v>48</v>
      </c>
      <c r="D363" s="50" t="s">
        <v>643</v>
      </c>
      <c r="E363" s="50" t="s">
        <v>384</v>
      </c>
      <c r="F363" s="50" t="s">
        <v>73</v>
      </c>
      <c r="G363" s="50" t="s">
        <v>140</v>
      </c>
      <c r="H363" s="51">
        <v>1</v>
      </c>
      <c r="I363" s="52">
        <f>J363/H363</f>
        <v>119990</v>
      </c>
      <c r="J363" s="52">
        <v>119990</v>
      </c>
      <c r="K363" s="51">
        <v>-1</v>
      </c>
      <c r="L363" s="53">
        <f>K363/H363*30</f>
        <v>-30</v>
      </c>
    </row>
    <row r="364" spans="1:12" s="2" customFormat="1" ht="13.95" customHeight="1" x14ac:dyDescent="0.2">
      <c r="A364" s="50" t="s">
        <v>70</v>
      </c>
      <c r="B364" s="50" t="s">
        <v>4</v>
      </c>
      <c r="C364" s="50" t="s">
        <v>48</v>
      </c>
      <c r="D364" s="50" t="s">
        <v>644</v>
      </c>
      <c r="E364" s="50" t="s">
        <v>384</v>
      </c>
      <c r="F364" s="50" t="s">
        <v>106</v>
      </c>
      <c r="G364" s="50" t="s">
        <v>86</v>
      </c>
      <c r="H364" s="51">
        <v>1</v>
      </c>
      <c r="I364" s="52">
        <f>J364/H364</f>
        <v>119990</v>
      </c>
      <c r="J364" s="52">
        <v>119990</v>
      </c>
      <c r="K364" s="51">
        <v>2</v>
      </c>
      <c r="L364" s="53">
        <f>K364/H364*30</f>
        <v>60</v>
      </c>
    </row>
    <row r="365" spans="1:12" s="2" customFormat="1" ht="13.95" customHeight="1" x14ac:dyDescent="0.2">
      <c r="A365" s="50" t="s">
        <v>70</v>
      </c>
      <c r="B365" s="50" t="s">
        <v>4</v>
      </c>
      <c r="C365" s="50" t="s">
        <v>48</v>
      </c>
      <c r="D365" s="50" t="s">
        <v>645</v>
      </c>
      <c r="E365" s="50" t="s">
        <v>118</v>
      </c>
      <c r="F365" s="50" t="s">
        <v>106</v>
      </c>
      <c r="G365" s="50" t="s">
        <v>97</v>
      </c>
      <c r="H365" s="51">
        <v>1</v>
      </c>
      <c r="I365" s="52">
        <f>J365/H365</f>
        <v>119990</v>
      </c>
      <c r="J365" s="52">
        <v>119990</v>
      </c>
      <c r="K365" s="51">
        <v>7</v>
      </c>
      <c r="L365" s="53">
        <f>K365/H365*30</f>
        <v>210</v>
      </c>
    </row>
    <row r="366" spans="1:12" s="2" customFormat="1" ht="13.95" customHeight="1" x14ac:dyDescent="0.2">
      <c r="A366" s="50" t="s">
        <v>70</v>
      </c>
      <c r="B366" s="50" t="s">
        <v>4</v>
      </c>
      <c r="C366" s="50" t="s">
        <v>48</v>
      </c>
      <c r="D366" s="50" t="s">
        <v>646</v>
      </c>
      <c r="E366" s="50" t="s">
        <v>118</v>
      </c>
      <c r="F366" s="50" t="s">
        <v>106</v>
      </c>
      <c r="G366" s="50" t="s">
        <v>74</v>
      </c>
      <c r="H366" s="51">
        <v>1</v>
      </c>
      <c r="I366" s="52">
        <f>J366/H366</f>
        <v>119990</v>
      </c>
      <c r="J366" s="52">
        <v>119990</v>
      </c>
      <c r="K366" s="51">
        <v>8</v>
      </c>
      <c r="L366" s="53">
        <f>K366/H366*30</f>
        <v>240</v>
      </c>
    </row>
    <row r="367" spans="1:12" s="2" customFormat="1" ht="13.95" customHeight="1" x14ac:dyDescent="0.2">
      <c r="A367" s="50" t="s">
        <v>70</v>
      </c>
      <c r="B367" s="50" t="s">
        <v>4</v>
      </c>
      <c r="C367" s="50" t="s">
        <v>48</v>
      </c>
      <c r="D367" s="50" t="s">
        <v>647</v>
      </c>
      <c r="E367" s="50" t="s">
        <v>118</v>
      </c>
      <c r="F367" s="50" t="s">
        <v>106</v>
      </c>
      <c r="G367" s="50" t="s">
        <v>112</v>
      </c>
      <c r="H367" s="51">
        <v>1</v>
      </c>
      <c r="I367" s="52">
        <f>J367/H367</f>
        <v>119990</v>
      </c>
      <c r="J367" s="52">
        <v>119990</v>
      </c>
      <c r="K367" s="51">
        <v>14</v>
      </c>
      <c r="L367" s="53">
        <f>K367/H367*30</f>
        <v>420</v>
      </c>
    </row>
    <row r="368" spans="1:12" s="2" customFormat="1" ht="13.95" customHeight="1" x14ac:dyDescent="0.2">
      <c r="A368" s="50" t="s">
        <v>362</v>
      </c>
      <c r="B368" s="50" t="s">
        <v>9</v>
      </c>
      <c r="C368" s="50" t="s">
        <v>28</v>
      </c>
      <c r="D368" s="50" t="s">
        <v>648</v>
      </c>
      <c r="E368" s="50" t="s">
        <v>364</v>
      </c>
      <c r="F368" s="50" t="s">
        <v>365</v>
      </c>
      <c r="G368" s="50" t="s">
        <v>140</v>
      </c>
      <c r="H368" s="51">
        <v>1</v>
      </c>
      <c r="I368" s="52">
        <f>J368/H368</f>
        <v>119990</v>
      </c>
      <c r="J368" s="52">
        <v>119990</v>
      </c>
      <c r="K368" s="51">
        <v>6</v>
      </c>
      <c r="L368" s="53">
        <f>K368/H368*30</f>
        <v>180</v>
      </c>
    </row>
    <row r="369" spans="1:12" s="2" customFormat="1" ht="13.95" customHeight="1" x14ac:dyDescent="0.2">
      <c r="A369" s="50" t="s">
        <v>362</v>
      </c>
      <c r="B369" s="50" t="s">
        <v>9</v>
      </c>
      <c r="C369" s="50" t="s">
        <v>28</v>
      </c>
      <c r="D369" s="50" t="s">
        <v>649</v>
      </c>
      <c r="E369" s="50" t="s">
        <v>364</v>
      </c>
      <c r="F369" s="50" t="s">
        <v>365</v>
      </c>
      <c r="G369" s="50" t="s">
        <v>140</v>
      </c>
      <c r="H369" s="51">
        <v>1</v>
      </c>
      <c r="I369" s="52">
        <f>J369/H369</f>
        <v>119990</v>
      </c>
      <c r="J369" s="52">
        <v>119990</v>
      </c>
      <c r="K369" s="51">
        <v>2</v>
      </c>
      <c r="L369" s="53">
        <f>K369/H369*30</f>
        <v>60</v>
      </c>
    </row>
    <row r="370" spans="1:12" s="2" customFormat="1" ht="13.95" customHeight="1" x14ac:dyDescent="0.2">
      <c r="A370" s="50" t="s">
        <v>362</v>
      </c>
      <c r="B370" s="50" t="s">
        <v>9</v>
      </c>
      <c r="C370" s="50" t="s">
        <v>28</v>
      </c>
      <c r="D370" s="50" t="s">
        <v>650</v>
      </c>
      <c r="E370" s="50" t="s">
        <v>364</v>
      </c>
      <c r="F370" s="50" t="s">
        <v>365</v>
      </c>
      <c r="G370" s="50" t="s">
        <v>294</v>
      </c>
      <c r="H370" s="51">
        <v>1</v>
      </c>
      <c r="I370" s="52">
        <f>J370/H370</f>
        <v>119990</v>
      </c>
      <c r="J370" s="52">
        <v>119990</v>
      </c>
      <c r="K370" s="51">
        <v>0</v>
      </c>
      <c r="L370" s="53">
        <f>K370/H370*30</f>
        <v>0</v>
      </c>
    </row>
    <row r="371" spans="1:12" s="2" customFormat="1" ht="13.95" customHeight="1" x14ac:dyDescent="0.2">
      <c r="A371" s="50" t="s">
        <v>362</v>
      </c>
      <c r="B371" s="50" t="s">
        <v>9</v>
      </c>
      <c r="C371" s="50" t="s">
        <v>28</v>
      </c>
      <c r="D371" s="50" t="s">
        <v>651</v>
      </c>
      <c r="E371" s="50" t="s">
        <v>364</v>
      </c>
      <c r="F371" s="50" t="s">
        <v>365</v>
      </c>
      <c r="G371" s="50" t="s">
        <v>369</v>
      </c>
      <c r="H371" s="51">
        <v>1</v>
      </c>
      <c r="I371" s="52">
        <f>J371/H371</f>
        <v>119990</v>
      </c>
      <c r="J371" s="52">
        <v>119990</v>
      </c>
      <c r="K371" s="51">
        <v>5</v>
      </c>
      <c r="L371" s="53">
        <f>K371/H371*30</f>
        <v>150</v>
      </c>
    </row>
    <row r="372" spans="1:12" s="2" customFormat="1" ht="13.95" customHeight="1" x14ac:dyDescent="0.2">
      <c r="A372" s="50" t="s">
        <v>362</v>
      </c>
      <c r="B372" s="50" t="s">
        <v>9</v>
      </c>
      <c r="C372" s="50" t="s">
        <v>28</v>
      </c>
      <c r="D372" s="50" t="s">
        <v>652</v>
      </c>
      <c r="E372" s="50" t="s">
        <v>364</v>
      </c>
      <c r="F372" s="50" t="s">
        <v>365</v>
      </c>
      <c r="G372" s="50" t="s">
        <v>84</v>
      </c>
      <c r="H372" s="51">
        <v>1</v>
      </c>
      <c r="I372" s="52">
        <f>J372/H372</f>
        <v>119990</v>
      </c>
      <c r="J372" s="52">
        <v>119990</v>
      </c>
      <c r="K372" s="51">
        <v>5</v>
      </c>
      <c r="L372" s="53">
        <f>K372/H372*30</f>
        <v>150</v>
      </c>
    </row>
    <row r="373" spans="1:12" s="2" customFormat="1" ht="13.95" customHeight="1" x14ac:dyDescent="0.2">
      <c r="A373" s="50" t="s">
        <v>362</v>
      </c>
      <c r="B373" s="50" t="s">
        <v>9</v>
      </c>
      <c r="C373" s="50" t="s">
        <v>28</v>
      </c>
      <c r="D373" s="50" t="s">
        <v>653</v>
      </c>
      <c r="E373" s="50" t="s">
        <v>364</v>
      </c>
      <c r="F373" s="50" t="s">
        <v>365</v>
      </c>
      <c r="G373" s="50" t="s">
        <v>84</v>
      </c>
      <c r="H373" s="51">
        <v>1</v>
      </c>
      <c r="I373" s="52">
        <f>J373/H373</f>
        <v>119990</v>
      </c>
      <c r="J373" s="52">
        <v>119990</v>
      </c>
      <c r="K373" s="51">
        <v>7</v>
      </c>
      <c r="L373" s="53">
        <f>K373/H373*30</f>
        <v>210</v>
      </c>
    </row>
    <row r="374" spans="1:12" s="2" customFormat="1" ht="13.95" customHeight="1" x14ac:dyDescent="0.2">
      <c r="A374" s="50" t="s">
        <v>362</v>
      </c>
      <c r="B374" s="50" t="s">
        <v>9</v>
      </c>
      <c r="C374" s="50" t="s">
        <v>28</v>
      </c>
      <c r="D374" s="50" t="s">
        <v>654</v>
      </c>
      <c r="E374" s="50" t="s">
        <v>364</v>
      </c>
      <c r="F374" s="50" t="s">
        <v>365</v>
      </c>
      <c r="G374" s="50" t="s">
        <v>330</v>
      </c>
      <c r="H374" s="51">
        <v>1</v>
      </c>
      <c r="I374" s="52">
        <f>J374/H374</f>
        <v>119990</v>
      </c>
      <c r="J374" s="52">
        <v>119990</v>
      </c>
      <c r="K374" s="51">
        <v>0</v>
      </c>
      <c r="L374" s="53">
        <f>K374/H374*30</f>
        <v>0</v>
      </c>
    </row>
    <row r="375" spans="1:12" s="2" customFormat="1" ht="13.95" customHeight="1" x14ac:dyDescent="0.2">
      <c r="A375" s="50" t="s">
        <v>362</v>
      </c>
      <c r="B375" s="50" t="s">
        <v>9</v>
      </c>
      <c r="C375" s="50" t="s">
        <v>28</v>
      </c>
      <c r="D375" s="50" t="s">
        <v>655</v>
      </c>
      <c r="E375" s="50" t="s">
        <v>364</v>
      </c>
      <c r="F375" s="50" t="s">
        <v>365</v>
      </c>
      <c r="G375" s="50" t="s">
        <v>330</v>
      </c>
      <c r="H375" s="51">
        <v>1</v>
      </c>
      <c r="I375" s="52">
        <f>J375/H375</f>
        <v>119990</v>
      </c>
      <c r="J375" s="52">
        <v>119990</v>
      </c>
      <c r="K375" s="51">
        <v>1</v>
      </c>
      <c r="L375" s="53">
        <f>K375/H375*30</f>
        <v>30</v>
      </c>
    </row>
    <row r="376" spans="1:12" s="2" customFormat="1" ht="13.95" customHeight="1" x14ac:dyDescent="0.2">
      <c r="A376" s="50" t="s">
        <v>362</v>
      </c>
      <c r="B376" s="50" t="s">
        <v>9</v>
      </c>
      <c r="C376" s="50" t="s">
        <v>28</v>
      </c>
      <c r="D376" s="50" t="s">
        <v>656</v>
      </c>
      <c r="E376" s="50" t="s">
        <v>368</v>
      </c>
      <c r="F376" s="50" t="s">
        <v>365</v>
      </c>
      <c r="G376" s="50" t="s">
        <v>369</v>
      </c>
      <c r="H376" s="51">
        <v>1</v>
      </c>
      <c r="I376" s="52">
        <f>J376/H376</f>
        <v>119990</v>
      </c>
      <c r="J376" s="52">
        <v>119990</v>
      </c>
      <c r="K376" s="51">
        <v>4</v>
      </c>
      <c r="L376" s="53">
        <f>K376/H376*30</f>
        <v>120</v>
      </c>
    </row>
    <row r="377" spans="1:12" s="2" customFormat="1" ht="13.95" customHeight="1" x14ac:dyDescent="0.2">
      <c r="A377" s="50" t="s">
        <v>70</v>
      </c>
      <c r="B377" s="50" t="s">
        <v>5</v>
      </c>
      <c r="C377" s="50" t="s">
        <v>34</v>
      </c>
      <c r="D377" s="50" t="s">
        <v>657</v>
      </c>
      <c r="E377" s="50" t="s">
        <v>658</v>
      </c>
      <c r="F377" s="50" t="s">
        <v>137</v>
      </c>
      <c r="G377" s="50" t="s">
        <v>88</v>
      </c>
      <c r="H377" s="51">
        <v>2</v>
      </c>
      <c r="I377" s="52">
        <f>J377/H377</f>
        <v>59990</v>
      </c>
      <c r="J377" s="52">
        <v>119980</v>
      </c>
      <c r="K377" s="51">
        <v>17</v>
      </c>
      <c r="L377" s="53">
        <f>K377/H377*30</f>
        <v>255</v>
      </c>
    </row>
    <row r="378" spans="1:12" s="2" customFormat="1" ht="13.95" customHeight="1" x14ac:dyDescent="0.2">
      <c r="A378" s="50" t="s">
        <v>70</v>
      </c>
      <c r="B378" s="50" t="s">
        <v>5</v>
      </c>
      <c r="C378" s="50" t="s">
        <v>34</v>
      </c>
      <c r="D378" s="50" t="s">
        <v>659</v>
      </c>
      <c r="E378" s="50" t="s">
        <v>658</v>
      </c>
      <c r="F378" s="50" t="s">
        <v>137</v>
      </c>
      <c r="G378" s="50" t="s">
        <v>74</v>
      </c>
      <c r="H378" s="51">
        <v>2</v>
      </c>
      <c r="I378" s="52">
        <f>J378/H378</f>
        <v>59990</v>
      </c>
      <c r="J378" s="52">
        <v>119980</v>
      </c>
      <c r="K378" s="51">
        <v>12</v>
      </c>
      <c r="L378" s="53">
        <f>K378/H378*30</f>
        <v>180</v>
      </c>
    </row>
    <row r="379" spans="1:12" s="2" customFormat="1" ht="13.95" customHeight="1" x14ac:dyDescent="0.2">
      <c r="A379" s="50" t="s">
        <v>70</v>
      </c>
      <c r="B379" s="50" t="s">
        <v>5</v>
      </c>
      <c r="C379" s="50" t="s">
        <v>45</v>
      </c>
      <c r="D379" s="50" t="s">
        <v>660</v>
      </c>
      <c r="E379" s="50" t="s">
        <v>661</v>
      </c>
      <c r="F379" s="50" t="s">
        <v>73</v>
      </c>
      <c r="G379" s="50" t="s">
        <v>86</v>
      </c>
      <c r="H379" s="51">
        <v>2</v>
      </c>
      <c r="I379" s="52">
        <f>J379/H379</f>
        <v>59990</v>
      </c>
      <c r="J379" s="52">
        <v>119980</v>
      </c>
      <c r="K379" s="51">
        <v>6</v>
      </c>
      <c r="L379" s="53">
        <f>K379/H379*30</f>
        <v>90</v>
      </c>
    </row>
    <row r="380" spans="1:12" s="2" customFormat="1" ht="13.95" customHeight="1" x14ac:dyDescent="0.2">
      <c r="A380" s="50" t="s">
        <v>70</v>
      </c>
      <c r="B380" s="50" t="s">
        <v>4</v>
      </c>
      <c r="C380" s="50" t="s">
        <v>55</v>
      </c>
      <c r="D380" s="50" t="s">
        <v>662</v>
      </c>
      <c r="E380" s="50" t="s">
        <v>663</v>
      </c>
      <c r="F380" s="50" t="s">
        <v>128</v>
      </c>
      <c r="G380" s="50" t="s">
        <v>664</v>
      </c>
      <c r="H380" s="51">
        <v>2</v>
      </c>
      <c r="I380" s="52">
        <f>J380/H380</f>
        <v>59990</v>
      </c>
      <c r="J380" s="52">
        <v>119980</v>
      </c>
      <c r="K380" s="51">
        <v>19</v>
      </c>
      <c r="L380" s="53">
        <f>K380/H380*30</f>
        <v>285</v>
      </c>
    </row>
    <row r="381" spans="1:12" s="2" customFormat="1" ht="13.95" customHeight="1" x14ac:dyDescent="0.2">
      <c r="A381" s="50" t="s">
        <v>416</v>
      </c>
      <c r="B381" s="50" t="s">
        <v>8</v>
      </c>
      <c r="C381" s="50" t="s">
        <v>8</v>
      </c>
      <c r="D381" s="50" t="s">
        <v>665</v>
      </c>
      <c r="E381" s="50" t="s">
        <v>444</v>
      </c>
      <c r="F381" s="50" t="s">
        <v>73</v>
      </c>
      <c r="G381" s="50" t="s">
        <v>88</v>
      </c>
      <c r="H381" s="51">
        <v>3</v>
      </c>
      <c r="I381" s="52">
        <f>J381/H381</f>
        <v>39990</v>
      </c>
      <c r="J381" s="52">
        <v>119970</v>
      </c>
      <c r="K381" s="51">
        <v>0</v>
      </c>
      <c r="L381" s="53">
        <f>K381/H381*30</f>
        <v>0</v>
      </c>
    </row>
    <row r="382" spans="1:12" s="2" customFormat="1" ht="13.95" customHeight="1" x14ac:dyDescent="0.2">
      <c r="A382" s="50" t="s">
        <v>416</v>
      </c>
      <c r="B382" s="50" t="s">
        <v>8</v>
      </c>
      <c r="C382" s="50" t="s">
        <v>8</v>
      </c>
      <c r="D382" s="50" t="s">
        <v>666</v>
      </c>
      <c r="E382" s="50" t="s">
        <v>444</v>
      </c>
      <c r="F382" s="50" t="s">
        <v>73</v>
      </c>
      <c r="G382" s="50" t="s">
        <v>86</v>
      </c>
      <c r="H382" s="51">
        <v>3</v>
      </c>
      <c r="I382" s="52">
        <f>J382/H382</f>
        <v>39990</v>
      </c>
      <c r="J382" s="52">
        <v>119970</v>
      </c>
      <c r="K382" s="51">
        <v>2</v>
      </c>
      <c r="L382" s="53">
        <f>K382/H382*30</f>
        <v>20</v>
      </c>
    </row>
    <row r="383" spans="1:12" s="2" customFormat="1" ht="13.95" customHeight="1" x14ac:dyDescent="0.2">
      <c r="A383" s="50" t="s">
        <v>70</v>
      </c>
      <c r="B383" s="50" t="s">
        <v>7</v>
      </c>
      <c r="C383" s="50" t="s">
        <v>17</v>
      </c>
      <c r="D383" s="50" t="s">
        <v>667</v>
      </c>
      <c r="E383" s="50" t="s">
        <v>540</v>
      </c>
      <c r="F383" s="50" t="s">
        <v>106</v>
      </c>
      <c r="G383" s="50" t="s">
        <v>84</v>
      </c>
      <c r="H383" s="51">
        <v>3</v>
      </c>
      <c r="I383" s="52">
        <f>J383/H383</f>
        <v>39990</v>
      </c>
      <c r="J383" s="52">
        <v>119970</v>
      </c>
      <c r="K383" s="51">
        <v>4</v>
      </c>
      <c r="L383" s="53">
        <f>K383/H383*30</f>
        <v>40</v>
      </c>
    </row>
    <row r="384" spans="1:12" s="2" customFormat="1" ht="13.95" customHeight="1" x14ac:dyDescent="0.2">
      <c r="A384" s="50" t="s">
        <v>70</v>
      </c>
      <c r="B384" s="50" t="s">
        <v>7</v>
      </c>
      <c r="C384" s="50" t="s">
        <v>18</v>
      </c>
      <c r="D384" s="50" t="s">
        <v>668</v>
      </c>
      <c r="E384" s="50" t="s">
        <v>669</v>
      </c>
      <c r="F384" s="50" t="s">
        <v>580</v>
      </c>
      <c r="G384" s="50" t="s">
        <v>581</v>
      </c>
      <c r="H384" s="51">
        <v>4</v>
      </c>
      <c r="I384" s="52">
        <f>J384/H384</f>
        <v>29990</v>
      </c>
      <c r="J384" s="52">
        <v>119960</v>
      </c>
      <c r="K384" s="51">
        <v>4</v>
      </c>
      <c r="L384" s="53">
        <f>K384/H384*30</f>
        <v>30</v>
      </c>
    </row>
    <row r="385" spans="1:12" s="2" customFormat="1" ht="13.95" customHeight="1" x14ac:dyDescent="0.2">
      <c r="A385" s="50" t="s">
        <v>70</v>
      </c>
      <c r="B385" s="50" t="s">
        <v>7</v>
      </c>
      <c r="C385" s="50" t="s">
        <v>18</v>
      </c>
      <c r="D385" s="50" t="s">
        <v>670</v>
      </c>
      <c r="E385" s="50" t="s">
        <v>669</v>
      </c>
      <c r="F385" s="50" t="s">
        <v>580</v>
      </c>
      <c r="G385" s="50" t="s">
        <v>671</v>
      </c>
      <c r="H385" s="51">
        <v>4</v>
      </c>
      <c r="I385" s="52">
        <f>J385/H385</f>
        <v>29990</v>
      </c>
      <c r="J385" s="52">
        <v>119960</v>
      </c>
      <c r="K385" s="51">
        <v>15</v>
      </c>
      <c r="L385" s="53">
        <f>K385/H385*30</f>
        <v>112.5</v>
      </c>
    </row>
    <row r="386" spans="1:12" s="2" customFormat="1" ht="13.95" customHeight="1" x14ac:dyDescent="0.2">
      <c r="A386" s="50" t="s">
        <v>70</v>
      </c>
      <c r="B386" s="50" t="s">
        <v>7</v>
      </c>
      <c r="C386" s="50" t="s">
        <v>18</v>
      </c>
      <c r="D386" s="50" t="s">
        <v>672</v>
      </c>
      <c r="E386" s="50" t="s">
        <v>673</v>
      </c>
      <c r="F386" s="50" t="s">
        <v>580</v>
      </c>
      <c r="G386" s="50" t="s">
        <v>671</v>
      </c>
      <c r="H386" s="51">
        <v>4</v>
      </c>
      <c r="I386" s="52">
        <f>J386/H386</f>
        <v>29990</v>
      </c>
      <c r="J386" s="52">
        <v>119960</v>
      </c>
      <c r="K386" s="51">
        <v>5</v>
      </c>
      <c r="L386" s="53">
        <f>K386/H386*30</f>
        <v>37.5</v>
      </c>
    </row>
    <row r="387" spans="1:12" s="2" customFormat="1" ht="13.95" customHeight="1" x14ac:dyDescent="0.2">
      <c r="A387" s="50" t="s">
        <v>70</v>
      </c>
      <c r="B387" s="50" t="s">
        <v>7</v>
      </c>
      <c r="C387" s="50" t="s">
        <v>18</v>
      </c>
      <c r="D387" s="50" t="s">
        <v>674</v>
      </c>
      <c r="E387" s="50" t="s">
        <v>675</v>
      </c>
      <c r="F387" s="50" t="s">
        <v>580</v>
      </c>
      <c r="G387" s="50" t="s">
        <v>676</v>
      </c>
      <c r="H387" s="51">
        <v>4</v>
      </c>
      <c r="I387" s="52">
        <f>J387/H387</f>
        <v>29990</v>
      </c>
      <c r="J387" s="52">
        <v>119960</v>
      </c>
      <c r="K387" s="51">
        <v>9</v>
      </c>
      <c r="L387" s="53">
        <f>K387/H387*30</f>
        <v>67.5</v>
      </c>
    </row>
    <row r="388" spans="1:12" s="2" customFormat="1" ht="13.95" customHeight="1" x14ac:dyDescent="0.2">
      <c r="A388" s="50" t="s">
        <v>70</v>
      </c>
      <c r="B388" s="50" t="s">
        <v>5</v>
      </c>
      <c r="C388" s="50" t="s">
        <v>33</v>
      </c>
      <c r="D388" s="50" t="s">
        <v>677</v>
      </c>
      <c r="E388" s="50" t="s">
        <v>333</v>
      </c>
      <c r="F388" s="50" t="s">
        <v>73</v>
      </c>
      <c r="G388" s="50" t="s">
        <v>97</v>
      </c>
      <c r="H388" s="51">
        <v>5</v>
      </c>
      <c r="I388" s="52">
        <f>J388/H388</f>
        <v>23990</v>
      </c>
      <c r="J388" s="52">
        <v>119950</v>
      </c>
      <c r="K388" s="51">
        <v>28</v>
      </c>
      <c r="L388" s="53">
        <f>K388/H388*30</f>
        <v>168</v>
      </c>
    </row>
    <row r="389" spans="1:12" s="2" customFormat="1" ht="13.95" customHeight="1" x14ac:dyDescent="0.2">
      <c r="A389" s="50" t="s">
        <v>70</v>
      </c>
      <c r="B389" s="50" t="s">
        <v>5</v>
      </c>
      <c r="C389" s="50" t="s">
        <v>33</v>
      </c>
      <c r="D389" s="50" t="s">
        <v>678</v>
      </c>
      <c r="E389" s="50" t="s">
        <v>333</v>
      </c>
      <c r="F389" s="50" t="s">
        <v>73</v>
      </c>
      <c r="G389" s="50" t="s">
        <v>74</v>
      </c>
      <c r="H389" s="51">
        <v>5</v>
      </c>
      <c r="I389" s="52">
        <f>J389/H389</f>
        <v>23990</v>
      </c>
      <c r="J389" s="52">
        <v>119950</v>
      </c>
      <c r="K389" s="51">
        <v>29</v>
      </c>
      <c r="L389" s="53">
        <f>K389/H389*30</f>
        <v>174</v>
      </c>
    </row>
    <row r="390" spans="1:12" s="2" customFormat="1" ht="13.95" customHeight="1" x14ac:dyDescent="0.2">
      <c r="A390" s="50" t="s">
        <v>70</v>
      </c>
      <c r="B390" s="50" t="s">
        <v>5</v>
      </c>
      <c r="C390" s="50" t="s">
        <v>42</v>
      </c>
      <c r="D390" s="50" t="s">
        <v>679</v>
      </c>
      <c r="E390" s="50" t="s">
        <v>680</v>
      </c>
      <c r="F390" s="50" t="s">
        <v>374</v>
      </c>
      <c r="G390" s="50" t="s">
        <v>330</v>
      </c>
      <c r="H390" s="51">
        <v>8</v>
      </c>
      <c r="I390" s="52">
        <f>J390/H390</f>
        <v>14990</v>
      </c>
      <c r="J390" s="52">
        <v>119920</v>
      </c>
      <c r="K390" s="51">
        <v>25</v>
      </c>
      <c r="L390" s="53">
        <f>K390/H390*30</f>
        <v>93.75</v>
      </c>
    </row>
    <row r="391" spans="1:12" s="2" customFormat="1" ht="13.95" customHeight="1" x14ac:dyDescent="0.2">
      <c r="A391" s="50" t="s">
        <v>70</v>
      </c>
      <c r="B391" s="50" t="s">
        <v>5</v>
      </c>
      <c r="C391" s="50" t="s">
        <v>45</v>
      </c>
      <c r="D391" s="50" t="s">
        <v>681</v>
      </c>
      <c r="E391" s="50" t="s">
        <v>474</v>
      </c>
      <c r="F391" s="50" t="s">
        <v>73</v>
      </c>
      <c r="G391" s="50" t="s">
        <v>74</v>
      </c>
      <c r="H391" s="51">
        <v>12</v>
      </c>
      <c r="I391" s="52">
        <f>J391/H391</f>
        <v>9990</v>
      </c>
      <c r="J391" s="52">
        <v>119880</v>
      </c>
      <c r="K391" s="51">
        <v>25</v>
      </c>
      <c r="L391" s="53">
        <f>K391/H391*30</f>
        <v>62.500000000000007</v>
      </c>
    </row>
    <row r="392" spans="1:12" s="2" customFormat="1" ht="13.95" customHeight="1" x14ac:dyDescent="0.2">
      <c r="A392" s="50" t="s">
        <v>70</v>
      </c>
      <c r="B392" s="50" t="s">
        <v>5</v>
      </c>
      <c r="C392" s="50" t="s">
        <v>45</v>
      </c>
      <c r="D392" s="50" t="s">
        <v>682</v>
      </c>
      <c r="E392" s="50" t="s">
        <v>474</v>
      </c>
      <c r="F392" s="50" t="s">
        <v>374</v>
      </c>
      <c r="G392" s="50" t="s">
        <v>330</v>
      </c>
      <c r="H392" s="51">
        <v>12</v>
      </c>
      <c r="I392" s="52">
        <f>J392/H392</f>
        <v>9990</v>
      </c>
      <c r="J392" s="52">
        <v>119880</v>
      </c>
      <c r="K392" s="51">
        <v>0</v>
      </c>
      <c r="L392" s="53">
        <f>K392/H392*30</f>
        <v>0</v>
      </c>
    </row>
    <row r="393" spans="1:12" s="2" customFormat="1" ht="13.95" customHeight="1" x14ac:dyDescent="0.2">
      <c r="A393" s="50" t="s">
        <v>70</v>
      </c>
      <c r="B393" s="50" t="s">
        <v>4</v>
      </c>
      <c r="C393" s="50" t="s">
        <v>54</v>
      </c>
      <c r="D393" s="50" t="s">
        <v>683</v>
      </c>
      <c r="E393" s="50" t="s">
        <v>232</v>
      </c>
      <c r="F393" s="50" t="s">
        <v>73</v>
      </c>
      <c r="G393" s="50" t="s">
        <v>84</v>
      </c>
      <c r="H393" s="51">
        <v>1</v>
      </c>
      <c r="I393" s="52">
        <f>J393/H393</f>
        <v>117990</v>
      </c>
      <c r="J393" s="52">
        <v>117990</v>
      </c>
      <c r="K393" s="51">
        <v>5</v>
      </c>
      <c r="L393" s="53">
        <f>K393/H393*30</f>
        <v>150</v>
      </c>
    </row>
    <row r="394" spans="1:12" s="2" customFormat="1" ht="13.95" customHeight="1" x14ac:dyDescent="0.2">
      <c r="A394" s="50" t="s">
        <v>70</v>
      </c>
      <c r="B394" s="50" t="s">
        <v>4</v>
      </c>
      <c r="C394" s="50" t="s">
        <v>54</v>
      </c>
      <c r="D394" s="50" t="s">
        <v>684</v>
      </c>
      <c r="E394" s="50" t="s">
        <v>232</v>
      </c>
      <c r="F394" s="50" t="s">
        <v>106</v>
      </c>
      <c r="G394" s="50" t="s">
        <v>86</v>
      </c>
      <c r="H394" s="51">
        <v>1</v>
      </c>
      <c r="I394" s="52">
        <f>J394/H394</f>
        <v>117990</v>
      </c>
      <c r="J394" s="52">
        <v>117990</v>
      </c>
      <c r="K394" s="51">
        <v>2</v>
      </c>
      <c r="L394" s="53">
        <f>K394/H394*30</f>
        <v>60</v>
      </c>
    </row>
    <row r="395" spans="1:12" s="2" customFormat="1" ht="13.95" customHeight="1" x14ac:dyDescent="0.2">
      <c r="A395" s="50" t="s">
        <v>70</v>
      </c>
      <c r="B395" s="50" t="s">
        <v>5</v>
      </c>
      <c r="C395" s="50" t="s">
        <v>40</v>
      </c>
      <c r="D395" s="50" t="s">
        <v>685</v>
      </c>
      <c r="E395" s="50" t="s">
        <v>340</v>
      </c>
      <c r="F395" s="50" t="s">
        <v>73</v>
      </c>
      <c r="G395" s="50" t="s">
        <v>88</v>
      </c>
      <c r="H395" s="51">
        <v>9</v>
      </c>
      <c r="I395" s="52">
        <f>J395/H395</f>
        <v>12990</v>
      </c>
      <c r="J395" s="52">
        <v>116910</v>
      </c>
      <c r="K395" s="51">
        <v>13</v>
      </c>
      <c r="L395" s="53">
        <f>K395/H395*30</f>
        <v>43.333333333333336</v>
      </c>
    </row>
    <row r="396" spans="1:12" s="2" customFormat="1" ht="13.95" customHeight="1" x14ac:dyDescent="0.2">
      <c r="A396" s="50" t="s">
        <v>70</v>
      </c>
      <c r="B396" s="50" t="s">
        <v>5</v>
      </c>
      <c r="C396" s="50" t="s">
        <v>45</v>
      </c>
      <c r="D396" s="50" t="s">
        <v>686</v>
      </c>
      <c r="E396" s="50" t="s">
        <v>592</v>
      </c>
      <c r="F396" s="50" t="s">
        <v>223</v>
      </c>
      <c r="G396" s="50" t="s">
        <v>224</v>
      </c>
      <c r="H396" s="51">
        <v>9</v>
      </c>
      <c r="I396" s="52">
        <f>J396/H396</f>
        <v>12990</v>
      </c>
      <c r="J396" s="52">
        <v>116910</v>
      </c>
      <c r="K396" s="51">
        <v>26</v>
      </c>
      <c r="L396" s="53">
        <f>K396/H396*30</f>
        <v>86.666666666666671</v>
      </c>
    </row>
    <row r="397" spans="1:12" s="2" customFormat="1" ht="13.95" customHeight="1" x14ac:dyDescent="0.2">
      <c r="A397" s="50" t="s">
        <v>70</v>
      </c>
      <c r="B397" s="50" t="s">
        <v>4</v>
      </c>
      <c r="C397" s="50" t="s">
        <v>48</v>
      </c>
      <c r="D397" s="50" t="s">
        <v>687</v>
      </c>
      <c r="E397" s="50" t="s">
        <v>96</v>
      </c>
      <c r="F397" s="50" t="s">
        <v>73</v>
      </c>
      <c r="G397" s="50" t="s">
        <v>140</v>
      </c>
      <c r="H397" s="51">
        <v>1</v>
      </c>
      <c r="I397" s="52">
        <f>J397/H397</f>
        <v>114990</v>
      </c>
      <c r="J397" s="52">
        <v>114990</v>
      </c>
      <c r="K397" s="51">
        <v>2</v>
      </c>
      <c r="L397" s="53">
        <f>K397/H397*30</f>
        <v>60</v>
      </c>
    </row>
    <row r="398" spans="1:12" s="2" customFormat="1" ht="13.95" customHeight="1" x14ac:dyDescent="0.2">
      <c r="A398" s="50" t="s">
        <v>70</v>
      </c>
      <c r="B398" s="50" t="s">
        <v>5</v>
      </c>
      <c r="C398" s="50" t="s">
        <v>45</v>
      </c>
      <c r="D398" s="50" t="s">
        <v>689</v>
      </c>
      <c r="E398" s="50" t="s">
        <v>690</v>
      </c>
      <c r="F398" s="50" t="s">
        <v>137</v>
      </c>
      <c r="G398" s="50" t="s">
        <v>88</v>
      </c>
      <c r="H398" s="51">
        <v>2</v>
      </c>
      <c r="I398" s="52">
        <f>J398/H398</f>
        <v>56990</v>
      </c>
      <c r="J398" s="52">
        <v>113980</v>
      </c>
      <c r="K398" s="51">
        <v>4</v>
      </c>
      <c r="L398" s="53">
        <f>K398/H398*30</f>
        <v>60</v>
      </c>
    </row>
    <row r="399" spans="1:12" s="2" customFormat="1" ht="13.95" customHeight="1" x14ac:dyDescent="0.2">
      <c r="A399" s="50" t="s">
        <v>70</v>
      </c>
      <c r="B399" s="50" t="s">
        <v>5</v>
      </c>
      <c r="C399" s="50" t="s">
        <v>45</v>
      </c>
      <c r="D399" s="50" t="s">
        <v>691</v>
      </c>
      <c r="E399" s="50" t="s">
        <v>690</v>
      </c>
      <c r="F399" s="50" t="s">
        <v>137</v>
      </c>
      <c r="G399" s="50" t="s">
        <v>74</v>
      </c>
      <c r="H399" s="51">
        <v>2</v>
      </c>
      <c r="I399" s="52">
        <f>J399/H399</f>
        <v>56990</v>
      </c>
      <c r="J399" s="52">
        <v>113980</v>
      </c>
      <c r="K399" s="51">
        <v>7</v>
      </c>
      <c r="L399" s="53">
        <f>K399/H399*30</f>
        <v>105</v>
      </c>
    </row>
    <row r="400" spans="1:12" s="2" customFormat="1" ht="13.95" customHeight="1" x14ac:dyDescent="0.2">
      <c r="A400" s="50" t="s">
        <v>70</v>
      </c>
      <c r="B400" s="50" t="s">
        <v>5</v>
      </c>
      <c r="C400" s="50" t="s">
        <v>45</v>
      </c>
      <c r="D400" s="50" t="s">
        <v>692</v>
      </c>
      <c r="E400" s="50" t="s">
        <v>690</v>
      </c>
      <c r="F400" s="50" t="s">
        <v>106</v>
      </c>
      <c r="G400" s="50" t="s">
        <v>74</v>
      </c>
      <c r="H400" s="51">
        <v>2</v>
      </c>
      <c r="I400" s="52">
        <f>J400/H400</f>
        <v>56990</v>
      </c>
      <c r="J400" s="52">
        <v>113980</v>
      </c>
      <c r="K400" s="51">
        <v>15</v>
      </c>
      <c r="L400" s="53">
        <f>K400/H400*30</f>
        <v>225</v>
      </c>
    </row>
    <row r="401" spans="1:12" s="2" customFormat="1" ht="13.95" customHeight="1" x14ac:dyDescent="0.2">
      <c r="A401" s="50" t="s">
        <v>70</v>
      </c>
      <c r="B401" s="50" t="s">
        <v>5</v>
      </c>
      <c r="C401" s="50" t="s">
        <v>45</v>
      </c>
      <c r="D401" s="50" t="s">
        <v>693</v>
      </c>
      <c r="E401" s="50" t="s">
        <v>614</v>
      </c>
      <c r="F401" s="50" t="s">
        <v>73</v>
      </c>
      <c r="G401" s="50" t="s">
        <v>330</v>
      </c>
      <c r="H401" s="51">
        <v>6</v>
      </c>
      <c r="I401" s="52">
        <f>J401/H401</f>
        <v>18990</v>
      </c>
      <c r="J401" s="52">
        <v>113940</v>
      </c>
      <c r="K401" s="51">
        <v>2</v>
      </c>
      <c r="L401" s="53">
        <f>K401/H401*30</f>
        <v>10</v>
      </c>
    </row>
    <row r="402" spans="1:12" s="2" customFormat="1" ht="13.95" customHeight="1" x14ac:dyDescent="0.2">
      <c r="A402" s="50" t="s">
        <v>70</v>
      </c>
      <c r="B402" s="50" t="s">
        <v>4</v>
      </c>
      <c r="C402" s="50" t="s">
        <v>46</v>
      </c>
      <c r="D402" s="50" t="s">
        <v>694</v>
      </c>
      <c r="E402" s="50" t="s">
        <v>164</v>
      </c>
      <c r="F402" s="50" t="s">
        <v>106</v>
      </c>
      <c r="G402" s="50" t="s">
        <v>74</v>
      </c>
      <c r="H402" s="51">
        <v>1</v>
      </c>
      <c r="I402" s="52">
        <f>J402/H402</f>
        <v>112990</v>
      </c>
      <c r="J402" s="52">
        <v>112990</v>
      </c>
      <c r="K402" s="51">
        <v>13</v>
      </c>
      <c r="L402" s="53">
        <f>K402/H402*30</f>
        <v>390</v>
      </c>
    </row>
    <row r="403" spans="1:12" s="2" customFormat="1" ht="13.95" customHeight="1" x14ac:dyDescent="0.2">
      <c r="A403" s="50" t="s">
        <v>70</v>
      </c>
      <c r="B403" s="50" t="s">
        <v>4</v>
      </c>
      <c r="C403" s="50" t="s">
        <v>53</v>
      </c>
      <c r="D403" s="50" t="s">
        <v>695</v>
      </c>
      <c r="E403" s="50" t="s">
        <v>696</v>
      </c>
      <c r="F403" s="50" t="s">
        <v>73</v>
      </c>
      <c r="G403" s="50" t="s">
        <v>140</v>
      </c>
      <c r="H403" s="51">
        <v>1</v>
      </c>
      <c r="I403" s="52">
        <f>J403/H403</f>
        <v>112990</v>
      </c>
      <c r="J403" s="52">
        <v>112990</v>
      </c>
      <c r="K403" s="51">
        <v>0</v>
      </c>
      <c r="L403" s="53">
        <f>K403/H403*30</f>
        <v>0</v>
      </c>
    </row>
    <row r="404" spans="1:12" s="2" customFormat="1" ht="13.95" customHeight="1" x14ac:dyDescent="0.2">
      <c r="A404" s="50" t="s">
        <v>70</v>
      </c>
      <c r="B404" s="50" t="s">
        <v>4</v>
      </c>
      <c r="C404" s="50" t="s">
        <v>53</v>
      </c>
      <c r="D404" s="50" t="s">
        <v>697</v>
      </c>
      <c r="E404" s="50" t="s">
        <v>696</v>
      </c>
      <c r="F404" s="50" t="s">
        <v>73</v>
      </c>
      <c r="G404" s="50" t="s">
        <v>88</v>
      </c>
      <c r="H404" s="51">
        <v>1</v>
      </c>
      <c r="I404" s="52">
        <f>J404/H404</f>
        <v>112990</v>
      </c>
      <c r="J404" s="52">
        <v>112990</v>
      </c>
      <c r="K404" s="51">
        <v>11</v>
      </c>
      <c r="L404" s="53">
        <f>K404/H404*30</f>
        <v>330</v>
      </c>
    </row>
    <row r="405" spans="1:12" s="2" customFormat="1" ht="13.95" customHeight="1" x14ac:dyDescent="0.2">
      <c r="A405" s="50" t="s">
        <v>70</v>
      </c>
      <c r="B405" s="50" t="s">
        <v>4</v>
      </c>
      <c r="C405" s="50" t="s">
        <v>53</v>
      </c>
      <c r="D405" s="50" t="s">
        <v>698</v>
      </c>
      <c r="E405" s="50" t="s">
        <v>696</v>
      </c>
      <c r="F405" s="50" t="s">
        <v>73</v>
      </c>
      <c r="G405" s="50" t="s">
        <v>86</v>
      </c>
      <c r="H405" s="51">
        <v>1</v>
      </c>
      <c r="I405" s="52">
        <f>J405/H405</f>
        <v>112990</v>
      </c>
      <c r="J405" s="52">
        <v>112990</v>
      </c>
      <c r="K405" s="51">
        <v>33</v>
      </c>
      <c r="L405" s="53">
        <f>K405/H405*30</f>
        <v>990</v>
      </c>
    </row>
    <row r="406" spans="1:12" s="2" customFormat="1" ht="13.95" customHeight="1" x14ac:dyDescent="0.2">
      <c r="A406" s="50" t="s">
        <v>416</v>
      </c>
      <c r="B406" s="50" t="s">
        <v>8</v>
      </c>
      <c r="C406" s="50" t="s">
        <v>8</v>
      </c>
      <c r="D406" s="50" t="s">
        <v>699</v>
      </c>
      <c r="E406" s="50" t="s">
        <v>700</v>
      </c>
      <c r="F406" s="50" t="s">
        <v>106</v>
      </c>
      <c r="G406" s="50" t="s">
        <v>88</v>
      </c>
      <c r="H406" s="51">
        <v>2</v>
      </c>
      <c r="I406" s="52">
        <f>J406/H406</f>
        <v>55990</v>
      </c>
      <c r="J406" s="52">
        <v>111980</v>
      </c>
      <c r="K406" s="51">
        <v>1</v>
      </c>
      <c r="L406" s="53">
        <f>K406/H406*30</f>
        <v>15</v>
      </c>
    </row>
    <row r="407" spans="1:12" s="2" customFormat="1" ht="13.95" customHeight="1" x14ac:dyDescent="0.2">
      <c r="A407" s="50" t="s">
        <v>70</v>
      </c>
      <c r="B407" s="50" t="s">
        <v>5</v>
      </c>
      <c r="C407" s="50" t="s">
        <v>30</v>
      </c>
      <c r="D407" s="50" t="s">
        <v>701</v>
      </c>
      <c r="E407" s="50" t="s">
        <v>397</v>
      </c>
      <c r="F407" s="50" t="s">
        <v>177</v>
      </c>
      <c r="G407" s="50" t="s">
        <v>86</v>
      </c>
      <c r="H407" s="51">
        <v>2</v>
      </c>
      <c r="I407" s="52">
        <f>J407/H407</f>
        <v>55990</v>
      </c>
      <c r="J407" s="52">
        <v>111980</v>
      </c>
      <c r="K407" s="51">
        <v>37</v>
      </c>
      <c r="L407" s="53">
        <f>K407/H407*30</f>
        <v>555</v>
      </c>
    </row>
    <row r="408" spans="1:12" s="2" customFormat="1" ht="13.95" customHeight="1" x14ac:dyDescent="0.2">
      <c r="A408" s="50" t="s">
        <v>70</v>
      </c>
      <c r="B408" s="50" t="s">
        <v>5</v>
      </c>
      <c r="C408" s="50" t="s">
        <v>45</v>
      </c>
      <c r="D408" s="50" t="s">
        <v>702</v>
      </c>
      <c r="E408" s="50" t="s">
        <v>592</v>
      </c>
      <c r="F408" s="50" t="s">
        <v>137</v>
      </c>
      <c r="G408" s="50" t="s">
        <v>74</v>
      </c>
      <c r="H408" s="51">
        <v>8</v>
      </c>
      <c r="I408" s="52">
        <f>J408/H408</f>
        <v>13990</v>
      </c>
      <c r="J408" s="52">
        <v>111920</v>
      </c>
      <c r="K408" s="51">
        <v>54</v>
      </c>
      <c r="L408" s="53">
        <f>K408/H408*30</f>
        <v>202.5</v>
      </c>
    </row>
    <row r="409" spans="1:12" s="2" customFormat="1" ht="13.95" customHeight="1" x14ac:dyDescent="0.2">
      <c r="A409" s="50" t="s">
        <v>70</v>
      </c>
      <c r="B409" s="50" t="s">
        <v>4</v>
      </c>
      <c r="C409" s="50" t="s">
        <v>46</v>
      </c>
      <c r="D409" s="50" t="s">
        <v>703</v>
      </c>
      <c r="E409" s="50" t="s">
        <v>704</v>
      </c>
      <c r="F409" s="50" t="s">
        <v>106</v>
      </c>
      <c r="G409" s="50" t="s">
        <v>74</v>
      </c>
      <c r="H409" s="51">
        <v>1</v>
      </c>
      <c r="I409" s="52">
        <f>J409/H409</f>
        <v>109990</v>
      </c>
      <c r="J409" s="52">
        <v>109990</v>
      </c>
      <c r="K409" s="51">
        <v>13</v>
      </c>
      <c r="L409" s="53">
        <f>K409/H409*30</f>
        <v>390</v>
      </c>
    </row>
    <row r="410" spans="1:12" s="2" customFormat="1" ht="13.95" customHeight="1" x14ac:dyDescent="0.2">
      <c r="A410" s="50" t="s">
        <v>70</v>
      </c>
      <c r="B410" s="50" t="s">
        <v>5</v>
      </c>
      <c r="C410" s="50" t="s">
        <v>45</v>
      </c>
      <c r="D410" s="50" t="s">
        <v>705</v>
      </c>
      <c r="E410" s="50" t="s">
        <v>474</v>
      </c>
      <c r="F410" s="50" t="s">
        <v>73</v>
      </c>
      <c r="G410" s="50" t="s">
        <v>86</v>
      </c>
      <c r="H410" s="51">
        <v>11</v>
      </c>
      <c r="I410" s="52">
        <f>J410/H410</f>
        <v>9990</v>
      </c>
      <c r="J410" s="52">
        <v>109890</v>
      </c>
      <c r="K410" s="51">
        <v>24</v>
      </c>
      <c r="L410" s="53">
        <f>K410/H410*30</f>
        <v>65.454545454545453</v>
      </c>
    </row>
    <row r="411" spans="1:12" s="2" customFormat="1" ht="13.95" customHeight="1" x14ac:dyDescent="0.2">
      <c r="A411" s="50" t="s">
        <v>70</v>
      </c>
      <c r="B411" s="50" t="s">
        <v>5</v>
      </c>
      <c r="C411" s="50" t="s">
        <v>45</v>
      </c>
      <c r="D411" s="50" t="s">
        <v>706</v>
      </c>
      <c r="E411" s="50" t="s">
        <v>356</v>
      </c>
      <c r="F411" s="50" t="s">
        <v>73</v>
      </c>
      <c r="G411" s="50" t="s">
        <v>140</v>
      </c>
      <c r="H411" s="51">
        <v>4</v>
      </c>
      <c r="I411" s="52">
        <f>J411/H411</f>
        <v>26990</v>
      </c>
      <c r="J411" s="52">
        <v>107960</v>
      </c>
      <c r="K411" s="51">
        <v>14</v>
      </c>
      <c r="L411" s="53">
        <f>K411/H411*30</f>
        <v>105</v>
      </c>
    </row>
    <row r="412" spans="1:12" s="2" customFormat="1" ht="13.95" customHeight="1" x14ac:dyDescent="0.2">
      <c r="A412" s="50" t="s">
        <v>70</v>
      </c>
      <c r="B412" s="50" t="s">
        <v>5</v>
      </c>
      <c r="C412" s="50" t="s">
        <v>40</v>
      </c>
      <c r="D412" s="50" t="s">
        <v>707</v>
      </c>
      <c r="E412" s="50" t="s">
        <v>708</v>
      </c>
      <c r="F412" s="50" t="s">
        <v>73</v>
      </c>
      <c r="G412" s="50" t="s">
        <v>74</v>
      </c>
      <c r="H412" s="51">
        <v>6</v>
      </c>
      <c r="I412" s="52">
        <f>J412/H412</f>
        <v>17990</v>
      </c>
      <c r="J412" s="52">
        <v>107940</v>
      </c>
      <c r="K412" s="51">
        <v>30</v>
      </c>
      <c r="L412" s="53">
        <f>K412/H412*30</f>
        <v>150</v>
      </c>
    </row>
    <row r="413" spans="1:12" s="2" customFormat="1" ht="13.95" customHeight="1" x14ac:dyDescent="0.2">
      <c r="A413" s="50" t="s">
        <v>70</v>
      </c>
      <c r="B413" s="50" t="s">
        <v>5</v>
      </c>
      <c r="C413" s="50" t="s">
        <v>31</v>
      </c>
      <c r="D413" s="50" t="s">
        <v>709</v>
      </c>
      <c r="E413" s="50" t="s">
        <v>710</v>
      </c>
      <c r="F413" s="50" t="s">
        <v>73</v>
      </c>
      <c r="G413" s="50" t="s">
        <v>140</v>
      </c>
      <c r="H413" s="51">
        <v>3</v>
      </c>
      <c r="I413" s="52">
        <f>J413/H413</f>
        <v>34990</v>
      </c>
      <c r="J413" s="52">
        <v>104970</v>
      </c>
      <c r="K413" s="51">
        <v>10</v>
      </c>
      <c r="L413" s="53">
        <f>K413/H413*30</f>
        <v>100</v>
      </c>
    </row>
    <row r="414" spans="1:12" s="2" customFormat="1" ht="13.95" customHeight="1" x14ac:dyDescent="0.2">
      <c r="A414" s="50" t="s">
        <v>70</v>
      </c>
      <c r="B414" s="50" t="s">
        <v>5</v>
      </c>
      <c r="C414" s="50" t="s">
        <v>31</v>
      </c>
      <c r="D414" s="50" t="s">
        <v>711</v>
      </c>
      <c r="E414" s="50" t="s">
        <v>710</v>
      </c>
      <c r="F414" s="50" t="s">
        <v>73</v>
      </c>
      <c r="G414" s="50" t="s">
        <v>88</v>
      </c>
      <c r="H414" s="51">
        <v>3</v>
      </c>
      <c r="I414" s="52">
        <f>J414/H414</f>
        <v>34990</v>
      </c>
      <c r="J414" s="52">
        <v>104970</v>
      </c>
      <c r="K414" s="51">
        <v>18</v>
      </c>
      <c r="L414" s="53">
        <f>K414/H414*30</f>
        <v>180</v>
      </c>
    </row>
    <row r="415" spans="1:12" s="2" customFormat="1" ht="13.95" customHeight="1" x14ac:dyDescent="0.2">
      <c r="A415" s="50" t="s">
        <v>70</v>
      </c>
      <c r="B415" s="50" t="s">
        <v>5</v>
      </c>
      <c r="C415" s="50" t="s">
        <v>31</v>
      </c>
      <c r="D415" s="50" t="s">
        <v>712</v>
      </c>
      <c r="E415" s="50" t="s">
        <v>710</v>
      </c>
      <c r="F415" s="50" t="s">
        <v>73</v>
      </c>
      <c r="G415" s="50" t="s">
        <v>86</v>
      </c>
      <c r="H415" s="51">
        <v>3</v>
      </c>
      <c r="I415" s="52">
        <f>J415/H415</f>
        <v>34990</v>
      </c>
      <c r="J415" s="52">
        <v>104970</v>
      </c>
      <c r="K415" s="51">
        <v>26</v>
      </c>
      <c r="L415" s="53">
        <f>K415/H415*30</f>
        <v>260</v>
      </c>
    </row>
    <row r="416" spans="1:12" s="2" customFormat="1" ht="13.95" customHeight="1" x14ac:dyDescent="0.2">
      <c r="A416" s="50" t="s">
        <v>416</v>
      </c>
      <c r="B416" s="50" t="s">
        <v>8</v>
      </c>
      <c r="C416" s="50" t="s">
        <v>8</v>
      </c>
      <c r="D416" s="50" t="s">
        <v>713</v>
      </c>
      <c r="E416" s="50" t="s">
        <v>418</v>
      </c>
      <c r="F416" s="50" t="s">
        <v>365</v>
      </c>
      <c r="G416" s="50" t="s">
        <v>112</v>
      </c>
      <c r="H416" s="51">
        <v>2</v>
      </c>
      <c r="I416" s="52">
        <f>J416/H416</f>
        <v>51990</v>
      </c>
      <c r="J416" s="52">
        <v>103980</v>
      </c>
      <c r="K416" s="51">
        <v>0</v>
      </c>
      <c r="L416" s="53">
        <f>K416/H416*30</f>
        <v>0</v>
      </c>
    </row>
    <row r="417" spans="1:12" s="2" customFormat="1" ht="13.95" customHeight="1" x14ac:dyDescent="0.2">
      <c r="A417" s="50" t="s">
        <v>416</v>
      </c>
      <c r="B417" s="50" t="s">
        <v>8</v>
      </c>
      <c r="C417" s="50" t="s">
        <v>8</v>
      </c>
      <c r="D417" s="50" t="s">
        <v>714</v>
      </c>
      <c r="E417" s="50" t="s">
        <v>715</v>
      </c>
      <c r="F417" s="50" t="s">
        <v>73</v>
      </c>
      <c r="G417" s="50" t="s">
        <v>86</v>
      </c>
      <c r="H417" s="51">
        <v>2</v>
      </c>
      <c r="I417" s="52">
        <f>J417/H417</f>
        <v>51990</v>
      </c>
      <c r="J417" s="52">
        <v>103980</v>
      </c>
      <c r="K417" s="51">
        <v>1</v>
      </c>
      <c r="L417" s="53">
        <f>K417/H417*30</f>
        <v>15</v>
      </c>
    </row>
    <row r="418" spans="1:12" s="2" customFormat="1" ht="13.95" customHeight="1" x14ac:dyDescent="0.2">
      <c r="A418" s="50" t="s">
        <v>416</v>
      </c>
      <c r="B418" s="50" t="s">
        <v>8</v>
      </c>
      <c r="C418" s="50" t="s">
        <v>8</v>
      </c>
      <c r="D418" s="50" t="s">
        <v>716</v>
      </c>
      <c r="E418" s="50" t="s">
        <v>715</v>
      </c>
      <c r="F418" s="50" t="s">
        <v>73</v>
      </c>
      <c r="G418" s="50" t="s">
        <v>86</v>
      </c>
      <c r="H418" s="51">
        <v>2</v>
      </c>
      <c r="I418" s="52">
        <f>J418/H418</f>
        <v>51990</v>
      </c>
      <c r="J418" s="52">
        <v>103980</v>
      </c>
      <c r="K418" s="51">
        <v>3</v>
      </c>
      <c r="L418" s="53">
        <f>K418/H418*30</f>
        <v>45</v>
      </c>
    </row>
    <row r="419" spans="1:12" s="2" customFormat="1" ht="13.95" customHeight="1" x14ac:dyDescent="0.2">
      <c r="A419" s="50" t="s">
        <v>416</v>
      </c>
      <c r="B419" s="50" t="s">
        <v>8</v>
      </c>
      <c r="C419" s="50" t="s">
        <v>8</v>
      </c>
      <c r="D419" s="50" t="s">
        <v>717</v>
      </c>
      <c r="E419" s="50" t="s">
        <v>718</v>
      </c>
      <c r="F419" s="50" t="s">
        <v>719</v>
      </c>
      <c r="G419" s="50" t="s">
        <v>720</v>
      </c>
      <c r="H419" s="51">
        <v>2</v>
      </c>
      <c r="I419" s="52">
        <f>J419/H419</f>
        <v>51990</v>
      </c>
      <c r="J419" s="52">
        <v>103980</v>
      </c>
      <c r="K419" s="51">
        <v>7</v>
      </c>
      <c r="L419" s="53">
        <f>K419/H419*30</f>
        <v>105</v>
      </c>
    </row>
    <row r="420" spans="1:12" s="2" customFormat="1" ht="13.95" customHeight="1" x14ac:dyDescent="0.2">
      <c r="A420" s="50" t="s">
        <v>416</v>
      </c>
      <c r="B420" s="50" t="s">
        <v>8</v>
      </c>
      <c r="C420" s="50" t="s">
        <v>8</v>
      </c>
      <c r="D420" s="50" t="s">
        <v>721</v>
      </c>
      <c r="E420" s="50" t="s">
        <v>718</v>
      </c>
      <c r="F420" s="50" t="s">
        <v>719</v>
      </c>
      <c r="G420" s="50" t="s">
        <v>720</v>
      </c>
      <c r="H420" s="51">
        <v>2</v>
      </c>
      <c r="I420" s="52">
        <f>J420/H420</f>
        <v>51990</v>
      </c>
      <c r="J420" s="52">
        <v>103980</v>
      </c>
      <c r="K420" s="51">
        <v>4</v>
      </c>
      <c r="L420" s="53">
        <f>K420/H420*30</f>
        <v>60</v>
      </c>
    </row>
    <row r="421" spans="1:12" s="2" customFormat="1" ht="13.95" customHeight="1" x14ac:dyDescent="0.2">
      <c r="A421" s="50" t="s">
        <v>416</v>
      </c>
      <c r="B421" s="50" t="s">
        <v>8</v>
      </c>
      <c r="C421" s="50" t="s">
        <v>8</v>
      </c>
      <c r="D421" s="50" t="s">
        <v>722</v>
      </c>
      <c r="E421" s="50" t="s">
        <v>551</v>
      </c>
      <c r="F421" s="50" t="s">
        <v>73</v>
      </c>
      <c r="G421" s="50" t="s">
        <v>552</v>
      </c>
      <c r="H421" s="51">
        <v>2</v>
      </c>
      <c r="I421" s="52">
        <f>J421/H421</f>
        <v>51990</v>
      </c>
      <c r="J421" s="52">
        <v>103980</v>
      </c>
      <c r="K421" s="51">
        <v>1</v>
      </c>
      <c r="L421" s="53">
        <f>K421/H421*30</f>
        <v>15</v>
      </c>
    </row>
    <row r="422" spans="1:12" s="2" customFormat="1" ht="13.95" customHeight="1" x14ac:dyDescent="0.2">
      <c r="A422" s="50" t="s">
        <v>70</v>
      </c>
      <c r="B422" s="50" t="s">
        <v>5</v>
      </c>
      <c r="C422" s="50" t="s">
        <v>34</v>
      </c>
      <c r="D422" s="50" t="s">
        <v>723</v>
      </c>
      <c r="E422" s="50" t="s">
        <v>724</v>
      </c>
      <c r="F422" s="50" t="s">
        <v>73</v>
      </c>
      <c r="G422" s="50" t="s">
        <v>140</v>
      </c>
      <c r="H422" s="51">
        <v>2</v>
      </c>
      <c r="I422" s="52">
        <f>J422/H422</f>
        <v>51990</v>
      </c>
      <c r="J422" s="52">
        <v>103980</v>
      </c>
      <c r="K422" s="51">
        <v>5</v>
      </c>
      <c r="L422" s="53">
        <f>K422/H422*30</f>
        <v>75</v>
      </c>
    </row>
    <row r="423" spans="1:12" s="2" customFormat="1" ht="13.95" customHeight="1" x14ac:dyDescent="0.2">
      <c r="A423" s="50" t="s">
        <v>70</v>
      </c>
      <c r="B423" s="50" t="s">
        <v>5</v>
      </c>
      <c r="C423" s="50" t="s">
        <v>40</v>
      </c>
      <c r="D423" s="50" t="s">
        <v>725</v>
      </c>
      <c r="E423" s="50" t="s">
        <v>340</v>
      </c>
      <c r="F423" s="50" t="s">
        <v>73</v>
      </c>
      <c r="G423" s="50" t="s">
        <v>86</v>
      </c>
      <c r="H423" s="51">
        <v>8</v>
      </c>
      <c r="I423" s="52">
        <f>J423/H423</f>
        <v>12990</v>
      </c>
      <c r="J423" s="52">
        <v>103920</v>
      </c>
      <c r="K423" s="51">
        <v>45</v>
      </c>
      <c r="L423" s="53">
        <f>K423/H423*30</f>
        <v>168.75</v>
      </c>
    </row>
    <row r="424" spans="1:12" s="2" customFormat="1" ht="13.95" customHeight="1" x14ac:dyDescent="0.2">
      <c r="A424" s="50" t="s">
        <v>70</v>
      </c>
      <c r="B424" s="50" t="s">
        <v>5</v>
      </c>
      <c r="C424" s="50" t="s">
        <v>40</v>
      </c>
      <c r="D424" s="50" t="s">
        <v>726</v>
      </c>
      <c r="E424" s="50" t="s">
        <v>340</v>
      </c>
      <c r="F424" s="50" t="s">
        <v>106</v>
      </c>
      <c r="G424" s="50" t="s">
        <v>140</v>
      </c>
      <c r="H424" s="51">
        <v>8</v>
      </c>
      <c r="I424" s="52">
        <f>J424/H424</f>
        <v>12990</v>
      </c>
      <c r="J424" s="52">
        <v>103920</v>
      </c>
      <c r="K424" s="51">
        <v>9</v>
      </c>
      <c r="L424" s="53">
        <f>K424/H424*30</f>
        <v>33.75</v>
      </c>
    </row>
    <row r="425" spans="1:12" s="2" customFormat="1" ht="13.95" customHeight="1" x14ac:dyDescent="0.2">
      <c r="A425" s="50" t="s">
        <v>70</v>
      </c>
      <c r="B425" s="50" t="s">
        <v>5</v>
      </c>
      <c r="C425" s="50" t="s">
        <v>40</v>
      </c>
      <c r="D425" s="50" t="s">
        <v>727</v>
      </c>
      <c r="E425" s="50" t="s">
        <v>340</v>
      </c>
      <c r="F425" s="50" t="s">
        <v>106</v>
      </c>
      <c r="G425" s="50" t="s">
        <v>86</v>
      </c>
      <c r="H425" s="51">
        <v>8</v>
      </c>
      <c r="I425" s="52">
        <f>J425/H425</f>
        <v>12990</v>
      </c>
      <c r="J425" s="52">
        <v>103920</v>
      </c>
      <c r="K425" s="51">
        <v>29</v>
      </c>
      <c r="L425" s="53">
        <f>K425/H425*30</f>
        <v>108.75</v>
      </c>
    </row>
    <row r="426" spans="1:12" s="2" customFormat="1" ht="13.95" customHeight="1" x14ac:dyDescent="0.2">
      <c r="A426" s="50" t="s">
        <v>70</v>
      </c>
      <c r="B426" s="50" t="s">
        <v>5</v>
      </c>
      <c r="C426" s="50" t="s">
        <v>45</v>
      </c>
      <c r="D426" s="50" t="s">
        <v>728</v>
      </c>
      <c r="E426" s="50" t="s">
        <v>592</v>
      </c>
      <c r="F426" s="50" t="s">
        <v>73</v>
      </c>
      <c r="G426" s="50" t="s">
        <v>88</v>
      </c>
      <c r="H426" s="51">
        <v>8</v>
      </c>
      <c r="I426" s="52">
        <f>J426/H426</f>
        <v>12990</v>
      </c>
      <c r="J426" s="52">
        <v>103920</v>
      </c>
      <c r="K426" s="51">
        <v>71</v>
      </c>
      <c r="L426" s="53">
        <f>K426/H426*30</f>
        <v>266.25</v>
      </c>
    </row>
    <row r="427" spans="1:12" s="2" customFormat="1" ht="13.95" customHeight="1" x14ac:dyDescent="0.2">
      <c r="A427" s="50" t="s">
        <v>70</v>
      </c>
      <c r="B427" s="50" t="s">
        <v>5</v>
      </c>
      <c r="C427" s="50" t="s">
        <v>45</v>
      </c>
      <c r="D427" s="50" t="s">
        <v>729</v>
      </c>
      <c r="E427" s="50" t="s">
        <v>592</v>
      </c>
      <c r="F427" s="50" t="s">
        <v>73</v>
      </c>
      <c r="G427" s="50" t="s">
        <v>86</v>
      </c>
      <c r="H427" s="51">
        <v>8</v>
      </c>
      <c r="I427" s="52">
        <f>J427/H427</f>
        <v>12990</v>
      </c>
      <c r="J427" s="52">
        <v>103920</v>
      </c>
      <c r="K427" s="51">
        <v>45</v>
      </c>
      <c r="L427" s="53">
        <f>K427/H427*30</f>
        <v>168.75</v>
      </c>
    </row>
    <row r="428" spans="1:12" s="2" customFormat="1" ht="13.95" customHeight="1" x14ac:dyDescent="0.2">
      <c r="A428" s="50" t="s">
        <v>70</v>
      </c>
      <c r="B428" s="50" t="s">
        <v>7</v>
      </c>
      <c r="C428" s="50" t="s">
        <v>20</v>
      </c>
      <c r="D428" s="50" t="s">
        <v>730</v>
      </c>
      <c r="E428" s="50" t="s">
        <v>20</v>
      </c>
      <c r="F428" s="50" t="s">
        <v>106</v>
      </c>
      <c r="G428" s="50" t="s">
        <v>88</v>
      </c>
      <c r="H428" s="51">
        <v>6</v>
      </c>
      <c r="I428" s="52">
        <f>J428/H428</f>
        <v>16990</v>
      </c>
      <c r="J428" s="52">
        <v>101940</v>
      </c>
      <c r="K428" s="51">
        <v>12</v>
      </c>
      <c r="L428" s="53">
        <f>K428/H428*30</f>
        <v>60</v>
      </c>
    </row>
    <row r="429" spans="1:12" s="2" customFormat="1" ht="13.95" customHeight="1" x14ac:dyDescent="0.2">
      <c r="A429" s="50" t="s">
        <v>70</v>
      </c>
      <c r="B429" s="50" t="s">
        <v>5</v>
      </c>
      <c r="C429" s="50" t="s">
        <v>42</v>
      </c>
      <c r="D429" s="50" t="s">
        <v>731</v>
      </c>
      <c r="E429" s="50" t="s">
        <v>373</v>
      </c>
      <c r="F429" s="50" t="s">
        <v>137</v>
      </c>
      <c r="G429" s="50" t="s">
        <v>86</v>
      </c>
      <c r="H429" s="51">
        <v>6</v>
      </c>
      <c r="I429" s="52">
        <f>J429/H429</f>
        <v>16990</v>
      </c>
      <c r="J429" s="52">
        <v>101940</v>
      </c>
      <c r="K429" s="51">
        <v>37</v>
      </c>
      <c r="L429" s="53">
        <f>K429/H429*30</f>
        <v>185</v>
      </c>
    </row>
    <row r="430" spans="1:12" s="2" customFormat="1" ht="13.95" customHeight="1" x14ac:dyDescent="0.2">
      <c r="A430" s="50" t="s">
        <v>70</v>
      </c>
      <c r="B430" s="50" t="s">
        <v>5</v>
      </c>
      <c r="C430" s="50" t="s">
        <v>42</v>
      </c>
      <c r="D430" s="50" t="s">
        <v>732</v>
      </c>
      <c r="E430" s="50" t="s">
        <v>373</v>
      </c>
      <c r="F430" s="50" t="s">
        <v>137</v>
      </c>
      <c r="G430" s="50" t="s">
        <v>74</v>
      </c>
      <c r="H430" s="51">
        <v>6</v>
      </c>
      <c r="I430" s="52">
        <f>J430/H430</f>
        <v>16990</v>
      </c>
      <c r="J430" s="52">
        <v>101940</v>
      </c>
      <c r="K430" s="51">
        <v>35</v>
      </c>
      <c r="L430" s="53">
        <f>K430/H430*30</f>
        <v>175</v>
      </c>
    </row>
    <row r="431" spans="1:12" s="2" customFormat="1" ht="13.95" customHeight="1" x14ac:dyDescent="0.2">
      <c r="A431" s="50" t="s">
        <v>165</v>
      </c>
      <c r="B431" s="50" t="s">
        <v>4</v>
      </c>
      <c r="C431" s="50" t="s">
        <v>46</v>
      </c>
      <c r="D431" s="50" t="s">
        <v>733</v>
      </c>
      <c r="E431" s="50" t="s">
        <v>427</v>
      </c>
      <c r="F431" s="50" t="s">
        <v>734</v>
      </c>
      <c r="G431" s="50" t="s">
        <v>86</v>
      </c>
      <c r="H431" s="51">
        <v>1</v>
      </c>
      <c r="I431" s="52">
        <f>J431/H431</f>
        <v>99990</v>
      </c>
      <c r="J431" s="52">
        <v>99990</v>
      </c>
      <c r="K431" s="51">
        <v>12</v>
      </c>
      <c r="L431" s="53">
        <f>K431/H431*30</f>
        <v>360</v>
      </c>
    </row>
    <row r="432" spans="1:12" s="2" customFormat="1" ht="13.95" customHeight="1" x14ac:dyDescent="0.2">
      <c r="A432" s="50" t="s">
        <v>165</v>
      </c>
      <c r="B432" s="50" t="s">
        <v>4</v>
      </c>
      <c r="C432" s="50" t="s">
        <v>46</v>
      </c>
      <c r="D432" s="50" t="s">
        <v>735</v>
      </c>
      <c r="E432" s="50" t="s">
        <v>427</v>
      </c>
      <c r="F432" s="50" t="s">
        <v>168</v>
      </c>
      <c r="G432" s="50" t="s">
        <v>86</v>
      </c>
      <c r="H432" s="51">
        <v>1</v>
      </c>
      <c r="I432" s="52">
        <f>J432/H432</f>
        <v>99990</v>
      </c>
      <c r="J432" s="52">
        <v>99990</v>
      </c>
      <c r="K432" s="51">
        <v>4</v>
      </c>
      <c r="L432" s="53">
        <f>K432/H432*30</f>
        <v>120</v>
      </c>
    </row>
    <row r="433" spans="1:12" s="2" customFormat="1" ht="13.95" customHeight="1" x14ac:dyDescent="0.2">
      <c r="A433" s="50" t="s">
        <v>70</v>
      </c>
      <c r="B433" s="50" t="s">
        <v>5</v>
      </c>
      <c r="C433" s="50" t="s">
        <v>30</v>
      </c>
      <c r="D433" s="50" t="s">
        <v>736</v>
      </c>
      <c r="E433" s="50" t="s">
        <v>288</v>
      </c>
      <c r="F433" s="50" t="s">
        <v>106</v>
      </c>
      <c r="G433" s="50" t="s">
        <v>86</v>
      </c>
      <c r="H433" s="51">
        <v>1</v>
      </c>
      <c r="I433" s="52">
        <f>J433/H433</f>
        <v>99990</v>
      </c>
      <c r="J433" s="52">
        <v>99990</v>
      </c>
      <c r="K433" s="51">
        <v>12</v>
      </c>
      <c r="L433" s="53">
        <f>K433/H433*30</f>
        <v>360</v>
      </c>
    </row>
    <row r="434" spans="1:12" s="2" customFormat="1" ht="13.95" customHeight="1" x14ac:dyDescent="0.2">
      <c r="A434" s="50" t="s">
        <v>70</v>
      </c>
      <c r="B434" s="50" t="s">
        <v>5</v>
      </c>
      <c r="C434" s="50" t="s">
        <v>34</v>
      </c>
      <c r="D434" s="50" t="s">
        <v>737</v>
      </c>
      <c r="E434" s="50" t="s">
        <v>738</v>
      </c>
      <c r="F434" s="50" t="s">
        <v>73</v>
      </c>
      <c r="G434" s="50" t="s">
        <v>140</v>
      </c>
      <c r="H434" s="51">
        <v>1</v>
      </c>
      <c r="I434" s="52">
        <f>J434/H434</f>
        <v>99990</v>
      </c>
      <c r="J434" s="52">
        <v>99990</v>
      </c>
      <c r="K434" s="51">
        <v>3</v>
      </c>
      <c r="L434" s="53">
        <f>K434/H434*30</f>
        <v>90</v>
      </c>
    </row>
    <row r="435" spans="1:12" s="2" customFormat="1" ht="13.95" customHeight="1" x14ac:dyDescent="0.2">
      <c r="A435" s="50" t="s">
        <v>70</v>
      </c>
      <c r="B435" s="50" t="s">
        <v>5</v>
      </c>
      <c r="C435" s="50" t="s">
        <v>34</v>
      </c>
      <c r="D435" s="50" t="s">
        <v>739</v>
      </c>
      <c r="E435" s="50" t="s">
        <v>738</v>
      </c>
      <c r="F435" s="50" t="s">
        <v>73</v>
      </c>
      <c r="G435" s="50" t="s">
        <v>88</v>
      </c>
      <c r="H435" s="51">
        <v>1</v>
      </c>
      <c r="I435" s="52">
        <f>J435/H435</f>
        <v>99990</v>
      </c>
      <c r="J435" s="52">
        <v>99990</v>
      </c>
      <c r="K435" s="51">
        <v>22</v>
      </c>
      <c r="L435" s="53">
        <f>K435/H435*30</f>
        <v>660</v>
      </c>
    </row>
    <row r="436" spans="1:12" s="2" customFormat="1" ht="13.95" customHeight="1" x14ac:dyDescent="0.2">
      <c r="A436" s="50" t="s">
        <v>70</v>
      </c>
      <c r="B436" s="50" t="s">
        <v>5</v>
      </c>
      <c r="C436" s="50" t="s">
        <v>34</v>
      </c>
      <c r="D436" s="50" t="s">
        <v>740</v>
      </c>
      <c r="E436" s="50" t="s">
        <v>738</v>
      </c>
      <c r="F436" s="50" t="s">
        <v>73</v>
      </c>
      <c r="G436" s="50" t="s">
        <v>86</v>
      </c>
      <c r="H436" s="51">
        <v>1</v>
      </c>
      <c r="I436" s="52">
        <f>J436/H436</f>
        <v>99990</v>
      </c>
      <c r="J436" s="52">
        <v>99990</v>
      </c>
      <c r="K436" s="51">
        <v>28</v>
      </c>
      <c r="L436" s="53">
        <f>K436/H436*30</f>
        <v>840</v>
      </c>
    </row>
    <row r="437" spans="1:12" s="2" customFormat="1" ht="13.95" customHeight="1" x14ac:dyDescent="0.2">
      <c r="A437" s="50" t="s">
        <v>70</v>
      </c>
      <c r="B437" s="50" t="s">
        <v>5</v>
      </c>
      <c r="C437" s="50" t="s">
        <v>42</v>
      </c>
      <c r="D437" s="50" t="s">
        <v>741</v>
      </c>
      <c r="E437" s="50" t="s">
        <v>742</v>
      </c>
      <c r="F437" s="50" t="s">
        <v>106</v>
      </c>
      <c r="G437" s="50" t="s">
        <v>86</v>
      </c>
      <c r="H437" s="51">
        <v>1</v>
      </c>
      <c r="I437" s="52">
        <f>J437/H437</f>
        <v>99990</v>
      </c>
      <c r="J437" s="52">
        <v>99990</v>
      </c>
      <c r="K437" s="51">
        <v>6</v>
      </c>
      <c r="L437" s="53">
        <f>K437/H437*30</f>
        <v>180</v>
      </c>
    </row>
    <row r="438" spans="1:12" s="2" customFormat="1" ht="13.95" customHeight="1" x14ac:dyDescent="0.2">
      <c r="A438" s="50" t="s">
        <v>70</v>
      </c>
      <c r="B438" s="50" t="s">
        <v>4</v>
      </c>
      <c r="C438" s="50" t="s">
        <v>56</v>
      </c>
      <c r="D438" s="50" t="s">
        <v>743</v>
      </c>
      <c r="E438" s="50" t="s">
        <v>76</v>
      </c>
      <c r="F438" s="50" t="s">
        <v>106</v>
      </c>
      <c r="G438" s="50" t="s">
        <v>88</v>
      </c>
      <c r="H438" s="51">
        <v>1</v>
      </c>
      <c r="I438" s="52">
        <f>J438/H438</f>
        <v>99990</v>
      </c>
      <c r="J438" s="52">
        <v>99990</v>
      </c>
      <c r="K438" s="51">
        <v>17</v>
      </c>
      <c r="L438" s="53">
        <f>K438/H438*30</f>
        <v>510</v>
      </c>
    </row>
    <row r="439" spans="1:12" s="2" customFormat="1" ht="13.95" customHeight="1" x14ac:dyDescent="0.2">
      <c r="A439" s="50" t="s">
        <v>70</v>
      </c>
      <c r="B439" s="50" t="s">
        <v>4</v>
      </c>
      <c r="C439" s="50" t="s">
        <v>56</v>
      </c>
      <c r="D439" s="50" t="s">
        <v>744</v>
      </c>
      <c r="E439" s="50" t="s">
        <v>76</v>
      </c>
      <c r="F439" s="50" t="s">
        <v>106</v>
      </c>
      <c r="G439" s="50" t="s">
        <v>97</v>
      </c>
      <c r="H439" s="51">
        <v>1</v>
      </c>
      <c r="I439" s="52">
        <f>J439/H439</f>
        <v>99990</v>
      </c>
      <c r="J439" s="52">
        <v>99990</v>
      </c>
      <c r="K439" s="51">
        <v>18</v>
      </c>
      <c r="L439" s="53">
        <f>K439/H439*30</f>
        <v>540</v>
      </c>
    </row>
    <row r="440" spans="1:12" s="2" customFormat="1" ht="13.95" customHeight="1" x14ac:dyDescent="0.2">
      <c r="A440" s="50" t="s">
        <v>290</v>
      </c>
      <c r="B440" s="50" t="s">
        <v>8</v>
      </c>
      <c r="C440" s="50" t="s">
        <v>8</v>
      </c>
      <c r="D440" s="50" t="s">
        <v>745</v>
      </c>
      <c r="E440" s="50" t="s">
        <v>292</v>
      </c>
      <c r="F440" s="50" t="s">
        <v>106</v>
      </c>
      <c r="G440" s="50" t="s">
        <v>86</v>
      </c>
      <c r="H440" s="51">
        <v>1</v>
      </c>
      <c r="I440" s="52">
        <f>J440/H440</f>
        <v>99990</v>
      </c>
      <c r="J440" s="52">
        <v>99990</v>
      </c>
      <c r="K440" s="51">
        <v>2</v>
      </c>
      <c r="L440" s="53">
        <f>K440/H440*30</f>
        <v>60</v>
      </c>
    </row>
    <row r="441" spans="1:12" s="2" customFormat="1" ht="13.95" customHeight="1" x14ac:dyDescent="0.2">
      <c r="A441" s="50" t="s">
        <v>290</v>
      </c>
      <c r="B441" s="50" t="s">
        <v>8</v>
      </c>
      <c r="C441" s="50" t="s">
        <v>8</v>
      </c>
      <c r="D441" s="50" t="s">
        <v>746</v>
      </c>
      <c r="E441" s="50" t="s">
        <v>292</v>
      </c>
      <c r="F441" s="50" t="s">
        <v>106</v>
      </c>
      <c r="G441" s="50" t="s">
        <v>86</v>
      </c>
      <c r="H441" s="51">
        <v>1</v>
      </c>
      <c r="I441" s="52">
        <f>J441/H441</f>
        <v>99990</v>
      </c>
      <c r="J441" s="52">
        <v>99990</v>
      </c>
      <c r="K441" s="51">
        <v>5</v>
      </c>
      <c r="L441" s="53">
        <f>K441/H441*30</f>
        <v>150</v>
      </c>
    </row>
    <row r="442" spans="1:12" s="2" customFormat="1" ht="13.95" customHeight="1" x14ac:dyDescent="0.2">
      <c r="A442" s="50" t="s">
        <v>290</v>
      </c>
      <c r="B442" s="50" t="s">
        <v>8</v>
      </c>
      <c r="C442" s="50" t="s">
        <v>8</v>
      </c>
      <c r="D442" s="50" t="s">
        <v>747</v>
      </c>
      <c r="E442" s="50" t="s">
        <v>292</v>
      </c>
      <c r="F442" s="50" t="s">
        <v>106</v>
      </c>
      <c r="G442" s="50" t="s">
        <v>86</v>
      </c>
      <c r="H442" s="51">
        <v>1</v>
      </c>
      <c r="I442" s="52">
        <f>J442/H442</f>
        <v>99990</v>
      </c>
      <c r="J442" s="52">
        <v>99990</v>
      </c>
      <c r="K442" s="51">
        <v>5</v>
      </c>
      <c r="L442" s="53">
        <f>K442/H442*30</f>
        <v>150</v>
      </c>
    </row>
    <row r="443" spans="1:12" s="2" customFormat="1" ht="13.95" customHeight="1" x14ac:dyDescent="0.2">
      <c r="A443" s="50" t="s">
        <v>290</v>
      </c>
      <c r="B443" s="50" t="s">
        <v>8</v>
      </c>
      <c r="C443" s="50" t="s">
        <v>8</v>
      </c>
      <c r="D443" s="50" t="s">
        <v>748</v>
      </c>
      <c r="E443" s="50" t="s">
        <v>292</v>
      </c>
      <c r="F443" s="50" t="s">
        <v>106</v>
      </c>
      <c r="G443" s="50" t="s">
        <v>86</v>
      </c>
      <c r="H443" s="51">
        <v>1</v>
      </c>
      <c r="I443" s="52">
        <f>J443/H443</f>
        <v>99990</v>
      </c>
      <c r="J443" s="52">
        <v>99990</v>
      </c>
      <c r="K443" s="51">
        <v>1</v>
      </c>
      <c r="L443" s="53">
        <f>K443/H443*30</f>
        <v>30</v>
      </c>
    </row>
    <row r="444" spans="1:12" s="2" customFormat="1" ht="13.95" customHeight="1" x14ac:dyDescent="0.2">
      <c r="A444" s="50" t="s">
        <v>290</v>
      </c>
      <c r="B444" s="50" t="s">
        <v>8</v>
      </c>
      <c r="C444" s="50" t="s">
        <v>8</v>
      </c>
      <c r="D444" s="50" t="s">
        <v>749</v>
      </c>
      <c r="E444" s="50" t="s">
        <v>292</v>
      </c>
      <c r="F444" s="50" t="s">
        <v>106</v>
      </c>
      <c r="G444" s="50" t="s">
        <v>112</v>
      </c>
      <c r="H444" s="51">
        <v>1</v>
      </c>
      <c r="I444" s="52">
        <f>J444/H444</f>
        <v>99990</v>
      </c>
      <c r="J444" s="52">
        <v>99990</v>
      </c>
      <c r="K444" s="51">
        <v>5</v>
      </c>
      <c r="L444" s="53">
        <f>K444/H444*30</f>
        <v>150</v>
      </c>
    </row>
    <row r="445" spans="1:12" s="2" customFormat="1" ht="13.95" customHeight="1" x14ac:dyDescent="0.2">
      <c r="A445" s="50" t="s">
        <v>290</v>
      </c>
      <c r="B445" s="50" t="s">
        <v>8</v>
      </c>
      <c r="C445" s="50" t="s">
        <v>8</v>
      </c>
      <c r="D445" s="50" t="s">
        <v>750</v>
      </c>
      <c r="E445" s="50" t="s">
        <v>292</v>
      </c>
      <c r="F445" s="50" t="s">
        <v>106</v>
      </c>
      <c r="G445" s="50" t="s">
        <v>112</v>
      </c>
      <c r="H445" s="51">
        <v>1</v>
      </c>
      <c r="I445" s="52">
        <f>J445/H445</f>
        <v>99990</v>
      </c>
      <c r="J445" s="52">
        <v>99990</v>
      </c>
      <c r="K445" s="51">
        <v>2</v>
      </c>
      <c r="L445" s="53">
        <f>K445/H445*30</f>
        <v>60</v>
      </c>
    </row>
    <row r="446" spans="1:12" s="2" customFormat="1" ht="13.95" customHeight="1" x14ac:dyDescent="0.2">
      <c r="A446" s="50" t="s">
        <v>290</v>
      </c>
      <c r="B446" s="50" t="s">
        <v>8</v>
      </c>
      <c r="C446" s="50" t="s">
        <v>8</v>
      </c>
      <c r="D446" s="50" t="s">
        <v>751</v>
      </c>
      <c r="E446" s="50" t="s">
        <v>292</v>
      </c>
      <c r="F446" s="50" t="s">
        <v>106</v>
      </c>
      <c r="G446" s="50" t="s">
        <v>112</v>
      </c>
      <c r="H446" s="51">
        <v>1</v>
      </c>
      <c r="I446" s="52">
        <f>J446/H446</f>
        <v>99990</v>
      </c>
      <c r="J446" s="52">
        <v>99990</v>
      </c>
      <c r="K446" s="51">
        <v>6</v>
      </c>
      <c r="L446" s="53">
        <f>K446/H446*30</f>
        <v>180</v>
      </c>
    </row>
    <row r="447" spans="1:12" s="2" customFormat="1" ht="13.95" customHeight="1" x14ac:dyDescent="0.2">
      <c r="A447" s="50" t="s">
        <v>290</v>
      </c>
      <c r="B447" s="50" t="s">
        <v>8</v>
      </c>
      <c r="C447" s="50" t="s">
        <v>8</v>
      </c>
      <c r="D447" s="50" t="s">
        <v>752</v>
      </c>
      <c r="E447" s="50" t="s">
        <v>435</v>
      </c>
      <c r="F447" s="50" t="s">
        <v>106</v>
      </c>
      <c r="G447" s="50" t="s">
        <v>88</v>
      </c>
      <c r="H447" s="51">
        <v>1</v>
      </c>
      <c r="I447" s="52">
        <f>J447/H447</f>
        <v>99990</v>
      </c>
      <c r="J447" s="52">
        <v>99990</v>
      </c>
      <c r="K447" s="51">
        <v>2</v>
      </c>
      <c r="L447" s="53">
        <f>K447/H447*30</f>
        <v>60</v>
      </c>
    </row>
    <row r="448" spans="1:12" s="2" customFormat="1" ht="13.95" customHeight="1" x14ac:dyDescent="0.2">
      <c r="A448" s="50" t="s">
        <v>290</v>
      </c>
      <c r="B448" s="50" t="s">
        <v>8</v>
      </c>
      <c r="C448" s="50" t="s">
        <v>8</v>
      </c>
      <c r="D448" s="50" t="s">
        <v>753</v>
      </c>
      <c r="E448" s="50" t="s">
        <v>435</v>
      </c>
      <c r="F448" s="50" t="s">
        <v>106</v>
      </c>
      <c r="G448" s="50" t="s">
        <v>86</v>
      </c>
      <c r="H448" s="51">
        <v>1</v>
      </c>
      <c r="I448" s="52">
        <f>J448/H448</f>
        <v>99990</v>
      </c>
      <c r="J448" s="52">
        <v>99990</v>
      </c>
      <c r="K448" s="51">
        <v>11</v>
      </c>
      <c r="L448" s="53">
        <f>K448/H448*30</f>
        <v>330</v>
      </c>
    </row>
    <row r="449" spans="1:12" s="2" customFormat="1" ht="13.95" customHeight="1" x14ac:dyDescent="0.2">
      <c r="A449" s="50" t="s">
        <v>290</v>
      </c>
      <c r="B449" s="50" t="s">
        <v>8</v>
      </c>
      <c r="C449" s="50" t="s">
        <v>8</v>
      </c>
      <c r="D449" s="50" t="s">
        <v>754</v>
      </c>
      <c r="E449" s="50" t="s">
        <v>435</v>
      </c>
      <c r="F449" s="50" t="s">
        <v>106</v>
      </c>
      <c r="G449" s="50" t="s">
        <v>86</v>
      </c>
      <c r="H449" s="51">
        <v>1</v>
      </c>
      <c r="I449" s="52">
        <f>J449/H449</f>
        <v>99990</v>
      </c>
      <c r="J449" s="52">
        <v>99990</v>
      </c>
      <c r="K449" s="51">
        <v>3</v>
      </c>
      <c r="L449" s="53">
        <f>K449/H449*30</f>
        <v>90</v>
      </c>
    </row>
    <row r="450" spans="1:12" s="2" customFormat="1" ht="13.95" customHeight="1" x14ac:dyDescent="0.2">
      <c r="A450" s="50" t="s">
        <v>290</v>
      </c>
      <c r="B450" s="50" t="s">
        <v>8</v>
      </c>
      <c r="C450" s="50" t="s">
        <v>8</v>
      </c>
      <c r="D450" s="50" t="s">
        <v>755</v>
      </c>
      <c r="E450" s="50" t="s">
        <v>435</v>
      </c>
      <c r="F450" s="50" t="s">
        <v>106</v>
      </c>
      <c r="G450" s="50" t="s">
        <v>86</v>
      </c>
      <c r="H450" s="51">
        <v>1</v>
      </c>
      <c r="I450" s="52">
        <f>J450/H450</f>
        <v>99990</v>
      </c>
      <c r="J450" s="52">
        <v>99990</v>
      </c>
      <c r="K450" s="51">
        <v>5</v>
      </c>
      <c r="L450" s="53">
        <f>K450/H450*30</f>
        <v>150</v>
      </c>
    </row>
    <row r="451" spans="1:12" s="2" customFormat="1" ht="13.95" customHeight="1" x14ac:dyDescent="0.2">
      <c r="A451" s="50" t="s">
        <v>290</v>
      </c>
      <c r="B451" s="50" t="s">
        <v>8</v>
      </c>
      <c r="C451" s="50" t="s">
        <v>8</v>
      </c>
      <c r="D451" s="50" t="s">
        <v>756</v>
      </c>
      <c r="E451" s="50" t="s">
        <v>435</v>
      </c>
      <c r="F451" s="50" t="s">
        <v>106</v>
      </c>
      <c r="G451" s="50" t="s">
        <v>86</v>
      </c>
      <c r="H451" s="51">
        <v>1</v>
      </c>
      <c r="I451" s="52">
        <f>J451/H451</f>
        <v>99990</v>
      </c>
      <c r="J451" s="52">
        <v>99990</v>
      </c>
      <c r="K451" s="51">
        <v>8</v>
      </c>
      <c r="L451" s="53">
        <f>K451/H451*30</f>
        <v>240</v>
      </c>
    </row>
    <row r="452" spans="1:12" s="2" customFormat="1" ht="13.95" customHeight="1" x14ac:dyDescent="0.2">
      <c r="A452" s="50" t="s">
        <v>290</v>
      </c>
      <c r="B452" s="50" t="s">
        <v>8</v>
      </c>
      <c r="C452" s="50" t="s">
        <v>8</v>
      </c>
      <c r="D452" s="50" t="s">
        <v>757</v>
      </c>
      <c r="E452" s="50" t="s">
        <v>435</v>
      </c>
      <c r="F452" s="50" t="s">
        <v>106</v>
      </c>
      <c r="G452" s="50" t="s">
        <v>86</v>
      </c>
      <c r="H452" s="51">
        <v>1</v>
      </c>
      <c r="I452" s="52">
        <f>J452/H452</f>
        <v>99990</v>
      </c>
      <c r="J452" s="52">
        <v>99990</v>
      </c>
      <c r="K452" s="51">
        <v>9</v>
      </c>
      <c r="L452" s="53">
        <f>K452/H452*30</f>
        <v>270</v>
      </c>
    </row>
    <row r="453" spans="1:12" s="2" customFormat="1" ht="13.95" customHeight="1" x14ac:dyDescent="0.2">
      <c r="A453" s="50" t="s">
        <v>290</v>
      </c>
      <c r="B453" s="50" t="s">
        <v>8</v>
      </c>
      <c r="C453" s="50" t="s">
        <v>8</v>
      </c>
      <c r="D453" s="50" t="s">
        <v>758</v>
      </c>
      <c r="E453" s="50" t="s">
        <v>435</v>
      </c>
      <c r="F453" s="50" t="s">
        <v>106</v>
      </c>
      <c r="G453" s="50" t="s">
        <v>86</v>
      </c>
      <c r="H453" s="51">
        <v>1</v>
      </c>
      <c r="I453" s="52">
        <f>J453/H453</f>
        <v>99990</v>
      </c>
      <c r="J453" s="52">
        <v>99990</v>
      </c>
      <c r="K453" s="51">
        <v>7</v>
      </c>
      <c r="L453" s="53">
        <f>K453/H453*30</f>
        <v>210</v>
      </c>
    </row>
    <row r="454" spans="1:12" s="2" customFormat="1" ht="13.95" customHeight="1" x14ac:dyDescent="0.2">
      <c r="A454" s="50" t="s">
        <v>759</v>
      </c>
      <c r="B454" s="50" t="s">
        <v>9</v>
      </c>
      <c r="C454" s="50" t="s">
        <v>27</v>
      </c>
      <c r="D454" s="50" t="s">
        <v>760</v>
      </c>
      <c r="E454" s="50" t="s">
        <v>761</v>
      </c>
      <c r="F454" s="50" t="s">
        <v>106</v>
      </c>
      <c r="G454" s="50" t="s">
        <v>88</v>
      </c>
      <c r="H454" s="51">
        <v>1</v>
      </c>
      <c r="I454" s="52">
        <f>J454/H454</f>
        <v>99990</v>
      </c>
      <c r="J454" s="52">
        <v>99990</v>
      </c>
      <c r="K454" s="51">
        <v>0</v>
      </c>
      <c r="L454" s="53">
        <f>K454/H454*30</f>
        <v>0</v>
      </c>
    </row>
    <row r="455" spans="1:12" s="2" customFormat="1" ht="13.95" customHeight="1" x14ac:dyDescent="0.2">
      <c r="A455" s="50" t="s">
        <v>759</v>
      </c>
      <c r="B455" s="50" t="s">
        <v>9</v>
      </c>
      <c r="C455" s="50" t="s">
        <v>27</v>
      </c>
      <c r="D455" s="50" t="s">
        <v>762</v>
      </c>
      <c r="E455" s="50" t="s">
        <v>763</v>
      </c>
      <c r="F455" s="50" t="s">
        <v>106</v>
      </c>
      <c r="G455" s="50" t="s">
        <v>86</v>
      </c>
      <c r="H455" s="51">
        <v>1</v>
      </c>
      <c r="I455" s="52">
        <f>J455/H455</f>
        <v>99990</v>
      </c>
      <c r="J455" s="52">
        <v>99990</v>
      </c>
      <c r="K455" s="51">
        <v>0</v>
      </c>
      <c r="L455" s="53">
        <f>K455/H455*30</f>
        <v>0</v>
      </c>
    </row>
    <row r="456" spans="1:12" s="2" customFormat="1" ht="13.95" customHeight="1" x14ac:dyDescent="0.2">
      <c r="A456" s="50" t="s">
        <v>362</v>
      </c>
      <c r="B456" s="50" t="s">
        <v>9</v>
      </c>
      <c r="C456" s="50" t="s">
        <v>25</v>
      </c>
      <c r="D456" s="50" t="s">
        <v>764</v>
      </c>
      <c r="E456" s="50" t="s">
        <v>765</v>
      </c>
      <c r="F456" s="50" t="s">
        <v>365</v>
      </c>
      <c r="G456" s="50" t="s">
        <v>86</v>
      </c>
      <c r="H456" s="51">
        <v>1</v>
      </c>
      <c r="I456" s="52">
        <f>J456/H456</f>
        <v>99990</v>
      </c>
      <c r="J456" s="52">
        <v>99990</v>
      </c>
      <c r="K456" s="51">
        <v>0</v>
      </c>
      <c r="L456" s="53">
        <f>K456/H456*30</f>
        <v>0</v>
      </c>
    </row>
    <row r="457" spans="1:12" s="2" customFormat="1" ht="13.95" customHeight="1" x14ac:dyDescent="0.2">
      <c r="A457" s="50" t="s">
        <v>238</v>
      </c>
      <c r="B457" s="50" t="s">
        <v>6</v>
      </c>
      <c r="C457" s="50" t="s">
        <v>65</v>
      </c>
      <c r="D457" s="50" t="s">
        <v>766</v>
      </c>
      <c r="E457" s="50" t="s">
        <v>240</v>
      </c>
      <c r="F457" s="50" t="s">
        <v>241</v>
      </c>
      <c r="G457" s="50" t="s">
        <v>294</v>
      </c>
      <c r="H457" s="51">
        <v>2</v>
      </c>
      <c r="I457" s="52">
        <f>J457/H457</f>
        <v>49990</v>
      </c>
      <c r="J457" s="52">
        <v>99980</v>
      </c>
      <c r="K457" s="51">
        <v>70</v>
      </c>
      <c r="L457" s="53">
        <f>K457/H457*30</f>
        <v>1050</v>
      </c>
    </row>
    <row r="458" spans="1:12" s="2" customFormat="1" ht="13.95" customHeight="1" x14ac:dyDescent="0.2">
      <c r="A458" s="50" t="s">
        <v>238</v>
      </c>
      <c r="B458" s="50" t="s">
        <v>6</v>
      </c>
      <c r="C458" s="50" t="s">
        <v>65</v>
      </c>
      <c r="D458" s="50" t="s">
        <v>767</v>
      </c>
      <c r="E458" s="50" t="s">
        <v>240</v>
      </c>
      <c r="F458" s="50" t="s">
        <v>241</v>
      </c>
      <c r="G458" s="50" t="s">
        <v>294</v>
      </c>
      <c r="H458" s="51">
        <v>2</v>
      </c>
      <c r="I458" s="52">
        <f>J458/H458</f>
        <v>49990</v>
      </c>
      <c r="J458" s="52">
        <v>99980</v>
      </c>
      <c r="K458" s="51">
        <v>45</v>
      </c>
      <c r="L458" s="53">
        <f>K458/H458*30</f>
        <v>675</v>
      </c>
    </row>
    <row r="459" spans="1:12" s="2" customFormat="1" ht="13.95" customHeight="1" x14ac:dyDescent="0.2">
      <c r="A459" s="50" t="s">
        <v>238</v>
      </c>
      <c r="B459" s="50" t="s">
        <v>6</v>
      </c>
      <c r="C459" s="50" t="s">
        <v>65</v>
      </c>
      <c r="D459" s="50" t="s">
        <v>768</v>
      </c>
      <c r="E459" s="50" t="s">
        <v>240</v>
      </c>
      <c r="F459" s="50" t="s">
        <v>241</v>
      </c>
      <c r="G459" s="50" t="s">
        <v>242</v>
      </c>
      <c r="H459" s="51">
        <v>2</v>
      </c>
      <c r="I459" s="52">
        <f>J459/H459</f>
        <v>49990</v>
      </c>
      <c r="J459" s="52">
        <v>99980</v>
      </c>
      <c r="K459" s="51">
        <v>96</v>
      </c>
      <c r="L459" s="53">
        <f>K459/H459*30</f>
        <v>1440</v>
      </c>
    </row>
    <row r="460" spans="1:12" s="2" customFormat="1" ht="13.95" customHeight="1" x14ac:dyDescent="0.2">
      <c r="A460" s="50" t="s">
        <v>238</v>
      </c>
      <c r="B460" s="50" t="s">
        <v>6</v>
      </c>
      <c r="C460" s="50" t="s">
        <v>65</v>
      </c>
      <c r="D460" s="50" t="s">
        <v>769</v>
      </c>
      <c r="E460" s="50" t="s">
        <v>240</v>
      </c>
      <c r="F460" s="50" t="s">
        <v>241</v>
      </c>
      <c r="G460" s="50" t="s">
        <v>330</v>
      </c>
      <c r="H460" s="51">
        <v>2</v>
      </c>
      <c r="I460" s="52">
        <f>J460/H460</f>
        <v>49990</v>
      </c>
      <c r="J460" s="52">
        <v>99980</v>
      </c>
      <c r="K460" s="51">
        <v>11</v>
      </c>
      <c r="L460" s="53">
        <f>K460/H460*30</f>
        <v>165</v>
      </c>
    </row>
    <row r="461" spans="1:12" s="2" customFormat="1" ht="13.95" customHeight="1" x14ac:dyDescent="0.2">
      <c r="A461" s="50" t="s">
        <v>238</v>
      </c>
      <c r="B461" s="50" t="s">
        <v>6</v>
      </c>
      <c r="C461" s="50" t="s">
        <v>65</v>
      </c>
      <c r="D461" s="50" t="s">
        <v>770</v>
      </c>
      <c r="E461" s="50" t="s">
        <v>240</v>
      </c>
      <c r="F461" s="50" t="s">
        <v>241</v>
      </c>
      <c r="G461" s="50" t="s">
        <v>330</v>
      </c>
      <c r="H461" s="51">
        <v>2</v>
      </c>
      <c r="I461" s="52">
        <f>J461/H461</f>
        <v>49990</v>
      </c>
      <c r="J461" s="52">
        <v>99980</v>
      </c>
      <c r="K461" s="51">
        <v>6</v>
      </c>
      <c r="L461" s="53">
        <f>K461/H461*30</f>
        <v>90</v>
      </c>
    </row>
    <row r="462" spans="1:12" s="2" customFormat="1" ht="13.95" customHeight="1" x14ac:dyDescent="0.2">
      <c r="A462" s="50" t="s">
        <v>238</v>
      </c>
      <c r="B462" s="50" t="s">
        <v>6</v>
      </c>
      <c r="C462" s="50" t="s">
        <v>65</v>
      </c>
      <c r="D462" s="50" t="s">
        <v>771</v>
      </c>
      <c r="E462" s="50" t="s">
        <v>240</v>
      </c>
      <c r="F462" s="50" t="s">
        <v>241</v>
      </c>
      <c r="G462" s="50" t="s">
        <v>330</v>
      </c>
      <c r="H462" s="51">
        <v>2</v>
      </c>
      <c r="I462" s="52">
        <f>J462/H462</f>
        <v>49990</v>
      </c>
      <c r="J462" s="52">
        <v>99980</v>
      </c>
      <c r="K462" s="51">
        <v>6</v>
      </c>
      <c r="L462" s="53">
        <f>K462/H462*30</f>
        <v>90</v>
      </c>
    </row>
    <row r="463" spans="1:12" s="2" customFormat="1" ht="13.95" customHeight="1" x14ac:dyDescent="0.2">
      <c r="A463" s="50" t="s">
        <v>238</v>
      </c>
      <c r="B463" s="50" t="s">
        <v>6</v>
      </c>
      <c r="C463" s="50" t="s">
        <v>65</v>
      </c>
      <c r="D463" s="50" t="s">
        <v>772</v>
      </c>
      <c r="E463" s="50" t="s">
        <v>569</v>
      </c>
      <c r="F463" s="50" t="s">
        <v>241</v>
      </c>
      <c r="G463" s="50" t="s">
        <v>294</v>
      </c>
      <c r="H463" s="51">
        <v>2</v>
      </c>
      <c r="I463" s="52">
        <f>J463/H463</f>
        <v>49990</v>
      </c>
      <c r="J463" s="52">
        <v>99980</v>
      </c>
      <c r="K463" s="51">
        <v>41</v>
      </c>
      <c r="L463" s="53">
        <f>K463/H463*30</f>
        <v>615</v>
      </c>
    </row>
    <row r="464" spans="1:12" s="2" customFormat="1" ht="13.95" customHeight="1" x14ac:dyDescent="0.2">
      <c r="A464" s="50" t="s">
        <v>238</v>
      </c>
      <c r="B464" s="50" t="s">
        <v>6</v>
      </c>
      <c r="C464" s="50" t="s">
        <v>65</v>
      </c>
      <c r="D464" s="50" t="s">
        <v>773</v>
      </c>
      <c r="E464" s="50" t="s">
        <v>569</v>
      </c>
      <c r="F464" s="50" t="s">
        <v>241</v>
      </c>
      <c r="G464" s="50" t="s">
        <v>242</v>
      </c>
      <c r="H464" s="51">
        <v>2</v>
      </c>
      <c r="I464" s="52">
        <f>J464/H464</f>
        <v>49990</v>
      </c>
      <c r="J464" s="52">
        <v>99980</v>
      </c>
      <c r="K464" s="51">
        <v>50</v>
      </c>
      <c r="L464" s="53">
        <f>K464/H464*30</f>
        <v>750</v>
      </c>
    </row>
    <row r="465" spans="1:12" s="2" customFormat="1" ht="13.95" customHeight="1" x14ac:dyDescent="0.2">
      <c r="A465" s="50" t="s">
        <v>238</v>
      </c>
      <c r="B465" s="50" t="s">
        <v>6</v>
      </c>
      <c r="C465" s="50" t="s">
        <v>65</v>
      </c>
      <c r="D465" s="50" t="s">
        <v>774</v>
      </c>
      <c r="E465" s="50" t="s">
        <v>572</v>
      </c>
      <c r="F465" s="50" t="s">
        <v>241</v>
      </c>
      <c r="G465" s="50" t="s">
        <v>294</v>
      </c>
      <c r="H465" s="51">
        <v>2</v>
      </c>
      <c r="I465" s="52">
        <f>J465/H465</f>
        <v>49990</v>
      </c>
      <c r="J465" s="52">
        <v>99980</v>
      </c>
      <c r="K465" s="51">
        <v>20</v>
      </c>
      <c r="L465" s="53">
        <f>K465/H465*30</f>
        <v>300</v>
      </c>
    </row>
    <row r="466" spans="1:12" s="2" customFormat="1" ht="13.95" customHeight="1" x14ac:dyDescent="0.2">
      <c r="A466" s="50" t="s">
        <v>238</v>
      </c>
      <c r="B466" s="50" t="s">
        <v>6</v>
      </c>
      <c r="C466" s="50" t="s">
        <v>65</v>
      </c>
      <c r="D466" s="50" t="s">
        <v>775</v>
      </c>
      <c r="E466" s="50" t="s">
        <v>572</v>
      </c>
      <c r="F466" s="50" t="s">
        <v>241</v>
      </c>
      <c r="G466" s="50" t="s">
        <v>86</v>
      </c>
      <c r="H466" s="51">
        <v>2</v>
      </c>
      <c r="I466" s="52">
        <f>J466/H466</f>
        <v>49990</v>
      </c>
      <c r="J466" s="52">
        <v>99980</v>
      </c>
      <c r="K466" s="51">
        <v>76</v>
      </c>
      <c r="L466" s="53">
        <f>K466/H466*30</f>
        <v>1140</v>
      </c>
    </row>
    <row r="467" spans="1:12" s="2" customFormat="1" ht="13.95" customHeight="1" x14ac:dyDescent="0.2">
      <c r="A467" s="50" t="s">
        <v>573</v>
      </c>
      <c r="B467" s="50" t="s">
        <v>6</v>
      </c>
      <c r="C467" s="50" t="s">
        <v>61</v>
      </c>
      <c r="D467" s="50" t="s">
        <v>776</v>
      </c>
      <c r="E467" s="50" t="s">
        <v>575</v>
      </c>
      <c r="F467" s="50" t="s">
        <v>576</v>
      </c>
      <c r="G467" s="50" t="s">
        <v>577</v>
      </c>
      <c r="H467" s="51">
        <v>2</v>
      </c>
      <c r="I467" s="52">
        <f>J467/H467</f>
        <v>49990</v>
      </c>
      <c r="J467" s="52">
        <v>99980</v>
      </c>
      <c r="K467" s="51">
        <v>3</v>
      </c>
      <c r="L467" s="53">
        <f>K467/H467*30</f>
        <v>45</v>
      </c>
    </row>
    <row r="468" spans="1:12" s="2" customFormat="1" ht="13.95" customHeight="1" x14ac:dyDescent="0.2">
      <c r="A468" s="50" t="s">
        <v>573</v>
      </c>
      <c r="B468" s="50" t="s">
        <v>6</v>
      </c>
      <c r="C468" s="50" t="s">
        <v>61</v>
      </c>
      <c r="D468" s="50" t="s">
        <v>777</v>
      </c>
      <c r="E468" s="50" t="s">
        <v>575</v>
      </c>
      <c r="F468" s="50" t="s">
        <v>576</v>
      </c>
      <c r="G468" s="50" t="s">
        <v>778</v>
      </c>
      <c r="H468" s="51">
        <v>2</v>
      </c>
      <c r="I468" s="52">
        <f>J468/H468</f>
        <v>49990</v>
      </c>
      <c r="J468" s="52">
        <v>99980</v>
      </c>
      <c r="K468" s="51">
        <v>5</v>
      </c>
      <c r="L468" s="53">
        <f>K468/H468*30</f>
        <v>75</v>
      </c>
    </row>
    <row r="469" spans="1:12" s="2" customFormat="1" ht="13.95" customHeight="1" x14ac:dyDescent="0.2">
      <c r="A469" s="50" t="s">
        <v>445</v>
      </c>
      <c r="B469" s="50" t="s">
        <v>6</v>
      </c>
      <c r="C469" s="50" t="s">
        <v>62</v>
      </c>
      <c r="D469" s="50" t="s">
        <v>779</v>
      </c>
      <c r="E469" s="50" t="s">
        <v>447</v>
      </c>
      <c r="F469" s="50" t="s">
        <v>260</v>
      </c>
      <c r="G469" s="50" t="s">
        <v>86</v>
      </c>
      <c r="H469" s="51">
        <v>5</v>
      </c>
      <c r="I469" s="52">
        <f>J469/H469</f>
        <v>19990</v>
      </c>
      <c r="J469" s="52">
        <v>99950</v>
      </c>
      <c r="K469" s="51">
        <v>15</v>
      </c>
      <c r="L469" s="53">
        <f>K469/H469*30</f>
        <v>90</v>
      </c>
    </row>
    <row r="470" spans="1:12" s="2" customFormat="1" ht="13.95" customHeight="1" x14ac:dyDescent="0.2">
      <c r="A470" s="50" t="s">
        <v>70</v>
      </c>
      <c r="B470" s="50" t="s">
        <v>5</v>
      </c>
      <c r="C470" s="50" t="s">
        <v>45</v>
      </c>
      <c r="D470" s="50" t="s">
        <v>780</v>
      </c>
      <c r="E470" s="50" t="s">
        <v>592</v>
      </c>
      <c r="F470" s="50" t="s">
        <v>137</v>
      </c>
      <c r="G470" s="50" t="s">
        <v>140</v>
      </c>
      <c r="H470" s="51">
        <v>7</v>
      </c>
      <c r="I470" s="52">
        <f>J470/H470</f>
        <v>13990</v>
      </c>
      <c r="J470" s="52">
        <v>97930</v>
      </c>
      <c r="K470" s="51">
        <v>8</v>
      </c>
      <c r="L470" s="53">
        <f>K470/H470*30</f>
        <v>34.285714285714285</v>
      </c>
    </row>
    <row r="471" spans="1:12" s="2" customFormat="1" ht="13.95" customHeight="1" x14ac:dyDescent="0.2">
      <c r="A471" s="50" t="s">
        <v>165</v>
      </c>
      <c r="B471" s="50" t="s">
        <v>4</v>
      </c>
      <c r="C471" s="50" t="s">
        <v>46</v>
      </c>
      <c r="D471" s="50" t="s">
        <v>781</v>
      </c>
      <c r="E471" s="50" t="s">
        <v>462</v>
      </c>
      <c r="F471" s="50" t="s">
        <v>168</v>
      </c>
      <c r="G471" s="50" t="s">
        <v>86</v>
      </c>
      <c r="H471" s="51">
        <v>1</v>
      </c>
      <c r="I471" s="52">
        <f>J471/H471</f>
        <v>95990</v>
      </c>
      <c r="J471" s="52">
        <v>95990</v>
      </c>
      <c r="K471" s="51">
        <v>20</v>
      </c>
      <c r="L471" s="53">
        <f>K471/H471*30</f>
        <v>600</v>
      </c>
    </row>
    <row r="472" spans="1:12" s="2" customFormat="1" ht="13.95" customHeight="1" x14ac:dyDescent="0.2">
      <c r="A472" s="50" t="s">
        <v>165</v>
      </c>
      <c r="B472" s="50" t="s">
        <v>4</v>
      </c>
      <c r="C472" s="50" t="s">
        <v>46</v>
      </c>
      <c r="D472" s="50" t="s">
        <v>782</v>
      </c>
      <c r="E472" s="50" t="s">
        <v>462</v>
      </c>
      <c r="F472" s="50" t="s">
        <v>229</v>
      </c>
      <c r="G472" s="50" t="s">
        <v>88</v>
      </c>
      <c r="H472" s="51">
        <v>1</v>
      </c>
      <c r="I472" s="52">
        <f>J472/H472</f>
        <v>95990</v>
      </c>
      <c r="J472" s="52">
        <v>95990</v>
      </c>
      <c r="K472" s="51">
        <v>2</v>
      </c>
      <c r="L472" s="53">
        <f>K472/H472*30</f>
        <v>60</v>
      </c>
    </row>
    <row r="473" spans="1:12" s="2" customFormat="1" ht="13.95" customHeight="1" x14ac:dyDescent="0.2">
      <c r="A473" s="50" t="s">
        <v>165</v>
      </c>
      <c r="B473" s="50" t="s">
        <v>4</v>
      </c>
      <c r="C473" s="50" t="s">
        <v>46</v>
      </c>
      <c r="D473" s="50" t="s">
        <v>783</v>
      </c>
      <c r="E473" s="50" t="s">
        <v>462</v>
      </c>
      <c r="F473" s="50" t="s">
        <v>229</v>
      </c>
      <c r="G473" s="50" t="s">
        <v>784</v>
      </c>
      <c r="H473" s="51">
        <v>1</v>
      </c>
      <c r="I473" s="52">
        <f>J473/H473</f>
        <v>95990</v>
      </c>
      <c r="J473" s="52">
        <v>95990</v>
      </c>
      <c r="K473" s="51">
        <v>1</v>
      </c>
      <c r="L473" s="53">
        <f>K473/H473*30</f>
        <v>30</v>
      </c>
    </row>
    <row r="474" spans="1:12" s="2" customFormat="1" ht="13.95" customHeight="1" x14ac:dyDescent="0.2">
      <c r="A474" s="50" t="s">
        <v>70</v>
      </c>
      <c r="B474" s="50" t="s">
        <v>5</v>
      </c>
      <c r="C474" s="50" t="s">
        <v>30</v>
      </c>
      <c r="D474" s="50" t="s">
        <v>785</v>
      </c>
      <c r="E474" s="50" t="s">
        <v>459</v>
      </c>
      <c r="F474" s="50" t="s">
        <v>73</v>
      </c>
      <c r="G474" s="50" t="s">
        <v>88</v>
      </c>
      <c r="H474" s="51">
        <v>1</v>
      </c>
      <c r="I474" s="52">
        <f>J474/H474</f>
        <v>95990</v>
      </c>
      <c r="J474" s="52">
        <v>95990</v>
      </c>
      <c r="K474" s="51">
        <v>12</v>
      </c>
      <c r="L474" s="53">
        <f>K474/H474*30</f>
        <v>360</v>
      </c>
    </row>
    <row r="475" spans="1:12" s="2" customFormat="1" ht="13.95" customHeight="1" x14ac:dyDescent="0.2">
      <c r="A475" s="50" t="s">
        <v>70</v>
      </c>
      <c r="B475" s="50" t="s">
        <v>5</v>
      </c>
      <c r="C475" s="50" t="s">
        <v>30</v>
      </c>
      <c r="D475" s="50" t="s">
        <v>786</v>
      </c>
      <c r="E475" s="50" t="s">
        <v>459</v>
      </c>
      <c r="F475" s="50" t="s">
        <v>73</v>
      </c>
      <c r="G475" s="50" t="s">
        <v>86</v>
      </c>
      <c r="H475" s="51">
        <v>1</v>
      </c>
      <c r="I475" s="52">
        <f>J475/H475</f>
        <v>95990</v>
      </c>
      <c r="J475" s="52">
        <v>95990</v>
      </c>
      <c r="K475" s="51">
        <v>14</v>
      </c>
      <c r="L475" s="53">
        <f>K475/H475*30</f>
        <v>420</v>
      </c>
    </row>
    <row r="476" spans="1:12" s="2" customFormat="1" ht="13.95" customHeight="1" x14ac:dyDescent="0.2">
      <c r="A476" s="50" t="s">
        <v>70</v>
      </c>
      <c r="B476" s="50" t="s">
        <v>5</v>
      </c>
      <c r="C476" s="50" t="s">
        <v>30</v>
      </c>
      <c r="D476" s="50" t="s">
        <v>787</v>
      </c>
      <c r="E476" s="50" t="s">
        <v>459</v>
      </c>
      <c r="F476" s="50" t="s">
        <v>73</v>
      </c>
      <c r="G476" s="50" t="s">
        <v>74</v>
      </c>
      <c r="H476" s="51">
        <v>1</v>
      </c>
      <c r="I476" s="52">
        <f>J476/H476</f>
        <v>95990</v>
      </c>
      <c r="J476" s="52">
        <v>95990</v>
      </c>
      <c r="K476" s="51">
        <v>11</v>
      </c>
      <c r="L476" s="53">
        <f>K476/H476*30</f>
        <v>330</v>
      </c>
    </row>
    <row r="477" spans="1:12" s="2" customFormat="1" ht="13.95" customHeight="1" x14ac:dyDescent="0.2">
      <c r="A477" s="50" t="s">
        <v>70</v>
      </c>
      <c r="B477" s="50" t="s">
        <v>5</v>
      </c>
      <c r="C477" s="50" t="s">
        <v>30</v>
      </c>
      <c r="D477" s="50" t="s">
        <v>788</v>
      </c>
      <c r="E477" s="50" t="s">
        <v>459</v>
      </c>
      <c r="F477" s="50" t="s">
        <v>106</v>
      </c>
      <c r="G477" s="50" t="s">
        <v>86</v>
      </c>
      <c r="H477" s="51">
        <v>1</v>
      </c>
      <c r="I477" s="52">
        <f>J477/H477</f>
        <v>95990</v>
      </c>
      <c r="J477" s="52">
        <v>95990</v>
      </c>
      <c r="K477" s="51">
        <v>5</v>
      </c>
      <c r="L477" s="53">
        <f>K477/H477*30</f>
        <v>150</v>
      </c>
    </row>
    <row r="478" spans="1:12" s="2" customFormat="1" ht="13.95" customHeight="1" x14ac:dyDescent="0.2">
      <c r="A478" s="50" t="s">
        <v>70</v>
      </c>
      <c r="B478" s="50" t="s">
        <v>7</v>
      </c>
      <c r="C478" s="50" t="s">
        <v>18</v>
      </c>
      <c r="D478" s="50" t="s">
        <v>789</v>
      </c>
      <c r="E478" s="50" t="s">
        <v>790</v>
      </c>
      <c r="F478" s="50" t="s">
        <v>73</v>
      </c>
      <c r="G478" s="50" t="s">
        <v>74</v>
      </c>
      <c r="H478" s="51">
        <v>6</v>
      </c>
      <c r="I478" s="52">
        <f>J478/H478</f>
        <v>15990</v>
      </c>
      <c r="J478" s="52">
        <v>95940</v>
      </c>
      <c r="K478" s="51">
        <v>15</v>
      </c>
      <c r="L478" s="53">
        <f>K478/H478*30</f>
        <v>75</v>
      </c>
    </row>
    <row r="479" spans="1:12" s="2" customFormat="1" ht="13.95" customHeight="1" x14ac:dyDescent="0.2">
      <c r="A479" s="50" t="s">
        <v>791</v>
      </c>
      <c r="B479" s="50" t="s">
        <v>4</v>
      </c>
      <c r="C479" s="50" t="s">
        <v>46</v>
      </c>
      <c r="D479" s="50" t="s">
        <v>792</v>
      </c>
      <c r="E479" s="50" t="s">
        <v>793</v>
      </c>
      <c r="F479" s="50" t="s">
        <v>223</v>
      </c>
      <c r="G479" s="50" t="s">
        <v>224</v>
      </c>
      <c r="H479" s="51">
        <v>1</v>
      </c>
      <c r="I479" s="52">
        <f>J479/H479</f>
        <v>94990</v>
      </c>
      <c r="J479" s="52">
        <v>94990</v>
      </c>
      <c r="K479" s="51">
        <v>1</v>
      </c>
      <c r="L479" s="53">
        <f>K479/H479*30</f>
        <v>30</v>
      </c>
    </row>
    <row r="480" spans="1:12" s="2" customFormat="1" ht="13.95" customHeight="1" x14ac:dyDescent="0.2">
      <c r="A480" s="50" t="s">
        <v>70</v>
      </c>
      <c r="B480" s="50" t="s">
        <v>4</v>
      </c>
      <c r="C480" s="50" t="s">
        <v>46</v>
      </c>
      <c r="D480" s="50" t="s">
        <v>794</v>
      </c>
      <c r="E480" s="50" t="s">
        <v>127</v>
      </c>
      <c r="F480" s="50" t="s">
        <v>73</v>
      </c>
      <c r="G480" s="50" t="s">
        <v>97</v>
      </c>
      <c r="H480" s="51">
        <v>1</v>
      </c>
      <c r="I480" s="52">
        <f>J480/H480</f>
        <v>94990</v>
      </c>
      <c r="J480" s="52">
        <v>94990</v>
      </c>
      <c r="K480" s="51">
        <v>7</v>
      </c>
      <c r="L480" s="53">
        <f>K480/H480*30</f>
        <v>210</v>
      </c>
    </row>
    <row r="481" spans="1:12" s="2" customFormat="1" ht="13.95" customHeight="1" x14ac:dyDescent="0.2">
      <c r="A481" s="50" t="s">
        <v>70</v>
      </c>
      <c r="B481" s="50" t="s">
        <v>4</v>
      </c>
      <c r="C481" s="50" t="s">
        <v>46</v>
      </c>
      <c r="D481" s="50" t="s">
        <v>795</v>
      </c>
      <c r="E481" s="50" t="s">
        <v>127</v>
      </c>
      <c r="F481" s="50" t="s">
        <v>128</v>
      </c>
      <c r="G481" s="50" t="s">
        <v>664</v>
      </c>
      <c r="H481" s="51">
        <v>1</v>
      </c>
      <c r="I481" s="52">
        <f>J481/H481</f>
        <v>94990</v>
      </c>
      <c r="J481" s="52">
        <v>94990</v>
      </c>
      <c r="K481" s="51">
        <v>5</v>
      </c>
      <c r="L481" s="53">
        <f>K481/H481*30</f>
        <v>150</v>
      </c>
    </row>
    <row r="482" spans="1:12" s="2" customFormat="1" ht="13.95" customHeight="1" x14ac:dyDescent="0.2">
      <c r="A482" s="50" t="s">
        <v>70</v>
      </c>
      <c r="B482" s="50" t="s">
        <v>4</v>
      </c>
      <c r="C482" s="50" t="s">
        <v>46</v>
      </c>
      <c r="D482" s="50" t="s">
        <v>796</v>
      </c>
      <c r="E482" s="50" t="s">
        <v>127</v>
      </c>
      <c r="F482" s="50" t="s">
        <v>128</v>
      </c>
      <c r="G482" s="50" t="s">
        <v>316</v>
      </c>
      <c r="H482" s="51">
        <v>1</v>
      </c>
      <c r="I482" s="52">
        <f>J482/H482</f>
        <v>94990</v>
      </c>
      <c r="J482" s="52">
        <v>94990</v>
      </c>
      <c r="K482" s="51">
        <v>6</v>
      </c>
      <c r="L482" s="53">
        <f>K482/H482*30</f>
        <v>180</v>
      </c>
    </row>
    <row r="483" spans="1:12" s="2" customFormat="1" ht="13.95" customHeight="1" x14ac:dyDescent="0.2">
      <c r="A483" s="50" t="s">
        <v>70</v>
      </c>
      <c r="B483" s="50" t="s">
        <v>4</v>
      </c>
      <c r="C483" s="50" t="s">
        <v>46</v>
      </c>
      <c r="D483" s="50" t="s">
        <v>797</v>
      </c>
      <c r="E483" s="50" t="s">
        <v>127</v>
      </c>
      <c r="F483" s="50" t="s">
        <v>128</v>
      </c>
      <c r="G483" s="50" t="s">
        <v>600</v>
      </c>
      <c r="H483" s="51">
        <v>1</v>
      </c>
      <c r="I483" s="52">
        <f>J483/H483</f>
        <v>94990</v>
      </c>
      <c r="J483" s="52">
        <v>94990</v>
      </c>
      <c r="K483" s="51">
        <v>15</v>
      </c>
      <c r="L483" s="53">
        <f>K483/H483*30</f>
        <v>450</v>
      </c>
    </row>
    <row r="484" spans="1:12" s="2" customFormat="1" ht="13.95" customHeight="1" x14ac:dyDescent="0.2">
      <c r="A484" s="50" t="s">
        <v>70</v>
      </c>
      <c r="B484" s="50" t="s">
        <v>5</v>
      </c>
      <c r="C484" s="50" t="s">
        <v>45</v>
      </c>
      <c r="D484" s="50" t="s">
        <v>798</v>
      </c>
      <c r="E484" s="50" t="s">
        <v>614</v>
      </c>
      <c r="F484" s="50" t="s">
        <v>73</v>
      </c>
      <c r="G484" s="50" t="s">
        <v>74</v>
      </c>
      <c r="H484" s="51">
        <v>5</v>
      </c>
      <c r="I484" s="52">
        <f>J484/H484</f>
        <v>18990</v>
      </c>
      <c r="J484" s="52">
        <v>94950</v>
      </c>
      <c r="K484" s="51">
        <v>40</v>
      </c>
      <c r="L484" s="53">
        <f>K484/H484*30</f>
        <v>240</v>
      </c>
    </row>
    <row r="485" spans="1:12" s="2" customFormat="1" ht="13.95" customHeight="1" x14ac:dyDescent="0.2">
      <c r="A485" s="50" t="s">
        <v>70</v>
      </c>
      <c r="B485" s="50" t="s">
        <v>5</v>
      </c>
      <c r="C485" s="50" t="s">
        <v>45</v>
      </c>
      <c r="D485" s="50" t="s">
        <v>799</v>
      </c>
      <c r="E485" s="50" t="s">
        <v>614</v>
      </c>
      <c r="F485" s="50" t="s">
        <v>374</v>
      </c>
      <c r="G485" s="50" t="s">
        <v>140</v>
      </c>
      <c r="H485" s="51">
        <v>5</v>
      </c>
      <c r="I485" s="52">
        <f>J485/H485</f>
        <v>18990</v>
      </c>
      <c r="J485" s="52">
        <v>94950</v>
      </c>
      <c r="K485" s="51">
        <v>28</v>
      </c>
      <c r="L485" s="53">
        <f>K485/H485*30</f>
        <v>168</v>
      </c>
    </row>
    <row r="486" spans="1:12" s="2" customFormat="1" ht="13.95" customHeight="1" x14ac:dyDescent="0.2">
      <c r="A486" s="50" t="s">
        <v>70</v>
      </c>
      <c r="B486" s="50" t="s">
        <v>5</v>
      </c>
      <c r="C486" s="50" t="s">
        <v>31</v>
      </c>
      <c r="D486" s="50" t="s">
        <v>800</v>
      </c>
      <c r="E486" s="50" t="s">
        <v>710</v>
      </c>
      <c r="F486" s="50" t="s">
        <v>73</v>
      </c>
      <c r="G486" s="50" t="s">
        <v>97</v>
      </c>
      <c r="H486" s="51">
        <v>3</v>
      </c>
      <c r="I486" s="52">
        <f>J486/H486</f>
        <v>31491</v>
      </c>
      <c r="J486" s="52">
        <v>94473</v>
      </c>
      <c r="K486" s="51">
        <v>12</v>
      </c>
      <c r="L486" s="53">
        <f>K486/H486*30</f>
        <v>120</v>
      </c>
    </row>
    <row r="487" spans="1:12" s="2" customFormat="1" ht="13.95" customHeight="1" x14ac:dyDescent="0.2">
      <c r="A487" s="50" t="s">
        <v>70</v>
      </c>
      <c r="B487" s="50" t="s">
        <v>5</v>
      </c>
      <c r="C487" s="50" t="s">
        <v>45</v>
      </c>
      <c r="D487" s="50" t="s">
        <v>801</v>
      </c>
      <c r="E487" s="50" t="s">
        <v>592</v>
      </c>
      <c r="F487" s="50" t="s">
        <v>73</v>
      </c>
      <c r="G487" s="50" t="s">
        <v>84</v>
      </c>
      <c r="H487" s="51">
        <v>7</v>
      </c>
      <c r="I487" s="52">
        <f>J487/H487</f>
        <v>12990</v>
      </c>
      <c r="J487" s="52">
        <v>90930</v>
      </c>
      <c r="K487" s="51">
        <v>40</v>
      </c>
      <c r="L487" s="53">
        <f>K487/H487*30</f>
        <v>171.42857142857144</v>
      </c>
    </row>
    <row r="488" spans="1:12" s="2" customFormat="1" ht="13.95" customHeight="1" x14ac:dyDescent="0.2">
      <c r="A488" s="50" t="s">
        <v>165</v>
      </c>
      <c r="B488" s="50" t="s">
        <v>4</v>
      </c>
      <c r="C488" s="50" t="s">
        <v>46</v>
      </c>
      <c r="D488" s="50" t="s">
        <v>802</v>
      </c>
      <c r="E488" s="50" t="s">
        <v>228</v>
      </c>
      <c r="F488" s="50" t="s">
        <v>168</v>
      </c>
      <c r="G488" s="50" t="s">
        <v>86</v>
      </c>
      <c r="H488" s="51">
        <v>1</v>
      </c>
      <c r="I488" s="52">
        <f>J488/H488</f>
        <v>89990</v>
      </c>
      <c r="J488" s="52">
        <v>89990</v>
      </c>
      <c r="K488" s="51">
        <v>10</v>
      </c>
      <c r="L488" s="53">
        <f>K488/H488*30</f>
        <v>300</v>
      </c>
    </row>
    <row r="489" spans="1:12" s="2" customFormat="1" ht="13.95" customHeight="1" x14ac:dyDescent="0.2">
      <c r="A489" s="50" t="s">
        <v>165</v>
      </c>
      <c r="B489" s="50" t="s">
        <v>4</v>
      </c>
      <c r="C489" s="50" t="s">
        <v>46</v>
      </c>
      <c r="D489" s="50" t="s">
        <v>803</v>
      </c>
      <c r="E489" s="50" t="s">
        <v>804</v>
      </c>
      <c r="F489" s="50" t="s">
        <v>805</v>
      </c>
      <c r="G489" s="50" t="s">
        <v>806</v>
      </c>
      <c r="H489" s="51">
        <v>1</v>
      </c>
      <c r="I489" s="52">
        <f>J489/H489</f>
        <v>89990</v>
      </c>
      <c r="J489" s="52">
        <v>89990</v>
      </c>
      <c r="K489" s="51">
        <v>17</v>
      </c>
      <c r="L489" s="53">
        <f>K489/H489*30</f>
        <v>510</v>
      </c>
    </row>
    <row r="490" spans="1:12" s="2" customFormat="1" ht="13.95" customHeight="1" x14ac:dyDescent="0.2">
      <c r="A490" s="50" t="s">
        <v>165</v>
      </c>
      <c r="B490" s="50" t="s">
        <v>4</v>
      </c>
      <c r="C490" s="50" t="s">
        <v>46</v>
      </c>
      <c r="D490" s="50" t="s">
        <v>807</v>
      </c>
      <c r="E490" s="50" t="s">
        <v>804</v>
      </c>
      <c r="F490" s="50" t="s">
        <v>805</v>
      </c>
      <c r="G490" s="50" t="s">
        <v>808</v>
      </c>
      <c r="H490" s="51">
        <v>1</v>
      </c>
      <c r="I490" s="52">
        <f>J490/H490</f>
        <v>89990</v>
      </c>
      <c r="J490" s="52">
        <v>89990</v>
      </c>
      <c r="K490" s="51">
        <v>28</v>
      </c>
      <c r="L490" s="53">
        <f>K490/H490*30</f>
        <v>840</v>
      </c>
    </row>
    <row r="491" spans="1:12" s="2" customFormat="1" ht="13.95" customHeight="1" x14ac:dyDescent="0.2">
      <c r="A491" s="50" t="s">
        <v>165</v>
      </c>
      <c r="B491" s="50" t="s">
        <v>4</v>
      </c>
      <c r="C491" s="50" t="s">
        <v>46</v>
      </c>
      <c r="D491" s="50" t="s">
        <v>809</v>
      </c>
      <c r="E491" s="50" t="s">
        <v>804</v>
      </c>
      <c r="F491" s="50" t="s">
        <v>805</v>
      </c>
      <c r="G491" s="50" t="s">
        <v>86</v>
      </c>
      <c r="H491" s="51">
        <v>1</v>
      </c>
      <c r="I491" s="52">
        <f>J491/H491</f>
        <v>89990</v>
      </c>
      <c r="J491" s="52">
        <v>89990</v>
      </c>
      <c r="K491" s="51">
        <v>13</v>
      </c>
      <c r="L491" s="53">
        <f>K491/H491*30</f>
        <v>390</v>
      </c>
    </row>
    <row r="492" spans="1:12" s="2" customFormat="1" ht="13.95" customHeight="1" x14ac:dyDescent="0.2">
      <c r="A492" s="50" t="s">
        <v>165</v>
      </c>
      <c r="B492" s="50" t="s">
        <v>4</v>
      </c>
      <c r="C492" s="50" t="s">
        <v>46</v>
      </c>
      <c r="D492" s="50" t="s">
        <v>810</v>
      </c>
      <c r="E492" s="50" t="s">
        <v>804</v>
      </c>
      <c r="F492" s="50" t="s">
        <v>229</v>
      </c>
      <c r="G492" s="50" t="s">
        <v>811</v>
      </c>
      <c r="H492" s="51">
        <v>1</v>
      </c>
      <c r="I492" s="52">
        <f>J492/H492</f>
        <v>89990</v>
      </c>
      <c r="J492" s="52">
        <v>89990</v>
      </c>
      <c r="K492" s="51">
        <v>5</v>
      </c>
      <c r="L492" s="53">
        <f>K492/H492*30</f>
        <v>150</v>
      </c>
    </row>
    <row r="493" spans="1:12" s="2" customFormat="1" ht="13.95" customHeight="1" x14ac:dyDescent="0.2">
      <c r="A493" s="50" t="s">
        <v>165</v>
      </c>
      <c r="B493" s="50" t="s">
        <v>4</v>
      </c>
      <c r="C493" s="50" t="s">
        <v>46</v>
      </c>
      <c r="D493" s="50" t="s">
        <v>812</v>
      </c>
      <c r="E493" s="50" t="s">
        <v>804</v>
      </c>
      <c r="F493" s="50" t="s">
        <v>229</v>
      </c>
      <c r="G493" s="50" t="s">
        <v>813</v>
      </c>
      <c r="H493" s="51">
        <v>1</v>
      </c>
      <c r="I493" s="52">
        <f>J493/H493</f>
        <v>89990</v>
      </c>
      <c r="J493" s="52">
        <v>89990</v>
      </c>
      <c r="K493" s="51">
        <v>7</v>
      </c>
      <c r="L493" s="53">
        <f>K493/H493*30</f>
        <v>210</v>
      </c>
    </row>
    <row r="494" spans="1:12" s="2" customFormat="1" ht="13.95" customHeight="1" x14ac:dyDescent="0.2">
      <c r="A494" s="50" t="s">
        <v>639</v>
      </c>
      <c r="B494" s="50" t="s">
        <v>9</v>
      </c>
      <c r="C494" s="50" t="s">
        <v>25</v>
      </c>
      <c r="D494" s="50" t="s">
        <v>814</v>
      </c>
      <c r="E494" s="50" t="s">
        <v>815</v>
      </c>
      <c r="F494" s="50" t="s">
        <v>365</v>
      </c>
      <c r="G494" s="50" t="s">
        <v>112</v>
      </c>
      <c r="H494" s="51">
        <v>1</v>
      </c>
      <c r="I494" s="52">
        <f>J494/H494</f>
        <v>89990</v>
      </c>
      <c r="J494" s="52">
        <v>89990</v>
      </c>
      <c r="K494" s="51">
        <v>0</v>
      </c>
      <c r="L494" s="53">
        <f>K494/H494*30</f>
        <v>0</v>
      </c>
    </row>
    <row r="495" spans="1:12" s="2" customFormat="1" ht="13.95" customHeight="1" x14ac:dyDescent="0.2">
      <c r="A495" s="50" t="s">
        <v>639</v>
      </c>
      <c r="B495" s="50" t="s">
        <v>9</v>
      </c>
      <c r="C495" s="50" t="s">
        <v>25</v>
      </c>
      <c r="D495" s="50" t="s">
        <v>816</v>
      </c>
      <c r="E495" s="50" t="s">
        <v>817</v>
      </c>
      <c r="F495" s="50" t="s">
        <v>365</v>
      </c>
      <c r="G495" s="50" t="s">
        <v>818</v>
      </c>
      <c r="H495" s="51">
        <v>1</v>
      </c>
      <c r="I495" s="52">
        <f>J495/H495</f>
        <v>89990</v>
      </c>
      <c r="J495" s="52">
        <v>89990</v>
      </c>
      <c r="K495" s="51">
        <v>1</v>
      </c>
      <c r="L495" s="53">
        <f>K495/H495*30</f>
        <v>30</v>
      </c>
    </row>
    <row r="496" spans="1:12" s="2" customFormat="1" ht="13.95" customHeight="1" x14ac:dyDescent="0.2">
      <c r="A496" s="50" t="s">
        <v>70</v>
      </c>
      <c r="B496" s="50" t="s">
        <v>5</v>
      </c>
      <c r="C496" s="50" t="s">
        <v>30</v>
      </c>
      <c r="D496" s="50" t="s">
        <v>819</v>
      </c>
      <c r="E496" s="50" t="s">
        <v>320</v>
      </c>
      <c r="F496" s="50" t="s">
        <v>73</v>
      </c>
      <c r="G496" s="50" t="s">
        <v>140</v>
      </c>
      <c r="H496" s="51">
        <v>1</v>
      </c>
      <c r="I496" s="52">
        <f>J496/H496</f>
        <v>89990</v>
      </c>
      <c r="J496" s="52">
        <v>89990</v>
      </c>
      <c r="K496" s="51">
        <v>11</v>
      </c>
      <c r="L496" s="53">
        <f>K496/H496*30</f>
        <v>330</v>
      </c>
    </row>
    <row r="497" spans="1:12" s="2" customFormat="1" ht="13.95" customHeight="1" x14ac:dyDescent="0.2">
      <c r="A497" s="50" t="s">
        <v>70</v>
      </c>
      <c r="B497" s="50" t="s">
        <v>5</v>
      </c>
      <c r="C497" s="50" t="s">
        <v>30</v>
      </c>
      <c r="D497" s="50" t="s">
        <v>820</v>
      </c>
      <c r="E497" s="50" t="s">
        <v>320</v>
      </c>
      <c r="F497" s="50" t="s">
        <v>73</v>
      </c>
      <c r="G497" s="50" t="s">
        <v>86</v>
      </c>
      <c r="H497" s="51">
        <v>1</v>
      </c>
      <c r="I497" s="52">
        <f>J497/H497</f>
        <v>89990</v>
      </c>
      <c r="J497" s="52">
        <v>89990</v>
      </c>
      <c r="K497" s="51">
        <v>13</v>
      </c>
      <c r="L497" s="53">
        <f>K497/H497*30</f>
        <v>390</v>
      </c>
    </row>
    <row r="498" spans="1:12" s="2" customFormat="1" ht="13.95" customHeight="1" x14ac:dyDescent="0.2">
      <c r="A498" s="50" t="s">
        <v>70</v>
      </c>
      <c r="B498" s="50" t="s">
        <v>5</v>
      </c>
      <c r="C498" s="50" t="s">
        <v>30</v>
      </c>
      <c r="D498" s="50" t="s">
        <v>821</v>
      </c>
      <c r="E498" s="50" t="s">
        <v>320</v>
      </c>
      <c r="F498" s="50" t="s">
        <v>73</v>
      </c>
      <c r="G498" s="50" t="s">
        <v>74</v>
      </c>
      <c r="H498" s="51">
        <v>1</v>
      </c>
      <c r="I498" s="52">
        <f>J498/H498</f>
        <v>89990</v>
      </c>
      <c r="J498" s="52">
        <v>89990</v>
      </c>
      <c r="K498" s="51">
        <v>10</v>
      </c>
      <c r="L498" s="53">
        <f>K498/H498*30</f>
        <v>300</v>
      </c>
    </row>
    <row r="499" spans="1:12" s="2" customFormat="1" ht="13.95" customHeight="1" x14ac:dyDescent="0.2">
      <c r="A499" s="50" t="s">
        <v>70</v>
      </c>
      <c r="B499" s="50" t="s">
        <v>5</v>
      </c>
      <c r="C499" s="50" t="s">
        <v>30</v>
      </c>
      <c r="D499" s="50" t="s">
        <v>822</v>
      </c>
      <c r="E499" s="50" t="s">
        <v>322</v>
      </c>
      <c r="F499" s="50" t="s">
        <v>106</v>
      </c>
      <c r="G499" s="50" t="s">
        <v>140</v>
      </c>
      <c r="H499" s="51">
        <v>1</v>
      </c>
      <c r="I499" s="52">
        <f>J499/H499</f>
        <v>89990</v>
      </c>
      <c r="J499" s="52">
        <v>89990</v>
      </c>
      <c r="K499" s="51">
        <v>6</v>
      </c>
      <c r="L499" s="53">
        <f>K499/H499*30</f>
        <v>180</v>
      </c>
    </row>
    <row r="500" spans="1:12" s="2" customFormat="1" ht="13.95" customHeight="1" x14ac:dyDescent="0.2">
      <c r="A500" s="50" t="s">
        <v>70</v>
      </c>
      <c r="B500" s="50" t="s">
        <v>5</v>
      </c>
      <c r="C500" s="50" t="s">
        <v>30</v>
      </c>
      <c r="D500" s="50" t="s">
        <v>823</v>
      </c>
      <c r="E500" s="50" t="s">
        <v>324</v>
      </c>
      <c r="F500" s="50" t="s">
        <v>73</v>
      </c>
      <c r="G500" s="50" t="s">
        <v>86</v>
      </c>
      <c r="H500" s="51">
        <v>1</v>
      </c>
      <c r="I500" s="52">
        <f>J500/H500</f>
        <v>89990</v>
      </c>
      <c r="J500" s="52">
        <v>89990</v>
      </c>
      <c r="K500" s="51">
        <v>7</v>
      </c>
      <c r="L500" s="53">
        <f>K500/H500*30</f>
        <v>210</v>
      </c>
    </row>
    <row r="501" spans="1:12" s="2" customFormat="1" ht="13.95" customHeight="1" x14ac:dyDescent="0.2">
      <c r="A501" s="50" t="s">
        <v>70</v>
      </c>
      <c r="B501" s="50" t="s">
        <v>5</v>
      </c>
      <c r="C501" s="50" t="s">
        <v>30</v>
      </c>
      <c r="D501" s="50" t="s">
        <v>824</v>
      </c>
      <c r="E501" s="50" t="s">
        <v>324</v>
      </c>
      <c r="F501" s="50" t="s">
        <v>73</v>
      </c>
      <c r="G501" s="50" t="s">
        <v>84</v>
      </c>
      <c r="H501" s="51">
        <v>1</v>
      </c>
      <c r="I501" s="52">
        <f>J501/H501</f>
        <v>89990</v>
      </c>
      <c r="J501" s="52">
        <v>89990</v>
      </c>
      <c r="K501" s="51">
        <v>0</v>
      </c>
      <c r="L501" s="53">
        <f>K501/H501*30</f>
        <v>0</v>
      </c>
    </row>
    <row r="502" spans="1:12" s="2" customFormat="1" ht="13.95" customHeight="1" x14ac:dyDescent="0.2">
      <c r="A502" s="50" t="s">
        <v>70</v>
      </c>
      <c r="B502" s="50" t="s">
        <v>5</v>
      </c>
      <c r="C502" s="50" t="s">
        <v>30</v>
      </c>
      <c r="D502" s="50" t="s">
        <v>825</v>
      </c>
      <c r="E502" s="50" t="s">
        <v>324</v>
      </c>
      <c r="F502" s="50" t="s">
        <v>106</v>
      </c>
      <c r="G502" s="50" t="s">
        <v>140</v>
      </c>
      <c r="H502" s="51">
        <v>1</v>
      </c>
      <c r="I502" s="52">
        <f>J502/H502</f>
        <v>89990</v>
      </c>
      <c r="J502" s="52">
        <v>89990</v>
      </c>
      <c r="K502" s="51">
        <v>7</v>
      </c>
      <c r="L502" s="53">
        <f>K502/H502*30</f>
        <v>210</v>
      </c>
    </row>
    <row r="503" spans="1:12" s="2" customFormat="1" ht="13.95" customHeight="1" x14ac:dyDescent="0.2">
      <c r="A503" s="50" t="s">
        <v>70</v>
      </c>
      <c r="B503" s="50" t="s">
        <v>5</v>
      </c>
      <c r="C503" s="50" t="s">
        <v>30</v>
      </c>
      <c r="D503" s="50" t="s">
        <v>826</v>
      </c>
      <c r="E503" s="50" t="s">
        <v>324</v>
      </c>
      <c r="F503" s="50" t="s">
        <v>106</v>
      </c>
      <c r="G503" s="50" t="s">
        <v>86</v>
      </c>
      <c r="H503" s="51">
        <v>1</v>
      </c>
      <c r="I503" s="52">
        <f>J503/H503</f>
        <v>89990</v>
      </c>
      <c r="J503" s="52">
        <v>89990</v>
      </c>
      <c r="K503" s="51">
        <v>17</v>
      </c>
      <c r="L503" s="53">
        <f>K503/H503*30</f>
        <v>510</v>
      </c>
    </row>
    <row r="504" spans="1:12" s="2" customFormat="1" ht="13.95" customHeight="1" x14ac:dyDescent="0.2">
      <c r="A504" s="50" t="s">
        <v>70</v>
      </c>
      <c r="B504" s="50" t="s">
        <v>5</v>
      </c>
      <c r="C504" s="50" t="s">
        <v>30</v>
      </c>
      <c r="D504" s="50" t="s">
        <v>827</v>
      </c>
      <c r="E504" s="50" t="s">
        <v>324</v>
      </c>
      <c r="F504" s="50" t="s">
        <v>106</v>
      </c>
      <c r="G504" s="50" t="s">
        <v>112</v>
      </c>
      <c r="H504" s="51">
        <v>1</v>
      </c>
      <c r="I504" s="52">
        <f>J504/H504</f>
        <v>89990</v>
      </c>
      <c r="J504" s="52">
        <v>89990</v>
      </c>
      <c r="K504" s="51">
        <v>13</v>
      </c>
      <c r="L504" s="53">
        <f>K504/H504*30</f>
        <v>390</v>
      </c>
    </row>
    <row r="505" spans="1:12" s="2" customFormat="1" ht="13.95" customHeight="1" x14ac:dyDescent="0.2">
      <c r="A505" s="50" t="s">
        <v>70</v>
      </c>
      <c r="B505" s="50" t="s">
        <v>5</v>
      </c>
      <c r="C505" s="50" t="s">
        <v>30</v>
      </c>
      <c r="D505" s="50" t="s">
        <v>828</v>
      </c>
      <c r="E505" s="50" t="s">
        <v>324</v>
      </c>
      <c r="F505" s="50"/>
      <c r="G505" s="50"/>
      <c r="H505" s="51">
        <v>1</v>
      </c>
      <c r="I505" s="52">
        <f>J505/H505</f>
        <v>89990</v>
      </c>
      <c r="J505" s="52">
        <v>89990</v>
      </c>
      <c r="K505" s="51">
        <v>6</v>
      </c>
      <c r="L505" s="53">
        <f>K505/H505*30</f>
        <v>180</v>
      </c>
    </row>
    <row r="506" spans="1:12" s="2" customFormat="1" ht="13.95" customHeight="1" x14ac:dyDescent="0.2">
      <c r="A506" s="50" t="s">
        <v>70</v>
      </c>
      <c r="B506" s="50" t="s">
        <v>4</v>
      </c>
      <c r="C506" s="50" t="s">
        <v>46</v>
      </c>
      <c r="D506" s="50" t="s">
        <v>829</v>
      </c>
      <c r="E506" s="50" t="s">
        <v>326</v>
      </c>
      <c r="F506" s="50" t="s">
        <v>73</v>
      </c>
      <c r="G506" s="50" t="s">
        <v>88</v>
      </c>
      <c r="H506" s="51">
        <v>1</v>
      </c>
      <c r="I506" s="52">
        <f>J506/H506</f>
        <v>89990</v>
      </c>
      <c r="J506" s="52">
        <v>89990</v>
      </c>
      <c r="K506" s="51">
        <v>14</v>
      </c>
      <c r="L506" s="53">
        <f>K506/H506*30</f>
        <v>420</v>
      </c>
    </row>
    <row r="507" spans="1:12" s="2" customFormat="1" ht="13.95" customHeight="1" x14ac:dyDescent="0.2">
      <c r="A507" s="50" t="s">
        <v>70</v>
      </c>
      <c r="B507" s="50" t="s">
        <v>4</v>
      </c>
      <c r="C507" s="50" t="s">
        <v>46</v>
      </c>
      <c r="D507" s="50" t="s">
        <v>830</v>
      </c>
      <c r="E507" s="50" t="s">
        <v>326</v>
      </c>
      <c r="F507" s="50" t="s">
        <v>73</v>
      </c>
      <c r="G507" s="50" t="s">
        <v>84</v>
      </c>
      <c r="H507" s="51">
        <v>1</v>
      </c>
      <c r="I507" s="52">
        <f>J507/H507</f>
        <v>89990</v>
      </c>
      <c r="J507" s="52">
        <v>89990</v>
      </c>
      <c r="K507" s="51">
        <v>5</v>
      </c>
      <c r="L507" s="53">
        <f>K507/H507*30</f>
        <v>150</v>
      </c>
    </row>
    <row r="508" spans="1:12" s="2" customFormat="1" ht="13.95" customHeight="1" x14ac:dyDescent="0.2">
      <c r="A508" s="50" t="s">
        <v>70</v>
      </c>
      <c r="B508" s="50" t="s">
        <v>4</v>
      </c>
      <c r="C508" s="50" t="s">
        <v>46</v>
      </c>
      <c r="D508" s="50" t="s">
        <v>831</v>
      </c>
      <c r="E508" s="50" t="s">
        <v>326</v>
      </c>
      <c r="F508" s="50" t="s">
        <v>106</v>
      </c>
      <c r="G508" s="50" t="s">
        <v>88</v>
      </c>
      <c r="H508" s="51">
        <v>1</v>
      </c>
      <c r="I508" s="52">
        <f>J508/H508</f>
        <v>89990</v>
      </c>
      <c r="J508" s="52">
        <v>89990</v>
      </c>
      <c r="K508" s="51">
        <v>7</v>
      </c>
      <c r="L508" s="53">
        <f>K508/H508*30</f>
        <v>210</v>
      </c>
    </row>
    <row r="509" spans="1:12" s="2" customFormat="1" ht="13.95" customHeight="1" x14ac:dyDescent="0.2">
      <c r="A509" s="50" t="s">
        <v>70</v>
      </c>
      <c r="B509" s="50" t="s">
        <v>4</v>
      </c>
      <c r="C509" s="50" t="s">
        <v>46</v>
      </c>
      <c r="D509" s="50" t="s">
        <v>832</v>
      </c>
      <c r="E509" s="50" t="s">
        <v>328</v>
      </c>
      <c r="F509" s="50" t="s">
        <v>73</v>
      </c>
      <c r="G509" s="50" t="s">
        <v>74</v>
      </c>
      <c r="H509" s="51">
        <v>1</v>
      </c>
      <c r="I509" s="52">
        <f>J509/H509</f>
        <v>89990</v>
      </c>
      <c r="J509" s="52">
        <v>89990</v>
      </c>
      <c r="K509" s="51">
        <v>5</v>
      </c>
      <c r="L509" s="53">
        <f>K509/H509*30</f>
        <v>150</v>
      </c>
    </row>
    <row r="510" spans="1:12" s="2" customFormat="1" ht="13.95" customHeight="1" x14ac:dyDescent="0.2">
      <c r="A510" s="50" t="s">
        <v>70</v>
      </c>
      <c r="B510" s="50" t="s">
        <v>4</v>
      </c>
      <c r="C510" s="50" t="s">
        <v>46</v>
      </c>
      <c r="D510" s="50" t="s">
        <v>833</v>
      </c>
      <c r="E510" s="50" t="s">
        <v>328</v>
      </c>
      <c r="F510" s="50" t="s">
        <v>106</v>
      </c>
      <c r="G510" s="50" t="s">
        <v>74</v>
      </c>
      <c r="H510" s="51">
        <v>1</v>
      </c>
      <c r="I510" s="52">
        <f>J510/H510</f>
        <v>89990</v>
      </c>
      <c r="J510" s="52">
        <v>89990</v>
      </c>
      <c r="K510" s="51">
        <v>14</v>
      </c>
      <c r="L510" s="53">
        <f>K510/H510*30</f>
        <v>420</v>
      </c>
    </row>
    <row r="511" spans="1:12" s="2" customFormat="1" ht="13.95" customHeight="1" x14ac:dyDescent="0.2">
      <c r="A511" s="50" t="s">
        <v>70</v>
      </c>
      <c r="B511" s="50" t="s">
        <v>4</v>
      </c>
      <c r="C511" s="50" t="s">
        <v>48</v>
      </c>
      <c r="D511" s="50" t="s">
        <v>834</v>
      </c>
      <c r="E511" s="50" t="s">
        <v>110</v>
      </c>
      <c r="F511" s="50" t="s">
        <v>177</v>
      </c>
      <c r="G511" s="50" t="s">
        <v>86</v>
      </c>
      <c r="H511" s="51">
        <v>1</v>
      </c>
      <c r="I511" s="52">
        <f>J511/H511</f>
        <v>89990</v>
      </c>
      <c r="J511" s="52">
        <v>89990</v>
      </c>
      <c r="K511" s="51">
        <v>5</v>
      </c>
      <c r="L511" s="53">
        <f>K511/H511*30</f>
        <v>150</v>
      </c>
    </row>
    <row r="512" spans="1:12" s="2" customFormat="1" ht="13.95" customHeight="1" x14ac:dyDescent="0.2">
      <c r="A512" s="50" t="s">
        <v>70</v>
      </c>
      <c r="B512" s="50" t="s">
        <v>5</v>
      </c>
      <c r="C512" s="50" t="s">
        <v>30</v>
      </c>
      <c r="D512" s="50" t="s">
        <v>835</v>
      </c>
      <c r="E512" s="50" t="s">
        <v>92</v>
      </c>
      <c r="F512" s="50" t="s">
        <v>106</v>
      </c>
      <c r="G512" s="50" t="s">
        <v>97</v>
      </c>
      <c r="H512" s="51">
        <v>2</v>
      </c>
      <c r="I512" s="52">
        <f>J512/H512</f>
        <v>44990</v>
      </c>
      <c r="J512" s="52">
        <v>89980</v>
      </c>
      <c r="K512" s="51">
        <v>29</v>
      </c>
      <c r="L512" s="53">
        <f>K512/H512*30</f>
        <v>435</v>
      </c>
    </row>
    <row r="513" spans="1:12" s="2" customFormat="1" ht="13.95" customHeight="1" x14ac:dyDescent="0.2">
      <c r="A513" s="50" t="s">
        <v>70</v>
      </c>
      <c r="B513" s="50" t="s">
        <v>5</v>
      </c>
      <c r="C513" s="50" t="s">
        <v>30</v>
      </c>
      <c r="D513" s="50" t="s">
        <v>836</v>
      </c>
      <c r="E513" s="50" t="s">
        <v>92</v>
      </c>
      <c r="F513" s="50" t="s">
        <v>106</v>
      </c>
      <c r="G513" s="50" t="s">
        <v>74</v>
      </c>
      <c r="H513" s="51">
        <v>2</v>
      </c>
      <c r="I513" s="52">
        <f>J513/H513</f>
        <v>44990</v>
      </c>
      <c r="J513" s="52">
        <v>89980</v>
      </c>
      <c r="K513" s="51">
        <v>19</v>
      </c>
      <c r="L513" s="53">
        <f>K513/H513*30</f>
        <v>285</v>
      </c>
    </row>
    <row r="514" spans="1:12" s="2" customFormat="1" ht="13.95" customHeight="1" x14ac:dyDescent="0.2">
      <c r="A514" s="50" t="s">
        <v>70</v>
      </c>
      <c r="B514" s="50" t="s">
        <v>5</v>
      </c>
      <c r="C514" s="50" t="s">
        <v>33</v>
      </c>
      <c r="D514" s="50" t="s">
        <v>837</v>
      </c>
      <c r="E514" s="50" t="s">
        <v>409</v>
      </c>
      <c r="F514" s="50" t="s">
        <v>106</v>
      </c>
      <c r="G514" s="50" t="s">
        <v>88</v>
      </c>
      <c r="H514" s="51">
        <v>2</v>
      </c>
      <c r="I514" s="52">
        <f>J514/H514</f>
        <v>44990</v>
      </c>
      <c r="J514" s="52">
        <v>89980</v>
      </c>
      <c r="K514" s="51">
        <v>14</v>
      </c>
      <c r="L514" s="53">
        <f>K514/H514*30</f>
        <v>210</v>
      </c>
    </row>
    <row r="515" spans="1:12" s="2" customFormat="1" ht="13.95" customHeight="1" x14ac:dyDescent="0.2">
      <c r="A515" s="50" t="s">
        <v>257</v>
      </c>
      <c r="B515" s="50" t="s">
        <v>6</v>
      </c>
      <c r="C515" s="50" t="s">
        <v>60</v>
      </c>
      <c r="D515" s="50" t="s">
        <v>838</v>
      </c>
      <c r="E515" s="50" t="s">
        <v>259</v>
      </c>
      <c r="F515" s="50" t="s">
        <v>260</v>
      </c>
      <c r="G515" s="50" t="s">
        <v>839</v>
      </c>
      <c r="H515" s="51">
        <v>3</v>
      </c>
      <c r="I515" s="52">
        <f>J515/H515</f>
        <v>29990</v>
      </c>
      <c r="J515" s="52">
        <v>89970</v>
      </c>
      <c r="K515" s="51">
        <v>68</v>
      </c>
      <c r="L515" s="53">
        <f>K515/H515*30</f>
        <v>680</v>
      </c>
    </row>
    <row r="516" spans="1:12" s="2" customFormat="1" ht="13.95" customHeight="1" x14ac:dyDescent="0.2">
      <c r="A516" s="50" t="s">
        <v>70</v>
      </c>
      <c r="B516" s="50" t="s">
        <v>7</v>
      </c>
      <c r="C516" s="50" t="s">
        <v>18</v>
      </c>
      <c r="D516" s="50" t="s">
        <v>840</v>
      </c>
      <c r="E516" s="50" t="s">
        <v>841</v>
      </c>
      <c r="F516" s="50" t="s">
        <v>580</v>
      </c>
      <c r="G516" s="50" t="s">
        <v>842</v>
      </c>
      <c r="H516" s="51">
        <v>3</v>
      </c>
      <c r="I516" s="52">
        <f>J516/H516</f>
        <v>29990</v>
      </c>
      <c r="J516" s="52">
        <v>89970</v>
      </c>
      <c r="K516" s="51">
        <v>7</v>
      </c>
      <c r="L516" s="53">
        <f>K516/H516*30</f>
        <v>70</v>
      </c>
    </row>
    <row r="517" spans="1:12" s="2" customFormat="1" ht="13.95" customHeight="1" x14ac:dyDescent="0.2">
      <c r="A517" s="50" t="s">
        <v>70</v>
      </c>
      <c r="B517" s="50" t="s">
        <v>7</v>
      </c>
      <c r="C517" s="50" t="s">
        <v>18</v>
      </c>
      <c r="D517" s="50" t="s">
        <v>843</v>
      </c>
      <c r="E517" s="50" t="s">
        <v>844</v>
      </c>
      <c r="F517" s="50" t="s">
        <v>580</v>
      </c>
      <c r="G517" s="50" t="s">
        <v>676</v>
      </c>
      <c r="H517" s="51">
        <v>3</v>
      </c>
      <c r="I517" s="52">
        <f>J517/H517</f>
        <v>29990</v>
      </c>
      <c r="J517" s="52">
        <v>89970</v>
      </c>
      <c r="K517" s="51">
        <v>6</v>
      </c>
      <c r="L517" s="53">
        <f>K517/H517*30</f>
        <v>60</v>
      </c>
    </row>
    <row r="518" spans="1:12" s="2" customFormat="1" ht="13.95" customHeight="1" x14ac:dyDescent="0.2">
      <c r="A518" s="50" t="s">
        <v>70</v>
      </c>
      <c r="B518" s="50" t="s">
        <v>7</v>
      </c>
      <c r="C518" s="50" t="s">
        <v>18</v>
      </c>
      <c r="D518" s="50" t="s">
        <v>845</v>
      </c>
      <c r="E518" s="50" t="s">
        <v>669</v>
      </c>
      <c r="F518" s="50" t="s">
        <v>580</v>
      </c>
      <c r="G518" s="50" t="s">
        <v>846</v>
      </c>
      <c r="H518" s="51">
        <v>3</v>
      </c>
      <c r="I518" s="52">
        <f>J518/H518</f>
        <v>29990</v>
      </c>
      <c r="J518" s="52">
        <v>89970</v>
      </c>
      <c r="K518" s="51">
        <v>13</v>
      </c>
      <c r="L518" s="53">
        <f>K518/H518*30</f>
        <v>130</v>
      </c>
    </row>
    <row r="519" spans="1:12" s="2" customFormat="1" ht="13.95" customHeight="1" x14ac:dyDescent="0.2">
      <c r="A519" s="50" t="s">
        <v>70</v>
      </c>
      <c r="B519" s="50" t="s">
        <v>7</v>
      </c>
      <c r="C519" s="50" t="s">
        <v>18</v>
      </c>
      <c r="D519" s="50" t="s">
        <v>847</v>
      </c>
      <c r="E519" s="50" t="s">
        <v>848</v>
      </c>
      <c r="F519" s="50" t="s">
        <v>580</v>
      </c>
      <c r="G519" s="50" t="s">
        <v>581</v>
      </c>
      <c r="H519" s="51">
        <v>3</v>
      </c>
      <c r="I519" s="52">
        <f>J519/H519</f>
        <v>29990</v>
      </c>
      <c r="J519" s="52">
        <v>89970</v>
      </c>
      <c r="K519" s="51">
        <v>4</v>
      </c>
      <c r="L519" s="53">
        <f>K519/H519*30</f>
        <v>40</v>
      </c>
    </row>
    <row r="520" spans="1:12" s="2" customFormat="1" ht="13.95" customHeight="1" x14ac:dyDescent="0.2">
      <c r="A520" s="50" t="s">
        <v>70</v>
      </c>
      <c r="B520" s="50" t="s">
        <v>7</v>
      </c>
      <c r="C520" s="50" t="s">
        <v>18</v>
      </c>
      <c r="D520" s="50" t="s">
        <v>849</v>
      </c>
      <c r="E520" s="50" t="s">
        <v>675</v>
      </c>
      <c r="F520" s="50" t="s">
        <v>580</v>
      </c>
      <c r="G520" s="50" t="s">
        <v>671</v>
      </c>
      <c r="H520" s="51">
        <v>3</v>
      </c>
      <c r="I520" s="52">
        <f>J520/H520</f>
        <v>29990</v>
      </c>
      <c r="J520" s="52">
        <v>89970</v>
      </c>
      <c r="K520" s="51">
        <v>5</v>
      </c>
      <c r="L520" s="53">
        <f>K520/H520*30</f>
        <v>50</v>
      </c>
    </row>
    <row r="521" spans="1:12" s="2" customFormat="1" ht="13.95" customHeight="1" x14ac:dyDescent="0.2">
      <c r="A521" s="50" t="s">
        <v>70</v>
      </c>
      <c r="B521" s="50" t="s">
        <v>7</v>
      </c>
      <c r="C521" s="50" t="s">
        <v>18</v>
      </c>
      <c r="D521" s="50" t="s">
        <v>850</v>
      </c>
      <c r="E521" s="50" t="s">
        <v>851</v>
      </c>
      <c r="F521" s="50" t="s">
        <v>580</v>
      </c>
      <c r="G521" s="50" t="s">
        <v>581</v>
      </c>
      <c r="H521" s="51">
        <v>3</v>
      </c>
      <c r="I521" s="52">
        <f>J521/H521</f>
        <v>29990</v>
      </c>
      <c r="J521" s="52">
        <v>89970</v>
      </c>
      <c r="K521" s="51">
        <v>13</v>
      </c>
      <c r="L521" s="53">
        <f>K521/H521*30</f>
        <v>130</v>
      </c>
    </row>
    <row r="522" spans="1:12" s="2" customFormat="1" ht="13.95" customHeight="1" x14ac:dyDescent="0.2">
      <c r="A522" s="50" t="s">
        <v>70</v>
      </c>
      <c r="B522" s="50" t="s">
        <v>7</v>
      </c>
      <c r="C522" s="50" t="s">
        <v>18</v>
      </c>
      <c r="D522" s="50" t="s">
        <v>852</v>
      </c>
      <c r="E522" s="50" t="s">
        <v>853</v>
      </c>
      <c r="F522" s="50" t="s">
        <v>580</v>
      </c>
      <c r="G522" s="50" t="s">
        <v>846</v>
      </c>
      <c r="H522" s="51">
        <v>3</v>
      </c>
      <c r="I522" s="52">
        <f>J522/H522</f>
        <v>29990</v>
      </c>
      <c r="J522" s="52">
        <v>89970</v>
      </c>
      <c r="K522" s="51">
        <v>4</v>
      </c>
      <c r="L522" s="53">
        <f>K522/H522*30</f>
        <v>40</v>
      </c>
    </row>
    <row r="523" spans="1:12" s="2" customFormat="1" ht="13.95" customHeight="1" x14ac:dyDescent="0.2">
      <c r="A523" s="50" t="s">
        <v>70</v>
      </c>
      <c r="B523" s="50" t="s">
        <v>7</v>
      </c>
      <c r="C523" s="50" t="s">
        <v>18</v>
      </c>
      <c r="D523" s="50" t="s">
        <v>854</v>
      </c>
      <c r="E523" s="50" t="s">
        <v>855</v>
      </c>
      <c r="F523" s="50" t="s">
        <v>580</v>
      </c>
      <c r="G523" s="50" t="s">
        <v>671</v>
      </c>
      <c r="H523" s="51">
        <v>3</v>
      </c>
      <c r="I523" s="52">
        <f>J523/H523</f>
        <v>29990</v>
      </c>
      <c r="J523" s="52">
        <v>89970</v>
      </c>
      <c r="K523" s="51">
        <v>6</v>
      </c>
      <c r="L523" s="53">
        <f>K523/H523*30</f>
        <v>60</v>
      </c>
    </row>
    <row r="524" spans="1:12" s="2" customFormat="1" ht="13.95" customHeight="1" x14ac:dyDescent="0.2">
      <c r="A524" s="50" t="s">
        <v>70</v>
      </c>
      <c r="B524" s="50" t="s">
        <v>5</v>
      </c>
      <c r="C524" s="50" t="s">
        <v>33</v>
      </c>
      <c r="D524" s="50" t="s">
        <v>856</v>
      </c>
      <c r="E524" s="50" t="s">
        <v>857</v>
      </c>
      <c r="F524" s="50" t="s">
        <v>106</v>
      </c>
      <c r="G524" s="50" t="s">
        <v>74</v>
      </c>
      <c r="H524" s="51">
        <v>6</v>
      </c>
      <c r="I524" s="52">
        <f>J524/H524</f>
        <v>14990</v>
      </c>
      <c r="J524" s="52">
        <v>89940</v>
      </c>
      <c r="K524" s="51">
        <v>16</v>
      </c>
      <c r="L524" s="53">
        <f>K524/H524*30</f>
        <v>80</v>
      </c>
    </row>
    <row r="525" spans="1:12" s="2" customFormat="1" ht="13.95" customHeight="1" x14ac:dyDescent="0.2">
      <c r="A525" s="50" t="s">
        <v>70</v>
      </c>
      <c r="B525" s="50" t="s">
        <v>4</v>
      </c>
      <c r="C525" s="50" t="s">
        <v>51</v>
      </c>
      <c r="D525" s="50" t="s">
        <v>858</v>
      </c>
      <c r="E525" s="50" t="s">
        <v>499</v>
      </c>
      <c r="F525" s="50" t="s">
        <v>73</v>
      </c>
      <c r="G525" s="50" t="s">
        <v>88</v>
      </c>
      <c r="H525" s="51">
        <v>1</v>
      </c>
      <c r="I525" s="52">
        <f>J525/H525</f>
        <v>88990</v>
      </c>
      <c r="J525" s="52">
        <v>88990</v>
      </c>
      <c r="K525" s="51">
        <v>8</v>
      </c>
      <c r="L525" s="53">
        <f>K525/H525*30</f>
        <v>240</v>
      </c>
    </row>
    <row r="526" spans="1:12" s="2" customFormat="1" ht="13.95" customHeight="1" x14ac:dyDescent="0.2">
      <c r="A526" s="50" t="s">
        <v>70</v>
      </c>
      <c r="B526" s="50" t="s">
        <v>4</v>
      </c>
      <c r="C526" s="50" t="s">
        <v>51</v>
      </c>
      <c r="D526" s="50" t="s">
        <v>859</v>
      </c>
      <c r="E526" s="50" t="s">
        <v>499</v>
      </c>
      <c r="F526" s="50" t="s">
        <v>73</v>
      </c>
      <c r="G526" s="50" t="s">
        <v>84</v>
      </c>
      <c r="H526" s="51">
        <v>1</v>
      </c>
      <c r="I526" s="52">
        <f>J526/H526</f>
        <v>88990</v>
      </c>
      <c r="J526" s="52">
        <v>88990</v>
      </c>
      <c r="K526" s="51">
        <v>6</v>
      </c>
      <c r="L526" s="53">
        <f>K526/H526*30</f>
        <v>180</v>
      </c>
    </row>
    <row r="527" spans="1:12" s="2" customFormat="1" ht="13.95" customHeight="1" x14ac:dyDescent="0.2">
      <c r="A527" s="50" t="s">
        <v>70</v>
      </c>
      <c r="B527" s="50" t="s">
        <v>7</v>
      </c>
      <c r="C527" s="50" t="s">
        <v>20</v>
      </c>
      <c r="D527" s="50" t="s">
        <v>860</v>
      </c>
      <c r="E527" s="50" t="s">
        <v>20</v>
      </c>
      <c r="F527" s="50" t="s">
        <v>73</v>
      </c>
      <c r="G527" s="50" t="s">
        <v>86</v>
      </c>
      <c r="H527" s="51">
        <v>5</v>
      </c>
      <c r="I527" s="52">
        <f>J527/H527</f>
        <v>16990</v>
      </c>
      <c r="J527" s="52">
        <v>84950</v>
      </c>
      <c r="K527" s="51">
        <v>12</v>
      </c>
      <c r="L527" s="53">
        <f>K527/H527*30</f>
        <v>72</v>
      </c>
    </row>
    <row r="528" spans="1:12" s="2" customFormat="1" ht="13.95" customHeight="1" x14ac:dyDescent="0.2">
      <c r="A528" s="50" t="s">
        <v>70</v>
      </c>
      <c r="B528" s="50" t="s">
        <v>7</v>
      </c>
      <c r="C528" s="50" t="s">
        <v>20</v>
      </c>
      <c r="D528" s="50" t="s">
        <v>861</v>
      </c>
      <c r="E528" s="50" t="s">
        <v>20</v>
      </c>
      <c r="F528" s="50" t="s">
        <v>106</v>
      </c>
      <c r="G528" s="50" t="s">
        <v>84</v>
      </c>
      <c r="H528" s="51">
        <v>5</v>
      </c>
      <c r="I528" s="52">
        <f>J528/H528</f>
        <v>16990</v>
      </c>
      <c r="J528" s="52">
        <v>84950</v>
      </c>
      <c r="K528" s="51">
        <v>20</v>
      </c>
      <c r="L528" s="53">
        <f>K528/H528*30</f>
        <v>120</v>
      </c>
    </row>
    <row r="529" spans="1:12" s="2" customFormat="1" ht="13.95" customHeight="1" x14ac:dyDescent="0.2">
      <c r="A529" s="50" t="s">
        <v>70</v>
      </c>
      <c r="B529" s="50" t="s">
        <v>4</v>
      </c>
      <c r="C529" s="50" t="s">
        <v>54</v>
      </c>
      <c r="D529" s="50" t="s">
        <v>862</v>
      </c>
      <c r="E529" s="50" t="s">
        <v>232</v>
      </c>
      <c r="F529" s="50" t="s">
        <v>73</v>
      </c>
      <c r="G529" s="50" t="s">
        <v>86</v>
      </c>
      <c r="H529" s="51">
        <v>1</v>
      </c>
      <c r="I529" s="52">
        <f>J529/H529</f>
        <v>83000</v>
      </c>
      <c r="J529" s="52">
        <v>83000</v>
      </c>
      <c r="K529" s="51">
        <v>5</v>
      </c>
      <c r="L529" s="53">
        <f>K529/H529*30</f>
        <v>150</v>
      </c>
    </row>
    <row r="530" spans="1:12" s="2" customFormat="1" ht="13.95" customHeight="1" x14ac:dyDescent="0.2">
      <c r="A530" s="50" t="s">
        <v>70</v>
      </c>
      <c r="B530" s="50" t="s">
        <v>5</v>
      </c>
      <c r="C530" s="50" t="s">
        <v>30</v>
      </c>
      <c r="D530" s="50" t="s">
        <v>863</v>
      </c>
      <c r="E530" s="50" t="s">
        <v>262</v>
      </c>
      <c r="F530" s="50" t="s">
        <v>106</v>
      </c>
      <c r="G530" s="50" t="s">
        <v>112</v>
      </c>
      <c r="H530" s="51">
        <v>1</v>
      </c>
      <c r="I530" s="52">
        <f>J530/H530</f>
        <v>81990</v>
      </c>
      <c r="J530" s="52">
        <v>81990</v>
      </c>
      <c r="K530" s="51">
        <v>11</v>
      </c>
      <c r="L530" s="53">
        <f>K530/H530*30</f>
        <v>330</v>
      </c>
    </row>
    <row r="531" spans="1:12" s="2" customFormat="1" ht="13.95" customHeight="1" x14ac:dyDescent="0.2">
      <c r="A531" s="50" t="s">
        <v>70</v>
      </c>
      <c r="B531" s="50" t="s">
        <v>4</v>
      </c>
      <c r="C531" s="50" t="s">
        <v>46</v>
      </c>
      <c r="D531" s="50" t="s">
        <v>864</v>
      </c>
      <c r="E531" s="50" t="s">
        <v>328</v>
      </c>
      <c r="F531" s="50" t="s">
        <v>865</v>
      </c>
      <c r="G531" s="50" t="s">
        <v>866</v>
      </c>
      <c r="H531" s="51">
        <v>1</v>
      </c>
      <c r="I531" s="52">
        <f>J531/H531</f>
        <v>81990</v>
      </c>
      <c r="J531" s="52">
        <v>81990</v>
      </c>
      <c r="K531" s="51">
        <v>6</v>
      </c>
      <c r="L531" s="53">
        <f>K531/H531*30</f>
        <v>180</v>
      </c>
    </row>
    <row r="532" spans="1:12" s="2" customFormat="1" ht="13.95" customHeight="1" x14ac:dyDescent="0.2">
      <c r="A532" s="50" t="s">
        <v>70</v>
      </c>
      <c r="B532" s="50" t="s">
        <v>5</v>
      </c>
      <c r="C532" s="50" t="s">
        <v>40</v>
      </c>
      <c r="D532" s="50" t="s">
        <v>867</v>
      </c>
      <c r="E532" s="50" t="s">
        <v>524</v>
      </c>
      <c r="F532" s="50" t="s">
        <v>137</v>
      </c>
      <c r="G532" s="50" t="s">
        <v>86</v>
      </c>
      <c r="H532" s="51">
        <v>3</v>
      </c>
      <c r="I532" s="52">
        <f>J532/H532</f>
        <v>26990</v>
      </c>
      <c r="J532" s="52">
        <v>80970</v>
      </c>
      <c r="K532" s="51">
        <v>18</v>
      </c>
      <c r="L532" s="53">
        <f>K532/H532*30</f>
        <v>180</v>
      </c>
    </row>
    <row r="533" spans="1:12" s="2" customFormat="1" ht="13.95" customHeight="1" x14ac:dyDescent="0.2">
      <c r="A533" s="50" t="s">
        <v>70</v>
      </c>
      <c r="B533" s="50" t="s">
        <v>5</v>
      </c>
      <c r="C533" s="50" t="s">
        <v>45</v>
      </c>
      <c r="D533" s="50" t="s">
        <v>868</v>
      </c>
      <c r="E533" s="50" t="s">
        <v>173</v>
      </c>
      <c r="F533" s="50" t="s">
        <v>73</v>
      </c>
      <c r="G533" s="50" t="s">
        <v>88</v>
      </c>
      <c r="H533" s="51">
        <v>3</v>
      </c>
      <c r="I533" s="52">
        <f>J533/H533</f>
        <v>26990</v>
      </c>
      <c r="J533" s="52">
        <v>80970</v>
      </c>
      <c r="K533" s="51">
        <v>29</v>
      </c>
      <c r="L533" s="53">
        <f>K533/H533*30</f>
        <v>290</v>
      </c>
    </row>
    <row r="534" spans="1:12" s="2" customFormat="1" ht="13.95" customHeight="1" x14ac:dyDescent="0.2">
      <c r="A534" s="50" t="s">
        <v>70</v>
      </c>
      <c r="B534" s="50" t="s">
        <v>5</v>
      </c>
      <c r="C534" s="50" t="s">
        <v>45</v>
      </c>
      <c r="D534" s="50" t="s">
        <v>869</v>
      </c>
      <c r="E534" s="50" t="s">
        <v>356</v>
      </c>
      <c r="F534" s="50" t="s">
        <v>73</v>
      </c>
      <c r="G534" s="50" t="s">
        <v>84</v>
      </c>
      <c r="H534" s="51">
        <v>3</v>
      </c>
      <c r="I534" s="52">
        <f>J534/H534</f>
        <v>26990</v>
      </c>
      <c r="J534" s="52">
        <v>80970</v>
      </c>
      <c r="K534" s="51">
        <v>36</v>
      </c>
      <c r="L534" s="53">
        <f>K534/H534*30</f>
        <v>360</v>
      </c>
    </row>
    <row r="535" spans="1:12" s="2" customFormat="1" ht="13.95" customHeight="1" x14ac:dyDescent="0.2">
      <c r="A535" s="50" t="s">
        <v>70</v>
      </c>
      <c r="B535" s="50" t="s">
        <v>5</v>
      </c>
      <c r="C535" s="50" t="s">
        <v>45</v>
      </c>
      <c r="D535" s="50" t="s">
        <v>870</v>
      </c>
      <c r="E535" s="50" t="s">
        <v>356</v>
      </c>
      <c r="F535" s="50" t="s">
        <v>374</v>
      </c>
      <c r="G535" s="50" t="s">
        <v>140</v>
      </c>
      <c r="H535" s="51">
        <v>3</v>
      </c>
      <c r="I535" s="52">
        <f>J535/H535</f>
        <v>26990</v>
      </c>
      <c r="J535" s="52">
        <v>80970</v>
      </c>
      <c r="K535" s="51">
        <v>23</v>
      </c>
      <c r="L535" s="53">
        <f>K535/H535*30</f>
        <v>230</v>
      </c>
    </row>
    <row r="536" spans="1:12" s="2" customFormat="1" ht="13.95" customHeight="1" x14ac:dyDescent="0.2">
      <c r="A536" s="50" t="s">
        <v>70</v>
      </c>
      <c r="B536" s="50" t="s">
        <v>5</v>
      </c>
      <c r="C536" s="50" t="s">
        <v>45</v>
      </c>
      <c r="D536" s="50" t="s">
        <v>871</v>
      </c>
      <c r="E536" s="50" t="s">
        <v>356</v>
      </c>
      <c r="F536" s="50" t="s">
        <v>106</v>
      </c>
      <c r="G536" s="50" t="s">
        <v>74</v>
      </c>
      <c r="H536" s="51">
        <v>3</v>
      </c>
      <c r="I536" s="52">
        <f>J536/H536</f>
        <v>26990</v>
      </c>
      <c r="J536" s="52">
        <v>80970</v>
      </c>
      <c r="K536" s="51">
        <v>27</v>
      </c>
      <c r="L536" s="53">
        <f>K536/H536*30</f>
        <v>270</v>
      </c>
    </row>
    <row r="537" spans="1:12" s="2" customFormat="1" ht="13.95" customHeight="1" x14ac:dyDescent="0.2">
      <c r="A537" s="50" t="s">
        <v>70</v>
      </c>
      <c r="B537" s="50" t="s">
        <v>8</v>
      </c>
      <c r="C537" s="50" t="s">
        <v>8</v>
      </c>
      <c r="D537" s="50" t="s">
        <v>872</v>
      </c>
      <c r="E537" s="50" t="s">
        <v>873</v>
      </c>
      <c r="F537" s="50" t="s">
        <v>216</v>
      </c>
      <c r="G537" s="50" t="s">
        <v>86</v>
      </c>
      <c r="H537" s="51">
        <v>1</v>
      </c>
      <c r="I537" s="52">
        <f>J537/H537</f>
        <v>79990</v>
      </c>
      <c r="J537" s="52">
        <v>79990</v>
      </c>
      <c r="K537" s="51">
        <v>7</v>
      </c>
      <c r="L537" s="53">
        <f>K537/H537*30</f>
        <v>210</v>
      </c>
    </row>
    <row r="538" spans="1:12" s="2" customFormat="1" ht="13.95" customHeight="1" x14ac:dyDescent="0.2">
      <c r="A538" s="50" t="s">
        <v>70</v>
      </c>
      <c r="B538" s="50" t="s">
        <v>8</v>
      </c>
      <c r="C538" s="50" t="s">
        <v>8</v>
      </c>
      <c r="D538" s="50" t="s">
        <v>874</v>
      </c>
      <c r="E538" s="50" t="s">
        <v>873</v>
      </c>
      <c r="F538" s="50" t="s">
        <v>216</v>
      </c>
      <c r="G538" s="50" t="s">
        <v>112</v>
      </c>
      <c r="H538" s="51">
        <v>1</v>
      </c>
      <c r="I538" s="52">
        <f>J538/H538</f>
        <v>79990</v>
      </c>
      <c r="J538" s="52">
        <v>79990</v>
      </c>
      <c r="K538" s="51">
        <v>28</v>
      </c>
      <c r="L538" s="53">
        <f>K538/H538*30</f>
        <v>840</v>
      </c>
    </row>
    <row r="539" spans="1:12" s="2" customFormat="1" ht="13.95" customHeight="1" x14ac:dyDescent="0.2">
      <c r="A539" s="50" t="s">
        <v>70</v>
      </c>
      <c r="B539" s="50" t="s">
        <v>8</v>
      </c>
      <c r="C539" s="50" t="s">
        <v>8</v>
      </c>
      <c r="D539" s="50" t="s">
        <v>875</v>
      </c>
      <c r="E539" s="50" t="s">
        <v>873</v>
      </c>
      <c r="F539" s="50" t="s">
        <v>216</v>
      </c>
      <c r="G539" s="50" t="s">
        <v>112</v>
      </c>
      <c r="H539" s="51">
        <v>1</v>
      </c>
      <c r="I539" s="52">
        <f>J539/H539</f>
        <v>79990</v>
      </c>
      <c r="J539" s="52">
        <v>79990</v>
      </c>
      <c r="K539" s="51">
        <v>8</v>
      </c>
      <c r="L539" s="53">
        <f>K539/H539*30</f>
        <v>240</v>
      </c>
    </row>
    <row r="540" spans="1:12" s="2" customFormat="1" ht="13.95" customHeight="1" x14ac:dyDescent="0.2">
      <c r="A540" s="50" t="s">
        <v>70</v>
      </c>
      <c r="B540" s="50" t="s">
        <v>8</v>
      </c>
      <c r="C540" s="50" t="s">
        <v>8</v>
      </c>
      <c r="D540" s="50" t="s">
        <v>876</v>
      </c>
      <c r="E540" s="50" t="s">
        <v>873</v>
      </c>
      <c r="F540" s="50" t="s">
        <v>216</v>
      </c>
      <c r="G540" s="50" t="s">
        <v>112</v>
      </c>
      <c r="H540" s="51">
        <v>1</v>
      </c>
      <c r="I540" s="52">
        <f>J540/H540</f>
        <v>79990</v>
      </c>
      <c r="J540" s="52">
        <v>79990</v>
      </c>
      <c r="K540" s="51">
        <v>22</v>
      </c>
      <c r="L540" s="53">
        <f>K540/H540*30</f>
        <v>660</v>
      </c>
    </row>
    <row r="541" spans="1:12" s="2" customFormat="1" ht="13.95" customHeight="1" x14ac:dyDescent="0.2">
      <c r="A541" s="50" t="s">
        <v>70</v>
      </c>
      <c r="B541" s="50" t="s">
        <v>4</v>
      </c>
      <c r="C541" s="50" t="s">
        <v>48</v>
      </c>
      <c r="D541" s="50" t="s">
        <v>877</v>
      </c>
      <c r="E541" s="50" t="s">
        <v>537</v>
      </c>
      <c r="F541" s="50" t="s">
        <v>137</v>
      </c>
      <c r="G541" s="50" t="s">
        <v>74</v>
      </c>
      <c r="H541" s="51">
        <v>1</v>
      </c>
      <c r="I541" s="52">
        <f>J541/H541</f>
        <v>79990</v>
      </c>
      <c r="J541" s="52">
        <v>79990</v>
      </c>
      <c r="K541" s="51">
        <v>30</v>
      </c>
      <c r="L541" s="53">
        <f>K541/H541*30</f>
        <v>900</v>
      </c>
    </row>
    <row r="542" spans="1:12" s="2" customFormat="1" ht="13.95" customHeight="1" x14ac:dyDescent="0.2">
      <c r="A542" s="50" t="s">
        <v>70</v>
      </c>
      <c r="B542" s="50" t="s">
        <v>4</v>
      </c>
      <c r="C542" s="50" t="s">
        <v>55</v>
      </c>
      <c r="D542" s="50" t="s">
        <v>878</v>
      </c>
      <c r="E542" s="50" t="s">
        <v>879</v>
      </c>
      <c r="F542" s="50" t="s">
        <v>106</v>
      </c>
      <c r="G542" s="50" t="s">
        <v>330</v>
      </c>
      <c r="H542" s="51">
        <v>1</v>
      </c>
      <c r="I542" s="52">
        <f>J542/H542</f>
        <v>79990</v>
      </c>
      <c r="J542" s="52">
        <v>79990</v>
      </c>
      <c r="K542" s="51">
        <v>4</v>
      </c>
      <c r="L542" s="53">
        <f>K542/H542*30</f>
        <v>120</v>
      </c>
    </row>
    <row r="543" spans="1:12" s="2" customFormat="1" ht="13.95" customHeight="1" x14ac:dyDescent="0.2">
      <c r="A543" s="50" t="s">
        <v>880</v>
      </c>
      <c r="B543" s="50" t="s">
        <v>7</v>
      </c>
      <c r="C543" s="50" t="s">
        <v>14</v>
      </c>
      <c r="D543" s="50" t="s">
        <v>881</v>
      </c>
      <c r="E543" s="50" t="s">
        <v>882</v>
      </c>
      <c r="F543" s="50" t="s">
        <v>883</v>
      </c>
      <c r="G543" s="50" t="s">
        <v>448</v>
      </c>
      <c r="H543" s="51">
        <v>1</v>
      </c>
      <c r="I543" s="52">
        <f>J543/H543</f>
        <v>79990</v>
      </c>
      <c r="J543" s="52">
        <v>79990</v>
      </c>
      <c r="K543" s="51">
        <v>20</v>
      </c>
      <c r="L543" s="53">
        <f>K543/H543*30</f>
        <v>600</v>
      </c>
    </row>
    <row r="544" spans="1:12" s="2" customFormat="1" ht="13.95" customHeight="1" x14ac:dyDescent="0.2">
      <c r="A544" s="50" t="s">
        <v>416</v>
      </c>
      <c r="B544" s="50" t="s">
        <v>8</v>
      </c>
      <c r="C544" s="50" t="s">
        <v>8</v>
      </c>
      <c r="D544" s="50" t="s">
        <v>884</v>
      </c>
      <c r="E544" s="50" t="s">
        <v>444</v>
      </c>
      <c r="F544" s="50" t="s">
        <v>73</v>
      </c>
      <c r="G544" s="50" t="s">
        <v>88</v>
      </c>
      <c r="H544" s="51">
        <v>2</v>
      </c>
      <c r="I544" s="52">
        <f>J544/H544</f>
        <v>39990</v>
      </c>
      <c r="J544" s="52">
        <v>79980</v>
      </c>
      <c r="K544" s="51">
        <v>7</v>
      </c>
      <c r="L544" s="53">
        <f>K544/H544*30</f>
        <v>105</v>
      </c>
    </row>
    <row r="545" spans="1:12" s="2" customFormat="1" ht="13.95" customHeight="1" x14ac:dyDescent="0.2">
      <c r="A545" s="50" t="s">
        <v>416</v>
      </c>
      <c r="B545" s="50" t="s">
        <v>8</v>
      </c>
      <c r="C545" s="50" t="s">
        <v>8</v>
      </c>
      <c r="D545" s="50" t="s">
        <v>885</v>
      </c>
      <c r="E545" s="50" t="s">
        <v>444</v>
      </c>
      <c r="F545" s="50" t="s">
        <v>73</v>
      </c>
      <c r="G545" s="50" t="s">
        <v>74</v>
      </c>
      <c r="H545" s="51">
        <v>2</v>
      </c>
      <c r="I545" s="52">
        <f>J545/H545</f>
        <v>39990</v>
      </c>
      <c r="J545" s="52">
        <v>79980</v>
      </c>
      <c r="K545" s="51">
        <v>3</v>
      </c>
      <c r="L545" s="53">
        <f>K545/H545*30</f>
        <v>45</v>
      </c>
    </row>
    <row r="546" spans="1:12" s="2" customFormat="1" ht="13.95" customHeight="1" x14ac:dyDescent="0.2">
      <c r="A546" s="50" t="s">
        <v>416</v>
      </c>
      <c r="B546" s="50" t="s">
        <v>8</v>
      </c>
      <c r="C546" s="50" t="s">
        <v>8</v>
      </c>
      <c r="D546" s="50" t="s">
        <v>886</v>
      </c>
      <c r="E546" s="50" t="s">
        <v>444</v>
      </c>
      <c r="F546" s="50" t="s">
        <v>73</v>
      </c>
      <c r="G546" s="50" t="s">
        <v>84</v>
      </c>
      <c r="H546" s="51">
        <v>2</v>
      </c>
      <c r="I546" s="52">
        <f>J546/H546</f>
        <v>39990</v>
      </c>
      <c r="J546" s="52">
        <v>79980</v>
      </c>
      <c r="K546" s="51">
        <v>5</v>
      </c>
      <c r="L546" s="53">
        <f>K546/H546*30</f>
        <v>75</v>
      </c>
    </row>
    <row r="547" spans="1:12" s="2" customFormat="1" ht="13.95" customHeight="1" x14ac:dyDescent="0.2">
      <c r="A547" s="50" t="s">
        <v>416</v>
      </c>
      <c r="B547" s="50" t="s">
        <v>8</v>
      </c>
      <c r="C547" s="50" t="s">
        <v>8</v>
      </c>
      <c r="D547" s="50" t="s">
        <v>887</v>
      </c>
      <c r="E547" s="50" t="s">
        <v>444</v>
      </c>
      <c r="F547" s="50" t="s">
        <v>73</v>
      </c>
      <c r="G547" s="50" t="s">
        <v>84</v>
      </c>
      <c r="H547" s="51">
        <v>2</v>
      </c>
      <c r="I547" s="52">
        <f>J547/H547</f>
        <v>39990</v>
      </c>
      <c r="J547" s="52">
        <v>79980</v>
      </c>
      <c r="K547" s="51">
        <v>1</v>
      </c>
      <c r="L547" s="53">
        <f>K547/H547*30</f>
        <v>15</v>
      </c>
    </row>
    <row r="548" spans="1:12" s="2" customFormat="1" ht="13.95" customHeight="1" x14ac:dyDescent="0.2">
      <c r="A548" s="50" t="s">
        <v>70</v>
      </c>
      <c r="B548" s="50" t="s">
        <v>7</v>
      </c>
      <c r="C548" s="50" t="s">
        <v>17</v>
      </c>
      <c r="D548" s="50" t="s">
        <v>888</v>
      </c>
      <c r="E548" s="50" t="s">
        <v>889</v>
      </c>
      <c r="F548" s="50" t="s">
        <v>73</v>
      </c>
      <c r="G548" s="50" t="s">
        <v>84</v>
      </c>
      <c r="H548" s="51">
        <v>2</v>
      </c>
      <c r="I548" s="52">
        <f>J548/H548</f>
        <v>39990</v>
      </c>
      <c r="J548" s="52">
        <v>79980</v>
      </c>
      <c r="K548" s="51">
        <v>12</v>
      </c>
      <c r="L548" s="53">
        <f>K548/H548*30</f>
        <v>180</v>
      </c>
    </row>
    <row r="549" spans="1:12" s="2" customFormat="1" ht="13.95" customHeight="1" x14ac:dyDescent="0.2">
      <c r="A549" s="50" t="s">
        <v>70</v>
      </c>
      <c r="B549" s="50" t="s">
        <v>7</v>
      </c>
      <c r="C549" s="50" t="s">
        <v>17</v>
      </c>
      <c r="D549" s="50" t="s">
        <v>890</v>
      </c>
      <c r="E549" s="50" t="s">
        <v>540</v>
      </c>
      <c r="F549" s="50" t="s">
        <v>73</v>
      </c>
      <c r="G549" s="50" t="s">
        <v>86</v>
      </c>
      <c r="H549" s="51">
        <v>2</v>
      </c>
      <c r="I549" s="52">
        <f>J549/H549</f>
        <v>39990</v>
      </c>
      <c r="J549" s="52">
        <v>79980</v>
      </c>
      <c r="K549" s="51">
        <v>8</v>
      </c>
      <c r="L549" s="53">
        <f>K549/H549*30</f>
        <v>120</v>
      </c>
    </row>
    <row r="550" spans="1:12" s="2" customFormat="1" ht="13.95" customHeight="1" x14ac:dyDescent="0.2">
      <c r="A550" s="50" t="s">
        <v>70</v>
      </c>
      <c r="B550" s="50" t="s">
        <v>5</v>
      </c>
      <c r="C550" s="50" t="s">
        <v>36</v>
      </c>
      <c r="D550" s="50" t="s">
        <v>891</v>
      </c>
      <c r="E550" s="50" t="s">
        <v>892</v>
      </c>
      <c r="F550" s="50" t="s">
        <v>73</v>
      </c>
      <c r="G550" s="50" t="s">
        <v>74</v>
      </c>
      <c r="H550" s="51">
        <v>2</v>
      </c>
      <c r="I550" s="52">
        <f>J550/H550</f>
        <v>39990</v>
      </c>
      <c r="J550" s="52">
        <v>79980</v>
      </c>
      <c r="K550" s="51">
        <v>7</v>
      </c>
      <c r="L550" s="53">
        <f>K550/H550*30</f>
        <v>105</v>
      </c>
    </row>
    <row r="551" spans="1:12" s="2" customFormat="1" ht="13.95" customHeight="1" x14ac:dyDescent="0.2">
      <c r="A551" s="50" t="s">
        <v>70</v>
      </c>
      <c r="B551" s="50" t="s">
        <v>5</v>
      </c>
      <c r="C551" s="50" t="s">
        <v>43</v>
      </c>
      <c r="D551" s="50" t="s">
        <v>893</v>
      </c>
      <c r="E551" s="50" t="s">
        <v>894</v>
      </c>
      <c r="F551" s="50" t="s">
        <v>106</v>
      </c>
      <c r="G551" s="50" t="s">
        <v>84</v>
      </c>
      <c r="H551" s="51">
        <v>2</v>
      </c>
      <c r="I551" s="52">
        <f>J551/H551</f>
        <v>39990</v>
      </c>
      <c r="J551" s="52">
        <v>79980</v>
      </c>
      <c r="K551" s="51">
        <v>4</v>
      </c>
      <c r="L551" s="53">
        <f>K551/H551*30</f>
        <v>60</v>
      </c>
    </row>
    <row r="552" spans="1:12" s="2" customFormat="1" ht="13.95" customHeight="1" x14ac:dyDescent="0.2">
      <c r="A552" s="50" t="s">
        <v>70</v>
      </c>
      <c r="B552" s="50" t="s">
        <v>4</v>
      </c>
      <c r="C552" s="50" t="s">
        <v>51</v>
      </c>
      <c r="D552" s="50" t="s">
        <v>895</v>
      </c>
      <c r="E552" s="50" t="s">
        <v>542</v>
      </c>
      <c r="F552" s="50" t="s">
        <v>73</v>
      </c>
      <c r="G552" s="50" t="s">
        <v>74</v>
      </c>
      <c r="H552" s="51">
        <v>2</v>
      </c>
      <c r="I552" s="52">
        <f>J552/H552</f>
        <v>39990</v>
      </c>
      <c r="J552" s="52">
        <v>79980</v>
      </c>
      <c r="K552" s="51">
        <v>15</v>
      </c>
      <c r="L552" s="53">
        <f>K552/H552*30</f>
        <v>225</v>
      </c>
    </row>
    <row r="553" spans="1:12" s="2" customFormat="1" ht="13.95" customHeight="1" x14ac:dyDescent="0.2">
      <c r="A553" s="50" t="s">
        <v>70</v>
      </c>
      <c r="B553" s="50" t="s">
        <v>4</v>
      </c>
      <c r="C553" s="50" t="s">
        <v>51</v>
      </c>
      <c r="D553" s="50" t="s">
        <v>896</v>
      </c>
      <c r="E553" s="50" t="s">
        <v>542</v>
      </c>
      <c r="F553" s="50" t="s">
        <v>128</v>
      </c>
      <c r="G553" s="50" t="s">
        <v>316</v>
      </c>
      <c r="H553" s="51">
        <v>2</v>
      </c>
      <c r="I553" s="52">
        <f>J553/H553</f>
        <v>39990</v>
      </c>
      <c r="J553" s="52">
        <v>79980</v>
      </c>
      <c r="K553" s="51">
        <v>18</v>
      </c>
      <c r="L553" s="53">
        <f>K553/H553*30</f>
        <v>270</v>
      </c>
    </row>
    <row r="554" spans="1:12" s="2" customFormat="1" ht="13.95" customHeight="1" x14ac:dyDescent="0.2">
      <c r="A554" s="50" t="s">
        <v>532</v>
      </c>
      <c r="B554" s="50" t="s">
        <v>7</v>
      </c>
      <c r="C554" s="50" t="s">
        <v>23</v>
      </c>
      <c r="D554" s="50" t="s">
        <v>897</v>
      </c>
      <c r="E554" s="50" t="s">
        <v>898</v>
      </c>
      <c r="F554" s="50" t="s">
        <v>260</v>
      </c>
      <c r="G554" s="50" t="s">
        <v>899</v>
      </c>
      <c r="H554" s="51">
        <v>2</v>
      </c>
      <c r="I554" s="52">
        <f>J554/H554</f>
        <v>39990</v>
      </c>
      <c r="J554" s="52">
        <v>79980</v>
      </c>
      <c r="K554" s="51">
        <v>9</v>
      </c>
      <c r="L554" s="53">
        <f>K554/H554*30</f>
        <v>135</v>
      </c>
    </row>
    <row r="555" spans="1:12" s="2" customFormat="1" ht="13.95" customHeight="1" x14ac:dyDescent="0.2">
      <c r="A555" s="50" t="s">
        <v>900</v>
      </c>
      <c r="B555" s="50" t="s">
        <v>6</v>
      </c>
      <c r="C555" s="50" t="s">
        <v>57</v>
      </c>
      <c r="D555" s="50" t="s">
        <v>901</v>
      </c>
      <c r="E555" s="50" t="s">
        <v>902</v>
      </c>
      <c r="F555" s="50" t="s">
        <v>260</v>
      </c>
      <c r="G555" s="50" t="s">
        <v>903</v>
      </c>
      <c r="H555" s="51">
        <v>2</v>
      </c>
      <c r="I555" s="52">
        <f>J555/H555</f>
        <v>39990</v>
      </c>
      <c r="J555" s="52">
        <v>79980</v>
      </c>
      <c r="K555" s="51">
        <v>1</v>
      </c>
      <c r="L555" s="53">
        <f>K555/H555*30</f>
        <v>15</v>
      </c>
    </row>
    <row r="556" spans="1:12" s="2" customFormat="1" ht="13.95" customHeight="1" x14ac:dyDescent="0.2">
      <c r="A556" s="50" t="s">
        <v>900</v>
      </c>
      <c r="B556" s="50" t="s">
        <v>6</v>
      </c>
      <c r="C556" s="50" t="s">
        <v>57</v>
      </c>
      <c r="D556" s="50" t="s">
        <v>904</v>
      </c>
      <c r="E556" s="50" t="s">
        <v>905</v>
      </c>
      <c r="F556" s="50" t="s">
        <v>260</v>
      </c>
      <c r="G556" s="50" t="s">
        <v>294</v>
      </c>
      <c r="H556" s="51">
        <v>2</v>
      </c>
      <c r="I556" s="52">
        <f>J556/H556</f>
        <v>39990</v>
      </c>
      <c r="J556" s="52">
        <v>79980</v>
      </c>
      <c r="K556" s="51">
        <v>6</v>
      </c>
      <c r="L556" s="53">
        <f>K556/H556*30</f>
        <v>90</v>
      </c>
    </row>
    <row r="557" spans="1:12" s="2" customFormat="1" ht="13.95" customHeight="1" x14ac:dyDescent="0.2">
      <c r="A557" s="50" t="s">
        <v>70</v>
      </c>
      <c r="B557" s="50" t="s">
        <v>5</v>
      </c>
      <c r="C557" s="50" t="s">
        <v>42</v>
      </c>
      <c r="D557" s="50" t="s">
        <v>906</v>
      </c>
      <c r="E557" s="50" t="s">
        <v>373</v>
      </c>
      <c r="F557" s="50" t="s">
        <v>73</v>
      </c>
      <c r="G557" s="50" t="s">
        <v>88</v>
      </c>
      <c r="H557" s="51">
        <v>5</v>
      </c>
      <c r="I557" s="52">
        <f>J557/H557</f>
        <v>15990</v>
      </c>
      <c r="J557" s="52">
        <v>79950</v>
      </c>
      <c r="K557" s="51">
        <v>72</v>
      </c>
      <c r="L557" s="53">
        <f>K557/H557*30</f>
        <v>432</v>
      </c>
    </row>
    <row r="558" spans="1:12" s="2" customFormat="1" ht="13.95" customHeight="1" x14ac:dyDescent="0.2">
      <c r="A558" s="50" t="s">
        <v>70</v>
      </c>
      <c r="B558" s="50" t="s">
        <v>5</v>
      </c>
      <c r="C558" s="50" t="s">
        <v>45</v>
      </c>
      <c r="D558" s="50" t="s">
        <v>907</v>
      </c>
      <c r="E558" s="50" t="s">
        <v>474</v>
      </c>
      <c r="F558" s="50" t="s">
        <v>73</v>
      </c>
      <c r="G558" s="50" t="s">
        <v>140</v>
      </c>
      <c r="H558" s="51">
        <v>8</v>
      </c>
      <c r="I558" s="52">
        <f>J558/H558</f>
        <v>9990</v>
      </c>
      <c r="J558" s="52">
        <v>79920</v>
      </c>
      <c r="K558" s="51">
        <v>2</v>
      </c>
      <c r="L558" s="53">
        <f>K558/H558*30</f>
        <v>7.5</v>
      </c>
    </row>
    <row r="559" spans="1:12" s="2" customFormat="1" ht="13.95" customHeight="1" x14ac:dyDescent="0.2">
      <c r="A559" s="50" t="s">
        <v>70</v>
      </c>
      <c r="B559" s="50" t="s">
        <v>5</v>
      </c>
      <c r="C559" s="50" t="s">
        <v>45</v>
      </c>
      <c r="D559" s="50" t="s">
        <v>908</v>
      </c>
      <c r="E559" s="50" t="s">
        <v>474</v>
      </c>
      <c r="F559" s="50" t="s">
        <v>73</v>
      </c>
      <c r="G559" s="50" t="s">
        <v>88</v>
      </c>
      <c r="H559" s="51">
        <v>8</v>
      </c>
      <c r="I559" s="52">
        <f>J559/H559</f>
        <v>9990</v>
      </c>
      <c r="J559" s="52">
        <v>79920</v>
      </c>
      <c r="K559" s="51">
        <v>60</v>
      </c>
      <c r="L559" s="53">
        <f>K559/H559*30</f>
        <v>225</v>
      </c>
    </row>
    <row r="560" spans="1:12" s="2" customFormat="1" ht="13.95" customHeight="1" x14ac:dyDescent="0.2">
      <c r="A560" s="50" t="s">
        <v>70</v>
      </c>
      <c r="B560" s="50" t="s">
        <v>5</v>
      </c>
      <c r="C560" s="50" t="s">
        <v>45</v>
      </c>
      <c r="D560" s="50" t="s">
        <v>909</v>
      </c>
      <c r="E560" s="50" t="s">
        <v>474</v>
      </c>
      <c r="F560" s="50" t="s">
        <v>73</v>
      </c>
      <c r="G560" s="50" t="s">
        <v>84</v>
      </c>
      <c r="H560" s="51">
        <v>8</v>
      </c>
      <c r="I560" s="52">
        <f>J560/H560</f>
        <v>9990</v>
      </c>
      <c r="J560" s="52">
        <v>79920</v>
      </c>
      <c r="K560" s="51">
        <v>44</v>
      </c>
      <c r="L560" s="53">
        <f>K560/H560*30</f>
        <v>165</v>
      </c>
    </row>
    <row r="561" spans="1:12" s="2" customFormat="1" ht="13.95" customHeight="1" x14ac:dyDescent="0.2">
      <c r="A561" s="50" t="s">
        <v>70</v>
      </c>
      <c r="B561" s="50" t="s">
        <v>5</v>
      </c>
      <c r="C561" s="50" t="s">
        <v>45</v>
      </c>
      <c r="D561" s="50" t="s">
        <v>910</v>
      </c>
      <c r="E561" s="50" t="s">
        <v>592</v>
      </c>
      <c r="F561" s="50" t="s">
        <v>374</v>
      </c>
      <c r="G561" s="50" t="s">
        <v>330</v>
      </c>
      <c r="H561" s="51">
        <v>6</v>
      </c>
      <c r="I561" s="52">
        <f>J561/H561</f>
        <v>12990</v>
      </c>
      <c r="J561" s="52">
        <v>77940</v>
      </c>
      <c r="K561" s="51">
        <v>24</v>
      </c>
      <c r="L561" s="53">
        <f>K561/H561*30</f>
        <v>120</v>
      </c>
    </row>
    <row r="562" spans="1:12" s="2" customFormat="1" ht="13.95" customHeight="1" x14ac:dyDescent="0.2">
      <c r="A562" s="50" t="s">
        <v>70</v>
      </c>
      <c r="B562" s="50" t="s">
        <v>4</v>
      </c>
      <c r="C562" s="50" t="s">
        <v>48</v>
      </c>
      <c r="D562" s="50" t="s">
        <v>911</v>
      </c>
      <c r="E562" s="50" t="s">
        <v>537</v>
      </c>
      <c r="F562" s="50" t="s">
        <v>128</v>
      </c>
      <c r="G562" s="50" t="s">
        <v>206</v>
      </c>
      <c r="H562" s="51">
        <v>1</v>
      </c>
      <c r="I562" s="52">
        <f>J562/H562</f>
        <v>75990</v>
      </c>
      <c r="J562" s="52">
        <v>75990</v>
      </c>
      <c r="K562" s="51">
        <v>30</v>
      </c>
      <c r="L562" s="53">
        <f>K562/H562*30</f>
        <v>900</v>
      </c>
    </row>
    <row r="563" spans="1:12" s="2" customFormat="1" ht="13.95" customHeight="1" x14ac:dyDescent="0.2">
      <c r="A563" s="50" t="s">
        <v>70</v>
      </c>
      <c r="B563" s="50" t="s">
        <v>4</v>
      </c>
      <c r="C563" s="50" t="s">
        <v>48</v>
      </c>
      <c r="D563" s="50" t="s">
        <v>912</v>
      </c>
      <c r="E563" s="50" t="s">
        <v>537</v>
      </c>
      <c r="F563" s="50" t="s">
        <v>106</v>
      </c>
      <c r="G563" s="50" t="s">
        <v>97</v>
      </c>
      <c r="H563" s="51">
        <v>1</v>
      </c>
      <c r="I563" s="52">
        <f>J563/H563</f>
        <v>75990</v>
      </c>
      <c r="J563" s="52">
        <v>75990</v>
      </c>
      <c r="K563" s="51">
        <v>10</v>
      </c>
      <c r="L563" s="53">
        <f>K563/H563*30</f>
        <v>300</v>
      </c>
    </row>
    <row r="564" spans="1:12" s="2" customFormat="1" ht="13.95" customHeight="1" x14ac:dyDescent="0.2">
      <c r="A564" s="50" t="s">
        <v>70</v>
      </c>
      <c r="B564" s="50" t="s">
        <v>5</v>
      </c>
      <c r="C564" s="50" t="s">
        <v>45</v>
      </c>
      <c r="D564" s="50" t="s">
        <v>913</v>
      </c>
      <c r="E564" s="50" t="s">
        <v>614</v>
      </c>
      <c r="F564" s="50" t="s">
        <v>73</v>
      </c>
      <c r="G564" s="50" t="s">
        <v>84</v>
      </c>
      <c r="H564" s="51">
        <v>4</v>
      </c>
      <c r="I564" s="52">
        <f>J564/H564</f>
        <v>18990</v>
      </c>
      <c r="J564" s="52">
        <v>75960</v>
      </c>
      <c r="K564" s="51">
        <v>50</v>
      </c>
      <c r="L564" s="53">
        <f>K564/H564*30</f>
        <v>375</v>
      </c>
    </row>
    <row r="565" spans="1:12" s="2" customFormat="1" ht="13.95" customHeight="1" x14ac:dyDescent="0.2">
      <c r="A565" s="50" t="s">
        <v>70</v>
      </c>
      <c r="B565" s="50" t="s">
        <v>5</v>
      </c>
      <c r="C565" s="50" t="s">
        <v>45</v>
      </c>
      <c r="D565" s="50" t="s">
        <v>914</v>
      </c>
      <c r="E565" s="50" t="s">
        <v>614</v>
      </c>
      <c r="F565" s="50" t="s">
        <v>374</v>
      </c>
      <c r="G565" s="50" t="s">
        <v>330</v>
      </c>
      <c r="H565" s="51">
        <v>4</v>
      </c>
      <c r="I565" s="52">
        <f>J565/H565</f>
        <v>18990</v>
      </c>
      <c r="J565" s="52">
        <v>75960</v>
      </c>
      <c r="K565" s="51">
        <v>19</v>
      </c>
      <c r="L565" s="53">
        <f>K565/H565*30</f>
        <v>142.5</v>
      </c>
    </row>
    <row r="566" spans="1:12" s="2" customFormat="1" ht="13.95" customHeight="1" x14ac:dyDescent="0.2">
      <c r="A566" s="50" t="s">
        <v>70</v>
      </c>
      <c r="B566" s="50" t="s">
        <v>5</v>
      </c>
      <c r="C566" s="50" t="s">
        <v>33</v>
      </c>
      <c r="D566" s="50" t="s">
        <v>915</v>
      </c>
      <c r="E566" s="50" t="s">
        <v>333</v>
      </c>
      <c r="F566" s="50" t="s">
        <v>137</v>
      </c>
      <c r="G566" s="50" t="s">
        <v>74</v>
      </c>
      <c r="H566" s="51">
        <v>3</v>
      </c>
      <c r="I566" s="52">
        <f>J566/H566</f>
        <v>24990</v>
      </c>
      <c r="J566" s="52">
        <v>74970</v>
      </c>
      <c r="K566" s="51">
        <v>13</v>
      </c>
      <c r="L566" s="53">
        <f>K566/H566*30</f>
        <v>130</v>
      </c>
    </row>
    <row r="567" spans="1:12" s="2" customFormat="1" ht="13.95" customHeight="1" x14ac:dyDescent="0.2">
      <c r="A567" s="50" t="s">
        <v>70</v>
      </c>
      <c r="B567" s="50" t="s">
        <v>5</v>
      </c>
      <c r="C567" s="50" t="s">
        <v>32</v>
      </c>
      <c r="D567" s="50" t="s">
        <v>916</v>
      </c>
      <c r="E567" s="50" t="s">
        <v>917</v>
      </c>
      <c r="F567" s="50" t="s">
        <v>223</v>
      </c>
      <c r="G567" s="50" t="s">
        <v>224</v>
      </c>
      <c r="H567" s="51">
        <v>2</v>
      </c>
      <c r="I567" s="52">
        <f>J567/H567</f>
        <v>36990</v>
      </c>
      <c r="J567" s="52">
        <v>73980</v>
      </c>
      <c r="K567" s="51">
        <v>8</v>
      </c>
      <c r="L567" s="53">
        <f>K567/H567*30</f>
        <v>120</v>
      </c>
    </row>
    <row r="568" spans="1:12" s="2" customFormat="1" ht="13.95" customHeight="1" x14ac:dyDescent="0.2">
      <c r="A568" s="50" t="s">
        <v>70</v>
      </c>
      <c r="B568" s="50" t="s">
        <v>4</v>
      </c>
      <c r="C568" s="50" t="s">
        <v>48</v>
      </c>
      <c r="D568" s="50" t="s">
        <v>918</v>
      </c>
      <c r="E568" s="50" t="s">
        <v>296</v>
      </c>
      <c r="F568" s="50" t="s">
        <v>73</v>
      </c>
      <c r="G568" s="50" t="s">
        <v>330</v>
      </c>
      <c r="H568" s="51">
        <v>1</v>
      </c>
      <c r="I568" s="52">
        <f>J568/H568</f>
        <v>71990</v>
      </c>
      <c r="J568" s="52">
        <v>71990</v>
      </c>
      <c r="K568" s="51">
        <v>11</v>
      </c>
      <c r="L568" s="53">
        <f>K568/H568*30</f>
        <v>330</v>
      </c>
    </row>
    <row r="569" spans="1:12" s="2" customFormat="1" ht="13.95" customHeight="1" x14ac:dyDescent="0.2">
      <c r="A569" s="50" t="s">
        <v>70</v>
      </c>
      <c r="B569" s="50" t="s">
        <v>5</v>
      </c>
      <c r="C569" s="50" t="s">
        <v>33</v>
      </c>
      <c r="D569" s="50" t="s">
        <v>919</v>
      </c>
      <c r="E569" s="50" t="s">
        <v>333</v>
      </c>
      <c r="F569" s="50" t="s">
        <v>374</v>
      </c>
      <c r="G569" s="50" t="s">
        <v>330</v>
      </c>
      <c r="H569" s="51">
        <v>3</v>
      </c>
      <c r="I569" s="52">
        <f>J569/H569</f>
        <v>23990</v>
      </c>
      <c r="J569" s="52">
        <v>71970</v>
      </c>
      <c r="K569" s="51">
        <v>27</v>
      </c>
      <c r="L569" s="53">
        <f>K569/H569*30</f>
        <v>270</v>
      </c>
    </row>
    <row r="570" spans="1:12" s="2" customFormat="1" ht="13.95" customHeight="1" x14ac:dyDescent="0.2">
      <c r="A570" s="50" t="s">
        <v>70</v>
      </c>
      <c r="B570" s="50" t="s">
        <v>5</v>
      </c>
      <c r="C570" s="50" t="s">
        <v>40</v>
      </c>
      <c r="D570" s="50" t="s">
        <v>920</v>
      </c>
      <c r="E570" s="50" t="s">
        <v>708</v>
      </c>
      <c r="F570" s="50" t="s">
        <v>73</v>
      </c>
      <c r="G570" s="50" t="s">
        <v>88</v>
      </c>
      <c r="H570" s="51">
        <v>4</v>
      </c>
      <c r="I570" s="52">
        <f>J570/H570</f>
        <v>17990</v>
      </c>
      <c r="J570" s="52">
        <v>71960</v>
      </c>
      <c r="K570" s="51">
        <v>25</v>
      </c>
      <c r="L570" s="53">
        <f>K570/H570*30</f>
        <v>187.5</v>
      </c>
    </row>
    <row r="571" spans="1:12" s="2" customFormat="1" ht="13.95" customHeight="1" x14ac:dyDescent="0.2">
      <c r="A571" s="50" t="s">
        <v>70</v>
      </c>
      <c r="B571" s="50" t="s">
        <v>5</v>
      </c>
      <c r="C571" s="50" t="s">
        <v>45</v>
      </c>
      <c r="D571" s="50" t="s">
        <v>921</v>
      </c>
      <c r="E571" s="50" t="s">
        <v>922</v>
      </c>
      <c r="F571" s="50" t="s">
        <v>73</v>
      </c>
      <c r="G571" s="50" t="s">
        <v>88</v>
      </c>
      <c r="H571" s="51">
        <v>6</v>
      </c>
      <c r="I571" s="52">
        <f>J571/H571</f>
        <v>11990</v>
      </c>
      <c r="J571" s="52">
        <v>71940</v>
      </c>
      <c r="K571" s="51">
        <v>29</v>
      </c>
      <c r="L571" s="53">
        <f>K571/H571*30</f>
        <v>145</v>
      </c>
    </row>
    <row r="572" spans="1:12" s="2" customFormat="1" ht="13.95" customHeight="1" x14ac:dyDescent="0.2">
      <c r="A572" s="50" t="s">
        <v>70</v>
      </c>
      <c r="B572" s="50" t="s">
        <v>4</v>
      </c>
      <c r="C572" s="50" t="s">
        <v>53</v>
      </c>
      <c r="D572" s="50" t="s">
        <v>923</v>
      </c>
      <c r="E572" s="50" t="s">
        <v>589</v>
      </c>
      <c r="F572" s="50" t="s">
        <v>73</v>
      </c>
      <c r="G572" s="50" t="s">
        <v>97</v>
      </c>
      <c r="H572" s="51">
        <v>1</v>
      </c>
      <c r="I572" s="52">
        <f>J572/H572</f>
        <v>69990</v>
      </c>
      <c r="J572" s="52">
        <v>69990</v>
      </c>
      <c r="K572" s="51">
        <v>0</v>
      </c>
      <c r="L572" s="53">
        <f>K572/H572*30</f>
        <v>0</v>
      </c>
    </row>
    <row r="573" spans="1:12" s="2" customFormat="1" ht="13.95" customHeight="1" x14ac:dyDescent="0.2">
      <c r="A573" s="50" t="s">
        <v>70</v>
      </c>
      <c r="B573" s="50" t="s">
        <v>4</v>
      </c>
      <c r="C573" s="50" t="s">
        <v>53</v>
      </c>
      <c r="D573" s="50" t="s">
        <v>924</v>
      </c>
      <c r="E573" s="50" t="s">
        <v>589</v>
      </c>
      <c r="F573" s="50" t="s">
        <v>73</v>
      </c>
      <c r="G573" s="50" t="s">
        <v>84</v>
      </c>
      <c r="H573" s="51">
        <v>1</v>
      </c>
      <c r="I573" s="52">
        <f>J573/H573</f>
        <v>69990</v>
      </c>
      <c r="J573" s="52">
        <v>69990</v>
      </c>
      <c r="K573" s="51">
        <v>11</v>
      </c>
      <c r="L573" s="53">
        <f>K573/H573*30</f>
        <v>330</v>
      </c>
    </row>
    <row r="574" spans="1:12" s="2" customFormat="1" ht="13.95" customHeight="1" x14ac:dyDescent="0.2">
      <c r="A574" s="50" t="s">
        <v>70</v>
      </c>
      <c r="B574" s="50" t="s">
        <v>4</v>
      </c>
      <c r="C574" s="50" t="s">
        <v>53</v>
      </c>
      <c r="D574" s="50" t="s">
        <v>925</v>
      </c>
      <c r="E574" s="50" t="s">
        <v>589</v>
      </c>
      <c r="F574" s="50" t="s">
        <v>223</v>
      </c>
      <c r="G574" s="50" t="s">
        <v>224</v>
      </c>
      <c r="H574" s="51">
        <v>1</v>
      </c>
      <c r="I574" s="52">
        <f>J574/H574</f>
        <v>69990</v>
      </c>
      <c r="J574" s="52">
        <v>69990</v>
      </c>
      <c r="K574" s="51">
        <v>8</v>
      </c>
      <c r="L574" s="53">
        <f>K574/H574*30</f>
        <v>240</v>
      </c>
    </row>
    <row r="575" spans="1:12" s="2" customFormat="1" ht="13.95" customHeight="1" x14ac:dyDescent="0.2">
      <c r="A575" s="50" t="s">
        <v>70</v>
      </c>
      <c r="B575" s="50" t="s">
        <v>5</v>
      </c>
      <c r="C575" s="50" t="s">
        <v>31</v>
      </c>
      <c r="D575" s="50" t="s">
        <v>926</v>
      </c>
      <c r="E575" s="50" t="s">
        <v>710</v>
      </c>
      <c r="F575" s="50" t="s">
        <v>73</v>
      </c>
      <c r="G575" s="50" t="s">
        <v>330</v>
      </c>
      <c r="H575" s="51">
        <v>2</v>
      </c>
      <c r="I575" s="52">
        <f>J575/H575</f>
        <v>34990</v>
      </c>
      <c r="J575" s="52">
        <v>69980</v>
      </c>
      <c r="K575" s="51">
        <v>12</v>
      </c>
      <c r="L575" s="53">
        <f>K575/H575*30</f>
        <v>180</v>
      </c>
    </row>
    <row r="576" spans="1:12" s="2" customFormat="1" ht="13.95" customHeight="1" x14ac:dyDescent="0.2">
      <c r="A576" s="50" t="s">
        <v>70</v>
      </c>
      <c r="B576" s="50" t="s">
        <v>5</v>
      </c>
      <c r="C576" s="50" t="s">
        <v>35</v>
      </c>
      <c r="D576" s="50" t="s">
        <v>927</v>
      </c>
      <c r="E576" s="50" t="s">
        <v>35</v>
      </c>
      <c r="F576" s="50" t="s">
        <v>223</v>
      </c>
      <c r="G576" s="50" t="s">
        <v>224</v>
      </c>
      <c r="H576" s="51">
        <v>2</v>
      </c>
      <c r="I576" s="52">
        <f>J576/H576</f>
        <v>34990</v>
      </c>
      <c r="J576" s="52">
        <v>69980</v>
      </c>
      <c r="K576" s="51">
        <v>0</v>
      </c>
      <c r="L576" s="53">
        <f>K576/H576*30</f>
        <v>0</v>
      </c>
    </row>
    <row r="577" spans="1:12" s="2" customFormat="1" ht="13.95" customHeight="1" x14ac:dyDescent="0.2">
      <c r="A577" s="50" t="s">
        <v>70</v>
      </c>
      <c r="B577" s="50" t="s">
        <v>5</v>
      </c>
      <c r="C577" s="50" t="s">
        <v>41</v>
      </c>
      <c r="D577" s="50" t="s">
        <v>928</v>
      </c>
      <c r="E577" s="50" t="s">
        <v>929</v>
      </c>
      <c r="F577" s="50" t="s">
        <v>73</v>
      </c>
      <c r="G577" s="50" t="s">
        <v>86</v>
      </c>
      <c r="H577" s="51">
        <v>2</v>
      </c>
      <c r="I577" s="52">
        <f>J577/H577</f>
        <v>34990</v>
      </c>
      <c r="J577" s="52">
        <v>69980</v>
      </c>
      <c r="K577" s="51">
        <v>9</v>
      </c>
      <c r="L577" s="53">
        <f>K577/H577*30</f>
        <v>135</v>
      </c>
    </row>
    <row r="578" spans="1:12" s="2" customFormat="1" ht="13.95" customHeight="1" x14ac:dyDescent="0.2">
      <c r="A578" s="50" t="s">
        <v>70</v>
      </c>
      <c r="B578" s="50" t="s">
        <v>5</v>
      </c>
      <c r="C578" s="50" t="s">
        <v>45</v>
      </c>
      <c r="D578" s="50" t="s">
        <v>930</v>
      </c>
      <c r="E578" s="50" t="s">
        <v>931</v>
      </c>
      <c r="F578" s="50" t="s">
        <v>73</v>
      </c>
      <c r="G578" s="50" t="s">
        <v>84</v>
      </c>
      <c r="H578" s="51">
        <v>2</v>
      </c>
      <c r="I578" s="52">
        <f>J578/H578</f>
        <v>34990</v>
      </c>
      <c r="J578" s="52">
        <v>69980</v>
      </c>
      <c r="K578" s="51">
        <v>13</v>
      </c>
      <c r="L578" s="53">
        <f>K578/H578*30</f>
        <v>195</v>
      </c>
    </row>
    <row r="579" spans="1:12" s="2" customFormat="1" ht="13.95" customHeight="1" x14ac:dyDescent="0.2">
      <c r="A579" s="50" t="s">
        <v>70</v>
      </c>
      <c r="B579" s="50" t="s">
        <v>5</v>
      </c>
      <c r="C579" s="50" t="s">
        <v>40</v>
      </c>
      <c r="D579" s="50" t="s">
        <v>932</v>
      </c>
      <c r="E579" s="50" t="s">
        <v>933</v>
      </c>
      <c r="F579" s="50" t="s">
        <v>137</v>
      </c>
      <c r="G579" s="50" t="s">
        <v>140</v>
      </c>
      <c r="H579" s="51">
        <v>5</v>
      </c>
      <c r="I579" s="52">
        <f>J579/H579</f>
        <v>13990</v>
      </c>
      <c r="J579" s="52">
        <v>69950</v>
      </c>
      <c r="K579" s="51">
        <v>33</v>
      </c>
      <c r="L579" s="53">
        <f>K579/H579*30</f>
        <v>198</v>
      </c>
    </row>
    <row r="580" spans="1:12" s="2" customFormat="1" ht="13.95" customHeight="1" x14ac:dyDescent="0.2">
      <c r="A580" s="50" t="s">
        <v>70</v>
      </c>
      <c r="B580" s="50" t="s">
        <v>4</v>
      </c>
      <c r="C580" s="50" t="s">
        <v>53</v>
      </c>
      <c r="D580" s="50" t="s">
        <v>934</v>
      </c>
      <c r="E580" s="50" t="s">
        <v>610</v>
      </c>
      <c r="F580" s="50" t="s">
        <v>223</v>
      </c>
      <c r="G580" s="50" t="s">
        <v>224</v>
      </c>
      <c r="H580" s="51">
        <v>1</v>
      </c>
      <c r="I580" s="52">
        <f>J580/H580</f>
        <v>66990</v>
      </c>
      <c r="J580" s="52">
        <v>66990</v>
      </c>
      <c r="K580" s="51">
        <v>15</v>
      </c>
      <c r="L580" s="53">
        <f>K580/H580*30</f>
        <v>450</v>
      </c>
    </row>
    <row r="581" spans="1:12" s="2" customFormat="1" ht="13.95" customHeight="1" x14ac:dyDescent="0.2">
      <c r="A581" s="50" t="s">
        <v>70</v>
      </c>
      <c r="B581" s="50" t="s">
        <v>5</v>
      </c>
      <c r="C581" s="50" t="s">
        <v>30</v>
      </c>
      <c r="D581" s="50" t="s">
        <v>935</v>
      </c>
      <c r="E581" s="50" t="s">
        <v>162</v>
      </c>
      <c r="F581" s="50" t="s">
        <v>106</v>
      </c>
      <c r="G581" s="50" t="s">
        <v>140</v>
      </c>
      <c r="H581" s="51">
        <v>1</v>
      </c>
      <c r="I581" s="52">
        <f>J581/H581</f>
        <v>65990</v>
      </c>
      <c r="J581" s="52">
        <v>65990</v>
      </c>
      <c r="K581" s="51">
        <v>5</v>
      </c>
      <c r="L581" s="53">
        <f>K581/H581*30</f>
        <v>150</v>
      </c>
    </row>
    <row r="582" spans="1:12" s="2" customFormat="1" ht="13.95" customHeight="1" x14ac:dyDescent="0.2">
      <c r="A582" s="50" t="s">
        <v>70</v>
      </c>
      <c r="B582" s="50" t="s">
        <v>5</v>
      </c>
      <c r="C582" s="50" t="s">
        <v>30</v>
      </c>
      <c r="D582" s="50" t="s">
        <v>936</v>
      </c>
      <c r="E582" s="50" t="s">
        <v>162</v>
      </c>
      <c r="F582" s="50" t="s">
        <v>106</v>
      </c>
      <c r="G582" s="50" t="s">
        <v>86</v>
      </c>
      <c r="H582" s="51">
        <v>1</v>
      </c>
      <c r="I582" s="52">
        <f>J582/H582</f>
        <v>65990</v>
      </c>
      <c r="J582" s="52">
        <v>65990</v>
      </c>
      <c r="K582" s="51">
        <v>13</v>
      </c>
      <c r="L582" s="53">
        <f>K582/H582*30</f>
        <v>390</v>
      </c>
    </row>
    <row r="583" spans="1:12" s="2" customFormat="1" ht="13.95" customHeight="1" x14ac:dyDescent="0.2">
      <c r="A583" s="50" t="s">
        <v>70</v>
      </c>
      <c r="B583" s="50" t="s">
        <v>5</v>
      </c>
      <c r="C583" s="50" t="s">
        <v>30</v>
      </c>
      <c r="D583" s="50" t="s">
        <v>937</v>
      </c>
      <c r="E583" s="50" t="s">
        <v>162</v>
      </c>
      <c r="F583" s="50" t="s">
        <v>106</v>
      </c>
      <c r="G583" s="50" t="s">
        <v>112</v>
      </c>
      <c r="H583" s="51">
        <v>1</v>
      </c>
      <c r="I583" s="52">
        <f>J583/H583</f>
        <v>65990</v>
      </c>
      <c r="J583" s="52">
        <v>65990</v>
      </c>
      <c r="K583" s="51">
        <v>8</v>
      </c>
      <c r="L583" s="53">
        <f>K583/H583*30</f>
        <v>240</v>
      </c>
    </row>
    <row r="584" spans="1:12" s="2" customFormat="1" ht="13.95" customHeight="1" x14ac:dyDescent="0.2">
      <c r="A584" s="50" t="s">
        <v>70</v>
      </c>
      <c r="B584" s="50" t="s">
        <v>5</v>
      </c>
      <c r="C584" s="50" t="s">
        <v>33</v>
      </c>
      <c r="D584" s="50" t="s">
        <v>938</v>
      </c>
      <c r="E584" s="50" t="s">
        <v>120</v>
      </c>
      <c r="F584" s="50" t="s">
        <v>73</v>
      </c>
      <c r="G584" s="50" t="s">
        <v>86</v>
      </c>
      <c r="H584" s="51">
        <v>1</v>
      </c>
      <c r="I584" s="52">
        <f>J584/H584</f>
        <v>65990</v>
      </c>
      <c r="J584" s="52">
        <v>65990</v>
      </c>
      <c r="K584" s="51">
        <v>18</v>
      </c>
      <c r="L584" s="53">
        <f>K584/H584*30</f>
        <v>540</v>
      </c>
    </row>
    <row r="585" spans="1:12" s="2" customFormat="1" ht="13.95" customHeight="1" x14ac:dyDescent="0.2">
      <c r="A585" s="50" t="s">
        <v>70</v>
      </c>
      <c r="B585" s="50" t="s">
        <v>4</v>
      </c>
      <c r="C585" s="50" t="s">
        <v>54</v>
      </c>
      <c r="D585" s="50" t="s">
        <v>939</v>
      </c>
      <c r="E585" s="50" t="s">
        <v>453</v>
      </c>
      <c r="F585" s="50" t="s">
        <v>73</v>
      </c>
      <c r="G585" s="50" t="s">
        <v>88</v>
      </c>
      <c r="H585" s="51">
        <v>1</v>
      </c>
      <c r="I585" s="52">
        <f>J585/H585</f>
        <v>65990</v>
      </c>
      <c r="J585" s="52">
        <v>65990</v>
      </c>
      <c r="K585" s="51">
        <v>22</v>
      </c>
      <c r="L585" s="53">
        <f>K585/H585*30</f>
        <v>660</v>
      </c>
    </row>
    <row r="586" spans="1:12" s="2" customFormat="1" ht="13.95" customHeight="1" x14ac:dyDescent="0.2">
      <c r="A586" s="50" t="s">
        <v>70</v>
      </c>
      <c r="B586" s="50" t="s">
        <v>4</v>
      </c>
      <c r="C586" s="50" t="s">
        <v>54</v>
      </c>
      <c r="D586" s="50" t="s">
        <v>940</v>
      </c>
      <c r="E586" s="50" t="s">
        <v>453</v>
      </c>
      <c r="F586" s="50" t="s">
        <v>223</v>
      </c>
      <c r="G586" s="50" t="s">
        <v>224</v>
      </c>
      <c r="H586" s="51">
        <v>1</v>
      </c>
      <c r="I586" s="52">
        <f>J586/H586</f>
        <v>65990</v>
      </c>
      <c r="J586" s="52">
        <v>65990</v>
      </c>
      <c r="K586" s="51">
        <v>12</v>
      </c>
      <c r="L586" s="53">
        <f>K586/H586*30</f>
        <v>360</v>
      </c>
    </row>
    <row r="587" spans="1:12" s="2" customFormat="1" ht="13.95" customHeight="1" x14ac:dyDescent="0.2">
      <c r="A587" s="50" t="s">
        <v>70</v>
      </c>
      <c r="B587" s="50" t="s">
        <v>4</v>
      </c>
      <c r="C587" s="50" t="s">
        <v>54</v>
      </c>
      <c r="D587" s="50" t="s">
        <v>941</v>
      </c>
      <c r="E587" s="50" t="s">
        <v>455</v>
      </c>
      <c r="F587" s="50" t="s">
        <v>73</v>
      </c>
      <c r="G587" s="50" t="s">
        <v>88</v>
      </c>
      <c r="H587" s="51">
        <v>1</v>
      </c>
      <c r="I587" s="52">
        <f>J587/H587</f>
        <v>65990</v>
      </c>
      <c r="J587" s="52">
        <v>65990</v>
      </c>
      <c r="K587" s="51">
        <v>22</v>
      </c>
      <c r="L587" s="53">
        <f>K587/H587*30</f>
        <v>660</v>
      </c>
    </row>
    <row r="588" spans="1:12" s="2" customFormat="1" ht="13.95" customHeight="1" x14ac:dyDescent="0.2">
      <c r="A588" s="50" t="s">
        <v>70</v>
      </c>
      <c r="B588" s="50" t="s">
        <v>4</v>
      </c>
      <c r="C588" s="50" t="s">
        <v>54</v>
      </c>
      <c r="D588" s="50" t="s">
        <v>942</v>
      </c>
      <c r="E588" s="50" t="s">
        <v>455</v>
      </c>
      <c r="F588" s="50" t="s">
        <v>73</v>
      </c>
      <c r="G588" s="50" t="s">
        <v>943</v>
      </c>
      <c r="H588" s="51">
        <v>1</v>
      </c>
      <c r="I588" s="52">
        <f>J588/H588</f>
        <v>65990</v>
      </c>
      <c r="J588" s="52">
        <v>65990</v>
      </c>
      <c r="K588" s="51">
        <v>18</v>
      </c>
      <c r="L588" s="53">
        <f>K588/H588*30</f>
        <v>540</v>
      </c>
    </row>
    <row r="589" spans="1:12" s="2" customFormat="1" ht="13.95" customHeight="1" x14ac:dyDescent="0.2">
      <c r="A589" s="50" t="s">
        <v>70</v>
      </c>
      <c r="B589" s="50" t="s">
        <v>4</v>
      </c>
      <c r="C589" s="50" t="s">
        <v>54</v>
      </c>
      <c r="D589" s="50" t="s">
        <v>944</v>
      </c>
      <c r="E589" s="50" t="s">
        <v>455</v>
      </c>
      <c r="F589" s="50" t="s">
        <v>73</v>
      </c>
      <c r="G589" s="50" t="s">
        <v>74</v>
      </c>
      <c r="H589" s="51">
        <v>1</v>
      </c>
      <c r="I589" s="52">
        <f>J589/H589</f>
        <v>65990</v>
      </c>
      <c r="J589" s="52">
        <v>65990</v>
      </c>
      <c r="K589" s="51">
        <v>12</v>
      </c>
      <c r="L589" s="53">
        <f>K589/H589*30</f>
        <v>360</v>
      </c>
    </row>
    <row r="590" spans="1:12" s="2" customFormat="1" ht="13.95" customHeight="1" x14ac:dyDescent="0.2">
      <c r="A590" s="50" t="s">
        <v>70</v>
      </c>
      <c r="B590" s="50" t="s">
        <v>5</v>
      </c>
      <c r="C590" s="50" t="s">
        <v>40</v>
      </c>
      <c r="D590" s="50" t="s">
        <v>945</v>
      </c>
      <c r="E590" s="50" t="s">
        <v>946</v>
      </c>
      <c r="F590" s="50" t="s">
        <v>73</v>
      </c>
      <c r="G590" s="50" t="s">
        <v>86</v>
      </c>
      <c r="H590" s="51">
        <v>2</v>
      </c>
      <c r="I590" s="52">
        <f>J590/H590</f>
        <v>32990</v>
      </c>
      <c r="J590" s="52">
        <v>65980</v>
      </c>
      <c r="K590" s="51">
        <v>56</v>
      </c>
      <c r="L590" s="53">
        <f>K590/H590*30</f>
        <v>840</v>
      </c>
    </row>
    <row r="591" spans="1:12" s="2" customFormat="1" ht="13.95" customHeight="1" x14ac:dyDescent="0.2">
      <c r="A591" s="50" t="s">
        <v>70</v>
      </c>
      <c r="B591" s="50" t="s">
        <v>5</v>
      </c>
      <c r="C591" s="50" t="s">
        <v>40</v>
      </c>
      <c r="D591" s="50" t="s">
        <v>947</v>
      </c>
      <c r="E591" s="50" t="s">
        <v>946</v>
      </c>
      <c r="F591" s="50" t="s">
        <v>73</v>
      </c>
      <c r="G591" s="50" t="s">
        <v>74</v>
      </c>
      <c r="H591" s="51">
        <v>2</v>
      </c>
      <c r="I591" s="52">
        <f>J591/H591</f>
        <v>32990</v>
      </c>
      <c r="J591" s="52">
        <v>65980</v>
      </c>
      <c r="K591" s="51">
        <v>25</v>
      </c>
      <c r="L591" s="53">
        <f>K591/H591*30</f>
        <v>375</v>
      </c>
    </row>
    <row r="592" spans="1:12" s="2" customFormat="1" ht="13.95" customHeight="1" x14ac:dyDescent="0.2">
      <c r="A592" s="50" t="s">
        <v>70</v>
      </c>
      <c r="B592" s="50" t="s">
        <v>5</v>
      </c>
      <c r="C592" s="50" t="s">
        <v>40</v>
      </c>
      <c r="D592" s="50" t="s">
        <v>948</v>
      </c>
      <c r="E592" s="50" t="s">
        <v>946</v>
      </c>
      <c r="F592" s="50" t="s">
        <v>73</v>
      </c>
      <c r="G592" s="50" t="s">
        <v>84</v>
      </c>
      <c r="H592" s="51">
        <v>2</v>
      </c>
      <c r="I592" s="52">
        <f>J592/H592</f>
        <v>32990</v>
      </c>
      <c r="J592" s="52">
        <v>65980</v>
      </c>
      <c r="K592" s="51">
        <v>21</v>
      </c>
      <c r="L592" s="53">
        <f>K592/H592*30</f>
        <v>315</v>
      </c>
    </row>
    <row r="593" spans="1:12" s="2" customFormat="1" ht="13.95" customHeight="1" x14ac:dyDescent="0.2">
      <c r="A593" s="50" t="s">
        <v>70</v>
      </c>
      <c r="B593" s="50" t="s">
        <v>5</v>
      </c>
      <c r="C593" s="50" t="s">
        <v>40</v>
      </c>
      <c r="D593" s="50" t="s">
        <v>949</v>
      </c>
      <c r="E593" s="50" t="s">
        <v>946</v>
      </c>
      <c r="F593" s="50" t="s">
        <v>137</v>
      </c>
      <c r="G593" s="50" t="s">
        <v>140</v>
      </c>
      <c r="H593" s="51">
        <v>2</v>
      </c>
      <c r="I593" s="52">
        <f>J593/H593</f>
        <v>32990</v>
      </c>
      <c r="J593" s="52">
        <v>65980</v>
      </c>
      <c r="K593" s="51">
        <v>18</v>
      </c>
      <c r="L593" s="53">
        <f>K593/H593*30</f>
        <v>270</v>
      </c>
    </row>
    <row r="594" spans="1:12" s="2" customFormat="1" ht="13.95" customHeight="1" x14ac:dyDescent="0.2">
      <c r="A594" s="50" t="s">
        <v>70</v>
      </c>
      <c r="B594" s="50" t="s">
        <v>5</v>
      </c>
      <c r="C594" s="50" t="s">
        <v>40</v>
      </c>
      <c r="D594" s="50" t="s">
        <v>950</v>
      </c>
      <c r="E594" s="50" t="s">
        <v>946</v>
      </c>
      <c r="F594" s="50" t="s">
        <v>137</v>
      </c>
      <c r="G594" s="50" t="s">
        <v>88</v>
      </c>
      <c r="H594" s="51">
        <v>2</v>
      </c>
      <c r="I594" s="52">
        <f>J594/H594</f>
        <v>32990</v>
      </c>
      <c r="J594" s="52">
        <v>65980</v>
      </c>
      <c r="K594" s="51">
        <v>28</v>
      </c>
      <c r="L594" s="53">
        <f>K594/H594*30</f>
        <v>420</v>
      </c>
    </row>
    <row r="595" spans="1:12" s="2" customFormat="1" ht="13.95" customHeight="1" x14ac:dyDescent="0.2">
      <c r="A595" s="50" t="s">
        <v>70</v>
      </c>
      <c r="B595" s="50" t="s">
        <v>5</v>
      </c>
      <c r="C595" s="50" t="s">
        <v>40</v>
      </c>
      <c r="D595" s="50" t="s">
        <v>951</v>
      </c>
      <c r="E595" s="50" t="s">
        <v>946</v>
      </c>
      <c r="F595" s="50" t="s">
        <v>137</v>
      </c>
      <c r="G595" s="50" t="s">
        <v>86</v>
      </c>
      <c r="H595" s="51">
        <v>2</v>
      </c>
      <c r="I595" s="52">
        <f>J595/H595</f>
        <v>32990</v>
      </c>
      <c r="J595" s="52">
        <v>65980</v>
      </c>
      <c r="K595" s="51">
        <v>39</v>
      </c>
      <c r="L595" s="53">
        <f>K595/H595*30</f>
        <v>585</v>
      </c>
    </row>
    <row r="596" spans="1:12" s="2" customFormat="1" ht="13.95" customHeight="1" x14ac:dyDescent="0.2">
      <c r="A596" s="50" t="s">
        <v>70</v>
      </c>
      <c r="B596" s="50" t="s">
        <v>5</v>
      </c>
      <c r="C596" s="50" t="s">
        <v>30</v>
      </c>
      <c r="D596" s="50" t="s">
        <v>952</v>
      </c>
      <c r="E596" s="50" t="s">
        <v>457</v>
      </c>
      <c r="F596" s="50" t="s">
        <v>73</v>
      </c>
      <c r="G596" s="50" t="s">
        <v>84</v>
      </c>
      <c r="H596" s="51">
        <v>1</v>
      </c>
      <c r="I596" s="52">
        <f>J596/H596</f>
        <v>64990</v>
      </c>
      <c r="J596" s="52">
        <v>64990</v>
      </c>
      <c r="K596" s="51">
        <v>3</v>
      </c>
      <c r="L596" s="53">
        <f>K596/H596*30</f>
        <v>90</v>
      </c>
    </row>
    <row r="597" spans="1:12" s="2" customFormat="1" ht="13.95" customHeight="1" x14ac:dyDescent="0.2">
      <c r="A597" s="50" t="s">
        <v>70</v>
      </c>
      <c r="B597" s="50" t="s">
        <v>5</v>
      </c>
      <c r="C597" s="50" t="s">
        <v>30</v>
      </c>
      <c r="D597" s="50" t="s">
        <v>953</v>
      </c>
      <c r="E597" s="50" t="s">
        <v>457</v>
      </c>
      <c r="F597" s="50" t="s">
        <v>137</v>
      </c>
      <c r="G597" s="50" t="s">
        <v>74</v>
      </c>
      <c r="H597" s="51">
        <v>1</v>
      </c>
      <c r="I597" s="52">
        <f>J597/H597</f>
        <v>64990</v>
      </c>
      <c r="J597" s="52">
        <v>64990</v>
      </c>
      <c r="K597" s="51">
        <v>0</v>
      </c>
      <c r="L597" s="53">
        <f>K597/H597*30</f>
        <v>0</v>
      </c>
    </row>
    <row r="598" spans="1:12" s="2" customFormat="1" ht="13.95" customHeight="1" x14ac:dyDescent="0.2">
      <c r="A598" s="50" t="s">
        <v>70</v>
      </c>
      <c r="B598" s="50" t="s">
        <v>5</v>
      </c>
      <c r="C598" s="50" t="s">
        <v>34</v>
      </c>
      <c r="D598" s="50" t="s">
        <v>954</v>
      </c>
      <c r="E598" s="50" t="s">
        <v>212</v>
      </c>
      <c r="F598" s="50" t="s">
        <v>73</v>
      </c>
      <c r="G598" s="50" t="s">
        <v>86</v>
      </c>
      <c r="H598" s="51">
        <v>1</v>
      </c>
      <c r="I598" s="52">
        <f>J598/H598</f>
        <v>64990</v>
      </c>
      <c r="J598" s="52">
        <v>64990</v>
      </c>
      <c r="K598" s="51">
        <v>8</v>
      </c>
      <c r="L598" s="53">
        <f>K598/H598*30</f>
        <v>240</v>
      </c>
    </row>
    <row r="599" spans="1:12" s="2" customFormat="1" ht="13.95" customHeight="1" x14ac:dyDescent="0.2">
      <c r="A599" s="50" t="s">
        <v>70</v>
      </c>
      <c r="B599" s="50" t="s">
        <v>5</v>
      </c>
      <c r="C599" s="50" t="s">
        <v>34</v>
      </c>
      <c r="D599" s="50" t="s">
        <v>955</v>
      </c>
      <c r="E599" s="50" t="s">
        <v>212</v>
      </c>
      <c r="F599" s="50" t="s">
        <v>73</v>
      </c>
      <c r="G599" s="50" t="s">
        <v>74</v>
      </c>
      <c r="H599" s="51">
        <v>1</v>
      </c>
      <c r="I599" s="52">
        <f>J599/H599</f>
        <v>64990</v>
      </c>
      <c r="J599" s="52">
        <v>64990</v>
      </c>
      <c r="K599" s="51">
        <v>6</v>
      </c>
      <c r="L599" s="53">
        <f>K599/H599*30</f>
        <v>180</v>
      </c>
    </row>
    <row r="600" spans="1:12" s="2" customFormat="1" ht="13.95" customHeight="1" x14ac:dyDescent="0.2">
      <c r="A600" s="50" t="s">
        <v>70</v>
      </c>
      <c r="B600" s="50" t="s">
        <v>5</v>
      </c>
      <c r="C600" s="50" t="s">
        <v>34</v>
      </c>
      <c r="D600" s="50" t="s">
        <v>956</v>
      </c>
      <c r="E600" s="50" t="s">
        <v>212</v>
      </c>
      <c r="F600" s="50" t="s">
        <v>137</v>
      </c>
      <c r="G600" s="50" t="s">
        <v>88</v>
      </c>
      <c r="H600" s="51">
        <v>1</v>
      </c>
      <c r="I600" s="52">
        <f>J600/H600</f>
        <v>64990</v>
      </c>
      <c r="J600" s="52">
        <v>64990</v>
      </c>
      <c r="K600" s="51">
        <v>4</v>
      </c>
      <c r="L600" s="53">
        <f>K600/H600*30</f>
        <v>120</v>
      </c>
    </row>
    <row r="601" spans="1:12" s="2" customFormat="1" ht="13.95" customHeight="1" x14ac:dyDescent="0.2">
      <c r="A601" s="50" t="s">
        <v>70</v>
      </c>
      <c r="B601" s="50" t="s">
        <v>5</v>
      </c>
      <c r="C601" s="50" t="s">
        <v>40</v>
      </c>
      <c r="D601" s="50" t="s">
        <v>957</v>
      </c>
      <c r="E601" s="50" t="s">
        <v>933</v>
      </c>
      <c r="F601" s="50" t="s">
        <v>73</v>
      </c>
      <c r="G601" s="50" t="s">
        <v>97</v>
      </c>
      <c r="H601" s="51">
        <v>5</v>
      </c>
      <c r="I601" s="52">
        <f>J601/H601</f>
        <v>12990</v>
      </c>
      <c r="J601" s="52">
        <v>64950</v>
      </c>
      <c r="K601" s="51">
        <v>33</v>
      </c>
      <c r="L601" s="53">
        <f>K601/H601*30</f>
        <v>198</v>
      </c>
    </row>
    <row r="602" spans="1:12" s="2" customFormat="1" ht="13.95" customHeight="1" x14ac:dyDescent="0.2">
      <c r="A602" s="50" t="s">
        <v>70</v>
      </c>
      <c r="B602" s="50" t="s">
        <v>5</v>
      </c>
      <c r="C602" s="50" t="s">
        <v>40</v>
      </c>
      <c r="D602" s="50" t="s">
        <v>958</v>
      </c>
      <c r="E602" s="50" t="s">
        <v>933</v>
      </c>
      <c r="F602" s="50" t="s">
        <v>73</v>
      </c>
      <c r="G602" s="50" t="s">
        <v>330</v>
      </c>
      <c r="H602" s="51">
        <v>5</v>
      </c>
      <c r="I602" s="52">
        <f>J602/H602</f>
        <v>12990</v>
      </c>
      <c r="J602" s="52">
        <v>64950</v>
      </c>
      <c r="K602" s="51">
        <v>23</v>
      </c>
      <c r="L602" s="53">
        <f>K602/H602*30</f>
        <v>138</v>
      </c>
    </row>
    <row r="603" spans="1:12" s="2" customFormat="1" ht="13.95" customHeight="1" x14ac:dyDescent="0.2">
      <c r="A603" s="50" t="s">
        <v>70</v>
      </c>
      <c r="B603" s="50" t="s">
        <v>5</v>
      </c>
      <c r="C603" s="50" t="s">
        <v>40</v>
      </c>
      <c r="D603" s="50" t="s">
        <v>959</v>
      </c>
      <c r="E603" s="50" t="s">
        <v>933</v>
      </c>
      <c r="F603" s="50" t="s">
        <v>106</v>
      </c>
      <c r="G603" s="50" t="s">
        <v>74</v>
      </c>
      <c r="H603" s="51">
        <v>5</v>
      </c>
      <c r="I603" s="52">
        <f>J603/H603</f>
        <v>12990</v>
      </c>
      <c r="J603" s="52">
        <v>64950</v>
      </c>
      <c r="K603" s="51">
        <v>29</v>
      </c>
      <c r="L603" s="53">
        <f>K603/H603*30</f>
        <v>174</v>
      </c>
    </row>
    <row r="604" spans="1:12" s="2" customFormat="1" ht="13.95" customHeight="1" x14ac:dyDescent="0.2">
      <c r="A604" s="50" t="s">
        <v>70</v>
      </c>
      <c r="B604" s="50" t="s">
        <v>5</v>
      </c>
      <c r="C604" s="50" t="s">
        <v>40</v>
      </c>
      <c r="D604" s="50" t="s">
        <v>960</v>
      </c>
      <c r="E604" s="50" t="s">
        <v>340</v>
      </c>
      <c r="F604" s="50" t="s">
        <v>73</v>
      </c>
      <c r="G604" s="50" t="s">
        <v>74</v>
      </c>
      <c r="H604" s="51">
        <v>5</v>
      </c>
      <c r="I604" s="52">
        <f>J604/H604</f>
        <v>12990</v>
      </c>
      <c r="J604" s="52">
        <v>64950</v>
      </c>
      <c r="K604" s="51">
        <v>26</v>
      </c>
      <c r="L604" s="53">
        <f>K604/H604*30</f>
        <v>156</v>
      </c>
    </row>
    <row r="605" spans="1:12" s="2" customFormat="1" ht="13.95" customHeight="1" x14ac:dyDescent="0.2">
      <c r="A605" s="50" t="s">
        <v>70</v>
      </c>
      <c r="B605" s="50" t="s">
        <v>5</v>
      </c>
      <c r="C605" s="50" t="s">
        <v>45</v>
      </c>
      <c r="D605" s="50" t="s">
        <v>961</v>
      </c>
      <c r="E605" s="50" t="s">
        <v>592</v>
      </c>
      <c r="F605" s="50" t="s">
        <v>374</v>
      </c>
      <c r="G605" s="50" t="s">
        <v>140</v>
      </c>
      <c r="H605" s="51">
        <v>5</v>
      </c>
      <c r="I605" s="52">
        <f>J605/H605</f>
        <v>12990</v>
      </c>
      <c r="J605" s="52">
        <v>64950</v>
      </c>
      <c r="K605" s="51">
        <v>53</v>
      </c>
      <c r="L605" s="53">
        <f>K605/H605*30</f>
        <v>318</v>
      </c>
    </row>
    <row r="606" spans="1:12" s="2" customFormat="1" ht="13.95" customHeight="1" x14ac:dyDescent="0.2">
      <c r="A606" s="50" t="s">
        <v>70</v>
      </c>
      <c r="B606" s="50" t="s">
        <v>5</v>
      </c>
      <c r="C606" s="50" t="s">
        <v>30</v>
      </c>
      <c r="D606" s="50" t="s">
        <v>962</v>
      </c>
      <c r="E606" s="50" t="s">
        <v>348</v>
      </c>
      <c r="F606" s="50" t="s">
        <v>73</v>
      </c>
      <c r="G606" s="50" t="s">
        <v>88</v>
      </c>
      <c r="H606" s="51">
        <v>1</v>
      </c>
      <c r="I606" s="52">
        <f>J606/H606</f>
        <v>62990</v>
      </c>
      <c r="J606" s="52">
        <v>62990</v>
      </c>
      <c r="K606" s="51">
        <v>10</v>
      </c>
      <c r="L606" s="53">
        <f>K606/H606*30</f>
        <v>300</v>
      </c>
    </row>
    <row r="607" spans="1:12" s="2" customFormat="1" ht="13.95" customHeight="1" x14ac:dyDescent="0.2">
      <c r="A607" s="50" t="s">
        <v>70</v>
      </c>
      <c r="B607" s="50" t="s">
        <v>5</v>
      </c>
      <c r="C607" s="50" t="s">
        <v>30</v>
      </c>
      <c r="D607" s="50" t="s">
        <v>963</v>
      </c>
      <c r="E607" s="50" t="s">
        <v>348</v>
      </c>
      <c r="F607" s="50" t="s">
        <v>73</v>
      </c>
      <c r="G607" s="50" t="s">
        <v>84</v>
      </c>
      <c r="H607" s="51">
        <v>1</v>
      </c>
      <c r="I607" s="52">
        <f>J607/H607</f>
        <v>62990</v>
      </c>
      <c r="J607" s="52">
        <v>62990</v>
      </c>
      <c r="K607" s="51">
        <v>10</v>
      </c>
      <c r="L607" s="53">
        <f>K607/H607*30</f>
        <v>300</v>
      </c>
    </row>
    <row r="608" spans="1:12" s="2" customFormat="1" ht="13.95" customHeight="1" x14ac:dyDescent="0.2">
      <c r="A608" s="50" t="s">
        <v>70</v>
      </c>
      <c r="B608" s="50" t="s">
        <v>5</v>
      </c>
      <c r="C608" s="50" t="s">
        <v>30</v>
      </c>
      <c r="D608" s="50" t="s">
        <v>964</v>
      </c>
      <c r="E608" s="50" t="s">
        <v>348</v>
      </c>
      <c r="F608" s="50" t="s">
        <v>106</v>
      </c>
      <c r="G608" s="50" t="s">
        <v>140</v>
      </c>
      <c r="H608" s="51">
        <v>1</v>
      </c>
      <c r="I608" s="52">
        <f>J608/H608</f>
        <v>62990</v>
      </c>
      <c r="J608" s="52">
        <v>62990</v>
      </c>
      <c r="K608" s="51">
        <v>17</v>
      </c>
      <c r="L608" s="53">
        <f>K608/H608*30</f>
        <v>510</v>
      </c>
    </row>
    <row r="609" spans="1:12" s="2" customFormat="1" ht="13.95" customHeight="1" x14ac:dyDescent="0.2">
      <c r="A609" s="50" t="s">
        <v>70</v>
      </c>
      <c r="B609" s="50" t="s">
        <v>5</v>
      </c>
      <c r="C609" s="50" t="s">
        <v>30</v>
      </c>
      <c r="D609" s="50" t="s">
        <v>965</v>
      </c>
      <c r="E609" s="50" t="s">
        <v>348</v>
      </c>
      <c r="F609" s="50" t="s">
        <v>106</v>
      </c>
      <c r="G609" s="50" t="s">
        <v>112</v>
      </c>
      <c r="H609" s="51">
        <v>1</v>
      </c>
      <c r="I609" s="52">
        <f>J609/H609</f>
        <v>62990</v>
      </c>
      <c r="J609" s="52">
        <v>62990</v>
      </c>
      <c r="K609" s="51">
        <v>20</v>
      </c>
      <c r="L609" s="53">
        <f>K609/H609*30</f>
        <v>600</v>
      </c>
    </row>
    <row r="610" spans="1:12" s="2" customFormat="1" ht="13.95" customHeight="1" x14ac:dyDescent="0.2">
      <c r="A610" s="50" t="s">
        <v>70</v>
      </c>
      <c r="B610" s="50" t="s">
        <v>7</v>
      </c>
      <c r="C610" s="50" t="s">
        <v>18</v>
      </c>
      <c r="D610" s="50" t="s">
        <v>966</v>
      </c>
      <c r="E610" s="50" t="s">
        <v>967</v>
      </c>
      <c r="F610" s="50" t="s">
        <v>968</v>
      </c>
      <c r="G610" s="50" t="s">
        <v>969</v>
      </c>
      <c r="H610" s="51">
        <v>3</v>
      </c>
      <c r="I610" s="52">
        <f>J610/H610</f>
        <v>20990</v>
      </c>
      <c r="J610" s="52">
        <v>62970</v>
      </c>
      <c r="K610" s="51">
        <v>9</v>
      </c>
      <c r="L610" s="53">
        <f>K610/H610*30</f>
        <v>90</v>
      </c>
    </row>
    <row r="611" spans="1:12" s="2" customFormat="1" ht="13.95" customHeight="1" x14ac:dyDescent="0.2">
      <c r="A611" s="50" t="s">
        <v>70</v>
      </c>
      <c r="B611" s="50" t="s">
        <v>7</v>
      </c>
      <c r="C611" s="50" t="s">
        <v>18</v>
      </c>
      <c r="D611" s="50" t="s">
        <v>970</v>
      </c>
      <c r="E611" s="50" t="s">
        <v>967</v>
      </c>
      <c r="F611" s="50" t="s">
        <v>968</v>
      </c>
      <c r="G611" s="50" t="s">
        <v>846</v>
      </c>
      <c r="H611" s="51">
        <v>3</v>
      </c>
      <c r="I611" s="52">
        <f>J611/H611</f>
        <v>20990</v>
      </c>
      <c r="J611" s="52">
        <v>62970</v>
      </c>
      <c r="K611" s="51">
        <v>11</v>
      </c>
      <c r="L611" s="53">
        <f>K611/H611*30</f>
        <v>110</v>
      </c>
    </row>
    <row r="612" spans="1:12" s="2" customFormat="1" ht="13.95" customHeight="1" x14ac:dyDescent="0.2">
      <c r="A612" s="50" t="s">
        <v>70</v>
      </c>
      <c r="B612" s="50" t="s">
        <v>5</v>
      </c>
      <c r="C612" s="50" t="s">
        <v>34</v>
      </c>
      <c r="D612" s="50" t="s">
        <v>971</v>
      </c>
      <c r="E612" s="50" t="s">
        <v>658</v>
      </c>
      <c r="F612" s="50" t="s">
        <v>73</v>
      </c>
      <c r="G612" s="50" t="s">
        <v>97</v>
      </c>
      <c r="H612" s="51">
        <v>1</v>
      </c>
      <c r="I612" s="52">
        <f>J612/H612</f>
        <v>59990</v>
      </c>
      <c r="J612" s="52">
        <v>59990</v>
      </c>
      <c r="K612" s="51">
        <v>8</v>
      </c>
      <c r="L612" s="53">
        <f>K612/H612*30</f>
        <v>240</v>
      </c>
    </row>
    <row r="613" spans="1:12" s="2" customFormat="1" ht="13.95" customHeight="1" x14ac:dyDescent="0.2">
      <c r="A613" s="50" t="s">
        <v>70</v>
      </c>
      <c r="B613" s="50" t="s">
        <v>5</v>
      </c>
      <c r="C613" s="50" t="s">
        <v>45</v>
      </c>
      <c r="D613" s="50" t="s">
        <v>972</v>
      </c>
      <c r="E613" s="50" t="s">
        <v>661</v>
      </c>
      <c r="F613" s="50" t="s">
        <v>73</v>
      </c>
      <c r="G613" s="50" t="s">
        <v>88</v>
      </c>
      <c r="H613" s="51">
        <v>1</v>
      </c>
      <c r="I613" s="52">
        <f>J613/H613</f>
        <v>59990</v>
      </c>
      <c r="J613" s="52">
        <v>59990</v>
      </c>
      <c r="K613" s="51">
        <v>8</v>
      </c>
      <c r="L613" s="53">
        <f>K613/H613*30</f>
        <v>240</v>
      </c>
    </row>
    <row r="614" spans="1:12" s="2" customFormat="1" ht="13.95" customHeight="1" x14ac:dyDescent="0.2">
      <c r="A614" s="50" t="s">
        <v>70</v>
      </c>
      <c r="B614" s="50" t="s">
        <v>5</v>
      </c>
      <c r="C614" s="50" t="s">
        <v>45</v>
      </c>
      <c r="D614" s="50" t="s">
        <v>973</v>
      </c>
      <c r="E614" s="50" t="s">
        <v>661</v>
      </c>
      <c r="F614" s="50" t="s">
        <v>73</v>
      </c>
      <c r="G614" s="50" t="s">
        <v>74</v>
      </c>
      <c r="H614" s="51">
        <v>1</v>
      </c>
      <c r="I614" s="52">
        <f>J614/H614</f>
        <v>59990</v>
      </c>
      <c r="J614" s="52">
        <v>59990</v>
      </c>
      <c r="K614" s="51">
        <v>7</v>
      </c>
      <c r="L614" s="53">
        <f>K614/H614*30</f>
        <v>210</v>
      </c>
    </row>
    <row r="615" spans="1:12" s="2" customFormat="1" ht="13.95" customHeight="1" x14ac:dyDescent="0.2">
      <c r="A615" s="50" t="s">
        <v>70</v>
      </c>
      <c r="B615" s="50" t="s">
        <v>5</v>
      </c>
      <c r="C615" s="50" t="s">
        <v>45</v>
      </c>
      <c r="D615" s="50" t="s">
        <v>974</v>
      </c>
      <c r="E615" s="50" t="s">
        <v>661</v>
      </c>
      <c r="F615" s="50" t="s">
        <v>73</v>
      </c>
      <c r="G615" s="50" t="s">
        <v>84</v>
      </c>
      <c r="H615" s="51">
        <v>1</v>
      </c>
      <c r="I615" s="52">
        <f>J615/H615</f>
        <v>59990</v>
      </c>
      <c r="J615" s="52">
        <v>59990</v>
      </c>
      <c r="K615" s="51">
        <v>6</v>
      </c>
      <c r="L615" s="53">
        <f>K615/H615*30</f>
        <v>180</v>
      </c>
    </row>
    <row r="616" spans="1:12" s="2" customFormat="1" ht="13.95" customHeight="1" x14ac:dyDescent="0.2">
      <c r="A616" s="50" t="s">
        <v>70</v>
      </c>
      <c r="B616" s="50" t="s">
        <v>5</v>
      </c>
      <c r="C616" s="50" t="s">
        <v>45</v>
      </c>
      <c r="D616" s="50" t="s">
        <v>975</v>
      </c>
      <c r="E616" s="50" t="s">
        <v>661</v>
      </c>
      <c r="F616" s="50" t="s">
        <v>106</v>
      </c>
      <c r="G616" s="50" t="s">
        <v>88</v>
      </c>
      <c r="H616" s="51">
        <v>1</v>
      </c>
      <c r="I616" s="52">
        <f>J616/H616</f>
        <v>59990</v>
      </c>
      <c r="J616" s="52">
        <v>59990</v>
      </c>
      <c r="K616" s="51">
        <v>1</v>
      </c>
      <c r="L616" s="53">
        <f>K616/H616*30</f>
        <v>30</v>
      </c>
    </row>
    <row r="617" spans="1:12" s="2" customFormat="1" ht="13.95" customHeight="1" x14ac:dyDescent="0.2">
      <c r="A617" s="50" t="s">
        <v>70</v>
      </c>
      <c r="B617" s="50" t="s">
        <v>4</v>
      </c>
      <c r="C617" s="50" t="s">
        <v>55</v>
      </c>
      <c r="D617" s="50" t="s">
        <v>976</v>
      </c>
      <c r="E617" s="50" t="s">
        <v>663</v>
      </c>
      <c r="F617" s="50" t="s">
        <v>73</v>
      </c>
      <c r="G617" s="50" t="s">
        <v>74</v>
      </c>
      <c r="H617" s="51">
        <v>1</v>
      </c>
      <c r="I617" s="52">
        <f>J617/H617</f>
        <v>59990</v>
      </c>
      <c r="J617" s="52">
        <v>59990</v>
      </c>
      <c r="K617" s="51">
        <v>3</v>
      </c>
      <c r="L617" s="53">
        <f>K617/H617*30</f>
        <v>90</v>
      </c>
    </row>
    <row r="618" spans="1:12" s="2" customFormat="1" ht="13.95" customHeight="1" x14ac:dyDescent="0.2">
      <c r="A618" s="50" t="s">
        <v>70</v>
      </c>
      <c r="B618" s="50" t="s">
        <v>4</v>
      </c>
      <c r="C618" s="50" t="s">
        <v>55</v>
      </c>
      <c r="D618" s="50" t="s">
        <v>977</v>
      </c>
      <c r="E618" s="50" t="s">
        <v>663</v>
      </c>
      <c r="F618" s="50" t="s">
        <v>128</v>
      </c>
      <c r="G618" s="50" t="s">
        <v>598</v>
      </c>
      <c r="H618" s="51">
        <v>1</v>
      </c>
      <c r="I618" s="52">
        <f>J618/H618</f>
        <v>59990</v>
      </c>
      <c r="J618" s="52">
        <v>59990</v>
      </c>
      <c r="K618" s="51">
        <v>1</v>
      </c>
      <c r="L618" s="53">
        <f>K618/H618*30</f>
        <v>30</v>
      </c>
    </row>
    <row r="619" spans="1:12" s="2" customFormat="1" ht="13.95" customHeight="1" x14ac:dyDescent="0.2">
      <c r="A619" s="50" t="s">
        <v>257</v>
      </c>
      <c r="B619" s="50" t="s">
        <v>6</v>
      </c>
      <c r="C619" s="50" t="s">
        <v>60</v>
      </c>
      <c r="D619" s="50" t="s">
        <v>978</v>
      </c>
      <c r="E619" s="50" t="s">
        <v>259</v>
      </c>
      <c r="F619" s="50" t="s">
        <v>260</v>
      </c>
      <c r="G619" s="50" t="s">
        <v>979</v>
      </c>
      <c r="H619" s="51">
        <v>2</v>
      </c>
      <c r="I619" s="52">
        <f>J619/H619</f>
        <v>29990</v>
      </c>
      <c r="J619" s="52">
        <v>59980</v>
      </c>
      <c r="K619" s="51">
        <v>131</v>
      </c>
      <c r="L619" s="53">
        <f>K619/H619*30</f>
        <v>1965</v>
      </c>
    </row>
    <row r="620" spans="1:12" s="2" customFormat="1" ht="13.95" customHeight="1" x14ac:dyDescent="0.2">
      <c r="A620" s="50" t="s">
        <v>416</v>
      </c>
      <c r="B620" s="50" t="s">
        <v>8</v>
      </c>
      <c r="C620" s="50" t="s">
        <v>8</v>
      </c>
      <c r="D620" s="50" t="s">
        <v>980</v>
      </c>
      <c r="E620" s="50" t="s">
        <v>981</v>
      </c>
      <c r="F620" s="50" t="s">
        <v>106</v>
      </c>
      <c r="G620" s="50" t="s">
        <v>90</v>
      </c>
      <c r="H620" s="51">
        <v>2</v>
      </c>
      <c r="I620" s="52">
        <f>J620/H620</f>
        <v>29990</v>
      </c>
      <c r="J620" s="52">
        <v>59980</v>
      </c>
      <c r="K620" s="51">
        <v>2</v>
      </c>
      <c r="L620" s="53">
        <f>K620/H620*30</f>
        <v>30</v>
      </c>
    </row>
    <row r="621" spans="1:12" s="2" customFormat="1" ht="13.95" customHeight="1" x14ac:dyDescent="0.2">
      <c r="A621" s="50" t="s">
        <v>416</v>
      </c>
      <c r="B621" s="50" t="s">
        <v>8</v>
      </c>
      <c r="C621" s="50" t="s">
        <v>8</v>
      </c>
      <c r="D621" s="50" t="s">
        <v>982</v>
      </c>
      <c r="E621" s="50" t="s">
        <v>981</v>
      </c>
      <c r="F621" s="50" t="s">
        <v>106</v>
      </c>
      <c r="G621" s="50" t="s">
        <v>90</v>
      </c>
      <c r="H621" s="51">
        <v>2</v>
      </c>
      <c r="I621" s="52">
        <f>J621/H621</f>
        <v>29990</v>
      </c>
      <c r="J621" s="52">
        <v>59980</v>
      </c>
      <c r="K621" s="51">
        <v>0</v>
      </c>
      <c r="L621" s="53">
        <f>K621/H621*30</f>
        <v>0</v>
      </c>
    </row>
    <row r="622" spans="1:12" s="2" customFormat="1" ht="13.95" customHeight="1" x14ac:dyDescent="0.2">
      <c r="A622" s="50" t="s">
        <v>416</v>
      </c>
      <c r="B622" s="50" t="s">
        <v>8</v>
      </c>
      <c r="C622" s="50" t="s">
        <v>8</v>
      </c>
      <c r="D622" s="50" t="s">
        <v>983</v>
      </c>
      <c r="E622" s="50" t="s">
        <v>981</v>
      </c>
      <c r="F622" s="50" t="s">
        <v>106</v>
      </c>
      <c r="G622" s="50" t="s">
        <v>86</v>
      </c>
      <c r="H622" s="51">
        <v>2</v>
      </c>
      <c r="I622" s="52">
        <f>J622/H622</f>
        <v>29990</v>
      </c>
      <c r="J622" s="52">
        <v>59980</v>
      </c>
      <c r="K622" s="51">
        <v>1</v>
      </c>
      <c r="L622" s="53">
        <f>K622/H622*30</f>
        <v>15</v>
      </c>
    </row>
    <row r="623" spans="1:12" s="2" customFormat="1" ht="13.95" customHeight="1" x14ac:dyDescent="0.2">
      <c r="A623" s="50" t="s">
        <v>70</v>
      </c>
      <c r="B623" s="50" t="s">
        <v>7</v>
      </c>
      <c r="C623" s="50" t="s">
        <v>18</v>
      </c>
      <c r="D623" s="50" t="s">
        <v>984</v>
      </c>
      <c r="E623" s="50" t="s">
        <v>985</v>
      </c>
      <c r="F623" s="50" t="s">
        <v>580</v>
      </c>
      <c r="G623" s="50" t="s">
        <v>846</v>
      </c>
      <c r="H623" s="51">
        <v>2</v>
      </c>
      <c r="I623" s="52">
        <f>J623/H623</f>
        <v>29990</v>
      </c>
      <c r="J623" s="52">
        <v>59980</v>
      </c>
      <c r="K623" s="51">
        <v>4</v>
      </c>
      <c r="L623" s="53">
        <f>K623/H623*30</f>
        <v>60</v>
      </c>
    </row>
    <row r="624" spans="1:12" s="2" customFormat="1" ht="13.95" customHeight="1" x14ac:dyDescent="0.2">
      <c r="A624" s="50" t="s">
        <v>70</v>
      </c>
      <c r="B624" s="50" t="s">
        <v>7</v>
      </c>
      <c r="C624" s="50" t="s">
        <v>18</v>
      </c>
      <c r="D624" s="50" t="s">
        <v>986</v>
      </c>
      <c r="E624" s="50" t="s">
        <v>579</v>
      </c>
      <c r="F624" s="50" t="s">
        <v>580</v>
      </c>
      <c r="G624" s="50" t="s">
        <v>846</v>
      </c>
      <c r="H624" s="51">
        <v>2</v>
      </c>
      <c r="I624" s="52">
        <f>J624/H624</f>
        <v>29990</v>
      </c>
      <c r="J624" s="52">
        <v>59980</v>
      </c>
      <c r="K624" s="51">
        <v>6</v>
      </c>
      <c r="L624" s="53">
        <f>K624/H624*30</f>
        <v>90</v>
      </c>
    </row>
    <row r="625" spans="1:12" s="2" customFormat="1" ht="13.95" customHeight="1" x14ac:dyDescent="0.2">
      <c r="A625" s="50" t="s">
        <v>70</v>
      </c>
      <c r="B625" s="50" t="s">
        <v>7</v>
      </c>
      <c r="C625" s="50" t="s">
        <v>18</v>
      </c>
      <c r="D625" s="50" t="s">
        <v>987</v>
      </c>
      <c r="E625" s="50" t="s">
        <v>848</v>
      </c>
      <c r="F625" s="50" t="s">
        <v>580</v>
      </c>
      <c r="G625" s="50" t="s">
        <v>671</v>
      </c>
      <c r="H625" s="51">
        <v>2</v>
      </c>
      <c r="I625" s="52">
        <f>J625/H625</f>
        <v>29990</v>
      </c>
      <c r="J625" s="52">
        <v>59980</v>
      </c>
      <c r="K625" s="51">
        <v>8</v>
      </c>
      <c r="L625" s="53">
        <f>K625/H625*30</f>
        <v>120</v>
      </c>
    </row>
    <row r="626" spans="1:12" s="2" customFormat="1" ht="13.95" customHeight="1" x14ac:dyDescent="0.2">
      <c r="A626" s="50" t="s">
        <v>70</v>
      </c>
      <c r="B626" s="50" t="s">
        <v>7</v>
      </c>
      <c r="C626" s="50" t="s">
        <v>18</v>
      </c>
      <c r="D626" s="50" t="s">
        <v>988</v>
      </c>
      <c r="E626" s="50" t="s">
        <v>848</v>
      </c>
      <c r="F626" s="50" t="s">
        <v>580</v>
      </c>
      <c r="G626" s="50" t="s">
        <v>676</v>
      </c>
      <c r="H626" s="51">
        <v>2</v>
      </c>
      <c r="I626" s="52">
        <f>J626/H626</f>
        <v>29990</v>
      </c>
      <c r="J626" s="52">
        <v>59980</v>
      </c>
      <c r="K626" s="51">
        <v>6</v>
      </c>
      <c r="L626" s="53">
        <f>K626/H626*30</f>
        <v>90</v>
      </c>
    </row>
    <row r="627" spans="1:12" s="2" customFormat="1" ht="13.95" customHeight="1" x14ac:dyDescent="0.2">
      <c r="A627" s="50" t="s">
        <v>70</v>
      </c>
      <c r="B627" s="50" t="s">
        <v>7</v>
      </c>
      <c r="C627" s="50" t="s">
        <v>18</v>
      </c>
      <c r="D627" s="50" t="s">
        <v>989</v>
      </c>
      <c r="E627" s="50" t="s">
        <v>673</v>
      </c>
      <c r="F627" s="50" t="s">
        <v>580</v>
      </c>
      <c r="G627" s="50" t="s">
        <v>846</v>
      </c>
      <c r="H627" s="51">
        <v>2</v>
      </c>
      <c r="I627" s="52">
        <f>J627/H627</f>
        <v>29990</v>
      </c>
      <c r="J627" s="52">
        <v>59980</v>
      </c>
      <c r="K627" s="51">
        <v>4</v>
      </c>
      <c r="L627" s="53">
        <f>K627/H627*30</f>
        <v>60</v>
      </c>
    </row>
    <row r="628" spans="1:12" s="2" customFormat="1" ht="13.95" customHeight="1" x14ac:dyDescent="0.2">
      <c r="A628" s="50" t="s">
        <v>70</v>
      </c>
      <c r="B628" s="50" t="s">
        <v>7</v>
      </c>
      <c r="C628" s="50" t="s">
        <v>18</v>
      </c>
      <c r="D628" s="50" t="s">
        <v>990</v>
      </c>
      <c r="E628" s="50" t="s">
        <v>991</v>
      </c>
      <c r="F628" s="50" t="s">
        <v>580</v>
      </c>
      <c r="G628" s="50" t="s">
        <v>581</v>
      </c>
      <c r="H628" s="51">
        <v>2</v>
      </c>
      <c r="I628" s="52">
        <f>J628/H628</f>
        <v>29990</v>
      </c>
      <c r="J628" s="52">
        <v>59980</v>
      </c>
      <c r="K628" s="51">
        <v>16</v>
      </c>
      <c r="L628" s="53">
        <f>K628/H628*30</f>
        <v>240</v>
      </c>
    </row>
    <row r="629" spans="1:12" s="2" customFormat="1" ht="13.95" customHeight="1" x14ac:dyDescent="0.2">
      <c r="A629" s="50" t="s">
        <v>70</v>
      </c>
      <c r="B629" s="50" t="s">
        <v>7</v>
      </c>
      <c r="C629" s="50" t="s">
        <v>18</v>
      </c>
      <c r="D629" s="50" t="s">
        <v>992</v>
      </c>
      <c r="E629" s="50" t="s">
        <v>851</v>
      </c>
      <c r="F629" s="50" t="s">
        <v>580</v>
      </c>
      <c r="G629" s="50" t="s">
        <v>676</v>
      </c>
      <c r="H629" s="51">
        <v>2</v>
      </c>
      <c r="I629" s="52">
        <f>J629/H629</f>
        <v>29990</v>
      </c>
      <c r="J629" s="52">
        <v>59980</v>
      </c>
      <c r="K629" s="51">
        <v>8</v>
      </c>
      <c r="L629" s="53">
        <f>K629/H629*30</f>
        <v>120</v>
      </c>
    </row>
    <row r="630" spans="1:12" s="2" customFormat="1" ht="13.95" customHeight="1" x14ac:dyDescent="0.2">
      <c r="A630" s="50" t="s">
        <v>70</v>
      </c>
      <c r="B630" s="50" t="s">
        <v>7</v>
      </c>
      <c r="C630" s="50" t="s">
        <v>18</v>
      </c>
      <c r="D630" s="50" t="s">
        <v>993</v>
      </c>
      <c r="E630" s="50" t="s">
        <v>855</v>
      </c>
      <c r="F630" s="50" t="s">
        <v>580</v>
      </c>
      <c r="G630" s="50" t="s">
        <v>581</v>
      </c>
      <c r="H630" s="51">
        <v>2</v>
      </c>
      <c r="I630" s="52">
        <f>J630/H630</f>
        <v>29990</v>
      </c>
      <c r="J630" s="52">
        <v>59980</v>
      </c>
      <c r="K630" s="51">
        <v>16</v>
      </c>
      <c r="L630" s="53">
        <f>K630/H630*30</f>
        <v>240</v>
      </c>
    </row>
    <row r="631" spans="1:12" s="2" customFormat="1" ht="13.95" customHeight="1" x14ac:dyDescent="0.2">
      <c r="A631" s="50" t="s">
        <v>70</v>
      </c>
      <c r="B631" s="50" t="s">
        <v>7</v>
      </c>
      <c r="C631" s="50" t="s">
        <v>18</v>
      </c>
      <c r="D631" s="50" t="s">
        <v>994</v>
      </c>
      <c r="E631" s="50" t="s">
        <v>995</v>
      </c>
      <c r="F631" s="50" t="s">
        <v>580</v>
      </c>
      <c r="G631" s="50" t="s">
        <v>671</v>
      </c>
      <c r="H631" s="51">
        <v>2</v>
      </c>
      <c r="I631" s="52">
        <f>J631/H631</f>
        <v>29990</v>
      </c>
      <c r="J631" s="52">
        <v>59980</v>
      </c>
      <c r="K631" s="51">
        <v>3</v>
      </c>
      <c r="L631" s="53">
        <f>K631/H631*30</f>
        <v>45</v>
      </c>
    </row>
    <row r="632" spans="1:12" s="2" customFormat="1" ht="13.95" customHeight="1" x14ac:dyDescent="0.2">
      <c r="A632" s="50" t="s">
        <v>445</v>
      </c>
      <c r="B632" s="50" t="s">
        <v>6</v>
      </c>
      <c r="C632" s="50" t="s">
        <v>62</v>
      </c>
      <c r="D632" s="50" t="s">
        <v>996</v>
      </c>
      <c r="E632" s="50" t="s">
        <v>997</v>
      </c>
      <c r="F632" s="50" t="s">
        <v>260</v>
      </c>
      <c r="G632" s="50" t="s">
        <v>448</v>
      </c>
      <c r="H632" s="51">
        <v>3</v>
      </c>
      <c r="I632" s="52">
        <f>J632/H632</f>
        <v>19990</v>
      </c>
      <c r="J632" s="52">
        <v>59970</v>
      </c>
      <c r="K632" s="51">
        <v>19</v>
      </c>
      <c r="L632" s="53">
        <f>K632/H632*30</f>
        <v>190</v>
      </c>
    </row>
    <row r="633" spans="1:12" s="2" customFormat="1" ht="13.95" customHeight="1" x14ac:dyDescent="0.2">
      <c r="A633" s="50" t="s">
        <v>445</v>
      </c>
      <c r="B633" s="50" t="s">
        <v>6</v>
      </c>
      <c r="C633" s="50" t="s">
        <v>62</v>
      </c>
      <c r="D633" s="50" t="s">
        <v>998</v>
      </c>
      <c r="E633" s="50" t="s">
        <v>997</v>
      </c>
      <c r="F633" s="50" t="s">
        <v>260</v>
      </c>
      <c r="G633" s="50" t="s">
        <v>86</v>
      </c>
      <c r="H633" s="51">
        <v>3</v>
      </c>
      <c r="I633" s="52">
        <f>J633/H633</f>
        <v>19990</v>
      </c>
      <c r="J633" s="52">
        <v>59970</v>
      </c>
      <c r="K633" s="51">
        <v>22</v>
      </c>
      <c r="L633" s="53">
        <f>K633/H633*30</f>
        <v>220</v>
      </c>
    </row>
    <row r="634" spans="1:12" s="2" customFormat="1" ht="13.95" customHeight="1" x14ac:dyDescent="0.2">
      <c r="A634" s="50" t="s">
        <v>70</v>
      </c>
      <c r="B634" s="50" t="s">
        <v>5</v>
      </c>
      <c r="C634" s="50" t="s">
        <v>45</v>
      </c>
      <c r="D634" s="50" t="s">
        <v>999</v>
      </c>
      <c r="E634" s="50" t="s">
        <v>614</v>
      </c>
      <c r="F634" s="50" t="s">
        <v>137</v>
      </c>
      <c r="G634" s="50" t="s">
        <v>86</v>
      </c>
      <c r="H634" s="51">
        <v>3</v>
      </c>
      <c r="I634" s="52">
        <f>J634/H634</f>
        <v>19990</v>
      </c>
      <c r="J634" s="52">
        <v>59970</v>
      </c>
      <c r="K634" s="51">
        <v>27</v>
      </c>
      <c r="L634" s="53">
        <f>K634/H634*30</f>
        <v>270</v>
      </c>
    </row>
    <row r="635" spans="1:12" s="2" customFormat="1" ht="13.95" customHeight="1" x14ac:dyDescent="0.2">
      <c r="A635" s="50" t="s">
        <v>70</v>
      </c>
      <c r="B635" s="50" t="s">
        <v>5</v>
      </c>
      <c r="C635" s="50" t="s">
        <v>45</v>
      </c>
      <c r="D635" s="50" t="s">
        <v>1000</v>
      </c>
      <c r="E635" s="50" t="s">
        <v>614</v>
      </c>
      <c r="F635" s="50" t="s">
        <v>137</v>
      </c>
      <c r="G635" s="50" t="s">
        <v>74</v>
      </c>
      <c r="H635" s="51">
        <v>3</v>
      </c>
      <c r="I635" s="52">
        <f>J635/H635</f>
        <v>19990</v>
      </c>
      <c r="J635" s="52">
        <v>59970</v>
      </c>
      <c r="K635" s="51">
        <v>40</v>
      </c>
      <c r="L635" s="53">
        <f>K635/H635*30</f>
        <v>400</v>
      </c>
    </row>
    <row r="636" spans="1:12" s="2" customFormat="1" ht="13.95" customHeight="1" x14ac:dyDescent="0.2">
      <c r="A636" s="50" t="s">
        <v>70</v>
      </c>
      <c r="B636" s="50" t="s">
        <v>5</v>
      </c>
      <c r="C636" s="50" t="s">
        <v>33</v>
      </c>
      <c r="D636" s="50" t="s">
        <v>1001</v>
      </c>
      <c r="E636" s="50" t="s">
        <v>857</v>
      </c>
      <c r="F636" s="50" t="s">
        <v>177</v>
      </c>
      <c r="G636" s="50" t="s">
        <v>86</v>
      </c>
      <c r="H636" s="51">
        <v>4</v>
      </c>
      <c r="I636" s="52">
        <f>J636/H636</f>
        <v>14990</v>
      </c>
      <c r="J636" s="52">
        <v>59960</v>
      </c>
      <c r="K636" s="51">
        <v>60</v>
      </c>
      <c r="L636" s="53">
        <f>K636/H636*30</f>
        <v>450</v>
      </c>
    </row>
    <row r="637" spans="1:12" s="2" customFormat="1" ht="13.95" customHeight="1" x14ac:dyDescent="0.2">
      <c r="A637" s="50" t="s">
        <v>70</v>
      </c>
      <c r="B637" s="50" t="s">
        <v>5</v>
      </c>
      <c r="C637" s="50" t="s">
        <v>42</v>
      </c>
      <c r="D637" s="50" t="s">
        <v>1002</v>
      </c>
      <c r="E637" s="50" t="s">
        <v>680</v>
      </c>
      <c r="F637" s="50" t="s">
        <v>73</v>
      </c>
      <c r="G637" s="50" t="s">
        <v>84</v>
      </c>
      <c r="H637" s="51">
        <v>4</v>
      </c>
      <c r="I637" s="52">
        <f>J637/H637</f>
        <v>14990</v>
      </c>
      <c r="J637" s="52">
        <v>59960</v>
      </c>
      <c r="K637" s="51">
        <v>32</v>
      </c>
      <c r="L637" s="53">
        <f>K637/H637*30</f>
        <v>240</v>
      </c>
    </row>
    <row r="638" spans="1:12" s="2" customFormat="1" ht="13.95" customHeight="1" x14ac:dyDescent="0.2">
      <c r="A638" s="50" t="s">
        <v>70</v>
      </c>
      <c r="B638" s="50" t="s">
        <v>5</v>
      </c>
      <c r="C638" s="50" t="s">
        <v>45</v>
      </c>
      <c r="D638" s="50" t="s">
        <v>1003</v>
      </c>
      <c r="E638" s="50" t="s">
        <v>474</v>
      </c>
      <c r="F638" s="50" t="s">
        <v>223</v>
      </c>
      <c r="G638" s="50" t="s">
        <v>224</v>
      </c>
      <c r="H638" s="51">
        <v>6</v>
      </c>
      <c r="I638" s="52">
        <f>J638/H638</f>
        <v>9990</v>
      </c>
      <c r="J638" s="52">
        <v>59940</v>
      </c>
      <c r="K638" s="51">
        <v>32</v>
      </c>
      <c r="L638" s="53">
        <f>K638/H638*30</f>
        <v>160</v>
      </c>
    </row>
    <row r="639" spans="1:12" s="2" customFormat="1" ht="13.95" customHeight="1" x14ac:dyDescent="0.2">
      <c r="A639" s="50" t="s">
        <v>1024</v>
      </c>
      <c r="B639" s="50" t="s">
        <v>6</v>
      </c>
      <c r="C639" s="50" t="s">
        <v>64</v>
      </c>
      <c r="D639" s="50" t="s">
        <v>1025</v>
      </c>
      <c r="E639" s="50" t="s">
        <v>1026</v>
      </c>
      <c r="F639" s="50" t="s">
        <v>260</v>
      </c>
      <c r="G639" s="50" t="s">
        <v>1027</v>
      </c>
      <c r="H639" s="51">
        <v>8</v>
      </c>
      <c r="I639" s="52">
        <f>J639/H639</f>
        <v>7492.5</v>
      </c>
      <c r="J639" s="52">
        <v>59940</v>
      </c>
      <c r="K639" s="51">
        <v>577</v>
      </c>
      <c r="L639" s="53">
        <f>K639/H639*30</f>
        <v>2163.75</v>
      </c>
    </row>
    <row r="640" spans="1:12" s="2" customFormat="1" ht="13.95" customHeight="1" x14ac:dyDescent="0.2">
      <c r="A640" s="50" t="s">
        <v>70</v>
      </c>
      <c r="B640" s="50" t="s">
        <v>5</v>
      </c>
      <c r="C640" s="50" t="s">
        <v>45</v>
      </c>
      <c r="D640" s="50" t="s">
        <v>1004</v>
      </c>
      <c r="E640" s="50" t="s">
        <v>690</v>
      </c>
      <c r="F640" s="50" t="s">
        <v>106</v>
      </c>
      <c r="G640" s="50" t="s">
        <v>88</v>
      </c>
      <c r="H640" s="51">
        <v>1</v>
      </c>
      <c r="I640" s="52">
        <f>J640/H640</f>
        <v>56990</v>
      </c>
      <c r="J640" s="52">
        <v>56990</v>
      </c>
      <c r="K640" s="51">
        <v>13</v>
      </c>
      <c r="L640" s="53">
        <f>K640/H640*30</f>
        <v>390</v>
      </c>
    </row>
    <row r="641" spans="1:12" s="2" customFormat="1" ht="13.95" customHeight="1" x14ac:dyDescent="0.2">
      <c r="A641" s="50" t="s">
        <v>70</v>
      </c>
      <c r="B641" s="50" t="s">
        <v>5</v>
      </c>
      <c r="C641" s="50" t="s">
        <v>45</v>
      </c>
      <c r="D641" s="50" t="s">
        <v>1005</v>
      </c>
      <c r="E641" s="50" t="s">
        <v>690</v>
      </c>
      <c r="F641" s="50" t="s">
        <v>106</v>
      </c>
      <c r="G641" s="50" t="s">
        <v>97</v>
      </c>
      <c r="H641" s="51">
        <v>1</v>
      </c>
      <c r="I641" s="52">
        <f>J641/H641</f>
        <v>56990</v>
      </c>
      <c r="J641" s="52">
        <v>56990</v>
      </c>
      <c r="K641" s="51">
        <v>6</v>
      </c>
      <c r="L641" s="53">
        <f>K641/H641*30</f>
        <v>180</v>
      </c>
    </row>
    <row r="642" spans="1:12" s="2" customFormat="1" ht="13.95" customHeight="1" x14ac:dyDescent="0.2">
      <c r="A642" s="50" t="s">
        <v>70</v>
      </c>
      <c r="B642" s="50" t="s">
        <v>5</v>
      </c>
      <c r="C642" s="50" t="s">
        <v>45</v>
      </c>
      <c r="D642" s="50" t="s">
        <v>1006</v>
      </c>
      <c r="E642" s="50" t="s">
        <v>690</v>
      </c>
      <c r="F642" s="50" t="s">
        <v>106</v>
      </c>
      <c r="G642" s="50" t="s">
        <v>112</v>
      </c>
      <c r="H642" s="51">
        <v>1</v>
      </c>
      <c r="I642" s="52">
        <f>J642/H642</f>
        <v>56990</v>
      </c>
      <c r="J642" s="52">
        <v>56990</v>
      </c>
      <c r="K642" s="51">
        <v>11</v>
      </c>
      <c r="L642" s="53">
        <f>K642/H642*30</f>
        <v>330</v>
      </c>
    </row>
    <row r="643" spans="1:12" s="2" customFormat="1" ht="13.95" customHeight="1" x14ac:dyDescent="0.2">
      <c r="A643" s="50" t="s">
        <v>70</v>
      </c>
      <c r="B643" s="50" t="s">
        <v>5</v>
      </c>
      <c r="C643" s="50" t="s">
        <v>45</v>
      </c>
      <c r="D643" s="50" t="s">
        <v>1007</v>
      </c>
      <c r="E643" s="50" t="s">
        <v>614</v>
      </c>
      <c r="F643" s="50" t="s">
        <v>73</v>
      </c>
      <c r="G643" s="50" t="s">
        <v>88</v>
      </c>
      <c r="H643" s="51">
        <v>3</v>
      </c>
      <c r="I643" s="52">
        <f>J643/H643</f>
        <v>18990</v>
      </c>
      <c r="J643" s="52">
        <v>56970</v>
      </c>
      <c r="K643" s="51">
        <v>19</v>
      </c>
      <c r="L643" s="53">
        <f>K643/H643*30</f>
        <v>190</v>
      </c>
    </row>
    <row r="644" spans="1:12" s="2" customFormat="1" ht="13.95" customHeight="1" x14ac:dyDescent="0.2">
      <c r="A644" s="50" t="s">
        <v>70</v>
      </c>
      <c r="B644" s="50" t="s">
        <v>5</v>
      </c>
      <c r="C644" s="50" t="s">
        <v>45</v>
      </c>
      <c r="D644" s="50" t="s">
        <v>1008</v>
      </c>
      <c r="E644" s="50" t="s">
        <v>614</v>
      </c>
      <c r="F644" s="50" t="s">
        <v>177</v>
      </c>
      <c r="G644" s="50" t="s">
        <v>86</v>
      </c>
      <c r="H644" s="51">
        <v>3</v>
      </c>
      <c r="I644" s="52">
        <f>J644/H644</f>
        <v>18990</v>
      </c>
      <c r="J644" s="52">
        <v>56970</v>
      </c>
      <c r="K644" s="51">
        <v>36</v>
      </c>
      <c r="L644" s="53">
        <f>K644/H644*30</f>
        <v>360</v>
      </c>
    </row>
    <row r="645" spans="1:12" s="2" customFormat="1" ht="13.95" customHeight="1" x14ac:dyDescent="0.2">
      <c r="A645" s="50" t="s">
        <v>880</v>
      </c>
      <c r="B645" s="50" t="s">
        <v>7</v>
      </c>
      <c r="C645" s="50" t="s">
        <v>14</v>
      </c>
      <c r="D645" s="50" t="s">
        <v>1009</v>
      </c>
      <c r="E645" s="50" t="s">
        <v>1010</v>
      </c>
      <c r="F645" s="50" t="s">
        <v>883</v>
      </c>
      <c r="G645" s="50" t="s">
        <v>86</v>
      </c>
      <c r="H645" s="51">
        <v>1</v>
      </c>
      <c r="I645" s="52">
        <f>J645/H645</f>
        <v>55993</v>
      </c>
      <c r="J645" s="52">
        <v>55993</v>
      </c>
      <c r="K645" s="51">
        <v>17</v>
      </c>
      <c r="L645" s="53">
        <f>K645/H645*30</f>
        <v>510</v>
      </c>
    </row>
    <row r="646" spans="1:12" s="2" customFormat="1" ht="13.95" customHeight="1" x14ac:dyDescent="0.2">
      <c r="A646" s="50" t="s">
        <v>416</v>
      </c>
      <c r="B646" s="50" t="s">
        <v>8</v>
      </c>
      <c r="C646" s="50" t="s">
        <v>8</v>
      </c>
      <c r="D646" s="50" t="s">
        <v>1011</v>
      </c>
      <c r="E646" s="50" t="s">
        <v>700</v>
      </c>
      <c r="F646" s="50" t="s">
        <v>106</v>
      </c>
      <c r="G646" s="50" t="s">
        <v>88</v>
      </c>
      <c r="H646" s="51">
        <v>1</v>
      </c>
      <c r="I646" s="52">
        <f>J646/H646</f>
        <v>55990</v>
      </c>
      <c r="J646" s="52">
        <v>55990</v>
      </c>
      <c r="K646" s="51">
        <v>1</v>
      </c>
      <c r="L646" s="53">
        <f>K646/H646*30</f>
        <v>30</v>
      </c>
    </row>
    <row r="647" spans="1:12" s="2" customFormat="1" ht="13.95" customHeight="1" x14ac:dyDescent="0.2">
      <c r="A647" s="50" t="s">
        <v>416</v>
      </c>
      <c r="B647" s="50" t="s">
        <v>8</v>
      </c>
      <c r="C647" s="50" t="s">
        <v>8</v>
      </c>
      <c r="D647" s="50" t="s">
        <v>1012</v>
      </c>
      <c r="E647" s="50" t="s">
        <v>700</v>
      </c>
      <c r="F647" s="50" t="s">
        <v>106</v>
      </c>
      <c r="G647" s="50" t="s">
        <v>88</v>
      </c>
      <c r="H647" s="51">
        <v>1</v>
      </c>
      <c r="I647" s="52">
        <f>J647/H647</f>
        <v>55990</v>
      </c>
      <c r="J647" s="52">
        <v>55990</v>
      </c>
      <c r="K647" s="51">
        <v>6</v>
      </c>
      <c r="L647" s="53">
        <f>K647/H647*30</f>
        <v>180</v>
      </c>
    </row>
    <row r="648" spans="1:12" s="2" customFormat="1" ht="13.95" customHeight="1" x14ac:dyDescent="0.2">
      <c r="A648" s="50" t="s">
        <v>70</v>
      </c>
      <c r="B648" s="50" t="s">
        <v>5</v>
      </c>
      <c r="C648" s="50" t="s">
        <v>30</v>
      </c>
      <c r="D648" s="50" t="s">
        <v>1013</v>
      </c>
      <c r="E648" s="50" t="s">
        <v>397</v>
      </c>
      <c r="F648" s="50" t="s">
        <v>223</v>
      </c>
      <c r="G648" s="50" t="s">
        <v>224</v>
      </c>
      <c r="H648" s="51">
        <v>1</v>
      </c>
      <c r="I648" s="52">
        <f>J648/H648</f>
        <v>55990</v>
      </c>
      <c r="J648" s="52">
        <v>55990</v>
      </c>
      <c r="K648" s="51">
        <v>17</v>
      </c>
      <c r="L648" s="53">
        <f>K648/H648*30</f>
        <v>510</v>
      </c>
    </row>
    <row r="649" spans="1:12" s="2" customFormat="1" ht="13.95" customHeight="1" x14ac:dyDescent="0.2">
      <c r="A649" s="50" t="s">
        <v>70</v>
      </c>
      <c r="B649" s="50" t="s">
        <v>5</v>
      </c>
      <c r="C649" s="50" t="s">
        <v>30</v>
      </c>
      <c r="D649" s="50" t="s">
        <v>1014</v>
      </c>
      <c r="E649" s="50" t="s">
        <v>397</v>
      </c>
      <c r="F649" s="50" t="s">
        <v>168</v>
      </c>
      <c r="G649" s="50" t="s">
        <v>86</v>
      </c>
      <c r="H649" s="51">
        <v>1</v>
      </c>
      <c r="I649" s="52">
        <f>J649/H649</f>
        <v>55990</v>
      </c>
      <c r="J649" s="52">
        <v>55990</v>
      </c>
      <c r="K649" s="51">
        <v>2</v>
      </c>
      <c r="L649" s="53">
        <f>K649/H649*30</f>
        <v>60</v>
      </c>
    </row>
    <row r="650" spans="1:12" s="2" customFormat="1" ht="13.95" customHeight="1" x14ac:dyDescent="0.2">
      <c r="A650" s="50" t="s">
        <v>70</v>
      </c>
      <c r="B650" s="50" t="s">
        <v>5</v>
      </c>
      <c r="C650" s="50" t="s">
        <v>30</v>
      </c>
      <c r="D650" s="50" t="s">
        <v>1015</v>
      </c>
      <c r="E650" s="50" t="s">
        <v>397</v>
      </c>
      <c r="F650" s="50" t="s">
        <v>168</v>
      </c>
      <c r="G650" s="50" t="s">
        <v>112</v>
      </c>
      <c r="H650" s="51">
        <v>1</v>
      </c>
      <c r="I650" s="52">
        <f>J650/H650</f>
        <v>55990</v>
      </c>
      <c r="J650" s="52">
        <v>55990</v>
      </c>
      <c r="K650" s="51">
        <v>4</v>
      </c>
      <c r="L650" s="53">
        <f>K650/H650*30</f>
        <v>120</v>
      </c>
    </row>
    <row r="651" spans="1:12" s="2" customFormat="1" ht="13.95" customHeight="1" x14ac:dyDescent="0.2">
      <c r="A651" s="50" t="s">
        <v>70</v>
      </c>
      <c r="B651" s="50" t="s">
        <v>5</v>
      </c>
      <c r="C651" s="50" t="s">
        <v>30</v>
      </c>
      <c r="D651" s="50" t="s">
        <v>1016</v>
      </c>
      <c r="E651" s="50" t="s">
        <v>1017</v>
      </c>
      <c r="F651" s="50" t="s">
        <v>73</v>
      </c>
      <c r="G651" s="50" t="s">
        <v>86</v>
      </c>
      <c r="H651" s="51">
        <v>1</v>
      </c>
      <c r="I651" s="52">
        <f>J651/H651</f>
        <v>55990</v>
      </c>
      <c r="J651" s="52">
        <v>55990</v>
      </c>
      <c r="K651" s="51">
        <v>11</v>
      </c>
      <c r="L651" s="53">
        <f>K651/H651*30</f>
        <v>330</v>
      </c>
    </row>
    <row r="652" spans="1:12" s="2" customFormat="1" ht="13.95" customHeight="1" x14ac:dyDescent="0.2">
      <c r="A652" s="50" t="s">
        <v>70</v>
      </c>
      <c r="B652" s="50" t="s">
        <v>5</v>
      </c>
      <c r="C652" s="50" t="s">
        <v>30</v>
      </c>
      <c r="D652" s="50" t="s">
        <v>1018</v>
      </c>
      <c r="E652" s="50" t="s">
        <v>1017</v>
      </c>
      <c r="F652" s="50" t="s">
        <v>106</v>
      </c>
      <c r="G652" s="50" t="s">
        <v>88</v>
      </c>
      <c r="H652" s="51">
        <v>1</v>
      </c>
      <c r="I652" s="52">
        <f>J652/H652</f>
        <v>55990</v>
      </c>
      <c r="J652" s="52">
        <v>55990</v>
      </c>
      <c r="K652" s="51">
        <v>3</v>
      </c>
      <c r="L652" s="53">
        <f>K652/H652*30</f>
        <v>90</v>
      </c>
    </row>
    <row r="653" spans="1:12" s="2" customFormat="1" ht="13.95" customHeight="1" x14ac:dyDescent="0.2">
      <c r="A653" s="50" t="s">
        <v>70</v>
      </c>
      <c r="B653" s="50" t="s">
        <v>5</v>
      </c>
      <c r="C653" s="50" t="s">
        <v>30</v>
      </c>
      <c r="D653" s="50" t="s">
        <v>1019</v>
      </c>
      <c r="E653" s="50" t="s">
        <v>1017</v>
      </c>
      <c r="F653" s="50" t="s">
        <v>106</v>
      </c>
      <c r="G653" s="50" t="s">
        <v>86</v>
      </c>
      <c r="H653" s="51">
        <v>1</v>
      </c>
      <c r="I653" s="52">
        <f>J653/H653</f>
        <v>55990</v>
      </c>
      <c r="J653" s="52">
        <v>55990</v>
      </c>
      <c r="K653" s="51">
        <v>10</v>
      </c>
      <c r="L653" s="53">
        <f>K653/H653*30</f>
        <v>300</v>
      </c>
    </row>
    <row r="654" spans="1:12" s="2" customFormat="1" ht="13.95" customHeight="1" x14ac:dyDescent="0.2">
      <c r="A654" s="50" t="s">
        <v>70</v>
      </c>
      <c r="B654" s="50" t="s">
        <v>5</v>
      </c>
      <c r="C654" s="50" t="s">
        <v>30</v>
      </c>
      <c r="D654" s="50" t="s">
        <v>1020</v>
      </c>
      <c r="E654" s="50" t="s">
        <v>1017</v>
      </c>
      <c r="F654" s="50" t="s">
        <v>106</v>
      </c>
      <c r="G654" s="50" t="s">
        <v>74</v>
      </c>
      <c r="H654" s="51">
        <v>1</v>
      </c>
      <c r="I654" s="52">
        <f>J654/H654</f>
        <v>55990</v>
      </c>
      <c r="J654" s="52">
        <v>55990</v>
      </c>
      <c r="K654" s="51">
        <v>6</v>
      </c>
      <c r="L654" s="53">
        <f>K654/H654*30</f>
        <v>180</v>
      </c>
    </row>
    <row r="655" spans="1:12" s="2" customFormat="1" ht="13.95" customHeight="1" x14ac:dyDescent="0.2">
      <c r="A655" s="50" t="s">
        <v>70</v>
      </c>
      <c r="B655" s="50" t="s">
        <v>5</v>
      </c>
      <c r="C655" s="50" t="s">
        <v>40</v>
      </c>
      <c r="D655" s="50" t="s">
        <v>1021</v>
      </c>
      <c r="E655" s="50" t="s">
        <v>933</v>
      </c>
      <c r="F655" s="50" t="s">
        <v>137</v>
      </c>
      <c r="G655" s="50" t="s">
        <v>88</v>
      </c>
      <c r="H655" s="51">
        <v>4</v>
      </c>
      <c r="I655" s="52">
        <f>J655/H655</f>
        <v>13990</v>
      </c>
      <c r="J655" s="52">
        <v>55960</v>
      </c>
      <c r="K655" s="51">
        <v>14</v>
      </c>
      <c r="L655" s="53">
        <f>K655/H655*30</f>
        <v>105</v>
      </c>
    </row>
    <row r="656" spans="1:12" s="2" customFormat="1" ht="13.95" customHeight="1" x14ac:dyDescent="0.2">
      <c r="A656" s="50" t="s">
        <v>70</v>
      </c>
      <c r="B656" s="50" t="s">
        <v>5</v>
      </c>
      <c r="C656" s="50" t="s">
        <v>40</v>
      </c>
      <c r="D656" s="50" t="s">
        <v>1022</v>
      </c>
      <c r="E656" s="50" t="s">
        <v>933</v>
      </c>
      <c r="F656" s="50" t="s">
        <v>137</v>
      </c>
      <c r="G656" s="50" t="s">
        <v>86</v>
      </c>
      <c r="H656" s="51">
        <v>4</v>
      </c>
      <c r="I656" s="52">
        <f>J656/H656</f>
        <v>13990</v>
      </c>
      <c r="J656" s="52">
        <v>55960</v>
      </c>
      <c r="K656" s="51">
        <v>49</v>
      </c>
      <c r="L656" s="53">
        <f>K656/H656*30</f>
        <v>367.5</v>
      </c>
    </row>
    <row r="657" spans="1:12" s="2" customFormat="1" ht="13.95" customHeight="1" x14ac:dyDescent="0.2">
      <c r="A657" s="50" t="s">
        <v>70</v>
      </c>
      <c r="B657" s="50" t="s">
        <v>5</v>
      </c>
      <c r="C657" s="50" t="s">
        <v>40</v>
      </c>
      <c r="D657" s="50" t="s">
        <v>1023</v>
      </c>
      <c r="E657" s="50" t="s">
        <v>933</v>
      </c>
      <c r="F657" s="50" t="s">
        <v>137</v>
      </c>
      <c r="G657" s="50" t="s">
        <v>74</v>
      </c>
      <c r="H657" s="51">
        <v>4</v>
      </c>
      <c r="I657" s="52">
        <f>J657/H657</f>
        <v>13990</v>
      </c>
      <c r="J657" s="52">
        <v>55960</v>
      </c>
      <c r="K657" s="51">
        <v>4</v>
      </c>
      <c r="L657" s="53">
        <f>K657/H657*30</f>
        <v>30</v>
      </c>
    </row>
    <row r="658" spans="1:12" s="2" customFormat="1" ht="13.95" customHeight="1" x14ac:dyDescent="0.2">
      <c r="A658" s="50" t="s">
        <v>70</v>
      </c>
      <c r="B658" s="50" t="s">
        <v>7</v>
      </c>
      <c r="C658" s="50" t="s">
        <v>15</v>
      </c>
      <c r="D658" s="50" t="s">
        <v>1028</v>
      </c>
      <c r="E658" s="50" t="s">
        <v>1029</v>
      </c>
      <c r="F658" s="50" t="s">
        <v>106</v>
      </c>
      <c r="G658" s="50" t="s">
        <v>86</v>
      </c>
      <c r="H658" s="51">
        <v>2</v>
      </c>
      <c r="I658" s="52">
        <f>J658/H658</f>
        <v>26990</v>
      </c>
      <c r="J658" s="52">
        <v>53980</v>
      </c>
      <c r="K658" s="51">
        <v>2</v>
      </c>
      <c r="L658" s="53">
        <f>K658/H658*30</f>
        <v>30</v>
      </c>
    </row>
    <row r="659" spans="1:12" s="2" customFormat="1" ht="13.95" customHeight="1" x14ac:dyDescent="0.2">
      <c r="A659" s="50" t="s">
        <v>70</v>
      </c>
      <c r="B659" s="50" t="s">
        <v>5</v>
      </c>
      <c r="C659" s="50" t="s">
        <v>40</v>
      </c>
      <c r="D659" s="50" t="s">
        <v>1030</v>
      </c>
      <c r="E659" s="50" t="s">
        <v>524</v>
      </c>
      <c r="F659" s="50" t="s">
        <v>137</v>
      </c>
      <c r="G659" s="50" t="s">
        <v>330</v>
      </c>
      <c r="H659" s="51">
        <v>2</v>
      </c>
      <c r="I659" s="52">
        <f>J659/H659</f>
        <v>26990</v>
      </c>
      <c r="J659" s="52">
        <v>53980</v>
      </c>
      <c r="K659" s="51">
        <v>1</v>
      </c>
      <c r="L659" s="53">
        <f>K659/H659*30</f>
        <v>15</v>
      </c>
    </row>
    <row r="660" spans="1:12" s="2" customFormat="1" ht="13.95" customHeight="1" x14ac:dyDescent="0.2">
      <c r="A660" s="50" t="s">
        <v>70</v>
      </c>
      <c r="B660" s="50" t="s">
        <v>5</v>
      </c>
      <c r="C660" s="50" t="s">
        <v>45</v>
      </c>
      <c r="D660" s="50" t="s">
        <v>1031</v>
      </c>
      <c r="E660" s="50" t="s">
        <v>173</v>
      </c>
      <c r="F660" s="50" t="s">
        <v>223</v>
      </c>
      <c r="G660" s="50" t="s">
        <v>224</v>
      </c>
      <c r="H660" s="51">
        <v>2</v>
      </c>
      <c r="I660" s="52">
        <f>J660/H660</f>
        <v>26990</v>
      </c>
      <c r="J660" s="52">
        <v>53980</v>
      </c>
      <c r="K660" s="51">
        <v>1</v>
      </c>
      <c r="L660" s="53">
        <f>K660/H660*30</f>
        <v>15</v>
      </c>
    </row>
    <row r="661" spans="1:12" s="2" customFormat="1" ht="13.95" customHeight="1" x14ac:dyDescent="0.2">
      <c r="A661" s="50" t="s">
        <v>70</v>
      </c>
      <c r="B661" s="50" t="s">
        <v>5</v>
      </c>
      <c r="C661" s="50" t="s">
        <v>45</v>
      </c>
      <c r="D661" s="50" t="s">
        <v>1032</v>
      </c>
      <c r="E661" s="50" t="s">
        <v>173</v>
      </c>
      <c r="F661" s="50" t="s">
        <v>106</v>
      </c>
      <c r="G661" s="50" t="s">
        <v>74</v>
      </c>
      <c r="H661" s="51">
        <v>2</v>
      </c>
      <c r="I661" s="52">
        <f>J661/H661</f>
        <v>26990</v>
      </c>
      <c r="J661" s="52">
        <v>53980</v>
      </c>
      <c r="K661" s="51">
        <v>4</v>
      </c>
      <c r="L661" s="53">
        <f>K661/H661*30</f>
        <v>60</v>
      </c>
    </row>
    <row r="662" spans="1:12" s="2" customFormat="1" ht="13.95" customHeight="1" x14ac:dyDescent="0.2">
      <c r="A662" s="50" t="s">
        <v>70</v>
      </c>
      <c r="B662" s="50" t="s">
        <v>5</v>
      </c>
      <c r="C662" s="50" t="s">
        <v>45</v>
      </c>
      <c r="D662" s="50" t="s">
        <v>1033</v>
      </c>
      <c r="E662" s="50" t="s">
        <v>356</v>
      </c>
      <c r="F662" s="50" t="s">
        <v>73</v>
      </c>
      <c r="G662" s="50" t="s">
        <v>88</v>
      </c>
      <c r="H662" s="51">
        <v>2</v>
      </c>
      <c r="I662" s="52">
        <f>J662/H662</f>
        <v>26990</v>
      </c>
      <c r="J662" s="52">
        <v>53980</v>
      </c>
      <c r="K662" s="51">
        <v>35</v>
      </c>
      <c r="L662" s="53">
        <f>K662/H662*30</f>
        <v>525</v>
      </c>
    </row>
    <row r="663" spans="1:12" s="2" customFormat="1" ht="13.95" customHeight="1" x14ac:dyDescent="0.2">
      <c r="A663" s="50" t="s">
        <v>70</v>
      </c>
      <c r="B663" s="50" t="s">
        <v>5</v>
      </c>
      <c r="C663" s="50" t="s">
        <v>45</v>
      </c>
      <c r="D663" s="50" t="s">
        <v>1034</v>
      </c>
      <c r="E663" s="50" t="s">
        <v>356</v>
      </c>
      <c r="F663" s="50" t="s">
        <v>106</v>
      </c>
      <c r="G663" s="50" t="s">
        <v>97</v>
      </c>
      <c r="H663" s="51">
        <v>2</v>
      </c>
      <c r="I663" s="52">
        <f>J663/H663</f>
        <v>26990</v>
      </c>
      <c r="J663" s="52">
        <v>53980</v>
      </c>
      <c r="K663" s="51">
        <v>31</v>
      </c>
      <c r="L663" s="53">
        <f>K663/H663*30</f>
        <v>465</v>
      </c>
    </row>
    <row r="664" spans="1:12" s="2" customFormat="1" ht="13.95" customHeight="1" x14ac:dyDescent="0.2">
      <c r="A664" s="50" t="s">
        <v>70</v>
      </c>
      <c r="B664" s="50" t="s">
        <v>5</v>
      </c>
      <c r="C664" s="50" t="s">
        <v>40</v>
      </c>
      <c r="D664" s="50" t="s">
        <v>1035</v>
      </c>
      <c r="E664" s="50" t="s">
        <v>708</v>
      </c>
      <c r="F664" s="50" t="s">
        <v>73</v>
      </c>
      <c r="G664" s="50" t="s">
        <v>84</v>
      </c>
      <c r="H664" s="51">
        <v>3</v>
      </c>
      <c r="I664" s="52">
        <f>J664/H664</f>
        <v>17990</v>
      </c>
      <c r="J664" s="52">
        <v>53970</v>
      </c>
      <c r="K664" s="51">
        <v>17</v>
      </c>
      <c r="L664" s="53">
        <f>K664/H664*30</f>
        <v>170</v>
      </c>
    </row>
    <row r="665" spans="1:12" s="2" customFormat="1" ht="13.95" customHeight="1" x14ac:dyDescent="0.2">
      <c r="A665" s="50" t="s">
        <v>416</v>
      </c>
      <c r="B665" s="50" t="s">
        <v>8</v>
      </c>
      <c r="C665" s="50" t="s">
        <v>8</v>
      </c>
      <c r="D665" s="50" t="s">
        <v>1036</v>
      </c>
      <c r="E665" s="50" t="s">
        <v>547</v>
      </c>
      <c r="F665" s="50" t="s">
        <v>365</v>
      </c>
      <c r="G665" s="50" t="s">
        <v>84</v>
      </c>
      <c r="H665" s="51">
        <v>1</v>
      </c>
      <c r="I665" s="52">
        <f>J665/H665</f>
        <v>51990</v>
      </c>
      <c r="J665" s="52">
        <v>51990</v>
      </c>
      <c r="K665" s="51">
        <v>2</v>
      </c>
      <c r="L665" s="53">
        <f>K665/H665*30</f>
        <v>60</v>
      </c>
    </row>
    <row r="666" spans="1:12" s="2" customFormat="1" ht="13.95" customHeight="1" x14ac:dyDescent="0.2">
      <c r="A666" s="50" t="s">
        <v>416</v>
      </c>
      <c r="B666" s="50" t="s">
        <v>8</v>
      </c>
      <c r="C666" s="50" t="s">
        <v>8</v>
      </c>
      <c r="D666" s="50" t="s">
        <v>1037</v>
      </c>
      <c r="E666" s="50" t="s">
        <v>547</v>
      </c>
      <c r="F666" s="50" t="s">
        <v>365</v>
      </c>
      <c r="G666" s="50" t="s">
        <v>84</v>
      </c>
      <c r="H666" s="51">
        <v>1</v>
      </c>
      <c r="I666" s="52">
        <f>J666/H666</f>
        <v>51990</v>
      </c>
      <c r="J666" s="52">
        <v>51990</v>
      </c>
      <c r="K666" s="51">
        <v>2</v>
      </c>
      <c r="L666" s="53">
        <f>K666/H666*30</f>
        <v>60</v>
      </c>
    </row>
    <row r="667" spans="1:12" s="2" customFormat="1" ht="13.95" customHeight="1" x14ac:dyDescent="0.2">
      <c r="A667" s="50" t="s">
        <v>416</v>
      </c>
      <c r="B667" s="50" t="s">
        <v>8</v>
      </c>
      <c r="C667" s="50" t="s">
        <v>8</v>
      </c>
      <c r="D667" s="50" t="s">
        <v>1038</v>
      </c>
      <c r="E667" s="50" t="s">
        <v>547</v>
      </c>
      <c r="F667" s="50" t="s">
        <v>365</v>
      </c>
      <c r="G667" s="50" t="s">
        <v>84</v>
      </c>
      <c r="H667" s="51">
        <v>1</v>
      </c>
      <c r="I667" s="52">
        <f>J667/H667</f>
        <v>51990</v>
      </c>
      <c r="J667" s="52">
        <v>51990</v>
      </c>
      <c r="K667" s="51">
        <v>6</v>
      </c>
      <c r="L667" s="53">
        <f>K667/H667*30</f>
        <v>180</v>
      </c>
    </row>
    <row r="668" spans="1:12" s="2" customFormat="1" ht="13.95" customHeight="1" x14ac:dyDescent="0.2">
      <c r="A668" s="50" t="s">
        <v>416</v>
      </c>
      <c r="B668" s="50" t="s">
        <v>8</v>
      </c>
      <c r="C668" s="50" t="s">
        <v>8</v>
      </c>
      <c r="D668" s="50" t="s">
        <v>1039</v>
      </c>
      <c r="E668" s="50" t="s">
        <v>547</v>
      </c>
      <c r="F668" s="50" t="s">
        <v>365</v>
      </c>
      <c r="G668" s="50" t="s">
        <v>84</v>
      </c>
      <c r="H668" s="51">
        <v>1</v>
      </c>
      <c r="I668" s="52">
        <f>J668/H668</f>
        <v>51990</v>
      </c>
      <c r="J668" s="52">
        <v>51990</v>
      </c>
      <c r="K668" s="51">
        <v>4</v>
      </c>
      <c r="L668" s="53">
        <f>K668/H668*30</f>
        <v>120</v>
      </c>
    </row>
    <row r="669" spans="1:12" s="2" customFormat="1" ht="13.95" customHeight="1" x14ac:dyDescent="0.2">
      <c r="A669" s="50" t="s">
        <v>416</v>
      </c>
      <c r="B669" s="50" t="s">
        <v>8</v>
      </c>
      <c r="C669" s="50" t="s">
        <v>8</v>
      </c>
      <c r="D669" s="50" t="s">
        <v>1040</v>
      </c>
      <c r="E669" s="50" t="s">
        <v>547</v>
      </c>
      <c r="F669" s="50" t="s">
        <v>365</v>
      </c>
      <c r="G669" s="50" t="s">
        <v>84</v>
      </c>
      <c r="H669" s="51">
        <v>1</v>
      </c>
      <c r="I669" s="52">
        <f>J669/H669</f>
        <v>51990</v>
      </c>
      <c r="J669" s="52">
        <v>51990</v>
      </c>
      <c r="K669" s="51">
        <v>2</v>
      </c>
      <c r="L669" s="53">
        <f>K669/H669*30</f>
        <v>60</v>
      </c>
    </row>
    <row r="670" spans="1:12" s="2" customFormat="1" ht="13.95" customHeight="1" x14ac:dyDescent="0.2">
      <c r="A670" s="50" t="s">
        <v>416</v>
      </c>
      <c r="B670" s="50" t="s">
        <v>8</v>
      </c>
      <c r="C670" s="50" t="s">
        <v>8</v>
      </c>
      <c r="D670" s="50" t="s">
        <v>1041</v>
      </c>
      <c r="E670" s="50" t="s">
        <v>418</v>
      </c>
      <c r="F670" s="50" t="s">
        <v>365</v>
      </c>
      <c r="G670" s="50" t="s">
        <v>86</v>
      </c>
      <c r="H670" s="51">
        <v>1</v>
      </c>
      <c r="I670" s="52">
        <f>J670/H670</f>
        <v>51990</v>
      </c>
      <c r="J670" s="52">
        <v>51990</v>
      </c>
      <c r="K670" s="51">
        <v>5</v>
      </c>
      <c r="L670" s="53">
        <f>K670/H670*30</f>
        <v>150</v>
      </c>
    </row>
    <row r="671" spans="1:12" s="2" customFormat="1" ht="13.95" customHeight="1" x14ac:dyDescent="0.2">
      <c r="A671" s="50" t="s">
        <v>416</v>
      </c>
      <c r="B671" s="50" t="s">
        <v>8</v>
      </c>
      <c r="C671" s="50" t="s">
        <v>8</v>
      </c>
      <c r="D671" s="50" t="s">
        <v>1042</v>
      </c>
      <c r="E671" s="50" t="s">
        <v>418</v>
      </c>
      <c r="F671" s="50" t="s">
        <v>365</v>
      </c>
      <c r="G671" s="50" t="s">
        <v>86</v>
      </c>
      <c r="H671" s="51">
        <v>1</v>
      </c>
      <c r="I671" s="52">
        <f>J671/H671</f>
        <v>51990</v>
      </c>
      <c r="J671" s="52">
        <v>51990</v>
      </c>
      <c r="K671" s="51">
        <v>8</v>
      </c>
      <c r="L671" s="53">
        <f>K671/H671*30</f>
        <v>240</v>
      </c>
    </row>
    <row r="672" spans="1:12" s="2" customFormat="1" ht="13.95" customHeight="1" x14ac:dyDescent="0.2">
      <c r="A672" s="50" t="s">
        <v>416</v>
      </c>
      <c r="B672" s="50" t="s">
        <v>8</v>
      </c>
      <c r="C672" s="50" t="s">
        <v>8</v>
      </c>
      <c r="D672" s="50" t="s">
        <v>1043</v>
      </c>
      <c r="E672" s="50" t="s">
        <v>418</v>
      </c>
      <c r="F672" s="50" t="s">
        <v>365</v>
      </c>
      <c r="G672" s="50" t="s">
        <v>86</v>
      </c>
      <c r="H672" s="51">
        <v>1</v>
      </c>
      <c r="I672" s="52">
        <f>J672/H672</f>
        <v>51990</v>
      </c>
      <c r="J672" s="52">
        <v>51990</v>
      </c>
      <c r="K672" s="51">
        <v>15</v>
      </c>
      <c r="L672" s="53">
        <f>K672/H672*30</f>
        <v>450</v>
      </c>
    </row>
    <row r="673" spans="1:12" s="2" customFormat="1" ht="13.95" customHeight="1" x14ac:dyDescent="0.2">
      <c r="A673" s="50" t="s">
        <v>416</v>
      </c>
      <c r="B673" s="50" t="s">
        <v>8</v>
      </c>
      <c r="C673" s="50" t="s">
        <v>8</v>
      </c>
      <c r="D673" s="50" t="s">
        <v>1044</v>
      </c>
      <c r="E673" s="50" t="s">
        <v>418</v>
      </c>
      <c r="F673" s="50" t="s">
        <v>365</v>
      </c>
      <c r="G673" s="50" t="s">
        <v>86</v>
      </c>
      <c r="H673" s="51">
        <v>1</v>
      </c>
      <c r="I673" s="52">
        <f>J673/H673</f>
        <v>51990</v>
      </c>
      <c r="J673" s="52">
        <v>51990</v>
      </c>
      <c r="K673" s="51">
        <v>8</v>
      </c>
      <c r="L673" s="53">
        <f>K673/H673*30</f>
        <v>240</v>
      </c>
    </row>
    <row r="674" spans="1:12" s="2" customFormat="1" ht="13.95" customHeight="1" x14ac:dyDescent="0.2">
      <c r="A674" s="50" t="s">
        <v>416</v>
      </c>
      <c r="B674" s="50" t="s">
        <v>8</v>
      </c>
      <c r="C674" s="50" t="s">
        <v>8</v>
      </c>
      <c r="D674" s="50" t="s">
        <v>1045</v>
      </c>
      <c r="E674" s="50" t="s">
        <v>418</v>
      </c>
      <c r="F674" s="50" t="s">
        <v>365</v>
      </c>
      <c r="G674" s="50" t="s">
        <v>86</v>
      </c>
      <c r="H674" s="51">
        <v>1</v>
      </c>
      <c r="I674" s="52">
        <f>J674/H674</f>
        <v>51990</v>
      </c>
      <c r="J674" s="52">
        <v>51990</v>
      </c>
      <c r="K674" s="51">
        <v>5</v>
      </c>
      <c r="L674" s="53">
        <f>K674/H674*30</f>
        <v>150</v>
      </c>
    </row>
    <row r="675" spans="1:12" s="2" customFormat="1" ht="13.95" customHeight="1" x14ac:dyDescent="0.2">
      <c r="A675" s="50" t="s">
        <v>416</v>
      </c>
      <c r="B675" s="50" t="s">
        <v>8</v>
      </c>
      <c r="C675" s="50" t="s">
        <v>8</v>
      </c>
      <c r="D675" s="50" t="s">
        <v>1046</v>
      </c>
      <c r="E675" s="50" t="s">
        <v>418</v>
      </c>
      <c r="F675" s="50" t="s">
        <v>365</v>
      </c>
      <c r="G675" s="50" t="s">
        <v>86</v>
      </c>
      <c r="H675" s="51">
        <v>1</v>
      </c>
      <c r="I675" s="52">
        <f>J675/H675</f>
        <v>51990</v>
      </c>
      <c r="J675" s="52">
        <v>51990</v>
      </c>
      <c r="K675" s="51">
        <v>6</v>
      </c>
      <c r="L675" s="53">
        <f>K675/H675*30</f>
        <v>180</v>
      </c>
    </row>
    <row r="676" spans="1:12" s="2" customFormat="1" ht="13.95" customHeight="1" x14ac:dyDescent="0.2">
      <c r="A676" s="50" t="s">
        <v>416</v>
      </c>
      <c r="B676" s="50" t="s">
        <v>8</v>
      </c>
      <c r="C676" s="50" t="s">
        <v>8</v>
      </c>
      <c r="D676" s="50" t="s">
        <v>1047</v>
      </c>
      <c r="E676" s="50" t="s">
        <v>418</v>
      </c>
      <c r="F676" s="50" t="s">
        <v>365</v>
      </c>
      <c r="G676" s="50" t="s">
        <v>112</v>
      </c>
      <c r="H676" s="51">
        <v>1</v>
      </c>
      <c r="I676" s="52">
        <f>J676/H676</f>
        <v>51990</v>
      </c>
      <c r="J676" s="52">
        <v>51990</v>
      </c>
      <c r="K676" s="51">
        <v>3</v>
      </c>
      <c r="L676" s="53">
        <f>K676/H676*30</f>
        <v>90</v>
      </c>
    </row>
    <row r="677" spans="1:12" s="2" customFormat="1" ht="13.95" customHeight="1" x14ac:dyDescent="0.2">
      <c r="A677" s="50" t="s">
        <v>416</v>
      </c>
      <c r="B677" s="50" t="s">
        <v>8</v>
      </c>
      <c r="C677" s="50" t="s">
        <v>8</v>
      </c>
      <c r="D677" s="50" t="s">
        <v>1048</v>
      </c>
      <c r="E677" s="50" t="s">
        <v>418</v>
      </c>
      <c r="F677" s="50" t="s">
        <v>365</v>
      </c>
      <c r="G677" s="50" t="s">
        <v>112</v>
      </c>
      <c r="H677" s="51">
        <v>1</v>
      </c>
      <c r="I677" s="52">
        <f>J677/H677</f>
        <v>51990</v>
      </c>
      <c r="J677" s="52">
        <v>51990</v>
      </c>
      <c r="K677" s="51">
        <v>17</v>
      </c>
      <c r="L677" s="53">
        <f>K677/H677*30</f>
        <v>510</v>
      </c>
    </row>
    <row r="678" spans="1:12" s="2" customFormat="1" ht="13.95" customHeight="1" x14ac:dyDescent="0.2">
      <c r="A678" s="50" t="s">
        <v>416</v>
      </c>
      <c r="B678" s="50" t="s">
        <v>8</v>
      </c>
      <c r="C678" s="50" t="s">
        <v>8</v>
      </c>
      <c r="D678" s="50" t="s">
        <v>1049</v>
      </c>
      <c r="E678" s="50" t="s">
        <v>715</v>
      </c>
      <c r="F678" s="50" t="s">
        <v>73</v>
      </c>
      <c r="G678" s="50" t="s">
        <v>86</v>
      </c>
      <c r="H678" s="51">
        <v>1</v>
      </c>
      <c r="I678" s="52">
        <f>J678/H678</f>
        <v>51990</v>
      </c>
      <c r="J678" s="52">
        <v>51990</v>
      </c>
      <c r="K678" s="51">
        <v>6</v>
      </c>
      <c r="L678" s="53">
        <f>K678/H678*30</f>
        <v>180</v>
      </c>
    </row>
    <row r="679" spans="1:12" s="2" customFormat="1" ht="13.95" customHeight="1" x14ac:dyDescent="0.2">
      <c r="A679" s="50" t="s">
        <v>416</v>
      </c>
      <c r="B679" s="50" t="s">
        <v>8</v>
      </c>
      <c r="C679" s="50" t="s">
        <v>8</v>
      </c>
      <c r="D679" s="50" t="s">
        <v>1050</v>
      </c>
      <c r="E679" s="50" t="s">
        <v>715</v>
      </c>
      <c r="F679" s="50" t="s">
        <v>73</v>
      </c>
      <c r="G679" s="50" t="s">
        <v>86</v>
      </c>
      <c r="H679" s="51">
        <v>1</v>
      </c>
      <c r="I679" s="52">
        <f>J679/H679</f>
        <v>51990</v>
      </c>
      <c r="J679" s="52">
        <v>51990</v>
      </c>
      <c r="K679" s="51">
        <v>1</v>
      </c>
      <c r="L679" s="53">
        <f>K679/H679*30</f>
        <v>30</v>
      </c>
    </row>
    <row r="680" spans="1:12" s="2" customFormat="1" ht="13.95" customHeight="1" x14ac:dyDescent="0.2">
      <c r="A680" s="50" t="s">
        <v>416</v>
      </c>
      <c r="B680" s="50" t="s">
        <v>8</v>
      </c>
      <c r="C680" s="50" t="s">
        <v>8</v>
      </c>
      <c r="D680" s="50" t="s">
        <v>1051</v>
      </c>
      <c r="E680" s="50" t="s">
        <v>715</v>
      </c>
      <c r="F680" s="50" t="s">
        <v>73</v>
      </c>
      <c r="G680" s="50" t="s">
        <v>86</v>
      </c>
      <c r="H680" s="51">
        <v>1</v>
      </c>
      <c r="I680" s="52">
        <f>J680/H680</f>
        <v>51990</v>
      </c>
      <c r="J680" s="52">
        <v>51990</v>
      </c>
      <c r="K680" s="51">
        <v>0</v>
      </c>
      <c r="L680" s="53">
        <f>K680/H680*30</f>
        <v>0</v>
      </c>
    </row>
    <row r="681" spans="1:12" s="2" customFormat="1" ht="13.95" customHeight="1" x14ac:dyDescent="0.2">
      <c r="A681" s="50" t="s">
        <v>416</v>
      </c>
      <c r="B681" s="50" t="s">
        <v>8</v>
      </c>
      <c r="C681" s="50" t="s">
        <v>8</v>
      </c>
      <c r="D681" s="50" t="s">
        <v>1052</v>
      </c>
      <c r="E681" s="50" t="s">
        <v>715</v>
      </c>
      <c r="F681" s="50" t="s">
        <v>73</v>
      </c>
      <c r="G681" s="50" t="s">
        <v>112</v>
      </c>
      <c r="H681" s="51">
        <v>1</v>
      </c>
      <c r="I681" s="52">
        <f>J681/H681</f>
        <v>51990</v>
      </c>
      <c r="J681" s="52">
        <v>51990</v>
      </c>
      <c r="K681" s="51">
        <v>0</v>
      </c>
      <c r="L681" s="53">
        <f>K681/H681*30</f>
        <v>0</v>
      </c>
    </row>
    <row r="682" spans="1:12" s="2" customFormat="1" ht="13.95" customHeight="1" x14ac:dyDescent="0.2">
      <c r="A682" s="50" t="s">
        <v>416</v>
      </c>
      <c r="B682" s="50" t="s">
        <v>8</v>
      </c>
      <c r="C682" s="50" t="s">
        <v>8</v>
      </c>
      <c r="D682" s="50" t="s">
        <v>1053</v>
      </c>
      <c r="E682" s="50" t="s">
        <v>715</v>
      </c>
      <c r="F682" s="50" t="s">
        <v>73</v>
      </c>
      <c r="G682" s="50" t="s">
        <v>112</v>
      </c>
      <c r="H682" s="51">
        <v>1</v>
      </c>
      <c r="I682" s="52">
        <f>J682/H682</f>
        <v>51990</v>
      </c>
      <c r="J682" s="52">
        <v>51990</v>
      </c>
      <c r="K682" s="51">
        <v>3</v>
      </c>
      <c r="L682" s="53">
        <f>K682/H682*30</f>
        <v>90</v>
      </c>
    </row>
    <row r="683" spans="1:12" s="2" customFormat="1" ht="13.95" customHeight="1" x14ac:dyDescent="0.2">
      <c r="A683" s="50" t="s">
        <v>416</v>
      </c>
      <c r="B683" s="50" t="s">
        <v>8</v>
      </c>
      <c r="C683" s="50" t="s">
        <v>8</v>
      </c>
      <c r="D683" s="50" t="s">
        <v>1054</v>
      </c>
      <c r="E683" s="50" t="s">
        <v>715</v>
      </c>
      <c r="F683" s="50" t="s">
        <v>73</v>
      </c>
      <c r="G683" s="50" t="s">
        <v>112</v>
      </c>
      <c r="H683" s="51">
        <v>1</v>
      </c>
      <c r="I683" s="52">
        <f>J683/H683</f>
        <v>51990</v>
      </c>
      <c r="J683" s="52">
        <v>51990</v>
      </c>
      <c r="K683" s="51">
        <v>1</v>
      </c>
      <c r="L683" s="53">
        <f>K683/H683*30</f>
        <v>30</v>
      </c>
    </row>
    <row r="684" spans="1:12" s="2" customFormat="1" ht="13.95" customHeight="1" x14ac:dyDescent="0.2">
      <c r="A684" s="50" t="s">
        <v>416</v>
      </c>
      <c r="B684" s="50" t="s">
        <v>8</v>
      </c>
      <c r="C684" s="50" t="s">
        <v>8</v>
      </c>
      <c r="D684" s="50" t="s">
        <v>1055</v>
      </c>
      <c r="E684" s="50" t="s">
        <v>715</v>
      </c>
      <c r="F684" s="50" t="s">
        <v>73</v>
      </c>
      <c r="G684" s="50" t="s">
        <v>112</v>
      </c>
      <c r="H684" s="51">
        <v>1</v>
      </c>
      <c r="I684" s="52">
        <f>J684/H684</f>
        <v>51990</v>
      </c>
      <c r="J684" s="52">
        <v>51990</v>
      </c>
      <c r="K684" s="51">
        <v>3</v>
      </c>
      <c r="L684" s="53">
        <f>K684/H684*30</f>
        <v>90</v>
      </c>
    </row>
    <row r="685" spans="1:12" s="2" customFormat="1" ht="13.95" customHeight="1" x14ac:dyDescent="0.2">
      <c r="A685" s="50" t="s">
        <v>416</v>
      </c>
      <c r="B685" s="50" t="s">
        <v>8</v>
      </c>
      <c r="C685" s="50" t="s">
        <v>8</v>
      </c>
      <c r="D685" s="50" t="s">
        <v>1056</v>
      </c>
      <c r="E685" s="50" t="s">
        <v>718</v>
      </c>
      <c r="F685" s="50" t="s">
        <v>719</v>
      </c>
      <c r="G685" s="50" t="s">
        <v>140</v>
      </c>
      <c r="H685" s="51">
        <v>1</v>
      </c>
      <c r="I685" s="52">
        <f>J685/H685</f>
        <v>51990</v>
      </c>
      <c r="J685" s="52">
        <v>51990</v>
      </c>
      <c r="K685" s="51">
        <v>4</v>
      </c>
      <c r="L685" s="53">
        <f>K685/H685*30</f>
        <v>120</v>
      </c>
    </row>
    <row r="686" spans="1:12" s="2" customFormat="1" ht="13.95" customHeight="1" x14ac:dyDescent="0.2">
      <c r="A686" s="50" t="s">
        <v>416</v>
      </c>
      <c r="B686" s="50" t="s">
        <v>8</v>
      </c>
      <c r="C686" s="50" t="s">
        <v>8</v>
      </c>
      <c r="D686" s="50" t="s">
        <v>1057</v>
      </c>
      <c r="E686" s="50" t="s">
        <v>718</v>
      </c>
      <c r="F686" s="50" t="s">
        <v>719</v>
      </c>
      <c r="G686" s="50" t="s">
        <v>140</v>
      </c>
      <c r="H686" s="51">
        <v>1</v>
      </c>
      <c r="I686" s="52">
        <f>J686/H686</f>
        <v>51990</v>
      </c>
      <c r="J686" s="52">
        <v>51990</v>
      </c>
      <c r="K686" s="51">
        <v>7</v>
      </c>
      <c r="L686" s="53">
        <f>K686/H686*30</f>
        <v>210</v>
      </c>
    </row>
    <row r="687" spans="1:12" s="2" customFormat="1" ht="13.95" customHeight="1" x14ac:dyDescent="0.2">
      <c r="A687" s="50" t="s">
        <v>416</v>
      </c>
      <c r="B687" s="50" t="s">
        <v>8</v>
      </c>
      <c r="C687" s="50" t="s">
        <v>8</v>
      </c>
      <c r="D687" s="50" t="s">
        <v>1058</v>
      </c>
      <c r="E687" s="50" t="s">
        <v>718</v>
      </c>
      <c r="F687" s="50" t="s">
        <v>719</v>
      </c>
      <c r="G687" s="50" t="s">
        <v>140</v>
      </c>
      <c r="H687" s="51">
        <v>1</v>
      </c>
      <c r="I687" s="52">
        <f>J687/H687</f>
        <v>51990</v>
      </c>
      <c r="J687" s="52">
        <v>51990</v>
      </c>
      <c r="K687" s="51">
        <v>0</v>
      </c>
      <c r="L687" s="53">
        <f>K687/H687*30</f>
        <v>0</v>
      </c>
    </row>
    <row r="688" spans="1:12" s="2" customFormat="1" ht="13.95" customHeight="1" x14ac:dyDescent="0.2">
      <c r="A688" s="50" t="s">
        <v>416</v>
      </c>
      <c r="B688" s="50" t="s">
        <v>8</v>
      </c>
      <c r="C688" s="50" t="s">
        <v>8</v>
      </c>
      <c r="D688" s="50" t="s">
        <v>1059</v>
      </c>
      <c r="E688" s="50" t="s">
        <v>718</v>
      </c>
      <c r="F688" s="50" t="s">
        <v>719</v>
      </c>
      <c r="G688" s="50" t="s">
        <v>720</v>
      </c>
      <c r="H688" s="51">
        <v>1</v>
      </c>
      <c r="I688" s="52">
        <f>J688/H688</f>
        <v>51990</v>
      </c>
      <c r="J688" s="52">
        <v>51990</v>
      </c>
      <c r="K688" s="51">
        <v>4</v>
      </c>
      <c r="L688" s="53">
        <f>K688/H688*30</f>
        <v>120</v>
      </c>
    </row>
    <row r="689" spans="1:12" s="2" customFormat="1" ht="13.95" customHeight="1" x14ac:dyDescent="0.2">
      <c r="A689" s="50" t="s">
        <v>416</v>
      </c>
      <c r="B689" s="50" t="s">
        <v>8</v>
      </c>
      <c r="C689" s="50" t="s">
        <v>8</v>
      </c>
      <c r="D689" s="50" t="s">
        <v>1060</v>
      </c>
      <c r="E689" s="50" t="s">
        <v>718</v>
      </c>
      <c r="F689" s="50" t="s">
        <v>719</v>
      </c>
      <c r="G689" s="50" t="s">
        <v>720</v>
      </c>
      <c r="H689" s="51">
        <v>1</v>
      </c>
      <c r="I689" s="52">
        <f>J689/H689</f>
        <v>51990</v>
      </c>
      <c r="J689" s="52">
        <v>51990</v>
      </c>
      <c r="K689" s="51">
        <v>4</v>
      </c>
      <c r="L689" s="53">
        <f>K689/H689*30</f>
        <v>120</v>
      </c>
    </row>
    <row r="690" spans="1:12" s="2" customFormat="1" ht="13.95" customHeight="1" x14ac:dyDescent="0.2">
      <c r="A690" s="50" t="s">
        <v>416</v>
      </c>
      <c r="B690" s="50" t="s">
        <v>8</v>
      </c>
      <c r="C690" s="50" t="s">
        <v>8</v>
      </c>
      <c r="D690" s="50" t="s">
        <v>1061</v>
      </c>
      <c r="E690" s="50" t="s">
        <v>718</v>
      </c>
      <c r="F690" s="50" t="s">
        <v>719</v>
      </c>
      <c r="G690" s="50" t="s">
        <v>330</v>
      </c>
      <c r="H690" s="51">
        <v>1</v>
      </c>
      <c r="I690" s="52">
        <f>J690/H690</f>
        <v>51990</v>
      </c>
      <c r="J690" s="52">
        <v>51990</v>
      </c>
      <c r="K690" s="51">
        <v>6</v>
      </c>
      <c r="L690" s="53">
        <f>K690/H690*30</f>
        <v>180</v>
      </c>
    </row>
    <row r="691" spans="1:12" s="2" customFormat="1" ht="13.95" customHeight="1" x14ac:dyDescent="0.2">
      <c r="A691" s="50" t="s">
        <v>416</v>
      </c>
      <c r="B691" s="50" t="s">
        <v>8</v>
      </c>
      <c r="C691" s="50" t="s">
        <v>8</v>
      </c>
      <c r="D691" s="50" t="s">
        <v>1062</v>
      </c>
      <c r="E691" s="50" t="s">
        <v>551</v>
      </c>
      <c r="F691" s="50" t="s">
        <v>73</v>
      </c>
      <c r="G691" s="50" t="s">
        <v>552</v>
      </c>
      <c r="H691" s="51">
        <v>1</v>
      </c>
      <c r="I691" s="52">
        <f>J691/H691</f>
        <v>51990</v>
      </c>
      <c r="J691" s="52">
        <v>51990</v>
      </c>
      <c r="K691" s="51">
        <v>5</v>
      </c>
      <c r="L691" s="53">
        <f>K691/H691*30</f>
        <v>150</v>
      </c>
    </row>
    <row r="692" spans="1:12" s="2" customFormat="1" ht="13.95" customHeight="1" x14ac:dyDescent="0.2">
      <c r="A692" s="50" t="s">
        <v>416</v>
      </c>
      <c r="B692" s="50" t="s">
        <v>8</v>
      </c>
      <c r="C692" s="50" t="s">
        <v>8</v>
      </c>
      <c r="D692" s="50" t="s">
        <v>1063</v>
      </c>
      <c r="E692" s="50" t="s">
        <v>551</v>
      </c>
      <c r="F692" s="50" t="s">
        <v>73</v>
      </c>
      <c r="G692" s="50" t="s">
        <v>552</v>
      </c>
      <c r="H692" s="51">
        <v>1</v>
      </c>
      <c r="I692" s="52">
        <f>J692/H692</f>
        <v>51990</v>
      </c>
      <c r="J692" s="52">
        <v>51990</v>
      </c>
      <c r="K692" s="51">
        <v>0</v>
      </c>
      <c r="L692" s="53">
        <f>K692/H692*30</f>
        <v>0</v>
      </c>
    </row>
    <row r="693" spans="1:12" s="2" customFormat="1" ht="13.95" customHeight="1" x14ac:dyDescent="0.2">
      <c r="A693" s="50" t="s">
        <v>416</v>
      </c>
      <c r="B693" s="50" t="s">
        <v>8</v>
      </c>
      <c r="C693" s="50" t="s">
        <v>8</v>
      </c>
      <c r="D693" s="50" t="s">
        <v>1064</v>
      </c>
      <c r="E693" s="50" t="s">
        <v>551</v>
      </c>
      <c r="F693" s="50" t="s">
        <v>73</v>
      </c>
      <c r="G693" s="50" t="s">
        <v>552</v>
      </c>
      <c r="H693" s="51">
        <v>1</v>
      </c>
      <c r="I693" s="52">
        <f>J693/H693</f>
        <v>51990</v>
      </c>
      <c r="J693" s="52">
        <v>51990</v>
      </c>
      <c r="K693" s="51">
        <v>8</v>
      </c>
      <c r="L693" s="53">
        <f>K693/H693*30</f>
        <v>240</v>
      </c>
    </row>
    <row r="694" spans="1:12" s="2" customFormat="1" ht="13.95" customHeight="1" x14ac:dyDescent="0.2">
      <c r="A694" s="50" t="s">
        <v>416</v>
      </c>
      <c r="B694" s="50" t="s">
        <v>8</v>
      </c>
      <c r="C694" s="50" t="s">
        <v>8</v>
      </c>
      <c r="D694" s="50" t="s">
        <v>1065</v>
      </c>
      <c r="E694" s="50" t="s">
        <v>551</v>
      </c>
      <c r="F694" s="50" t="s">
        <v>73</v>
      </c>
      <c r="G694" s="50" t="s">
        <v>552</v>
      </c>
      <c r="H694" s="51">
        <v>1</v>
      </c>
      <c r="I694" s="52">
        <f>J694/H694</f>
        <v>51990</v>
      </c>
      <c r="J694" s="52">
        <v>51990</v>
      </c>
      <c r="K694" s="51">
        <v>4</v>
      </c>
      <c r="L694" s="53">
        <f>K694/H694*30</f>
        <v>120</v>
      </c>
    </row>
    <row r="695" spans="1:12" s="2" customFormat="1" ht="13.95" customHeight="1" x14ac:dyDescent="0.2">
      <c r="A695" s="50" t="s">
        <v>70</v>
      </c>
      <c r="B695" s="50" t="s">
        <v>5</v>
      </c>
      <c r="C695" s="50" t="s">
        <v>34</v>
      </c>
      <c r="D695" s="50" t="s">
        <v>1066</v>
      </c>
      <c r="E695" s="50" t="s">
        <v>338</v>
      </c>
      <c r="F695" s="50" t="s">
        <v>73</v>
      </c>
      <c r="G695" s="50" t="s">
        <v>88</v>
      </c>
      <c r="H695" s="51">
        <v>1</v>
      </c>
      <c r="I695" s="52">
        <f>J695/H695</f>
        <v>51990</v>
      </c>
      <c r="J695" s="52">
        <v>51990</v>
      </c>
      <c r="K695" s="51">
        <v>10</v>
      </c>
      <c r="L695" s="53">
        <f>K695/H695*30</f>
        <v>300</v>
      </c>
    </row>
    <row r="696" spans="1:12" s="2" customFormat="1" ht="13.95" customHeight="1" x14ac:dyDescent="0.2">
      <c r="A696" s="50" t="s">
        <v>70</v>
      </c>
      <c r="B696" s="50" t="s">
        <v>5</v>
      </c>
      <c r="C696" s="50" t="s">
        <v>34</v>
      </c>
      <c r="D696" s="50" t="s">
        <v>1067</v>
      </c>
      <c r="E696" s="50" t="s">
        <v>338</v>
      </c>
      <c r="F696" s="50" t="s">
        <v>73</v>
      </c>
      <c r="G696" s="50" t="s">
        <v>90</v>
      </c>
      <c r="H696" s="51">
        <v>1</v>
      </c>
      <c r="I696" s="52">
        <f>J696/H696</f>
        <v>51990</v>
      </c>
      <c r="J696" s="52">
        <v>51990</v>
      </c>
      <c r="K696" s="51">
        <v>10</v>
      </c>
      <c r="L696" s="53">
        <f>K696/H696*30</f>
        <v>300</v>
      </c>
    </row>
    <row r="697" spans="1:12" s="2" customFormat="1" ht="13.95" customHeight="1" x14ac:dyDescent="0.2">
      <c r="A697" s="50" t="s">
        <v>70</v>
      </c>
      <c r="B697" s="50" t="s">
        <v>5</v>
      </c>
      <c r="C697" s="50" t="s">
        <v>34</v>
      </c>
      <c r="D697" s="50" t="s">
        <v>1068</v>
      </c>
      <c r="E697" s="50" t="s">
        <v>338</v>
      </c>
      <c r="F697" s="50" t="s">
        <v>73</v>
      </c>
      <c r="G697" s="50" t="s">
        <v>74</v>
      </c>
      <c r="H697" s="51">
        <v>1</v>
      </c>
      <c r="I697" s="52">
        <f>J697/H697</f>
        <v>51990</v>
      </c>
      <c r="J697" s="52">
        <v>51990</v>
      </c>
      <c r="K697" s="51">
        <v>12</v>
      </c>
      <c r="L697" s="53">
        <f>K697/H697*30</f>
        <v>360</v>
      </c>
    </row>
    <row r="698" spans="1:12" s="2" customFormat="1" ht="13.95" customHeight="1" x14ac:dyDescent="0.2">
      <c r="A698" s="50" t="s">
        <v>70</v>
      </c>
      <c r="B698" s="50" t="s">
        <v>5</v>
      </c>
      <c r="C698" s="50" t="s">
        <v>34</v>
      </c>
      <c r="D698" s="50" t="s">
        <v>1069</v>
      </c>
      <c r="E698" s="50" t="s">
        <v>338</v>
      </c>
      <c r="F698" s="50" t="s">
        <v>177</v>
      </c>
      <c r="G698" s="50" t="s">
        <v>86</v>
      </c>
      <c r="H698" s="51">
        <v>1</v>
      </c>
      <c r="I698" s="52">
        <f>J698/H698</f>
        <v>51990</v>
      </c>
      <c r="J698" s="52">
        <v>51990</v>
      </c>
      <c r="K698" s="51">
        <v>6</v>
      </c>
      <c r="L698" s="53">
        <f>K698/H698*30</f>
        <v>180</v>
      </c>
    </row>
    <row r="699" spans="1:12" s="2" customFormat="1" ht="13.95" customHeight="1" x14ac:dyDescent="0.2">
      <c r="A699" s="50" t="s">
        <v>70</v>
      </c>
      <c r="B699" s="50" t="s">
        <v>5</v>
      </c>
      <c r="C699" s="50" t="s">
        <v>34</v>
      </c>
      <c r="D699" s="50" t="s">
        <v>1070</v>
      </c>
      <c r="E699" s="50" t="s">
        <v>338</v>
      </c>
      <c r="F699" s="50"/>
      <c r="G699" s="50"/>
      <c r="H699" s="51">
        <v>1</v>
      </c>
      <c r="I699" s="52">
        <f>J699/H699</f>
        <v>51990</v>
      </c>
      <c r="J699" s="52">
        <v>51990</v>
      </c>
      <c r="K699" s="51">
        <v>12</v>
      </c>
      <c r="L699" s="53">
        <f>K699/H699*30</f>
        <v>360</v>
      </c>
    </row>
    <row r="700" spans="1:12" s="2" customFormat="1" ht="13.95" customHeight="1" x14ac:dyDescent="0.2">
      <c r="A700" s="50" t="s">
        <v>70</v>
      </c>
      <c r="B700" s="50" t="s">
        <v>5</v>
      </c>
      <c r="C700" s="50" t="s">
        <v>34</v>
      </c>
      <c r="D700" s="50" t="s">
        <v>1071</v>
      </c>
      <c r="E700" s="50" t="s">
        <v>724</v>
      </c>
      <c r="F700" s="50" t="s">
        <v>73</v>
      </c>
      <c r="G700" s="50" t="s">
        <v>88</v>
      </c>
      <c r="H700" s="51">
        <v>1</v>
      </c>
      <c r="I700" s="52">
        <f>J700/H700</f>
        <v>51990</v>
      </c>
      <c r="J700" s="52">
        <v>51990</v>
      </c>
      <c r="K700" s="51">
        <v>12</v>
      </c>
      <c r="L700" s="53">
        <f>K700/H700*30</f>
        <v>360</v>
      </c>
    </row>
    <row r="701" spans="1:12" s="2" customFormat="1" ht="13.95" customHeight="1" x14ac:dyDescent="0.2">
      <c r="A701" s="50" t="s">
        <v>70</v>
      </c>
      <c r="B701" s="50" t="s">
        <v>5</v>
      </c>
      <c r="C701" s="50" t="s">
        <v>39</v>
      </c>
      <c r="D701" s="50" t="s">
        <v>1072</v>
      </c>
      <c r="E701" s="50" t="s">
        <v>1073</v>
      </c>
      <c r="F701" s="50" t="s">
        <v>73</v>
      </c>
      <c r="G701" s="50" t="s">
        <v>88</v>
      </c>
      <c r="H701" s="51">
        <v>4</v>
      </c>
      <c r="I701" s="52">
        <f>J701/H701</f>
        <v>12990</v>
      </c>
      <c r="J701" s="52">
        <v>51960</v>
      </c>
      <c r="K701" s="51">
        <v>13</v>
      </c>
      <c r="L701" s="53">
        <f>K701/H701*30</f>
        <v>97.5</v>
      </c>
    </row>
    <row r="702" spans="1:12" s="2" customFormat="1" ht="13.95" customHeight="1" x14ac:dyDescent="0.2">
      <c r="A702" s="50" t="s">
        <v>70</v>
      </c>
      <c r="B702" s="50" t="s">
        <v>5</v>
      </c>
      <c r="C702" s="50" t="s">
        <v>40</v>
      </c>
      <c r="D702" s="50" t="s">
        <v>1074</v>
      </c>
      <c r="E702" s="50" t="s">
        <v>933</v>
      </c>
      <c r="F702" s="50" t="s">
        <v>73</v>
      </c>
      <c r="G702" s="50" t="s">
        <v>90</v>
      </c>
      <c r="H702" s="51">
        <v>4</v>
      </c>
      <c r="I702" s="52">
        <f>J702/H702</f>
        <v>12990</v>
      </c>
      <c r="J702" s="52">
        <v>51960</v>
      </c>
      <c r="K702" s="51">
        <v>35</v>
      </c>
      <c r="L702" s="53">
        <f>K702/H702*30</f>
        <v>262.5</v>
      </c>
    </row>
    <row r="703" spans="1:12" s="2" customFormat="1" ht="13.95" customHeight="1" x14ac:dyDescent="0.2">
      <c r="A703" s="50" t="s">
        <v>70</v>
      </c>
      <c r="B703" s="50" t="s">
        <v>5</v>
      </c>
      <c r="C703" s="50" t="s">
        <v>40</v>
      </c>
      <c r="D703" s="50" t="s">
        <v>1075</v>
      </c>
      <c r="E703" s="50" t="s">
        <v>933</v>
      </c>
      <c r="F703" s="50" t="s">
        <v>106</v>
      </c>
      <c r="G703" s="50" t="s">
        <v>112</v>
      </c>
      <c r="H703" s="51">
        <v>4</v>
      </c>
      <c r="I703" s="52">
        <f>J703/H703</f>
        <v>12990</v>
      </c>
      <c r="J703" s="52">
        <v>51960</v>
      </c>
      <c r="K703" s="51">
        <v>23</v>
      </c>
      <c r="L703" s="53">
        <f>K703/H703*30</f>
        <v>172.5</v>
      </c>
    </row>
    <row r="704" spans="1:12" s="2" customFormat="1" ht="13.95" customHeight="1" x14ac:dyDescent="0.2">
      <c r="A704" s="50" t="s">
        <v>70</v>
      </c>
      <c r="B704" s="50" t="s">
        <v>5</v>
      </c>
      <c r="C704" s="50" t="s">
        <v>40</v>
      </c>
      <c r="D704" s="50" t="s">
        <v>1076</v>
      </c>
      <c r="E704" s="50" t="s">
        <v>340</v>
      </c>
      <c r="F704" s="50" t="s">
        <v>73</v>
      </c>
      <c r="G704" s="50" t="s">
        <v>97</v>
      </c>
      <c r="H704" s="51">
        <v>4</v>
      </c>
      <c r="I704" s="52">
        <f>J704/H704</f>
        <v>12990</v>
      </c>
      <c r="J704" s="52">
        <v>51960</v>
      </c>
      <c r="K704" s="51">
        <v>48</v>
      </c>
      <c r="L704" s="53">
        <f>K704/H704*30</f>
        <v>360</v>
      </c>
    </row>
    <row r="705" spans="1:12" s="2" customFormat="1" ht="13.95" customHeight="1" x14ac:dyDescent="0.2">
      <c r="A705" s="50" t="s">
        <v>70</v>
      </c>
      <c r="B705" s="50" t="s">
        <v>5</v>
      </c>
      <c r="C705" s="50" t="s">
        <v>40</v>
      </c>
      <c r="D705" s="50" t="s">
        <v>1077</v>
      </c>
      <c r="E705" s="50" t="s">
        <v>340</v>
      </c>
      <c r="F705" s="50" t="s">
        <v>73</v>
      </c>
      <c r="G705" s="50" t="s">
        <v>112</v>
      </c>
      <c r="H705" s="51">
        <v>4</v>
      </c>
      <c r="I705" s="52">
        <f>J705/H705</f>
        <v>12990</v>
      </c>
      <c r="J705" s="52">
        <v>51960</v>
      </c>
      <c r="K705" s="51">
        <v>3</v>
      </c>
      <c r="L705" s="53">
        <f>K705/H705*30</f>
        <v>22.5</v>
      </c>
    </row>
    <row r="706" spans="1:12" s="2" customFormat="1" ht="13.95" customHeight="1" x14ac:dyDescent="0.2">
      <c r="A706" s="50" t="s">
        <v>70</v>
      </c>
      <c r="B706" s="50" t="s">
        <v>5</v>
      </c>
      <c r="C706" s="50" t="s">
        <v>40</v>
      </c>
      <c r="D706" s="50" t="s">
        <v>1078</v>
      </c>
      <c r="E706" s="50" t="s">
        <v>340</v>
      </c>
      <c r="F706" s="50" t="s">
        <v>73</v>
      </c>
      <c r="G706" s="50" t="s">
        <v>84</v>
      </c>
      <c r="H706" s="51">
        <v>4</v>
      </c>
      <c r="I706" s="52">
        <f>J706/H706</f>
        <v>12990</v>
      </c>
      <c r="J706" s="52">
        <v>51960</v>
      </c>
      <c r="K706" s="51">
        <v>33</v>
      </c>
      <c r="L706" s="53">
        <f>K706/H706*30</f>
        <v>247.5</v>
      </c>
    </row>
    <row r="707" spans="1:12" s="2" customFormat="1" ht="13.95" customHeight="1" x14ac:dyDescent="0.2">
      <c r="A707" s="50" t="s">
        <v>70</v>
      </c>
      <c r="B707" s="50" t="s">
        <v>5</v>
      </c>
      <c r="C707" s="50" t="s">
        <v>45</v>
      </c>
      <c r="D707" s="50" t="s">
        <v>1079</v>
      </c>
      <c r="E707" s="50" t="s">
        <v>592</v>
      </c>
      <c r="F707" s="50" t="s">
        <v>73</v>
      </c>
      <c r="G707" s="50" t="s">
        <v>97</v>
      </c>
      <c r="H707" s="51">
        <v>4</v>
      </c>
      <c r="I707" s="52">
        <f>J707/H707</f>
        <v>12990</v>
      </c>
      <c r="J707" s="52">
        <v>51960</v>
      </c>
      <c r="K707" s="51">
        <v>3</v>
      </c>
      <c r="L707" s="53">
        <f>K707/H707*30</f>
        <v>22.5</v>
      </c>
    </row>
    <row r="708" spans="1:12" s="2" customFormat="1" ht="13.95" customHeight="1" x14ac:dyDescent="0.2">
      <c r="A708" s="50" t="s">
        <v>70</v>
      </c>
      <c r="B708" s="50" t="s">
        <v>7</v>
      </c>
      <c r="C708" s="50" t="s">
        <v>20</v>
      </c>
      <c r="D708" s="50" t="s">
        <v>1080</v>
      </c>
      <c r="E708" s="50" t="s">
        <v>20</v>
      </c>
      <c r="F708" s="50" t="s">
        <v>106</v>
      </c>
      <c r="G708" s="50" t="s">
        <v>86</v>
      </c>
      <c r="H708" s="51">
        <v>3</v>
      </c>
      <c r="I708" s="52">
        <f>J708/H708</f>
        <v>16990</v>
      </c>
      <c r="J708" s="52">
        <v>50970</v>
      </c>
      <c r="K708" s="51">
        <v>29</v>
      </c>
      <c r="L708" s="53">
        <f>K708/H708*30</f>
        <v>290</v>
      </c>
    </row>
    <row r="709" spans="1:12" s="2" customFormat="1" ht="13.95" customHeight="1" x14ac:dyDescent="0.2">
      <c r="A709" s="50" t="s">
        <v>70</v>
      </c>
      <c r="B709" s="50" t="s">
        <v>12</v>
      </c>
      <c r="C709" s="50" t="s">
        <v>20</v>
      </c>
      <c r="D709" s="50" t="s">
        <v>1081</v>
      </c>
      <c r="E709" s="50" t="s">
        <v>20</v>
      </c>
      <c r="F709" s="50" t="s">
        <v>106</v>
      </c>
      <c r="G709" s="50" t="s">
        <v>74</v>
      </c>
      <c r="H709" s="51">
        <v>3</v>
      </c>
      <c r="I709" s="52">
        <f>J709/H709</f>
        <v>16990</v>
      </c>
      <c r="J709" s="52">
        <v>50970</v>
      </c>
      <c r="K709" s="51">
        <v>9</v>
      </c>
      <c r="L709" s="53">
        <f>K709/H709*30</f>
        <v>90</v>
      </c>
    </row>
    <row r="710" spans="1:12" s="2" customFormat="1" ht="13.95" customHeight="1" x14ac:dyDescent="0.2">
      <c r="A710" s="50" t="s">
        <v>70</v>
      </c>
      <c r="B710" s="50" t="s">
        <v>5</v>
      </c>
      <c r="C710" s="50" t="s">
        <v>41</v>
      </c>
      <c r="D710" s="50" t="s">
        <v>1082</v>
      </c>
      <c r="E710" s="50" t="s">
        <v>1083</v>
      </c>
      <c r="F710" s="50" t="s">
        <v>229</v>
      </c>
      <c r="G710" s="50" t="s">
        <v>813</v>
      </c>
      <c r="H710" s="51">
        <v>1</v>
      </c>
      <c r="I710" s="52">
        <f>J710/H710</f>
        <v>49990</v>
      </c>
      <c r="J710" s="52">
        <v>49990</v>
      </c>
      <c r="K710" s="51">
        <v>3</v>
      </c>
      <c r="L710" s="53">
        <f>K710/H710*30</f>
        <v>90</v>
      </c>
    </row>
    <row r="711" spans="1:12" s="2" customFormat="1" ht="13.95" customHeight="1" x14ac:dyDescent="0.2">
      <c r="A711" s="50" t="s">
        <v>238</v>
      </c>
      <c r="B711" s="50" t="s">
        <v>6</v>
      </c>
      <c r="C711" s="50" t="s">
        <v>65</v>
      </c>
      <c r="D711" s="50" t="s">
        <v>1084</v>
      </c>
      <c r="E711" s="50" t="s">
        <v>240</v>
      </c>
      <c r="F711" s="50" t="s">
        <v>241</v>
      </c>
      <c r="G711" s="50" t="s">
        <v>294</v>
      </c>
      <c r="H711" s="51">
        <v>1</v>
      </c>
      <c r="I711" s="52">
        <f>J711/H711</f>
        <v>49990</v>
      </c>
      <c r="J711" s="52">
        <v>49990</v>
      </c>
      <c r="K711" s="51">
        <v>25</v>
      </c>
      <c r="L711" s="53">
        <f>K711/H711*30</f>
        <v>750</v>
      </c>
    </row>
    <row r="712" spans="1:12" s="2" customFormat="1" ht="13.95" customHeight="1" x14ac:dyDescent="0.2">
      <c r="A712" s="50" t="s">
        <v>238</v>
      </c>
      <c r="B712" s="50" t="s">
        <v>6</v>
      </c>
      <c r="C712" s="50" t="s">
        <v>65</v>
      </c>
      <c r="D712" s="50" t="s">
        <v>1085</v>
      </c>
      <c r="E712" s="50" t="s">
        <v>240</v>
      </c>
      <c r="F712" s="50" t="s">
        <v>241</v>
      </c>
      <c r="G712" s="50" t="s">
        <v>86</v>
      </c>
      <c r="H712" s="51">
        <v>1</v>
      </c>
      <c r="I712" s="52">
        <f>J712/H712</f>
        <v>49990</v>
      </c>
      <c r="J712" s="52">
        <v>49990</v>
      </c>
      <c r="K712" s="51">
        <v>39</v>
      </c>
      <c r="L712" s="53">
        <f>K712/H712*30</f>
        <v>1170</v>
      </c>
    </row>
    <row r="713" spans="1:12" s="2" customFormat="1" ht="13.95" customHeight="1" x14ac:dyDescent="0.2">
      <c r="A713" s="50" t="s">
        <v>238</v>
      </c>
      <c r="B713" s="50" t="s">
        <v>6</v>
      </c>
      <c r="C713" s="50" t="s">
        <v>65</v>
      </c>
      <c r="D713" s="50" t="s">
        <v>1086</v>
      </c>
      <c r="E713" s="50" t="s">
        <v>240</v>
      </c>
      <c r="F713" s="50" t="s">
        <v>241</v>
      </c>
      <c r="G713" s="50" t="s">
        <v>330</v>
      </c>
      <c r="H713" s="51">
        <v>1</v>
      </c>
      <c r="I713" s="52">
        <f>J713/H713</f>
        <v>49990</v>
      </c>
      <c r="J713" s="52">
        <v>49990</v>
      </c>
      <c r="K713" s="51">
        <v>3</v>
      </c>
      <c r="L713" s="53">
        <f>K713/H713*30</f>
        <v>90</v>
      </c>
    </row>
    <row r="714" spans="1:12" s="2" customFormat="1" ht="13.95" customHeight="1" x14ac:dyDescent="0.2">
      <c r="A714" s="50" t="s">
        <v>238</v>
      </c>
      <c r="B714" s="50" t="s">
        <v>6</v>
      </c>
      <c r="C714" s="50" t="s">
        <v>65</v>
      </c>
      <c r="D714" s="50" t="s">
        <v>1087</v>
      </c>
      <c r="E714" s="50" t="s">
        <v>569</v>
      </c>
      <c r="F714" s="50" t="s">
        <v>241</v>
      </c>
      <c r="G714" s="50" t="s">
        <v>294</v>
      </c>
      <c r="H714" s="51">
        <v>1</v>
      </c>
      <c r="I714" s="52">
        <f>J714/H714</f>
        <v>49990</v>
      </c>
      <c r="J714" s="52">
        <v>49990</v>
      </c>
      <c r="K714" s="51">
        <v>126</v>
      </c>
      <c r="L714" s="53">
        <f>K714/H714*30</f>
        <v>3780</v>
      </c>
    </row>
    <row r="715" spans="1:12" s="2" customFormat="1" ht="13.95" customHeight="1" x14ac:dyDescent="0.2">
      <c r="A715" s="50" t="s">
        <v>238</v>
      </c>
      <c r="B715" s="50" t="s">
        <v>6</v>
      </c>
      <c r="C715" s="50" t="s">
        <v>65</v>
      </c>
      <c r="D715" s="50" t="s">
        <v>1088</v>
      </c>
      <c r="E715" s="50" t="s">
        <v>569</v>
      </c>
      <c r="F715" s="50" t="s">
        <v>241</v>
      </c>
      <c r="G715" s="50" t="s">
        <v>294</v>
      </c>
      <c r="H715" s="51">
        <v>1</v>
      </c>
      <c r="I715" s="52">
        <f>J715/H715</f>
        <v>49990</v>
      </c>
      <c r="J715" s="52">
        <v>49990</v>
      </c>
      <c r="K715" s="51">
        <v>130</v>
      </c>
      <c r="L715" s="53">
        <f>K715/H715*30</f>
        <v>3900</v>
      </c>
    </row>
    <row r="716" spans="1:12" s="2" customFormat="1" ht="13.95" customHeight="1" x14ac:dyDescent="0.2">
      <c r="A716" s="50" t="s">
        <v>238</v>
      </c>
      <c r="B716" s="50" t="s">
        <v>6</v>
      </c>
      <c r="C716" s="50" t="s">
        <v>65</v>
      </c>
      <c r="D716" s="50" t="s">
        <v>1089</v>
      </c>
      <c r="E716" s="50" t="s">
        <v>569</v>
      </c>
      <c r="F716" s="50" t="s">
        <v>241</v>
      </c>
      <c r="G716" s="50" t="s">
        <v>242</v>
      </c>
      <c r="H716" s="51">
        <v>1</v>
      </c>
      <c r="I716" s="52">
        <f>J716/H716</f>
        <v>49990</v>
      </c>
      <c r="J716" s="52">
        <v>49990</v>
      </c>
      <c r="K716" s="51">
        <v>42</v>
      </c>
      <c r="L716" s="53">
        <f>K716/H716*30</f>
        <v>1260</v>
      </c>
    </row>
    <row r="717" spans="1:12" s="2" customFormat="1" ht="13.95" customHeight="1" x14ac:dyDescent="0.2">
      <c r="A717" s="50" t="s">
        <v>238</v>
      </c>
      <c r="B717" s="50" t="s">
        <v>6</v>
      </c>
      <c r="C717" s="50" t="s">
        <v>65</v>
      </c>
      <c r="D717" s="50" t="s">
        <v>1090</v>
      </c>
      <c r="E717" s="50" t="s">
        <v>569</v>
      </c>
      <c r="F717" s="50" t="s">
        <v>241</v>
      </c>
      <c r="G717" s="50" t="s">
        <v>242</v>
      </c>
      <c r="H717" s="51">
        <v>1</v>
      </c>
      <c r="I717" s="52">
        <f>J717/H717</f>
        <v>49990</v>
      </c>
      <c r="J717" s="52">
        <v>49990</v>
      </c>
      <c r="K717" s="51">
        <v>8</v>
      </c>
      <c r="L717" s="53">
        <f>K717/H717*30</f>
        <v>240</v>
      </c>
    </row>
    <row r="718" spans="1:12" s="2" customFormat="1" ht="13.95" customHeight="1" x14ac:dyDescent="0.2">
      <c r="A718" s="50" t="s">
        <v>238</v>
      </c>
      <c r="B718" s="50" t="s">
        <v>6</v>
      </c>
      <c r="C718" s="50" t="s">
        <v>65</v>
      </c>
      <c r="D718" s="50" t="s">
        <v>1091</v>
      </c>
      <c r="E718" s="50" t="s">
        <v>569</v>
      </c>
      <c r="F718" s="50" t="s">
        <v>241</v>
      </c>
      <c r="G718" s="50" t="s">
        <v>570</v>
      </c>
      <c r="H718" s="51">
        <v>1</v>
      </c>
      <c r="I718" s="52">
        <f>J718/H718</f>
        <v>49990</v>
      </c>
      <c r="J718" s="52">
        <v>49990</v>
      </c>
      <c r="K718" s="51">
        <v>17</v>
      </c>
      <c r="L718" s="53">
        <f>K718/H718*30</f>
        <v>510</v>
      </c>
    </row>
    <row r="719" spans="1:12" s="2" customFormat="1" ht="13.95" customHeight="1" x14ac:dyDescent="0.2">
      <c r="A719" s="50" t="s">
        <v>238</v>
      </c>
      <c r="B719" s="50" t="s">
        <v>6</v>
      </c>
      <c r="C719" s="50" t="s">
        <v>65</v>
      </c>
      <c r="D719" s="50" t="s">
        <v>1092</v>
      </c>
      <c r="E719" s="50" t="s">
        <v>569</v>
      </c>
      <c r="F719" s="50" t="s">
        <v>241</v>
      </c>
      <c r="G719" s="50" t="s">
        <v>570</v>
      </c>
      <c r="H719" s="51">
        <v>1</v>
      </c>
      <c r="I719" s="52">
        <f>J719/H719</f>
        <v>49990</v>
      </c>
      <c r="J719" s="52">
        <v>49990</v>
      </c>
      <c r="K719" s="51">
        <v>62</v>
      </c>
      <c r="L719" s="53">
        <f>K719/H719*30</f>
        <v>1860</v>
      </c>
    </row>
    <row r="720" spans="1:12" s="2" customFormat="1" ht="13.95" customHeight="1" x14ac:dyDescent="0.2">
      <c r="A720" s="50" t="s">
        <v>238</v>
      </c>
      <c r="B720" s="50" t="s">
        <v>6</v>
      </c>
      <c r="C720" s="50" t="s">
        <v>65</v>
      </c>
      <c r="D720" s="50" t="s">
        <v>1093</v>
      </c>
      <c r="E720" s="50" t="s">
        <v>569</v>
      </c>
      <c r="F720" s="50" t="s">
        <v>241</v>
      </c>
      <c r="G720" s="50" t="s">
        <v>86</v>
      </c>
      <c r="H720" s="51">
        <v>1</v>
      </c>
      <c r="I720" s="52">
        <f>J720/H720</f>
        <v>49990</v>
      </c>
      <c r="J720" s="52">
        <v>49990</v>
      </c>
      <c r="K720" s="51">
        <v>31</v>
      </c>
      <c r="L720" s="53">
        <f>K720/H720*30</f>
        <v>930</v>
      </c>
    </row>
    <row r="721" spans="1:12" s="2" customFormat="1" ht="13.95" customHeight="1" x14ac:dyDescent="0.2">
      <c r="A721" s="50" t="s">
        <v>238</v>
      </c>
      <c r="B721" s="50" t="s">
        <v>6</v>
      </c>
      <c r="C721" s="50" t="s">
        <v>65</v>
      </c>
      <c r="D721" s="50" t="s">
        <v>1094</v>
      </c>
      <c r="E721" s="50" t="s">
        <v>569</v>
      </c>
      <c r="F721" s="50" t="s">
        <v>241</v>
      </c>
      <c r="G721" s="50" t="s">
        <v>86</v>
      </c>
      <c r="H721" s="51">
        <v>1</v>
      </c>
      <c r="I721" s="52">
        <f>J721/H721</f>
        <v>49990</v>
      </c>
      <c r="J721" s="52">
        <v>49990</v>
      </c>
      <c r="K721" s="51">
        <v>99</v>
      </c>
      <c r="L721" s="53">
        <f>K721/H721*30</f>
        <v>2970</v>
      </c>
    </row>
    <row r="722" spans="1:12" s="2" customFormat="1" ht="13.95" customHeight="1" x14ac:dyDescent="0.2">
      <c r="A722" s="50" t="s">
        <v>238</v>
      </c>
      <c r="B722" s="50" t="s">
        <v>6</v>
      </c>
      <c r="C722" s="50" t="s">
        <v>65</v>
      </c>
      <c r="D722" s="50" t="s">
        <v>1095</v>
      </c>
      <c r="E722" s="50" t="s">
        <v>572</v>
      </c>
      <c r="F722" s="50" t="s">
        <v>241</v>
      </c>
      <c r="G722" s="50" t="s">
        <v>86</v>
      </c>
      <c r="H722" s="51">
        <v>1</v>
      </c>
      <c r="I722" s="52">
        <f>J722/H722</f>
        <v>49990</v>
      </c>
      <c r="J722" s="52">
        <v>49990</v>
      </c>
      <c r="K722" s="51">
        <v>26</v>
      </c>
      <c r="L722" s="53">
        <f>K722/H722*30</f>
        <v>780</v>
      </c>
    </row>
    <row r="723" spans="1:12" s="2" customFormat="1" ht="13.95" customHeight="1" x14ac:dyDescent="0.2">
      <c r="A723" s="50" t="s">
        <v>1096</v>
      </c>
      <c r="B723" s="50" t="s">
        <v>6</v>
      </c>
      <c r="C723" s="50" t="s">
        <v>62</v>
      </c>
      <c r="D723" s="50" t="s">
        <v>1097</v>
      </c>
      <c r="E723" s="50" t="s">
        <v>1098</v>
      </c>
      <c r="F723" s="50" t="s">
        <v>1099</v>
      </c>
      <c r="G723" s="50" t="s">
        <v>577</v>
      </c>
      <c r="H723" s="51">
        <v>1</v>
      </c>
      <c r="I723" s="52">
        <f>J723/H723</f>
        <v>49990</v>
      </c>
      <c r="J723" s="52">
        <v>49990</v>
      </c>
      <c r="K723" s="51">
        <v>2</v>
      </c>
      <c r="L723" s="53">
        <f>K723/H723*30</f>
        <v>60</v>
      </c>
    </row>
    <row r="724" spans="1:12" s="2" customFormat="1" ht="13.95" customHeight="1" x14ac:dyDescent="0.2">
      <c r="A724" s="50" t="s">
        <v>1096</v>
      </c>
      <c r="B724" s="50" t="s">
        <v>6</v>
      </c>
      <c r="C724" s="50" t="s">
        <v>62</v>
      </c>
      <c r="D724" s="50" t="s">
        <v>1100</v>
      </c>
      <c r="E724" s="50" t="s">
        <v>1098</v>
      </c>
      <c r="F724" s="50" t="s">
        <v>1099</v>
      </c>
      <c r="G724" s="50" t="s">
        <v>86</v>
      </c>
      <c r="H724" s="51">
        <v>1</v>
      </c>
      <c r="I724" s="52">
        <f>J724/H724</f>
        <v>49990</v>
      </c>
      <c r="J724" s="52">
        <v>49990</v>
      </c>
      <c r="K724" s="51">
        <v>2</v>
      </c>
      <c r="L724" s="53">
        <f>K724/H724*30</f>
        <v>60</v>
      </c>
    </row>
    <row r="725" spans="1:12" s="2" customFormat="1" ht="13.95" customHeight="1" x14ac:dyDescent="0.2">
      <c r="A725" s="50" t="s">
        <v>532</v>
      </c>
      <c r="B725" s="50" t="s">
        <v>7</v>
      </c>
      <c r="C725" s="50" t="s">
        <v>23</v>
      </c>
      <c r="D725" s="50" t="s">
        <v>1101</v>
      </c>
      <c r="E725" s="50" t="s">
        <v>1102</v>
      </c>
      <c r="F725" s="50" t="s">
        <v>1103</v>
      </c>
      <c r="G725" s="50" t="s">
        <v>1104</v>
      </c>
      <c r="H725" s="51">
        <v>1</v>
      </c>
      <c r="I725" s="52">
        <f>J725/H725</f>
        <v>49990</v>
      </c>
      <c r="J725" s="52">
        <v>49990</v>
      </c>
      <c r="K725" s="51">
        <v>3</v>
      </c>
      <c r="L725" s="53">
        <f>K725/H725*30</f>
        <v>90</v>
      </c>
    </row>
    <row r="726" spans="1:12" s="2" customFormat="1" ht="13.95" customHeight="1" x14ac:dyDescent="0.2">
      <c r="A726" s="50" t="s">
        <v>532</v>
      </c>
      <c r="B726" s="50" t="s">
        <v>7</v>
      </c>
      <c r="C726" s="50" t="s">
        <v>23</v>
      </c>
      <c r="D726" s="50" t="s">
        <v>1105</v>
      </c>
      <c r="E726" s="50" t="s">
        <v>1102</v>
      </c>
      <c r="F726" s="50" t="s">
        <v>1103</v>
      </c>
      <c r="G726" s="50" t="s">
        <v>1104</v>
      </c>
      <c r="H726" s="51">
        <v>1</v>
      </c>
      <c r="I726" s="52">
        <f>J726/H726</f>
        <v>49990</v>
      </c>
      <c r="J726" s="52">
        <v>49990</v>
      </c>
      <c r="K726" s="51">
        <v>2</v>
      </c>
      <c r="L726" s="53">
        <f>K726/H726*30</f>
        <v>60</v>
      </c>
    </row>
    <row r="727" spans="1:12" s="2" customFormat="1" ht="13.95" customHeight="1" x14ac:dyDescent="0.2">
      <c r="A727" s="50" t="s">
        <v>532</v>
      </c>
      <c r="B727" s="50" t="s">
        <v>7</v>
      </c>
      <c r="C727" s="50" t="s">
        <v>23</v>
      </c>
      <c r="D727" s="50" t="s">
        <v>1106</v>
      </c>
      <c r="E727" s="50" t="s">
        <v>1102</v>
      </c>
      <c r="F727" s="50" t="s">
        <v>1103</v>
      </c>
      <c r="G727" s="50" t="s">
        <v>1107</v>
      </c>
      <c r="H727" s="51">
        <v>1</v>
      </c>
      <c r="I727" s="52">
        <f>J727/H727</f>
        <v>49990</v>
      </c>
      <c r="J727" s="52">
        <v>49990</v>
      </c>
      <c r="K727" s="51">
        <v>4</v>
      </c>
      <c r="L727" s="53">
        <f>K727/H727*30</f>
        <v>120</v>
      </c>
    </row>
    <row r="728" spans="1:12" s="2" customFormat="1" ht="13.95" customHeight="1" x14ac:dyDescent="0.2">
      <c r="A728" s="50" t="s">
        <v>532</v>
      </c>
      <c r="B728" s="50" t="s">
        <v>7</v>
      </c>
      <c r="C728" s="50" t="s">
        <v>23</v>
      </c>
      <c r="D728" s="50" t="s">
        <v>1108</v>
      </c>
      <c r="E728" s="50" t="s">
        <v>1102</v>
      </c>
      <c r="F728" s="50" t="s">
        <v>1103</v>
      </c>
      <c r="G728" s="50" t="s">
        <v>1107</v>
      </c>
      <c r="H728" s="51">
        <v>1</v>
      </c>
      <c r="I728" s="52">
        <f>J728/H728</f>
        <v>49990</v>
      </c>
      <c r="J728" s="52">
        <v>49990</v>
      </c>
      <c r="K728" s="51">
        <v>3</v>
      </c>
      <c r="L728" s="53">
        <f>K728/H728*30</f>
        <v>90</v>
      </c>
    </row>
    <row r="729" spans="1:12" s="2" customFormat="1" ht="13.95" customHeight="1" x14ac:dyDescent="0.2">
      <c r="A729" s="50" t="s">
        <v>532</v>
      </c>
      <c r="B729" s="50" t="s">
        <v>7</v>
      </c>
      <c r="C729" s="50" t="s">
        <v>23</v>
      </c>
      <c r="D729" s="50" t="s">
        <v>1109</v>
      </c>
      <c r="E729" s="50" t="s">
        <v>1102</v>
      </c>
      <c r="F729" s="50" t="s">
        <v>1103</v>
      </c>
      <c r="G729" s="50" t="s">
        <v>1110</v>
      </c>
      <c r="H729" s="51">
        <v>1</v>
      </c>
      <c r="I729" s="52">
        <f>J729/H729</f>
        <v>49990</v>
      </c>
      <c r="J729" s="52">
        <v>49990</v>
      </c>
      <c r="K729" s="51">
        <v>6</v>
      </c>
      <c r="L729" s="53">
        <f>K729/H729*30</f>
        <v>180</v>
      </c>
    </row>
    <row r="730" spans="1:12" s="2" customFormat="1" ht="13.95" customHeight="1" x14ac:dyDescent="0.2">
      <c r="A730" s="50" t="s">
        <v>532</v>
      </c>
      <c r="B730" s="50" t="s">
        <v>7</v>
      </c>
      <c r="C730" s="50" t="s">
        <v>23</v>
      </c>
      <c r="D730" s="50" t="s">
        <v>1111</v>
      </c>
      <c r="E730" s="50" t="s">
        <v>1102</v>
      </c>
      <c r="F730" s="50" t="s">
        <v>1103</v>
      </c>
      <c r="G730" s="50" t="s">
        <v>1110</v>
      </c>
      <c r="H730" s="51">
        <v>1</v>
      </c>
      <c r="I730" s="52">
        <f>J730/H730</f>
        <v>49990</v>
      </c>
      <c r="J730" s="52">
        <v>49990</v>
      </c>
      <c r="K730" s="51">
        <v>3</v>
      </c>
      <c r="L730" s="53">
        <f>K730/H730*30</f>
        <v>90</v>
      </c>
    </row>
    <row r="731" spans="1:12" s="2" customFormat="1" ht="13.95" customHeight="1" x14ac:dyDescent="0.2">
      <c r="A731" s="50" t="s">
        <v>532</v>
      </c>
      <c r="B731" s="50" t="s">
        <v>7</v>
      </c>
      <c r="C731" s="50" t="s">
        <v>23</v>
      </c>
      <c r="D731" s="50" t="s">
        <v>1112</v>
      </c>
      <c r="E731" s="50" t="s">
        <v>1102</v>
      </c>
      <c r="F731" s="50" t="s">
        <v>1103</v>
      </c>
      <c r="G731" s="50" t="s">
        <v>899</v>
      </c>
      <c r="H731" s="51">
        <v>1</v>
      </c>
      <c r="I731" s="52">
        <f>J731/H731</f>
        <v>49990</v>
      </c>
      <c r="J731" s="52">
        <v>49990</v>
      </c>
      <c r="K731" s="51">
        <v>1</v>
      </c>
      <c r="L731" s="53">
        <f>K731/H731*30</f>
        <v>30</v>
      </c>
    </row>
    <row r="732" spans="1:12" s="2" customFormat="1" ht="13.95" customHeight="1" x14ac:dyDescent="0.2">
      <c r="A732" s="50" t="s">
        <v>532</v>
      </c>
      <c r="B732" s="50" t="s">
        <v>6</v>
      </c>
      <c r="C732" s="50" t="s">
        <v>62</v>
      </c>
      <c r="D732" s="50" t="s">
        <v>1113</v>
      </c>
      <c r="E732" s="50" t="s">
        <v>1114</v>
      </c>
      <c r="F732" s="50" t="s">
        <v>1115</v>
      </c>
      <c r="G732" s="50" t="s">
        <v>979</v>
      </c>
      <c r="H732" s="51">
        <v>1</v>
      </c>
      <c r="I732" s="52">
        <f>J732/H732</f>
        <v>49990</v>
      </c>
      <c r="J732" s="52">
        <v>49990</v>
      </c>
      <c r="K732" s="51">
        <v>1</v>
      </c>
      <c r="L732" s="53">
        <f>K732/H732*30</f>
        <v>30</v>
      </c>
    </row>
    <row r="733" spans="1:12" s="2" customFormat="1" ht="13.95" customHeight="1" x14ac:dyDescent="0.2">
      <c r="A733" s="50" t="s">
        <v>900</v>
      </c>
      <c r="B733" s="50" t="s">
        <v>6</v>
      </c>
      <c r="C733" s="50" t="s">
        <v>57</v>
      </c>
      <c r="D733" s="50" t="s">
        <v>1116</v>
      </c>
      <c r="E733" s="50" t="s">
        <v>1117</v>
      </c>
      <c r="F733" s="50" t="s">
        <v>1118</v>
      </c>
      <c r="G733" s="50" t="s">
        <v>1119</v>
      </c>
      <c r="H733" s="51">
        <v>1</v>
      </c>
      <c r="I733" s="52">
        <f>J733/H733</f>
        <v>49990</v>
      </c>
      <c r="J733" s="52">
        <v>49990</v>
      </c>
      <c r="K733" s="51">
        <v>0</v>
      </c>
      <c r="L733" s="53">
        <f>K733/H733*30</f>
        <v>0</v>
      </c>
    </row>
    <row r="734" spans="1:12" s="2" customFormat="1" ht="13.95" customHeight="1" x14ac:dyDescent="0.2">
      <c r="A734" s="50" t="s">
        <v>900</v>
      </c>
      <c r="B734" s="50" t="s">
        <v>6</v>
      </c>
      <c r="C734" s="50" t="s">
        <v>57</v>
      </c>
      <c r="D734" s="50" t="s">
        <v>1120</v>
      </c>
      <c r="E734" s="50" t="s">
        <v>1117</v>
      </c>
      <c r="F734" s="50" t="s">
        <v>1118</v>
      </c>
      <c r="G734" s="50" t="s">
        <v>1121</v>
      </c>
      <c r="H734" s="51">
        <v>1</v>
      </c>
      <c r="I734" s="52">
        <f>J734/H734</f>
        <v>49990</v>
      </c>
      <c r="J734" s="52">
        <v>49990</v>
      </c>
      <c r="K734" s="51">
        <v>3</v>
      </c>
      <c r="L734" s="53">
        <f>K734/H734*30</f>
        <v>90</v>
      </c>
    </row>
    <row r="735" spans="1:12" s="2" customFormat="1" ht="13.95" customHeight="1" x14ac:dyDescent="0.2">
      <c r="A735" s="50" t="s">
        <v>900</v>
      </c>
      <c r="B735" s="50" t="s">
        <v>6</v>
      </c>
      <c r="C735" s="50" t="s">
        <v>57</v>
      </c>
      <c r="D735" s="50" t="s">
        <v>1122</v>
      </c>
      <c r="E735" s="50" t="s">
        <v>1117</v>
      </c>
      <c r="F735" s="50" t="s">
        <v>1118</v>
      </c>
      <c r="G735" s="50" t="s">
        <v>1123</v>
      </c>
      <c r="H735" s="51">
        <v>1</v>
      </c>
      <c r="I735" s="52">
        <f>J735/H735</f>
        <v>49990</v>
      </c>
      <c r="J735" s="52">
        <v>49990</v>
      </c>
      <c r="K735" s="51">
        <v>4</v>
      </c>
      <c r="L735" s="53">
        <f>K735/H735*30</f>
        <v>120</v>
      </c>
    </row>
    <row r="736" spans="1:12" s="2" customFormat="1" ht="13.95" customHeight="1" x14ac:dyDescent="0.2">
      <c r="A736" s="50" t="s">
        <v>573</v>
      </c>
      <c r="B736" s="50" t="s">
        <v>6</v>
      </c>
      <c r="C736" s="50" t="s">
        <v>61</v>
      </c>
      <c r="D736" s="50" t="s">
        <v>1124</v>
      </c>
      <c r="E736" s="50" t="s">
        <v>575</v>
      </c>
      <c r="F736" s="50" t="s">
        <v>576</v>
      </c>
      <c r="G736" s="50" t="s">
        <v>778</v>
      </c>
      <c r="H736" s="51">
        <v>1</v>
      </c>
      <c r="I736" s="52">
        <f>J736/H736</f>
        <v>49990</v>
      </c>
      <c r="J736" s="52">
        <v>49990</v>
      </c>
      <c r="K736" s="51">
        <v>9</v>
      </c>
      <c r="L736" s="53">
        <f>K736/H736*30</f>
        <v>270</v>
      </c>
    </row>
    <row r="737" spans="1:12" s="2" customFormat="1" ht="13.95" customHeight="1" x14ac:dyDescent="0.2">
      <c r="A737" s="50" t="s">
        <v>573</v>
      </c>
      <c r="B737" s="50" t="s">
        <v>6</v>
      </c>
      <c r="C737" s="50" t="s">
        <v>61</v>
      </c>
      <c r="D737" s="50" t="s">
        <v>1125</v>
      </c>
      <c r="E737" s="50" t="s">
        <v>575</v>
      </c>
      <c r="F737" s="50" t="s">
        <v>576</v>
      </c>
      <c r="G737" s="50" t="s">
        <v>778</v>
      </c>
      <c r="H737" s="51">
        <v>1</v>
      </c>
      <c r="I737" s="52">
        <f>J737/H737</f>
        <v>49990</v>
      </c>
      <c r="J737" s="52">
        <v>49990</v>
      </c>
      <c r="K737" s="51">
        <v>6</v>
      </c>
      <c r="L737" s="53">
        <f>K737/H737*30</f>
        <v>180</v>
      </c>
    </row>
    <row r="738" spans="1:12" s="2" customFormat="1" ht="13.95" customHeight="1" x14ac:dyDescent="0.2">
      <c r="A738" s="50" t="s">
        <v>573</v>
      </c>
      <c r="B738" s="50" t="s">
        <v>6</v>
      </c>
      <c r="C738" s="50" t="s">
        <v>61</v>
      </c>
      <c r="D738" s="50" t="s">
        <v>1126</v>
      </c>
      <c r="E738" s="50" t="s">
        <v>575</v>
      </c>
      <c r="F738" s="50" t="s">
        <v>576</v>
      </c>
      <c r="G738" s="50" t="s">
        <v>86</v>
      </c>
      <c r="H738" s="51">
        <v>1</v>
      </c>
      <c r="I738" s="52">
        <f>J738/H738</f>
        <v>49990</v>
      </c>
      <c r="J738" s="52">
        <v>49990</v>
      </c>
      <c r="K738" s="51">
        <v>6</v>
      </c>
      <c r="L738" s="53">
        <f>K738/H738*30</f>
        <v>180</v>
      </c>
    </row>
    <row r="739" spans="1:12" s="2" customFormat="1" ht="13.95" customHeight="1" x14ac:dyDescent="0.2">
      <c r="A739" s="50" t="s">
        <v>880</v>
      </c>
      <c r="B739" s="50" t="s">
        <v>6</v>
      </c>
      <c r="C739" s="50" t="s">
        <v>62</v>
      </c>
      <c r="D739" s="50" t="s">
        <v>1127</v>
      </c>
      <c r="E739" s="50" t="s">
        <v>1128</v>
      </c>
      <c r="F739" s="50" t="s">
        <v>883</v>
      </c>
      <c r="G739" s="50" t="s">
        <v>448</v>
      </c>
      <c r="H739" s="51">
        <v>2</v>
      </c>
      <c r="I739" s="52">
        <f>J739/H739</f>
        <v>24990</v>
      </c>
      <c r="J739" s="52">
        <v>49980</v>
      </c>
      <c r="K739" s="51">
        <v>1</v>
      </c>
      <c r="L739" s="53">
        <f>K739/H739*30</f>
        <v>15</v>
      </c>
    </row>
    <row r="740" spans="1:12" s="2" customFormat="1" ht="13.95" customHeight="1" x14ac:dyDescent="0.2">
      <c r="A740" s="50" t="s">
        <v>70</v>
      </c>
      <c r="B740" s="50" t="s">
        <v>5</v>
      </c>
      <c r="C740" s="50" t="s">
        <v>45</v>
      </c>
      <c r="D740" s="50" t="s">
        <v>1129</v>
      </c>
      <c r="E740" s="50" t="s">
        <v>474</v>
      </c>
      <c r="F740" s="50" t="s">
        <v>374</v>
      </c>
      <c r="G740" s="50" t="s">
        <v>84</v>
      </c>
      <c r="H740" s="51">
        <v>5</v>
      </c>
      <c r="I740" s="52">
        <f>J740/H740</f>
        <v>9990</v>
      </c>
      <c r="J740" s="52">
        <v>49950</v>
      </c>
      <c r="K740" s="51">
        <v>3</v>
      </c>
      <c r="L740" s="53">
        <f>K740/H740*30</f>
        <v>18</v>
      </c>
    </row>
    <row r="741" spans="1:12" s="2" customFormat="1" ht="13.95" customHeight="1" x14ac:dyDescent="0.2">
      <c r="A741" s="50" t="s">
        <v>70</v>
      </c>
      <c r="B741" s="50" t="s">
        <v>5</v>
      </c>
      <c r="C741" s="50" t="s">
        <v>33</v>
      </c>
      <c r="D741" s="50" t="s">
        <v>1130</v>
      </c>
      <c r="E741" s="50" t="s">
        <v>333</v>
      </c>
      <c r="F741" s="50" t="s">
        <v>1131</v>
      </c>
      <c r="G741" s="50" t="s">
        <v>1132</v>
      </c>
      <c r="H741" s="51">
        <v>2</v>
      </c>
      <c r="I741" s="52">
        <f>J741/H741</f>
        <v>23990</v>
      </c>
      <c r="J741" s="52">
        <v>47980</v>
      </c>
      <c r="K741" s="51">
        <v>1</v>
      </c>
      <c r="L741" s="53">
        <f>K741/H741*30</f>
        <v>15</v>
      </c>
    </row>
    <row r="742" spans="1:12" s="2" customFormat="1" ht="13.95" customHeight="1" x14ac:dyDescent="0.2">
      <c r="A742" s="50" t="s">
        <v>70</v>
      </c>
      <c r="B742" s="50" t="s">
        <v>5</v>
      </c>
      <c r="C742" s="50" t="s">
        <v>42</v>
      </c>
      <c r="D742" s="50" t="s">
        <v>1133</v>
      </c>
      <c r="E742" s="50" t="s">
        <v>373</v>
      </c>
      <c r="F742" s="50" t="s">
        <v>374</v>
      </c>
      <c r="G742" s="50" t="s">
        <v>84</v>
      </c>
      <c r="H742" s="51">
        <v>3</v>
      </c>
      <c r="I742" s="52">
        <f>J742/H742</f>
        <v>15990</v>
      </c>
      <c r="J742" s="52">
        <v>47970</v>
      </c>
      <c r="K742" s="51">
        <v>3</v>
      </c>
      <c r="L742" s="53">
        <f>K742/H742*30</f>
        <v>30</v>
      </c>
    </row>
    <row r="743" spans="1:12" s="2" customFormat="1" ht="13.95" customHeight="1" x14ac:dyDescent="0.2">
      <c r="A743" s="50" t="s">
        <v>70</v>
      </c>
      <c r="B743" s="50" t="s">
        <v>5</v>
      </c>
      <c r="C743" s="50" t="s">
        <v>45</v>
      </c>
      <c r="D743" s="50" t="s">
        <v>1134</v>
      </c>
      <c r="E743" s="50" t="s">
        <v>922</v>
      </c>
      <c r="F743" s="50" t="s">
        <v>73</v>
      </c>
      <c r="G743" s="50" t="s">
        <v>90</v>
      </c>
      <c r="H743" s="51">
        <v>4</v>
      </c>
      <c r="I743" s="52">
        <f>J743/H743</f>
        <v>11990</v>
      </c>
      <c r="J743" s="52">
        <v>47960</v>
      </c>
      <c r="K743" s="51">
        <v>36</v>
      </c>
      <c r="L743" s="53">
        <f>K743/H743*30</f>
        <v>270</v>
      </c>
    </row>
    <row r="744" spans="1:12" s="2" customFormat="1" ht="13.95" customHeight="1" x14ac:dyDescent="0.2">
      <c r="A744" s="50" t="s">
        <v>70</v>
      </c>
      <c r="B744" s="50" t="s">
        <v>5</v>
      </c>
      <c r="C744" s="50" t="s">
        <v>45</v>
      </c>
      <c r="D744" s="50" t="s">
        <v>1135</v>
      </c>
      <c r="E744" s="50" t="s">
        <v>922</v>
      </c>
      <c r="F744" s="50" t="s">
        <v>177</v>
      </c>
      <c r="G744" s="50" t="s">
        <v>86</v>
      </c>
      <c r="H744" s="51">
        <v>4</v>
      </c>
      <c r="I744" s="52">
        <f>J744/H744</f>
        <v>11990</v>
      </c>
      <c r="J744" s="52">
        <v>47960</v>
      </c>
      <c r="K744" s="51">
        <v>19</v>
      </c>
      <c r="L744" s="53">
        <f>K744/H744*30</f>
        <v>142.5</v>
      </c>
    </row>
    <row r="745" spans="1:12" s="2" customFormat="1" ht="13.95" customHeight="1" x14ac:dyDescent="0.2">
      <c r="A745" s="50" t="s">
        <v>70</v>
      </c>
      <c r="B745" s="50" t="s">
        <v>5</v>
      </c>
      <c r="C745" s="50" t="s">
        <v>45</v>
      </c>
      <c r="D745" s="50" t="s">
        <v>1136</v>
      </c>
      <c r="E745" s="50" t="s">
        <v>922</v>
      </c>
      <c r="F745" s="50" t="s">
        <v>106</v>
      </c>
      <c r="G745" s="50" t="s">
        <v>97</v>
      </c>
      <c r="H745" s="51">
        <v>4</v>
      </c>
      <c r="I745" s="52">
        <f>J745/H745</f>
        <v>11990</v>
      </c>
      <c r="J745" s="52">
        <v>47960</v>
      </c>
      <c r="K745" s="51">
        <v>2</v>
      </c>
      <c r="L745" s="53">
        <f>K745/H745*30</f>
        <v>15</v>
      </c>
    </row>
    <row r="746" spans="1:12" s="2" customFormat="1" ht="13.95" customHeight="1" x14ac:dyDescent="0.2">
      <c r="A746" s="50" t="s">
        <v>70</v>
      </c>
      <c r="B746" s="50" t="s">
        <v>5</v>
      </c>
      <c r="C746" s="50" t="s">
        <v>30</v>
      </c>
      <c r="D746" s="50" t="s">
        <v>1137</v>
      </c>
      <c r="E746" s="50" t="s">
        <v>92</v>
      </c>
      <c r="F746" s="50" t="s">
        <v>137</v>
      </c>
      <c r="G746" s="50" t="s">
        <v>88</v>
      </c>
      <c r="H746" s="51">
        <v>1</v>
      </c>
      <c r="I746" s="52">
        <f>J746/H746</f>
        <v>45990</v>
      </c>
      <c r="J746" s="52">
        <v>45990</v>
      </c>
      <c r="K746" s="51">
        <v>19</v>
      </c>
      <c r="L746" s="53">
        <f>K746/H746*30</f>
        <v>570</v>
      </c>
    </row>
    <row r="747" spans="1:12" s="2" customFormat="1" ht="13.95" customHeight="1" x14ac:dyDescent="0.2">
      <c r="A747" s="50" t="s">
        <v>70</v>
      </c>
      <c r="B747" s="50" t="s">
        <v>5</v>
      </c>
      <c r="C747" s="50" t="s">
        <v>30</v>
      </c>
      <c r="D747" s="50" t="s">
        <v>1138</v>
      </c>
      <c r="E747" s="50" t="s">
        <v>92</v>
      </c>
      <c r="F747" s="50" t="s">
        <v>137</v>
      </c>
      <c r="G747" s="50" t="s">
        <v>74</v>
      </c>
      <c r="H747" s="51">
        <v>1</v>
      </c>
      <c r="I747" s="52">
        <f>J747/H747</f>
        <v>45990</v>
      </c>
      <c r="J747" s="52">
        <v>45990</v>
      </c>
      <c r="K747" s="51">
        <v>7</v>
      </c>
      <c r="L747" s="53">
        <f>K747/H747*30</f>
        <v>210</v>
      </c>
    </row>
    <row r="748" spans="1:12" s="2" customFormat="1" ht="13.95" customHeight="1" x14ac:dyDescent="0.2">
      <c r="A748" s="50" t="s">
        <v>70</v>
      </c>
      <c r="B748" s="50" t="s">
        <v>5</v>
      </c>
      <c r="C748" s="50" t="s">
        <v>30</v>
      </c>
      <c r="D748" s="50" t="s">
        <v>1139</v>
      </c>
      <c r="E748" s="50" t="s">
        <v>92</v>
      </c>
      <c r="F748" s="50" t="s">
        <v>73</v>
      </c>
      <c r="G748" s="50" t="s">
        <v>140</v>
      </c>
      <c r="H748" s="51">
        <v>1</v>
      </c>
      <c r="I748" s="52">
        <f>J748/H748</f>
        <v>44990</v>
      </c>
      <c r="J748" s="52">
        <v>44990</v>
      </c>
      <c r="K748" s="51">
        <v>6</v>
      </c>
      <c r="L748" s="53">
        <f>K748/H748*30</f>
        <v>180</v>
      </c>
    </row>
    <row r="749" spans="1:12" s="2" customFormat="1" ht="13.95" customHeight="1" x14ac:dyDescent="0.2">
      <c r="A749" s="50" t="s">
        <v>70</v>
      </c>
      <c r="B749" s="50" t="s">
        <v>5</v>
      </c>
      <c r="C749" s="50" t="s">
        <v>30</v>
      </c>
      <c r="D749" s="50" t="s">
        <v>1140</v>
      </c>
      <c r="E749" s="50" t="s">
        <v>92</v>
      </c>
      <c r="F749" s="50" t="s">
        <v>73</v>
      </c>
      <c r="G749" s="50" t="s">
        <v>88</v>
      </c>
      <c r="H749" s="51">
        <v>1</v>
      </c>
      <c r="I749" s="52">
        <f>J749/H749</f>
        <v>44990</v>
      </c>
      <c r="J749" s="52">
        <v>44990</v>
      </c>
      <c r="K749" s="51">
        <v>68</v>
      </c>
      <c r="L749" s="53">
        <f>K749/H749*30</f>
        <v>2040</v>
      </c>
    </row>
    <row r="750" spans="1:12" s="2" customFormat="1" ht="13.95" customHeight="1" x14ac:dyDescent="0.2">
      <c r="A750" s="50" t="s">
        <v>70</v>
      </c>
      <c r="B750" s="50" t="s">
        <v>5</v>
      </c>
      <c r="C750" s="50" t="s">
        <v>30</v>
      </c>
      <c r="D750" s="50" t="s">
        <v>1141</v>
      </c>
      <c r="E750" s="50" t="s">
        <v>92</v>
      </c>
      <c r="F750" s="50" t="s">
        <v>106</v>
      </c>
      <c r="G750" s="50" t="s">
        <v>88</v>
      </c>
      <c r="H750" s="51">
        <v>1</v>
      </c>
      <c r="I750" s="52">
        <f>J750/H750</f>
        <v>44990</v>
      </c>
      <c r="J750" s="52">
        <v>44990</v>
      </c>
      <c r="K750" s="51">
        <v>30</v>
      </c>
      <c r="L750" s="53">
        <f>K750/H750*30</f>
        <v>900</v>
      </c>
    </row>
    <row r="751" spans="1:12" s="2" customFormat="1" ht="13.95" customHeight="1" x14ac:dyDescent="0.2">
      <c r="A751" s="50" t="s">
        <v>70</v>
      </c>
      <c r="B751" s="50" t="s">
        <v>5</v>
      </c>
      <c r="C751" s="50" t="s">
        <v>30</v>
      </c>
      <c r="D751" s="50" t="s">
        <v>1142</v>
      </c>
      <c r="E751" s="50" t="s">
        <v>92</v>
      </c>
      <c r="F751" s="50" t="s">
        <v>106</v>
      </c>
      <c r="G751" s="50" t="s">
        <v>86</v>
      </c>
      <c r="H751" s="51">
        <v>1</v>
      </c>
      <c r="I751" s="52">
        <f>J751/H751</f>
        <v>44990</v>
      </c>
      <c r="J751" s="52">
        <v>44990</v>
      </c>
      <c r="K751" s="51">
        <v>77</v>
      </c>
      <c r="L751" s="53">
        <f>K751/H751*30</f>
        <v>2310</v>
      </c>
    </row>
    <row r="752" spans="1:12" s="2" customFormat="1" ht="13.95" customHeight="1" x14ac:dyDescent="0.2">
      <c r="A752" s="50" t="s">
        <v>70</v>
      </c>
      <c r="B752" s="50" t="s">
        <v>5</v>
      </c>
      <c r="C752" s="50" t="s">
        <v>33</v>
      </c>
      <c r="D752" s="50" t="s">
        <v>1143</v>
      </c>
      <c r="E752" s="50" t="s">
        <v>409</v>
      </c>
      <c r="F752" s="50" t="s">
        <v>106</v>
      </c>
      <c r="G752" s="50" t="s">
        <v>86</v>
      </c>
      <c r="H752" s="51">
        <v>1</v>
      </c>
      <c r="I752" s="52">
        <f>J752/H752</f>
        <v>44990</v>
      </c>
      <c r="J752" s="52">
        <v>44990</v>
      </c>
      <c r="K752" s="51">
        <v>15</v>
      </c>
      <c r="L752" s="53">
        <f>K752/H752*30</f>
        <v>450</v>
      </c>
    </row>
    <row r="753" spans="1:12" s="2" customFormat="1" ht="13.95" customHeight="1" x14ac:dyDescent="0.2">
      <c r="A753" s="50" t="s">
        <v>70</v>
      </c>
      <c r="B753" s="50" t="s">
        <v>5</v>
      </c>
      <c r="C753" s="50" t="s">
        <v>33</v>
      </c>
      <c r="D753" s="50" t="s">
        <v>1144</v>
      </c>
      <c r="E753" s="50" t="s">
        <v>409</v>
      </c>
      <c r="F753" s="50"/>
      <c r="G753" s="50"/>
      <c r="H753" s="51">
        <v>1</v>
      </c>
      <c r="I753" s="52">
        <f>J753/H753</f>
        <v>44990</v>
      </c>
      <c r="J753" s="52">
        <v>44990</v>
      </c>
      <c r="K753" s="51">
        <v>12</v>
      </c>
      <c r="L753" s="53">
        <f>K753/H753*30</f>
        <v>360</v>
      </c>
    </row>
    <row r="754" spans="1:12" s="2" customFormat="1" ht="13.95" customHeight="1" x14ac:dyDescent="0.2">
      <c r="A754" s="50" t="s">
        <v>70</v>
      </c>
      <c r="B754" s="50" t="s">
        <v>5</v>
      </c>
      <c r="C754" s="50" t="s">
        <v>33</v>
      </c>
      <c r="D754" s="50" t="s">
        <v>1145</v>
      </c>
      <c r="E754" s="50" t="s">
        <v>857</v>
      </c>
      <c r="F754" s="50" t="s">
        <v>137</v>
      </c>
      <c r="G754" s="50" t="s">
        <v>74</v>
      </c>
      <c r="H754" s="51">
        <v>3</v>
      </c>
      <c r="I754" s="52">
        <f>J754/H754</f>
        <v>14990</v>
      </c>
      <c r="J754" s="52">
        <v>44970</v>
      </c>
      <c r="K754" s="51">
        <v>19</v>
      </c>
      <c r="L754" s="53">
        <f>K754/H754*30</f>
        <v>190</v>
      </c>
    </row>
    <row r="755" spans="1:12" s="2" customFormat="1" ht="13.95" customHeight="1" x14ac:dyDescent="0.2">
      <c r="A755" s="50" t="s">
        <v>70</v>
      </c>
      <c r="B755" s="50" t="s">
        <v>5</v>
      </c>
      <c r="C755" s="50" t="s">
        <v>42</v>
      </c>
      <c r="D755" s="50" t="s">
        <v>1146</v>
      </c>
      <c r="E755" s="50" t="s">
        <v>680</v>
      </c>
      <c r="F755" s="50" t="s">
        <v>374</v>
      </c>
      <c r="G755" s="50" t="s">
        <v>140</v>
      </c>
      <c r="H755" s="51">
        <v>3</v>
      </c>
      <c r="I755" s="52">
        <f>J755/H755</f>
        <v>14990</v>
      </c>
      <c r="J755" s="52">
        <v>44970</v>
      </c>
      <c r="K755" s="51">
        <v>30</v>
      </c>
      <c r="L755" s="53">
        <f>K755/H755*30</f>
        <v>300</v>
      </c>
    </row>
    <row r="756" spans="1:12" s="2" customFormat="1" ht="13.95" customHeight="1" x14ac:dyDescent="0.2">
      <c r="A756" s="50" t="s">
        <v>70</v>
      </c>
      <c r="B756" s="50" t="s">
        <v>7</v>
      </c>
      <c r="C756" s="50" t="s">
        <v>18</v>
      </c>
      <c r="D756" s="50" t="s">
        <v>1147</v>
      </c>
      <c r="E756" s="50" t="s">
        <v>967</v>
      </c>
      <c r="F756" s="50" t="s">
        <v>968</v>
      </c>
      <c r="G756" s="50" t="s">
        <v>1148</v>
      </c>
      <c r="H756" s="51">
        <v>2</v>
      </c>
      <c r="I756" s="52">
        <f>J756/H756</f>
        <v>20990</v>
      </c>
      <c r="J756" s="52">
        <v>41980</v>
      </c>
      <c r="K756" s="51">
        <v>35</v>
      </c>
      <c r="L756" s="53">
        <f>K756/H756*30</f>
        <v>525</v>
      </c>
    </row>
    <row r="757" spans="1:12" s="2" customFormat="1" ht="13.95" customHeight="1" x14ac:dyDescent="0.2">
      <c r="A757" s="50" t="s">
        <v>70</v>
      </c>
      <c r="B757" s="50" t="s">
        <v>7</v>
      </c>
      <c r="C757" s="50" t="s">
        <v>18</v>
      </c>
      <c r="D757" s="50" t="s">
        <v>1149</v>
      </c>
      <c r="E757" s="50" t="s">
        <v>967</v>
      </c>
      <c r="F757" s="50" t="s">
        <v>968</v>
      </c>
      <c r="G757" s="50" t="s">
        <v>1150</v>
      </c>
      <c r="H757" s="51">
        <v>2</v>
      </c>
      <c r="I757" s="52">
        <f>J757/H757</f>
        <v>20990</v>
      </c>
      <c r="J757" s="52">
        <v>41980</v>
      </c>
      <c r="K757" s="51">
        <v>4</v>
      </c>
      <c r="L757" s="53">
        <f>K757/H757*30</f>
        <v>60</v>
      </c>
    </row>
    <row r="758" spans="1:12" s="2" customFormat="1" ht="13.95" customHeight="1" x14ac:dyDescent="0.2">
      <c r="A758" s="50" t="s">
        <v>70</v>
      </c>
      <c r="B758" s="50" t="s">
        <v>7</v>
      </c>
      <c r="C758" s="50" t="s">
        <v>18</v>
      </c>
      <c r="D758" s="50" t="s">
        <v>1151</v>
      </c>
      <c r="E758" s="50" t="s">
        <v>967</v>
      </c>
      <c r="F758" s="50" t="s">
        <v>968</v>
      </c>
      <c r="G758" s="50" t="s">
        <v>1152</v>
      </c>
      <c r="H758" s="51">
        <v>2</v>
      </c>
      <c r="I758" s="52">
        <f>J758/H758</f>
        <v>20990</v>
      </c>
      <c r="J758" s="52">
        <v>41980</v>
      </c>
      <c r="K758" s="51">
        <v>18</v>
      </c>
      <c r="L758" s="53">
        <f>K758/H758*30</f>
        <v>270</v>
      </c>
    </row>
    <row r="759" spans="1:12" s="2" customFormat="1" ht="13.95" customHeight="1" x14ac:dyDescent="0.2">
      <c r="A759" s="50" t="s">
        <v>416</v>
      </c>
      <c r="B759" s="50" t="s">
        <v>8</v>
      </c>
      <c r="C759" s="50" t="s">
        <v>8</v>
      </c>
      <c r="D759" s="50" t="s">
        <v>1153</v>
      </c>
      <c r="E759" s="50" t="s">
        <v>444</v>
      </c>
      <c r="F759" s="50" t="s">
        <v>73</v>
      </c>
      <c r="G759" s="50" t="s">
        <v>140</v>
      </c>
      <c r="H759" s="51">
        <v>1</v>
      </c>
      <c r="I759" s="52">
        <f>J759/H759</f>
        <v>39990</v>
      </c>
      <c r="J759" s="52">
        <v>39990</v>
      </c>
      <c r="K759" s="51">
        <v>3</v>
      </c>
      <c r="L759" s="53">
        <f>K759/H759*30</f>
        <v>90</v>
      </c>
    </row>
    <row r="760" spans="1:12" s="2" customFormat="1" ht="13.95" customHeight="1" x14ac:dyDescent="0.2">
      <c r="A760" s="50" t="s">
        <v>416</v>
      </c>
      <c r="B760" s="50" t="s">
        <v>8</v>
      </c>
      <c r="C760" s="50" t="s">
        <v>8</v>
      </c>
      <c r="D760" s="50" t="s">
        <v>1154</v>
      </c>
      <c r="E760" s="50" t="s">
        <v>444</v>
      </c>
      <c r="F760" s="50" t="s">
        <v>73</v>
      </c>
      <c r="G760" s="50" t="s">
        <v>86</v>
      </c>
      <c r="H760" s="51">
        <v>1</v>
      </c>
      <c r="I760" s="52">
        <f>J760/H760</f>
        <v>39990</v>
      </c>
      <c r="J760" s="52">
        <v>39990</v>
      </c>
      <c r="K760" s="51">
        <v>9</v>
      </c>
      <c r="L760" s="53">
        <f>K760/H760*30</f>
        <v>270</v>
      </c>
    </row>
    <row r="761" spans="1:12" s="2" customFormat="1" ht="13.95" customHeight="1" x14ac:dyDescent="0.2">
      <c r="A761" s="50" t="s">
        <v>416</v>
      </c>
      <c r="B761" s="50" t="s">
        <v>8</v>
      </c>
      <c r="C761" s="50" t="s">
        <v>8</v>
      </c>
      <c r="D761" s="50" t="s">
        <v>1155</v>
      </c>
      <c r="E761" s="50" t="s">
        <v>444</v>
      </c>
      <c r="F761" s="50" t="s">
        <v>73</v>
      </c>
      <c r="G761" s="50" t="s">
        <v>86</v>
      </c>
      <c r="H761" s="51">
        <v>1</v>
      </c>
      <c r="I761" s="52">
        <f>J761/H761</f>
        <v>39990</v>
      </c>
      <c r="J761" s="52">
        <v>39990</v>
      </c>
      <c r="K761" s="51">
        <v>0</v>
      </c>
      <c r="L761" s="53">
        <f>K761/H761*30</f>
        <v>0</v>
      </c>
    </row>
    <row r="762" spans="1:12" s="2" customFormat="1" ht="13.95" customHeight="1" x14ac:dyDescent="0.2">
      <c r="A762" s="50" t="s">
        <v>416</v>
      </c>
      <c r="B762" s="50" t="s">
        <v>8</v>
      </c>
      <c r="C762" s="50" t="s">
        <v>8</v>
      </c>
      <c r="D762" s="50" t="s">
        <v>1156</v>
      </c>
      <c r="E762" s="50" t="s">
        <v>444</v>
      </c>
      <c r="F762" s="50" t="s">
        <v>73</v>
      </c>
      <c r="G762" s="50" t="s">
        <v>330</v>
      </c>
      <c r="H762" s="51">
        <v>1</v>
      </c>
      <c r="I762" s="52">
        <f>J762/H762</f>
        <v>39990</v>
      </c>
      <c r="J762" s="52">
        <v>39990</v>
      </c>
      <c r="K762" s="51">
        <v>8</v>
      </c>
      <c r="L762" s="53">
        <f>K762/H762*30</f>
        <v>240</v>
      </c>
    </row>
    <row r="763" spans="1:12" s="2" customFormat="1" ht="13.95" customHeight="1" x14ac:dyDescent="0.2">
      <c r="A763" s="50" t="s">
        <v>416</v>
      </c>
      <c r="B763" s="50" t="s">
        <v>8</v>
      </c>
      <c r="C763" s="50" t="s">
        <v>8</v>
      </c>
      <c r="D763" s="50" t="s">
        <v>1157</v>
      </c>
      <c r="E763" s="50" t="s">
        <v>444</v>
      </c>
      <c r="F763" s="50" t="s">
        <v>73</v>
      </c>
      <c r="G763" s="50" t="s">
        <v>330</v>
      </c>
      <c r="H763" s="51">
        <v>1</v>
      </c>
      <c r="I763" s="52">
        <f>J763/H763</f>
        <v>39990</v>
      </c>
      <c r="J763" s="52">
        <v>39990</v>
      </c>
      <c r="K763" s="51">
        <v>6</v>
      </c>
      <c r="L763" s="53">
        <f>K763/H763*30</f>
        <v>180</v>
      </c>
    </row>
    <row r="764" spans="1:12" s="2" customFormat="1" ht="13.95" customHeight="1" x14ac:dyDescent="0.2">
      <c r="A764" s="50" t="s">
        <v>70</v>
      </c>
      <c r="B764" s="50" t="s">
        <v>7</v>
      </c>
      <c r="C764" s="50" t="s">
        <v>17</v>
      </c>
      <c r="D764" s="50" t="s">
        <v>1158</v>
      </c>
      <c r="E764" s="50" t="s">
        <v>889</v>
      </c>
      <c r="F764" s="50" t="s">
        <v>106</v>
      </c>
      <c r="G764" s="50" t="s">
        <v>112</v>
      </c>
      <c r="H764" s="51">
        <v>1</v>
      </c>
      <c r="I764" s="52">
        <f>J764/H764</f>
        <v>39990</v>
      </c>
      <c r="J764" s="52">
        <v>39990</v>
      </c>
      <c r="K764" s="51">
        <v>2</v>
      </c>
      <c r="L764" s="53">
        <f>K764/H764*30</f>
        <v>60</v>
      </c>
    </row>
    <row r="765" spans="1:12" s="2" customFormat="1" ht="13.95" customHeight="1" x14ac:dyDescent="0.2">
      <c r="A765" s="50" t="s">
        <v>70</v>
      </c>
      <c r="B765" s="50" t="s">
        <v>7</v>
      </c>
      <c r="C765" s="50" t="s">
        <v>17</v>
      </c>
      <c r="D765" s="50" t="s">
        <v>1159</v>
      </c>
      <c r="E765" s="50" t="s">
        <v>889</v>
      </c>
      <c r="F765" s="50" t="s">
        <v>106</v>
      </c>
      <c r="G765" s="50" t="s">
        <v>84</v>
      </c>
      <c r="H765" s="51">
        <v>1</v>
      </c>
      <c r="I765" s="52">
        <f>J765/H765</f>
        <v>39990</v>
      </c>
      <c r="J765" s="52">
        <v>39990</v>
      </c>
      <c r="K765" s="51">
        <v>7</v>
      </c>
      <c r="L765" s="53">
        <f>K765/H765*30</f>
        <v>210</v>
      </c>
    </row>
    <row r="766" spans="1:12" s="2" customFormat="1" ht="13.95" customHeight="1" x14ac:dyDescent="0.2">
      <c r="A766" s="50" t="s">
        <v>70</v>
      </c>
      <c r="B766" s="50" t="s">
        <v>7</v>
      </c>
      <c r="C766" s="50" t="s">
        <v>17</v>
      </c>
      <c r="D766" s="50" t="s">
        <v>1160</v>
      </c>
      <c r="E766" s="50" t="s">
        <v>540</v>
      </c>
      <c r="F766" s="50" t="s">
        <v>73</v>
      </c>
      <c r="G766" s="50" t="s">
        <v>84</v>
      </c>
      <c r="H766" s="51">
        <v>1</v>
      </c>
      <c r="I766" s="52">
        <f>J766/H766</f>
        <v>39990</v>
      </c>
      <c r="J766" s="52">
        <v>39990</v>
      </c>
      <c r="K766" s="51">
        <v>12</v>
      </c>
      <c r="L766" s="53">
        <f>K766/H766*30</f>
        <v>360</v>
      </c>
    </row>
    <row r="767" spans="1:12" s="2" customFormat="1" ht="13.95" customHeight="1" x14ac:dyDescent="0.2">
      <c r="A767" s="50" t="s">
        <v>70</v>
      </c>
      <c r="B767" s="50" t="s">
        <v>7</v>
      </c>
      <c r="C767" s="50" t="s">
        <v>17</v>
      </c>
      <c r="D767" s="50" t="s">
        <v>1161</v>
      </c>
      <c r="E767" s="50" t="s">
        <v>540</v>
      </c>
      <c r="F767" s="50" t="s">
        <v>106</v>
      </c>
      <c r="G767" s="50" t="s">
        <v>86</v>
      </c>
      <c r="H767" s="51">
        <v>1</v>
      </c>
      <c r="I767" s="52">
        <f>J767/H767</f>
        <v>39990</v>
      </c>
      <c r="J767" s="52">
        <v>39990</v>
      </c>
      <c r="K767" s="51">
        <v>8</v>
      </c>
      <c r="L767" s="53">
        <f>K767/H767*30</f>
        <v>240</v>
      </c>
    </row>
    <row r="768" spans="1:12" s="2" customFormat="1" ht="13.95" customHeight="1" x14ac:dyDescent="0.2">
      <c r="A768" s="50" t="s">
        <v>70</v>
      </c>
      <c r="B768" s="50" t="s">
        <v>12</v>
      </c>
      <c r="C768" s="50" t="s">
        <v>17</v>
      </c>
      <c r="D768" s="50" t="s">
        <v>1162</v>
      </c>
      <c r="E768" s="50" t="s">
        <v>540</v>
      </c>
      <c r="F768" s="50" t="s">
        <v>73</v>
      </c>
      <c r="G768" s="50" t="s">
        <v>88</v>
      </c>
      <c r="H768" s="51">
        <v>1</v>
      </c>
      <c r="I768" s="52">
        <f>J768/H768</f>
        <v>39990</v>
      </c>
      <c r="J768" s="52">
        <v>39990</v>
      </c>
      <c r="K768" s="51">
        <v>2</v>
      </c>
      <c r="L768" s="53">
        <f>K768/H768*30</f>
        <v>60</v>
      </c>
    </row>
    <row r="769" spans="1:12" s="2" customFormat="1" ht="13.95" customHeight="1" x14ac:dyDescent="0.2">
      <c r="A769" s="50" t="s">
        <v>70</v>
      </c>
      <c r="B769" s="50" t="s">
        <v>5</v>
      </c>
      <c r="C769" s="50" t="s">
        <v>36</v>
      </c>
      <c r="D769" s="50" t="s">
        <v>1163</v>
      </c>
      <c r="E769" s="50" t="s">
        <v>892</v>
      </c>
      <c r="F769" s="50" t="s">
        <v>73</v>
      </c>
      <c r="G769" s="50" t="s">
        <v>88</v>
      </c>
      <c r="H769" s="51">
        <v>1</v>
      </c>
      <c r="I769" s="52">
        <f>J769/H769</f>
        <v>39990</v>
      </c>
      <c r="J769" s="52">
        <v>39990</v>
      </c>
      <c r="K769" s="51">
        <v>1</v>
      </c>
      <c r="L769" s="53">
        <f>K769/H769*30</f>
        <v>30</v>
      </c>
    </row>
    <row r="770" spans="1:12" s="2" customFormat="1" ht="13.95" customHeight="1" x14ac:dyDescent="0.2">
      <c r="A770" s="50" t="s">
        <v>70</v>
      </c>
      <c r="B770" s="50" t="s">
        <v>5</v>
      </c>
      <c r="C770" s="50" t="s">
        <v>43</v>
      </c>
      <c r="D770" s="50" t="s">
        <v>1164</v>
      </c>
      <c r="E770" s="50" t="s">
        <v>894</v>
      </c>
      <c r="F770" s="50" t="s">
        <v>73</v>
      </c>
      <c r="G770" s="50" t="s">
        <v>74</v>
      </c>
      <c r="H770" s="51">
        <v>1</v>
      </c>
      <c r="I770" s="52">
        <f>J770/H770</f>
        <v>39990</v>
      </c>
      <c r="J770" s="52">
        <v>39990</v>
      </c>
      <c r="K770" s="51">
        <v>8</v>
      </c>
      <c r="L770" s="53">
        <f>K770/H770*30</f>
        <v>240</v>
      </c>
    </row>
    <row r="771" spans="1:12" s="2" customFormat="1" ht="13.95" customHeight="1" x14ac:dyDescent="0.2">
      <c r="A771" s="50" t="s">
        <v>70</v>
      </c>
      <c r="B771" s="50" t="s">
        <v>5</v>
      </c>
      <c r="C771" s="50" t="s">
        <v>43</v>
      </c>
      <c r="D771" s="50" t="s">
        <v>1165</v>
      </c>
      <c r="E771" s="50" t="s">
        <v>894</v>
      </c>
      <c r="F771" s="50" t="s">
        <v>73</v>
      </c>
      <c r="G771" s="50" t="s">
        <v>84</v>
      </c>
      <c r="H771" s="51">
        <v>1</v>
      </c>
      <c r="I771" s="52">
        <f>J771/H771</f>
        <v>39990</v>
      </c>
      <c r="J771" s="52">
        <v>39990</v>
      </c>
      <c r="K771" s="51">
        <v>5</v>
      </c>
      <c r="L771" s="53">
        <f>K771/H771*30</f>
        <v>150</v>
      </c>
    </row>
    <row r="772" spans="1:12" s="2" customFormat="1" ht="13.95" customHeight="1" x14ac:dyDescent="0.2">
      <c r="A772" s="50" t="s">
        <v>70</v>
      </c>
      <c r="B772" s="50" t="s">
        <v>5</v>
      </c>
      <c r="C772" s="50" t="s">
        <v>43</v>
      </c>
      <c r="D772" s="50" t="s">
        <v>1166</v>
      </c>
      <c r="E772" s="50" t="s">
        <v>894</v>
      </c>
      <c r="F772" s="50" t="s">
        <v>106</v>
      </c>
      <c r="G772" s="50" t="s">
        <v>88</v>
      </c>
      <c r="H772" s="51">
        <v>1</v>
      </c>
      <c r="I772" s="52">
        <f>J772/H772</f>
        <v>39990</v>
      </c>
      <c r="J772" s="52">
        <v>39990</v>
      </c>
      <c r="K772" s="51">
        <v>7</v>
      </c>
      <c r="L772" s="53">
        <f>K772/H772*30</f>
        <v>210</v>
      </c>
    </row>
    <row r="773" spans="1:12" s="2" customFormat="1" ht="13.95" customHeight="1" x14ac:dyDescent="0.2">
      <c r="A773" s="50" t="s">
        <v>70</v>
      </c>
      <c r="B773" s="50" t="s">
        <v>5</v>
      </c>
      <c r="C773" s="50" t="s">
        <v>43</v>
      </c>
      <c r="D773" s="50" t="s">
        <v>1167</v>
      </c>
      <c r="E773" s="50" t="s">
        <v>894</v>
      </c>
      <c r="F773" s="50" t="s">
        <v>106</v>
      </c>
      <c r="G773" s="50" t="s">
        <v>97</v>
      </c>
      <c r="H773" s="51">
        <v>1</v>
      </c>
      <c r="I773" s="52">
        <f>J773/H773</f>
        <v>39990</v>
      </c>
      <c r="J773" s="52">
        <v>39990</v>
      </c>
      <c r="K773" s="51">
        <v>6</v>
      </c>
      <c r="L773" s="53">
        <f>K773/H773*30</f>
        <v>180</v>
      </c>
    </row>
    <row r="774" spans="1:12" s="2" customFormat="1" ht="13.95" customHeight="1" x14ac:dyDescent="0.2">
      <c r="A774" s="50" t="s">
        <v>70</v>
      </c>
      <c r="B774" s="50" t="s">
        <v>5</v>
      </c>
      <c r="C774" s="50" t="s">
        <v>43</v>
      </c>
      <c r="D774" s="50" t="s">
        <v>1168</v>
      </c>
      <c r="E774" s="50" t="s">
        <v>894</v>
      </c>
      <c r="F774" s="50" t="s">
        <v>106</v>
      </c>
      <c r="G774" s="50" t="s">
        <v>112</v>
      </c>
      <c r="H774" s="51">
        <v>1</v>
      </c>
      <c r="I774" s="52">
        <f>J774/H774</f>
        <v>39990</v>
      </c>
      <c r="J774" s="52">
        <v>39990</v>
      </c>
      <c r="K774" s="51">
        <v>8</v>
      </c>
      <c r="L774" s="53">
        <f>K774/H774*30</f>
        <v>240</v>
      </c>
    </row>
    <row r="775" spans="1:12" s="2" customFormat="1" ht="13.95" customHeight="1" x14ac:dyDescent="0.2">
      <c r="A775" s="50" t="s">
        <v>70</v>
      </c>
      <c r="B775" s="50" t="s">
        <v>4</v>
      </c>
      <c r="C775" s="50" t="s">
        <v>51</v>
      </c>
      <c r="D775" s="50" t="s">
        <v>1169</v>
      </c>
      <c r="E775" s="50" t="s">
        <v>542</v>
      </c>
      <c r="F775" s="50" t="s">
        <v>73</v>
      </c>
      <c r="G775" s="50" t="s">
        <v>86</v>
      </c>
      <c r="H775" s="51">
        <v>1</v>
      </c>
      <c r="I775" s="52">
        <f>J775/H775</f>
        <v>39990</v>
      </c>
      <c r="J775" s="52">
        <v>39990</v>
      </c>
      <c r="K775" s="51">
        <v>17</v>
      </c>
      <c r="L775" s="53">
        <f>K775/H775*30</f>
        <v>510</v>
      </c>
    </row>
    <row r="776" spans="1:12" s="2" customFormat="1" ht="13.95" customHeight="1" x14ac:dyDescent="0.2">
      <c r="A776" s="50" t="s">
        <v>70</v>
      </c>
      <c r="B776" s="50" t="s">
        <v>4</v>
      </c>
      <c r="C776" s="50" t="s">
        <v>51</v>
      </c>
      <c r="D776" s="50" t="s">
        <v>1170</v>
      </c>
      <c r="E776" s="50" t="s">
        <v>542</v>
      </c>
      <c r="F776" s="50" t="s">
        <v>128</v>
      </c>
      <c r="G776" s="50" t="s">
        <v>140</v>
      </c>
      <c r="H776" s="51">
        <v>1</v>
      </c>
      <c r="I776" s="52">
        <f>J776/H776</f>
        <v>39990</v>
      </c>
      <c r="J776" s="52">
        <v>39990</v>
      </c>
      <c r="K776" s="51">
        <v>14</v>
      </c>
      <c r="L776" s="53">
        <f>K776/H776*30</f>
        <v>420</v>
      </c>
    </row>
    <row r="777" spans="1:12" s="2" customFormat="1" ht="13.95" customHeight="1" x14ac:dyDescent="0.2">
      <c r="A777" s="50" t="s">
        <v>70</v>
      </c>
      <c r="B777" s="50" t="s">
        <v>4</v>
      </c>
      <c r="C777" s="50" t="s">
        <v>51</v>
      </c>
      <c r="D777" s="50" t="s">
        <v>1171</v>
      </c>
      <c r="E777" s="50" t="s">
        <v>542</v>
      </c>
      <c r="F777" s="50" t="s">
        <v>128</v>
      </c>
      <c r="G777" s="50" t="s">
        <v>1172</v>
      </c>
      <c r="H777" s="51">
        <v>1</v>
      </c>
      <c r="I777" s="52">
        <f>J777/H777</f>
        <v>39990</v>
      </c>
      <c r="J777" s="52">
        <v>39990</v>
      </c>
      <c r="K777" s="51">
        <v>9</v>
      </c>
      <c r="L777" s="53">
        <f>K777/H777*30</f>
        <v>270</v>
      </c>
    </row>
    <row r="778" spans="1:12" s="2" customFormat="1" ht="13.95" customHeight="1" x14ac:dyDescent="0.2">
      <c r="A778" s="50" t="s">
        <v>70</v>
      </c>
      <c r="B778" s="50" t="s">
        <v>4</v>
      </c>
      <c r="C778" s="50" t="s">
        <v>51</v>
      </c>
      <c r="D778" s="50" t="s">
        <v>1173</v>
      </c>
      <c r="E778" s="50" t="s">
        <v>542</v>
      </c>
      <c r="F778" s="50" t="s">
        <v>128</v>
      </c>
      <c r="G778" s="50" t="s">
        <v>598</v>
      </c>
      <c r="H778" s="51">
        <v>1</v>
      </c>
      <c r="I778" s="52">
        <f>J778/H778</f>
        <v>39990</v>
      </c>
      <c r="J778" s="52">
        <v>39990</v>
      </c>
      <c r="K778" s="51">
        <v>2</v>
      </c>
      <c r="L778" s="53">
        <f>K778/H778*30</f>
        <v>60</v>
      </c>
    </row>
    <row r="779" spans="1:12" s="2" customFormat="1" ht="13.95" customHeight="1" x14ac:dyDescent="0.2">
      <c r="A779" s="50" t="s">
        <v>70</v>
      </c>
      <c r="B779" s="50" t="s">
        <v>11</v>
      </c>
      <c r="C779" s="50" t="s">
        <v>11</v>
      </c>
      <c r="D779" s="50" t="s">
        <v>1174</v>
      </c>
      <c r="E779" s="50" t="s">
        <v>1175</v>
      </c>
      <c r="F779" s="50" t="s">
        <v>1176</v>
      </c>
      <c r="G779" s="50" t="s">
        <v>1176</v>
      </c>
      <c r="H779" s="51">
        <v>1</v>
      </c>
      <c r="I779" s="52">
        <f>J779/H779</f>
        <v>39990</v>
      </c>
      <c r="J779" s="52">
        <v>39990</v>
      </c>
      <c r="K779" s="51">
        <v>1</v>
      </c>
      <c r="L779" s="53">
        <f>K779/H779*30</f>
        <v>30</v>
      </c>
    </row>
    <row r="780" spans="1:12" s="2" customFormat="1" ht="13.95" customHeight="1" x14ac:dyDescent="0.2">
      <c r="A780" s="50" t="s">
        <v>532</v>
      </c>
      <c r="B780" s="50" t="s">
        <v>7</v>
      </c>
      <c r="C780" s="50" t="s">
        <v>23</v>
      </c>
      <c r="D780" s="50" t="s">
        <v>1177</v>
      </c>
      <c r="E780" s="50" t="s">
        <v>898</v>
      </c>
      <c r="F780" s="50" t="s">
        <v>260</v>
      </c>
      <c r="G780" s="50" t="s">
        <v>1107</v>
      </c>
      <c r="H780" s="51">
        <v>1</v>
      </c>
      <c r="I780" s="52">
        <f>J780/H780</f>
        <v>39990</v>
      </c>
      <c r="J780" s="52">
        <v>39990</v>
      </c>
      <c r="K780" s="51">
        <v>8</v>
      </c>
      <c r="L780" s="53">
        <f>K780/H780*30</f>
        <v>240</v>
      </c>
    </row>
    <row r="781" spans="1:12" s="2" customFormat="1" ht="13.95" customHeight="1" x14ac:dyDescent="0.2">
      <c r="A781" s="50" t="s">
        <v>532</v>
      </c>
      <c r="B781" s="50" t="s">
        <v>7</v>
      </c>
      <c r="C781" s="50" t="s">
        <v>23</v>
      </c>
      <c r="D781" s="50" t="s">
        <v>1178</v>
      </c>
      <c r="E781" s="50" t="s">
        <v>898</v>
      </c>
      <c r="F781" s="50" t="s">
        <v>260</v>
      </c>
      <c r="G781" s="50" t="s">
        <v>1110</v>
      </c>
      <c r="H781" s="51">
        <v>1</v>
      </c>
      <c r="I781" s="52">
        <f>J781/H781</f>
        <v>39990</v>
      </c>
      <c r="J781" s="52">
        <v>39990</v>
      </c>
      <c r="K781" s="51">
        <v>4</v>
      </c>
      <c r="L781" s="53">
        <f>K781/H781*30</f>
        <v>120</v>
      </c>
    </row>
    <row r="782" spans="1:12" s="2" customFormat="1" ht="13.95" customHeight="1" x14ac:dyDescent="0.2">
      <c r="A782" s="50" t="s">
        <v>532</v>
      </c>
      <c r="B782" s="50" t="s">
        <v>7</v>
      </c>
      <c r="C782" s="50" t="s">
        <v>23</v>
      </c>
      <c r="D782" s="50" t="s">
        <v>1179</v>
      </c>
      <c r="E782" s="50" t="s">
        <v>898</v>
      </c>
      <c r="F782" s="50" t="s">
        <v>260</v>
      </c>
      <c r="G782" s="50" t="s">
        <v>1110</v>
      </c>
      <c r="H782" s="51">
        <v>1</v>
      </c>
      <c r="I782" s="52">
        <f>J782/H782</f>
        <v>39990</v>
      </c>
      <c r="J782" s="52">
        <v>39990</v>
      </c>
      <c r="K782" s="51">
        <v>5</v>
      </c>
      <c r="L782" s="53">
        <f>K782/H782*30</f>
        <v>150</v>
      </c>
    </row>
    <row r="783" spans="1:12" s="2" customFormat="1" ht="13.95" customHeight="1" x14ac:dyDescent="0.2">
      <c r="A783" s="50" t="s">
        <v>900</v>
      </c>
      <c r="B783" s="50" t="s">
        <v>6</v>
      </c>
      <c r="C783" s="50" t="s">
        <v>57</v>
      </c>
      <c r="D783" s="50" t="s">
        <v>1180</v>
      </c>
      <c r="E783" s="50" t="s">
        <v>1181</v>
      </c>
      <c r="F783" s="50" t="s">
        <v>260</v>
      </c>
      <c r="G783" s="50" t="s">
        <v>1182</v>
      </c>
      <c r="H783" s="51">
        <v>1</v>
      </c>
      <c r="I783" s="52">
        <f>J783/H783</f>
        <v>39990</v>
      </c>
      <c r="J783" s="52">
        <v>39990</v>
      </c>
      <c r="K783" s="51">
        <v>11</v>
      </c>
      <c r="L783" s="53">
        <f>K783/H783*30</f>
        <v>330</v>
      </c>
    </row>
    <row r="784" spans="1:12" s="2" customFormat="1" ht="13.95" customHeight="1" x14ac:dyDescent="0.2">
      <c r="A784" s="50" t="s">
        <v>900</v>
      </c>
      <c r="B784" s="50" t="s">
        <v>6</v>
      </c>
      <c r="C784" s="50" t="s">
        <v>57</v>
      </c>
      <c r="D784" s="50" t="s">
        <v>1183</v>
      </c>
      <c r="E784" s="50" t="s">
        <v>1184</v>
      </c>
      <c r="F784" s="50" t="s">
        <v>260</v>
      </c>
      <c r="G784" s="50" t="s">
        <v>1185</v>
      </c>
      <c r="H784" s="51">
        <v>1</v>
      </c>
      <c r="I784" s="52">
        <f>J784/H784</f>
        <v>39990</v>
      </c>
      <c r="J784" s="52">
        <v>39990</v>
      </c>
      <c r="K784" s="51">
        <v>3</v>
      </c>
      <c r="L784" s="53">
        <f>K784/H784*30</f>
        <v>90</v>
      </c>
    </row>
    <row r="785" spans="1:12" s="2" customFormat="1" ht="13.95" customHeight="1" x14ac:dyDescent="0.2">
      <c r="A785" s="50" t="s">
        <v>900</v>
      </c>
      <c r="B785" s="50" t="s">
        <v>6</v>
      </c>
      <c r="C785" s="50" t="s">
        <v>57</v>
      </c>
      <c r="D785" s="50" t="s">
        <v>1186</v>
      </c>
      <c r="E785" s="50" t="s">
        <v>1184</v>
      </c>
      <c r="F785" s="50" t="s">
        <v>260</v>
      </c>
      <c r="G785" s="50" t="s">
        <v>1185</v>
      </c>
      <c r="H785" s="51">
        <v>1</v>
      </c>
      <c r="I785" s="52">
        <f>J785/H785</f>
        <v>39990</v>
      </c>
      <c r="J785" s="52">
        <v>39990</v>
      </c>
      <c r="K785" s="51">
        <v>9</v>
      </c>
      <c r="L785" s="53">
        <f>K785/H785*30</f>
        <v>270</v>
      </c>
    </row>
    <row r="786" spans="1:12" s="2" customFormat="1" ht="13.95" customHeight="1" x14ac:dyDescent="0.2">
      <c r="A786" s="50" t="s">
        <v>900</v>
      </c>
      <c r="B786" s="50" t="s">
        <v>6</v>
      </c>
      <c r="C786" s="50" t="s">
        <v>57</v>
      </c>
      <c r="D786" s="50" t="s">
        <v>1187</v>
      </c>
      <c r="E786" s="50" t="s">
        <v>1184</v>
      </c>
      <c r="F786" s="50" t="s">
        <v>260</v>
      </c>
      <c r="G786" s="50" t="s">
        <v>1185</v>
      </c>
      <c r="H786" s="51">
        <v>1</v>
      </c>
      <c r="I786" s="52">
        <f>J786/H786</f>
        <v>39990</v>
      </c>
      <c r="J786" s="52">
        <v>39990</v>
      </c>
      <c r="K786" s="51">
        <v>11</v>
      </c>
      <c r="L786" s="53">
        <f>K786/H786*30</f>
        <v>330</v>
      </c>
    </row>
    <row r="787" spans="1:12" s="2" customFormat="1" ht="13.95" customHeight="1" x14ac:dyDescent="0.2">
      <c r="A787" s="50" t="s">
        <v>900</v>
      </c>
      <c r="B787" s="50" t="s">
        <v>6</v>
      </c>
      <c r="C787" s="50" t="s">
        <v>57</v>
      </c>
      <c r="D787" s="50" t="s">
        <v>1188</v>
      </c>
      <c r="E787" s="50" t="s">
        <v>1189</v>
      </c>
      <c r="F787" s="50" t="s">
        <v>260</v>
      </c>
      <c r="G787" s="50" t="s">
        <v>1121</v>
      </c>
      <c r="H787" s="51">
        <v>1</v>
      </c>
      <c r="I787" s="52">
        <f>J787/H787</f>
        <v>39990</v>
      </c>
      <c r="J787" s="52">
        <v>39990</v>
      </c>
      <c r="K787" s="51">
        <v>3</v>
      </c>
      <c r="L787" s="53">
        <f>K787/H787*30</f>
        <v>90</v>
      </c>
    </row>
    <row r="788" spans="1:12" s="2" customFormat="1" ht="13.95" customHeight="1" x14ac:dyDescent="0.2">
      <c r="A788" s="50" t="s">
        <v>900</v>
      </c>
      <c r="B788" s="50" t="s">
        <v>6</v>
      </c>
      <c r="C788" s="50" t="s">
        <v>57</v>
      </c>
      <c r="D788" s="50" t="s">
        <v>1190</v>
      </c>
      <c r="E788" s="50" t="s">
        <v>1189</v>
      </c>
      <c r="F788" s="50" t="s">
        <v>260</v>
      </c>
      <c r="G788" s="50" t="s">
        <v>1121</v>
      </c>
      <c r="H788" s="51">
        <v>1</v>
      </c>
      <c r="I788" s="52">
        <f>J788/H788</f>
        <v>39990</v>
      </c>
      <c r="J788" s="52">
        <v>39990</v>
      </c>
      <c r="K788" s="51">
        <v>5</v>
      </c>
      <c r="L788" s="53">
        <f>K788/H788*30</f>
        <v>150</v>
      </c>
    </row>
    <row r="789" spans="1:12" s="2" customFormat="1" ht="13.95" customHeight="1" x14ac:dyDescent="0.2">
      <c r="A789" s="50" t="s">
        <v>900</v>
      </c>
      <c r="B789" s="50" t="s">
        <v>6</v>
      </c>
      <c r="C789" s="50" t="s">
        <v>57</v>
      </c>
      <c r="D789" s="50" t="s">
        <v>1191</v>
      </c>
      <c r="E789" s="50" t="s">
        <v>1192</v>
      </c>
      <c r="F789" s="50" t="s">
        <v>1193</v>
      </c>
      <c r="G789" s="50" t="s">
        <v>1194</v>
      </c>
      <c r="H789" s="51">
        <v>1</v>
      </c>
      <c r="I789" s="52">
        <f>J789/H789</f>
        <v>39990</v>
      </c>
      <c r="J789" s="52">
        <v>39990</v>
      </c>
      <c r="K789" s="51">
        <v>2</v>
      </c>
      <c r="L789" s="53">
        <f>K789/H789*30</f>
        <v>60</v>
      </c>
    </row>
    <row r="790" spans="1:12" s="2" customFormat="1" ht="13.95" customHeight="1" x14ac:dyDescent="0.2">
      <c r="A790" s="50" t="s">
        <v>900</v>
      </c>
      <c r="B790" s="50" t="s">
        <v>6</v>
      </c>
      <c r="C790" s="50" t="s">
        <v>57</v>
      </c>
      <c r="D790" s="50" t="s">
        <v>1195</v>
      </c>
      <c r="E790" s="50" t="s">
        <v>1192</v>
      </c>
      <c r="F790" s="50" t="s">
        <v>1193</v>
      </c>
      <c r="G790" s="50" t="s">
        <v>1194</v>
      </c>
      <c r="H790" s="51">
        <v>1</v>
      </c>
      <c r="I790" s="52">
        <f>J790/H790</f>
        <v>39990</v>
      </c>
      <c r="J790" s="52">
        <v>39990</v>
      </c>
      <c r="K790" s="51">
        <v>8</v>
      </c>
      <c r="L790" s="53">
        <f>K790/H790*30</f>
        <v>240</v>
      </c>
    </row>
    <row r="791" spans="1:12" s="2" customFormat="1" ht="13.95" customHeight="1" x14ac:dyDescent="0.2">
      <c r="A791" s="50" t="s">
        <v>70</v>
      </c>
      <c r="B791" s="50" t="s">
        <v>7</v>
      </c>
      <c r="C791" s="50" t="s">
        <v>16</v>
      </c>
      <c r="D791" s="50" t="s">
        <v>1196</v>
      </c>
      <c r="E791" s="50" t="s">
        <v>1197</v>
      </c>
      <c r="F791" s="50" t="s">
        <v>137</v>
      </c>
      <c r="G791" s="50" t="s">
        <v>74</v>
      </c>
      <c r="H791" s="51">
        <v>2</v>
      </c>
      <c r="I791" s="52">
        <f>J791/H791</f>
        <v>19990</v>
      </c>
      <c r="J791" s="52">
        <v>39980</v>
      </c>
      <c r="K791" s="51">
        <v>20</v>
      </c>
      <c r="L791" s="53">
        <f>K791/H791*30</f>
        <v>300</v>
      </c>
    </row>
    <row r="792" spans="1:12" s="2" customFormat="1" ht="13.95" customHeight="1" x14ac:dyDescent="0.2">
      <c r="A792" s="50" t="s">
        <v>70</v>
      </c>
      <c r="B792" s="50" t="s">
        <v>5</v>
      </c>
      <c r="C792" s="50" t="s">
        <v>45</v>
      </c>
      <c r="D792" s="50" t="s">
        <v>1198</v>
      </c>
      <c r="E792" s="50" t="s">
        <v>614</v>
      </c>
      <c r="F792" s="50" t="s">
        <v>137</v>
      </c>
      <c r="G792" s="50" t="s">
        <v>140</v>
      </c>
      <c r="H792" s="51">
        <v>2</v>
      </c>
      <c r="I792" s="52">
        <f>J792/H792</f>
        <v>19990</v>
      </c>
      <c r="J792" s="52">
        <v>39980</v>
      </c>
      <c r="K792" s="51">
        <v>0</v>
      </c>
      <c r="L792" s="53">
        <f>K792/H792*30</f>
        <v>0</v>
      </c>
    </row>
    <row r="793" spans="1:12" s="2" customFormat="1" ht="13.95" customHeight="1" x14ac:dyDescent="0.2">
      <c r="A793" s="50" t="s">
        <v>70</v>
      </c>
      <c r="B793" s="50" t="s">
        <v>5</v>
      </c>
      <c r="C793" s="50" t="s">
        <v>45</v>
      </c>
      <c r="D793" s="50" t="s">
        <v>1199</v>
      </c>
      <c r="E793" s="50" t="s">
        <v>614</v>
      </c>
      <c r="F793" s="50" t="s">
        <v>137</v>
      </c>
      <c r="G793" s="50" t="s">
        <v>88</v>
      </c>
      <c r="H793" s="51">
        <v>2</v>
      </c>
      <c r="I793" s="52">
        <f>J793/H793</f>
        <v>19990</v>
      </c>
      <c r="J793" s="52">
        <v>39980</v>
      </c>
      <c r="K793" s="51">
        <v>21</v>
      </c>
      <c r="L793" s="53">
        <f>K793/H793*30</f>
        <v>315</v>
      </c>
    </row>
    <row r="794" spans="1:12" s="2" customFormat="1" ht="13.95" customHeight="1" x14ac:dyDescent="0.2">
      <c r="A794" s="50" t="s">
        <v>70</v>
      </c>
      <c r="B794" s="50" t="s">
        <v>5</v>
      </c>
      <c r="C794" s="50" t="s">
        <v>45</v>
      </c>
      <c r="D794" s="50" t="s">
        <v>1200</v>
      </c>
      <c r="E794" s="50" t="s">
        <v>614</v>
      </c>
      <c r="F794" s="50" t="s">
        <v>137</v>
      </c>
      <c r="G794" s="50" t="s">
        <v>943</v>
      </c>
      <c r="H794" s="51">
        <v>2</v>
      </c>
      <c r="I794" s="52">
        <f>J794/H794</f>
        <v>19990</v>
      </c>
      <c r="J794" s="52">
        <v>39980</v>
      </c>
      <c r="K794" s="51">
        <v>6</v>
      </c>
      <c r="L794" s="53">
        <f>K794/H794*30</f>
        <v>90</v>
      </c>
    </row>
    <row r="795" spans="1:12" s="2" customFormat="1" ht="13.95" customHeight="1" x14ac:dyDescent="0.2">
      <c r="A795" s="50" t="s">
        <v>1024</v>
      </c>
      <c r="B795" s="50" t="s">
        <v>6</v>
      </c>
      <c r="C795" s="50" t="s">
        <v>64</v>
      </c>
      <c r="D795" s="50" t="s">
        <v>1241</v>
      </c>
      <c r="E795" s="50" t="s">
        <v>1026</v>
      </c>
      <c r="F795" s="50" t="s">
        <v>260</v>
      </c>
      <c r="G795" s="50" t="s">
        <v>1242</v>
      </c>
      <c r="H795" s="51">
        <v>6</v>
      </c>
      <c r="I795" s="52">
        <f>J795/H795</f>
        <v>6663.333333333333</v>
      </c>
      <c r="J795" s="52">
        <v>39980</v>
      </c>
      <c r="K795" s="51">
        <v>580</v>
      </c>
      <c r="L795" s="53">
        <f>K795/H795*30</f>
        <v>2900</v>
      </c>
    </row>
    <row r="796" spans="1:12" s="2" customFormat="1" ht="13.95" customHeight="1" x14ac:dyDescent="0.2">
      <c r="A796" s="50" t="s">
        <v>70</v>
      </c>
      <c r="B796" s="50" t="s">
        <v>5</v>
      </c>
      <c r="C796" s="50" t="s">
        <v>37</v>
      </c>
      <c r="D796" s="50" t="s">
        <v>1201</v>
      </c>
      <c r="E796" s="50" t="s">
        <v>1202</v>
      </c>
      <c r="F796" s="50" t="s">
        <v>223</v>
      </c>
      <c r="G796" s="50" t="s">
        <v>224</v>
      </c>
      <c r="H796" s="51">
        <v>8</v>
      </c>
      <c r="I796" s="52">
        <f>J796/H796</f>
        <v>4990</v>
      </c>
      <c r="J796" s="52">
        <v>39920</v>
      </c>
      <c r="K796" s="51">
        <v>28</v>
      </c>
      <c r="L796" s="53">
        <f>K796/H796*30</f>
        <v>105</v>
      </c>
    </row>
    <row r="797" spans="1:12" s="2" customFormat="1" ht="13.95" customHeight="1" x14ac:dyDescent="0.2">
      <c r="A797" s="50" t="s">
        <v>70</v>
      </c>
      <c r="B797" s="50" t="s">
        <v>5</v>
      </c>
      <c r="C797" s="50" t="s">
        <v>37</v>
      </c>
      <c r="D797" s="50" t="s">
        <v>1203</v>
      </c>
      <c r="E797" s="50" t="s">
        <v>1202</v>
      </c>
      <c r="F797" s="50" t="s">
        <v>374</v>
      </c>
      <c r="G797" s="50" t="s">
        <v>86</v>
      </c>
      <c r="H797" s="51">
        <v>8</v>
      </c>
      <c r="I797" s="52">
        <f>J797/H797</f>
        <v>4990</v>
      </c>
      <c r="J797" s="52">
        <v>39920</v>
      </c>
      <c r="K797" s="51">
        <v>18</v>
      </c>
      <c r="L797" s="53">
        <f>K797/H797*30</f>
        <v>67.5</v>
      </c>
    </row>
    <row r="798" spans="1:12" s="2" customFormat="1" ht="13.95" customHeight="1" x14ac:dyDescent="0.2">
      <c r="A798" s="50" t="s">
        <v>70</v>
      </c>
      <c r="B798" s="50" t="s">
        <v>5</v>
      </c>
      <c r="C798" s="50" t="s">
        <v>40</v>
      </c>
      <c r="D798" s="50" t="s">
        <v>1204</v>
      </c>
      <c r="E798" s="50" t="s">
        <v>933</v>
      </c>
      <c r="F798" s="50" t="s">
        <v>223</v>
      </c>
      <c r="G798" s="50" t="s">
        <v>224</v>
      </c>
      <c r="H798" s="51">
        <v>3</v>
      </c>
      <c r="I798" s="52">
        <f>J798/H798</f>
        <v>12990</v>
      </c>
      <c r="J798" s="52">
        <v>38970</v>
      </c>
      <c r="K798" s="51">
        <v>22</v>
      </c>
      <c r="L798" s="53">
        <f>K798/H798*30</f>
        <v>220</v>
      </c>
    </row>
    <row r="799" spans="1:12" s="2" customFormat="1" ht="13.95" customHeight="1" x14ac:dyDescent="0.2">
      <c r="A799" s="50" t="s">
        <v>70</v>
      </c>
      <c r="B799" s="50" t="s">
        <v>5</v>
      </c>
      <c r="C799" s="50" t="s">
        <v>40</v>
      </c>
      <c r="D799" s="50" t="s">
        <v>1205</v>
      </c>
      <c r="E799" s="50" t="s">
        <v>340</v>
      </c>
      <c r="F799" s="50" t="s">
        <v>155</v>
      </c>
      <c r="G799" s="50" t="s">
        <v>512</v>
      </c>
      <c r="H799" s="51">
        <v>3</v>
      </c>
      <c r="I799" s="52">
        <f>J799/H799</f>
        <v>12990</v>
      </c>
      <c r="J799" s="52">
        <v>38970</v>
      </c>
      <c r="K799" s="51">
        <v>2</v>
      </c>
      <c r="L799" s="53">
        <f>K799/H799*30</f>
        <v>20</v>
      </c>
    </row>
    <row r="800" spans="1:12" s="2" customFormat="1" ht="13.95" customHeight="1" x14ac:dyDescent="0.2">
      <c r="A800" s="50" t="s">
        <v>70</v>
      </c>
      <c r="B800" s="50" t="s">
        <v>5</v>
      </c>
      <c r="C800" s="50" t="s">
        <v>45</v>
      </c>
      <c r="D800" s="50" t="s">
        <v>1206</v>
      </c>
      <c r="E800" s="50" t="s">
        <v>592</v>
      </c>
      <c r="F800" s="50" t="s">
        <v>177</v>
      </c>
      <c r="G800" s="50" t="s">
        <v>86</v>
      </c>
      <c r="H800" s="51">
        <v>3</v>
      </c>
      <c r="I800" s="52">
        <f>J800/H800</f>
        <v>12990</v>
      </c>
      <c r="J800" s="52">
        <v>38970</v>
      </c>
      <c r="K800" s="51">
        <v>38</v>
      </c>
      <c r="L800" s="53">
        <f>K800/H800*30</f>
        <v>380</v>
      </c>
    </row>
    <row r="801" spans="1:12" s="2" customFormat="1" ht="13.95" customHeight="1" x14ac:dyDescent="0.2">
      <c r="A801" s="50" t="s">
        <v>70</v>
      </c>
      <c r="B801" s="50" t="s">
        <v>5</v>
      </c>
      <c r="C801" s="50" t="s">
        <v>45</v>
      </c>
      <c r="D801" s="50" t="s">
        <v>1207</v>
      </c>
      <c r="E801" s="50" t="s">
        <v>592</v>
      </c>
      <c r="F801" s="50" t="s">
        <v>374</v>
      </c>
      <c r="G801" s="50" t="s">
        <v>84</v>
      </c>
      <c r="H801" s="51">
        <v>3</v>
      </c>
      <c r="I801" s="52">
        <f>J801/H801</f>
        <v>12990</v>
      </c>
      <c r="J801" s="52">
        <v>38970</v>
      </c>
      <c r="K801" s="51">
        <v>1</v>
      </c>
      <c r="L801" s="53">
        <f>K801/H801*30</f>
        <v>10</v>
      </c>
    </row>
    <row r="802" spans="1:12" s="2" customFormat="1" ht="13.95" customHeight="1" x14ac:dyDescent="0.2">
      <c r="A802" s="50" t="s">
        <v>70</v>
      </c>
      <c r="B802" s="50" t="s">
        <v>5</v>
      </c>
      <c r="C802" s="50" t="s">
        <v>45</v>
      </c>
      <c r="D802" s="50" t="s">
        <v>1208</v>
      </c>
      <c r="E802" s="50" t="s">
        <v>614</v>
      </c>
      <c r="F802" s="50" t="s">
        <v>73</v>
      </c>
      <c r="G802" s="50" t="s">
        <v>140</v>
      </c>
      <c r="H802" s="51">
        <v>2</v>
      </c>
      <c r="I802" s="52">
        <f>J802/H802</f>
        <v>18990</v>
      </c>
      <c r="J802" s="52">
        <v>37980</v>
      </c>
      <c r="K802" s="51">
        <v>19</v>
      </c>
      <c r="L802" s="53">
        <f>K802/H802*30</f>
        <v>285</v>
      </c>
    </row>
    <row r="803" spans="1:12" s="2" customFormat="1" ht="13.95" customHeight="1" x14ac:dyDescent="0.2">
      <c r="A803" s="50" t="s">
        <v>70</v>
      </c>
      <c r="B803" s="50" t="s">
        <v>5</v>
      </c>
      <c r="C803" s="50" t="s">
        <v>45</v>
      </c>
      <c r="D803" s="50" t="s">
        <v>1209</v>
      </c>
      <c r="E803" s="50" t="s">
        <v>614</v>
      </c>
      <c r="F803" s="50" t="s">
        <v>106</v>
      </c>
      <c r="G803" s="50" t="s">
        <v>330</v>
      </c>
      <c r="H803" s="51">
        <v>2</v>
      </c>
      <c r="I803" s="52">
        <f>J803/H803</f>
        <v>18990</v>
      </c>
      <c r="J803" s="52">
        <v>37980</v>
      </c>
      <c r="K803" s="51">
        <v>24</v>
      </c>
      <c r="L803" s="53">
        <f>K803/H803*30</f>
        <v>360</v>
      </c>
    </row>
    <row r="804" spans="1:12" s="2" customFormat="1" ht="13.95" customHeight="1" x14ac:dyDescent="0.2">
      <c r="A804" s="50" t="s">
        <v>70</v>
      </c>
      <c r="B804" s="50" t="s">
        <v>5</v>
      </c>
      <c r="C804" s="50" t="s">
        <v>43</v>
      </c>
      <c r="D804" s="50" t="s">
        <v>1210</v>
      </c>
      <c r="E804" s="50" t="s">
        <v>1211</v>
      </c>
      <c r="F804" s="50" t="s">
        <v>73</v>
      </c>
      <c r="G804" s="50" t="s">
        <v>74</v>
      </c>
      <c r="H804" s="51">
        <v>1</v>
      </c>
      <c r="I804" s="52">
        <f>J804/H804</f>
        <v>35990</v>
      </c>
      <c r="J804" s="52">
        <v>35990</v>
      </c>
      <c r="K804" s="51">
        <v>9</v>
      </c>
      <c r="L804" s="53">
        <f>K804/H804*30</f>
        <v>270</v>
      </c>
    </row>
    <row r="805" spans="1:12" s="2" customFormat="1" ht="13.95" customHeight="1" x14ac:dyDescent="0.2">
      <c r="A805" s="50" t="s">
        <v>70</v>
      </c>
      <c r="B805" s="50" t="s">
        <v>5</v>
      </c>
      <c r="C805" s="50" t="s">
        <v>43</v>
      </c>
      <c r="D805" s="50" t="s">
        <v>1212</v>
      </c>
      <c r="E805" s="50" t="s">
        <v>1211</v>
      </c>
      <c r="F805" s="50" t="s">
        <v>73</v>
      </c>
      <c r="G805" s="50" t="s">
        <v>84</v>
      </c>
      <c r="H805" s="51">
        <v>1</v>
      </c>
      <c r="I805" s="52">
        <f>J805/H805</f>
        <v>35990</v>
      </c>
      <c r="J805" s="52">
        <v>35990</v>
      </c>
      <c r="K805" s="51">
        <v>4</v>
      </c>
      <c r="L805" s="53">
        <f>K805/H805*30</f>
        <v>120</v>
      </c>
    </row>
    <row r="806" spans="1:12" s="2" customFormat="1" ht="13.95" customHeight="1" x14ac:dyDescent="0.2">
      <c r="A806" s="50" t="s">
        <v>70</v>
      </c>
      <c r="B806" s="50" t="s">
        <v>5</v>
      </c>
      <c r="C806" s="50" t="s">
        <v>40</v>
      </c>
      <c r="D806" s="50" t="s">
        <v>1213</v>
      </c>
      <c r="E806" s="50" t="s">
        <v>708</v>
      </c>
      <c r="F806" s="50" t="s">
        <v>73</v>
      </c>
      <c r="G806" s="50" t="s">
        <v>97</v>
      </c>
      <c r="H806" s="51">
        <v>2</v>
      </c>
      <c r="I806" s="52">
        <f>J806/H806</f>
        <v>17990</v>
      </c>
      <c r="J806" s="52">
        <v>35980</v>
      </c>
      <c r="K806" s="51">
        <v>21</v>
      </c>
      <c r="L806" s="53">
        <f>K806/H806*30</f>
        <v>315</v>
      </c>
    </row>
    <row r="807" spans="1:12" s="2" customFormat="1" ht="13.95" customHeight="1" x14ac:dyDescent="0.2">
      <c r="A807" s="50" t="s">
        <v>70</v>
      </c>
      <c r="B807" s="50" t="s">
        <v>5</v>
      </c>
      <c r="C807" s="50" t="s">
        <v>40</v>
      </c>
      <c r="D807" s="50" t="s">
        <v>1214</v>
      </c>
      <c r="E807" s="50" t="s">
        <v>708</v>
      </c>
      <c r="F807" s="50" t="s">
        <v>137</v>
      </c>
      <c r="G807" s="50" t="s">
        <v>88</v>
      </c>
      <c r="H807" s="51">
        <v>2</v>
      </c>
      <c r="I807" s="52">
        <f>J807/H807</f>
        <v>17990</v>
      </c>
      <c r="J807" s="52">
        <v>35980</v>
      </c>
      <c r="K807" s="51">
        <v>9</v>
      </c>
      <c r="L807" s="53">
        <f>K807/H807*30</f>
        <v>135</v>
      </c>
    </row>
    <row r="808" spans="1:12" s="2" customFormat="1" ht="13.95" customHeight="1" x14ac:dyDescent="0.2">
      <c r="A808" s="50" t="s">
        <v>70</v>
      </c>
      <c r="B808" s="50" t="s">
        <v>5</v>
      </c>
      <c r="C808" s="50" t="s">
        <v>40</v>
      </c>
      <c r="D808" s="50" t="s">
        <v>1215</v>
      </c>
      <c r="E808" s="50" t="s">
        <v>708</v>
      </c>
      <c r="F808" s="50" t="s">
        <v>137</v>
      </c>
      <c r="G808" s="50" t="s">
        <v>74</v>
      </c>
      <c r="H808" s="51">
        <v>2</v>
      </c>
      <c r="I808" s="52">
        <f>J808/H808</f>
        <v>17990</v>
      </c>
      <c r="J808" s="52">
        <v>35980</v>
      </c>
      <c r="K808" s="51">
        <v>5</v>
      </c>
      <c r="L808" s="53">
        <f>K808/H808*30</f>
        <v>75</v>
      </c>
    </row>
    <row r="809" spans="1:12" s="2" customFormat="1" ht="13.95" customHeight="1" x14ac:dyDescent="0.2">
      <c r="A809" s="50" t="s">
        <v>70</v>
      </c>
      <c r="B809" s="50" t="s">
        <v>5</v>
      </c>
      <c r="C809" s="50" t="s">
        <v>45</v>
      </c>
      <c r="D809" s="50" t="s">
        <v>1216</v>
      </c>
      <c r="E809" s="50" t="s">
        <v>922</v>
      </c>
      <c r="F809" s="50" t="s">
        <v>106</v>
      </c>
      <c r="G809" s="50" t="s">
        <v>86</v>
      </c>
      <c r="H809" s="51">
        <v>3</v>
      </c>
      <c r="I809" s="52">
        <f>J809/H809</f>
        <v>11990</v>
      </c>
      <c r="J809" s="52">
        <v>35970</v>
      </c>
      <c r="K809" s="51">
        <v>1</v>
      </c>
      <c r="L809" s="53">
        <f>K809/H809*30</f>
        <v>10</v>
      </c>
    </row>
    <row r="810" spans="1:12" s="2" customFormat="1" ht="13.95" customHeight="1" x14ac:dyDescent="0.2">
      <c r="A810" s="50" t="s">
        <v>70</v>
      </c>
      <c r="B810" s="50" t="s">
        <v>5</v>
      </c>
      <c r="C810" s="50" t="s">
        <v>45</v>
      </c>
      <c r="D810" s="50" t="s">
        <v>1217</v>
      </c>
      <c r="E810" s="50" t="s">
        <v>922</v>
      </c>
      <c r="F810" s="50" t="s">
        <v>106</v>
      </c>
      <c r="G810" s="50" t="s">
        <v>112</v>
      </c>
      <c r="H810" s="51">
        <v>3</v>
      </c>
      <c r="I810" s="52">
        <f>J810/H810</f>
        <v>11990</v>
      </c>
      <c r="J810" s="52">
        <v>35970</v>
      </c>
      <c r="K810" s="51">
        <v>1</v>
      </c>
      <c r="L810" s="53">
        <f>K810/H810*30</f>
        <v>10</v>
      </c>
    </row>
    <row r="811" spans="1:12" s="2" customFormat="1" ht="13.95" customHeight="1" x14ac:dyDescent="0.2">
      <c r="A811" s="50" t="s">
        <v>70</v>
      </c>
      <c r="B811" s="50" t="s">
        <v>5</v>
      </c>
      <c r="C811" s="50" t="s">
        <v>37</v>
      </c>
      <c r="D811" s="50" t="s">
        <v>1218</v>
      </c>
      <c r="E811" s="50" t="s">
        <v>1219</v>
      </c>
      <c r="F811" s="50" t="s">
        <v>216</v>
      </c>
      <c r="G811" s="50" t="s">
        <v>112</v>
      </c>
      <c r="H811" s="51">
        <v>6</v>
      </c>
      <c r="I811" s="52">
        <f>J811/H811</f>
        <v>5990</v>
      </c>
      <c r="J811" s="52">
        <v>35940</v>
      </c>
      <c r="K811" s="51">
        <v>14</v>
      </c>
      <c r="L811" s="53">
        <f>K811/H811*30</f>
        <v>70</v>
      </c>
    </row>
    <row r="812" spans="1:12" s="2" customFormat="1" ht="13.95" customHeight="1" x14ac:dyDescent="0.2">
      <c r="A812" s="50" t="s">
        <v>70</v>
      </c>
      <c r="B812" s="50" t="s">
        <v>5</v>
      </c>
      <c r="C812" s="50" t="s">
        <v>31</v>
      </c>
      <c r="D812" s="50" t="s">
        <v>1220</v>
      </c>
      <c r="E812" s="50" t="s">
        <v>710</v>
      </c>
      <c r="F812" s="50" t="s">
        <v>73</v>
      </c>
      <c r="G812" s="50" t="s">
        <v>74</v>
      </c>
      <c r="H812" s="51">
        <v>1</v>
      </c>
      <c r="I812" s="52">
        <f>J812/H812</f>
        <v>34990</v>
      </c>
      <c r="J812" s="52">
        <v>34990</v>
      </c>
      <c r="K812" s="51">
        <v>16</v>
      </c>
      <c r="L812" s="53">
        <f>K812/H812*30</f>
        <v>480</v>
      </c>
    </row>
    <row r="813" spans="1:12" s="2" customFormat="1" ht="13.95" customHeight="1" x14ac:dyDescent="0.2">
      <c r="A813" s="50" t="s">
        <v>70</v>
      </c>
      <c r="B813" s="50" t="s">
        <v>5</v>
      </c>
      <c r="C813" s="50" t="s">
        <v>31</v>
      </c>
      <c r="D813" s="50" t="s">
        <v>1221</v>
      </c>
      <c r="E813" s="50" t="s">
        <v>710</v>
      </c>
      <c r="F813" s="50" t="s">
        <v>73</v>
      </c>
      <c r="G813" s="50" t="s">
        <v>84</v>
      </c>
      <c r="H813" s="51">
        <v>1</v>
      </c>
      <c r="I813" s="52">
        <f>J813/H813</f>
        <v>34990</v>
      </c>
      <c r="J813" s="52">
        <v>34990</v>
      </c>
      <c r="K813" s="51">
        <v>16</v>
      </c>
      <c r="L813" s="53">
        <f>K813/H813*30</f>
        <v>480</v>
      </c>
    </row>
    <row r="814" spans="1:12" s="2" customFormat="1" ht="13.95" customHeight="1" x14ac:dyDescent="0.2">
      <c r="A814" s="50" t="s">
        <v>70</v>
      </c>
      <c r="B814" s="50" t="s">
        <v>5</v>
      </c>
      <c r="C814" s="50" t="s">
        <v>31</v>
      </c>
      <c r="D814" s="50" t="s">
        <v>1222</v>
      </c>
      <c r="E814" s="50" t="s">
        <v>710</v>
      </c>
      <c r="F814" s="50" t="s">
        <v>155</v>
      </c>
      <c r="G814" s="50" t="s">
        <v>156</v>
      </c>
      <c r="H814" s="51">
        <v>1</v>
      </c>
      <c r="I814" s="52">
        <f>J814/H814</f>
        <v>34990</v>
      </c>
      <c r="J814" s="52">
        <v>34990</v>
      </c>
      <c r="K814" s="51">
        <v>3</v>
      </c>
      <c r="L814" s="53">
        <f>K814/H814*30</f>
        <v>90</v>
      </c>
    </row>
    <row r="815" spans="1:12" s="2" customFormat="1" ht="13.95" customHeight="1" x14ac:dyDescent="0.2">
      <c r="A815" s="50" t="s">
        <v>70</v>
      </c>
      <c r="B815" s="50" t="s">
        <v>5</v>
      </c>
      <c r="C815" s="50" t="s">
        <v>31</v>
      </c>
      <c r="D815" s="50" t="s">
        <v>1223</v>
      </c>
      <c r="E815" s="50" t="s">
        <v>1224</v>
      </c>
      <c r="F815" s="50" t="s">
        <v>73</v>
      </c>
      <c r="G815" s="50" t="s">
        <v>86</v>
      </c>
      <c r="H815" s="51">
        <v>1</v>
      </c>
      <c r="I815" s="52">
        <f>J815/H815</f>
        <v>34990</v>
      </c>
      <c r="J815" s="52">
        <v>34990</v>
      </c>
      <c r="K815" s="51">
        <v>12</v>
      </c>
      <c r="L815" s="53">
        <f>K815/H815*30</f>
        <v>360</v>
      </c>
    </row>
    <row r="816" spans="1:12" s="2" customFormat="1" ht="13.95" customHeight="1" x14ac:dyDescent="0.2">
      <c r="A816" s="50" t="s">
        <v>70</v>
      </c>
      <c r="B816" s="50" t="s">
        <v>5</v>
      </c>
      <c r="C816" s="50" t="s">
        <v>45</v>
      </c>
      <c r="D816" s="50" t="s">
        <v>1225</v>
      </c>
      <c r="E816" s="50" t="s">
        <v>931</v>
      </c>
      <c r="F816" s="50" t="s">
        <v>73</v>
      </c>
      <c r="G816" s="50" t="s">
        <v>86</v>
      </c>
      <c r="H816" s="51">
        <v>1</v>
      </c>
      <c r="I816" s="52">
        <f>J816/H816</f>
        <v>34990</v>
      </c>
      <c r="J816" s="52">
        <v>34990</v>
      </c>
      <c r="K816" s="51">
        <v>14</v>
      </c>
      <c r="L816" s="53">
        <f>K816/H816*30</f>
        <v>420</v>
      </c>
    </row>
    <row r="817" spans="1:12" s="2" customFormat="1" ht="13.95" customHeight="1" x14ac:dyDescent="0.2">
      <c r="A817" s="50" t="s">
        <v>70</v>
      </c>
      <c r="B817" s="50" t="s">
        <v>5</v>
      </c>
      <c r="C817" s="50" t="s">
        <v>45</v>
      </c>
      <c r="D817" s="50" t="s">
        <v>1226</v>
      </c>
      <c r="E817" s="50" t="s">
        <v>931</v>
      </c>
      <c r="F817" s="50" t="s">
        <v>73</v>
      </c>
      <c r="G817" s="50" t="s">
        <v>74</v>
      </c>
      <c r="H817" s="51">
        <v>1</v>
      </c>
      <c r="I817" s="52">
        <f>J817/H817</f>
        <v>34990</v>
      </c>
      <c r="J817" s="52">
        <v>34990</v>
      </c>
      <c r="K817" s="51">
        <v>12</v>
      </c>
      <c r="L817" s="53">
        <f>K817/H817*30</f>
        <v>360</v>
      </c>
    </row>
    <row r="818" spans="1:12" s="2" customFormat="1" ht="13.95" customHeight="1" x14ac:dyDescent="0.2">
      <c r="A818" s="50" t="s">
        <v>416</v>
      </c>
      <c r="B818" s="50" t="s">
        <v>7</v>
      </c>
      <c r="C818" s="50" t="s">
        <v>18</v>
      </c>
      <c r="D818" s="50" t="s">
        <v>1227</v>
      </c>
      <c r="E818" s="50" t="s">
        <v>1228</v>
      </c>
      <c r="F818" s="50" t="s">
        <v>106</v>
      </c>
      <c r="G818" s="50" t="s">
        <v>90</v>
      </c>
      <c r="H818" s="51">
        <v>2</v>
      </c>
      <c r="I818" s="52">
        <f>J818/H818</f>
        <v>16990</v>
      </c>
      <c r="J818" s="52">
        <v>33980</v>
      </c>
      <c r="K818" s="51">
        <v>4</v>
      </c>
      <c r="L818" s="53">
        <f>K818/H818*30</f>
        <v>60</v>
      </c>
    </row>
    <row r="819" spans="1:12" s="2" customFormat="1" ht="13.95" customHeight="1" x14ac:dyDescent="0.2">
      <c r="A819" s="50" t="s">
        <v>70</v>
      </c>
      <c r="B819" s="50" t="s">
        <v>7</v>
      </c>
      <c r="C819" s="50" t="s">
        <v>20</v>
      </c>
      <c r="D819" s="50" t="s">
        <v>1229</v>
      </c>
      <c r="E819" s="50" t="s">
        <v>20</v>
      </c>
      <c r="F819" s="50" t="s">
        <v>73</v>
      </c>
      <c r="G819" s="50" t="s">
        <v>88</v>
      </c>
      <c r="H819" s="51">
        <v>2</v>
      </c>
      <c r="I819" s="52">
        <f>J819/H819</f>
        <v>16990</v>
      </c>
      <c r="J819" s="52">
        <v>33980</v>
      </c>
      <c r="K819" s="51">
        <v>2</v>
      </c>
      <c r="L819" s="53">
        <f>K819/H819*30</f>
        <v>30</v>
      </c>
    </row>
    <row r="820" spans="1:12" s="2" customFormat="1" ht="13.95" customHeight="1" x14ac:dyDescent="0.2">
      <c r="A820" s="50" t="s">
        <v>70</v>
      </c>
      <c r="B820" s="50" t="s">
        <v>7</v>
      </c>
      <c r="C820" s="50" t="s">
        <v>20</v>
      </c>
      <c r="D820" s="50" t="s">
        <v>1230</v>
      </c>
      <c r="E820" s="50" t="s">
        <v>20</v>
      </c>
      <c r="F820" s="50" t="s">
        <v>73</v>
      </c>
      <c r="G820" s="50" t="s">
        <v>84</v>
      </c>
      <c r="H820" s="51">
        <v>2</v>
      </c>
      <c r="I820" s="52">
        <f>J820/H820</f>
        <v>16990</v>
      </c>
      <c r="J820" s="52">
        <v>33980</v>
      </c>
      <c r="K820" s="51">
        <v>7</v>
      </c>
      <c r="L820" s="53">
        <f>K820/H820*30</f>
        <v>105</v>
      </c>
    </row>
    <row r="821" spans="1:12" s="2" customFormat="1" ht="13.95" customHeight="1" x14ac:dyDescent="0.2">
      <c r="A821" s="50" t="s">
        <v>70</v>
      </c>
      <c r="B821" s="50" t="s">
        <v>5</v>
      </c>
      <c r="C821" s="50" t="s">
        <v>42</v>
      </c>
      <c r="D821" s="50" t="s">
        <v>1231</v>
      </c>
      <c r="E821" s="50" t="s">
        <v>373</v>
      </c>
      <c r="F821" s="50" t="s">
        <v>137</v>
      </c>
      <c r="G821" s="50" t="s">
        <v>88</v>
      </c>
      <c r="H821" s="51">
        <v>2</v>
      </c>
      <c r="I821" s="52">
        <f>J821/H821</f>
        <v>16990</v>
      </c>
      <c r="J821" s="52">
        <v>33980</v>
      </c>
      <c r="K821" s="51">
        <v>28</v>
      </c>
      <c r="L821" s="53">
        <f>K821/H821*30</f>
        <v>420</v>
      </c>
    </row>
    <row r="822" spans="1:12" s="2" customFormat="1" ht="13.95" customHeight="1" x14ac:dyDescent="0.2">
      <c r="A822" s="50" t="s">
        <v>70</v>
      </c>
      <c r="B822" s="50" t="s">
        <v>5</v>
      </c>
      <c r="C822" s="50" t="s">
        <v>40</v>
      </c>
      <c r="D822" s="50" t="s">
        <v>1232</v>
      </c>
      <c r="E822" s="50" t="s">
        <v>946</v>
      </c>
      <c r="F822" s="50" t="s">
        <v>73</v>
      </c>
      <c r="G822" s="50" t="s">
        <v>97</v>
      </c>
      <c r="H822" s="51">
        <v>1</v>
      </c>
      <c r="I822" s="52">
        <f>J822/H822</f>
        <v>32990</v>
      </c>
      <c r="J822" s="52">
        <v>32990</v>
      </c>
      <c r="K822" s="51">
        <v>15</v>
      </c>
      <c r="L822" s="53">
        <f>K822/H822*30</f>
        <v>450</v>
      </c>
    </row>
    <row r="823" spans="1:12" s="2" customFormat="1" ht="13.95" customHeight="1" x14ac:dyDescent="0.2">
      <c r="A823" s="50" t="s">
        <v>70</v>
      </c>
      <c r="B823" s="50" t="s">
        <v>5</v>
      </c>
      <c r="C823" s="50" t="s">
        <v>40</v>
      </c>
      <c r="D823" s="50" t="s">
        <v>1233</v>
      </c>
      <c r="E823" s="50" t="s">
        <v>946</v>
      </c>
      <c r="F823" s="50" t="s">
        <v>223</v>
      </c>
      <c r="G823" s="50" t="s">
        <v>224</v>
      </c>
      <c r="H823" s="51">
        <v>1</v>
      </c>
      <c r="I823" s="52">
        <f>J823/H823</f>
        <v>32990</v>
      </c>
      <c r="J823" s="52">
        <v>32990</v>
      </c>
      <c r="K823" s="51">
        <v>27</v>
      </c>
      <c r="L823" s="53">
        <f>K823/H823*30</f>
        <v>810</v>
      </c>
    </row>
    <row r="824" spans="1:12" s="2" customFormat="1" ht="13.95" customHeight="1" x14ac:dyDescent="0.2">
      <c r="A824" s="50" t="s">
        <v>70</v>
      </c>
      <c r="B824" s="50" t="s">
        <v>5</v>
      </c>
      <c r="C824" s="50" t="s">
        <v>40</v>
      </c>
      <c r="D824" s="50" t="s">
        <v>1234</v>
      </c>
      <c r="E824" s="50" t="s">
        <v>946</v>
      </c>
      <c r="F824" s="50" t="s">
        <v>137</v>
      </c>
      <c r="G824" s="50" t="s">
        <v>74</v>
      </c>
      <c r="H824" s="51">
        <v>1</v>
      </c>
      <c r="I824" s="52">
        <f>J824/H824</f>
        <v>32990</v>
      </c>
      <c r="J824" s="52">
        <v>32990</v>
      </c>
      <c r="K824" s="51">
        <v>43</v>
      </c>
      <c r="L824" s="53">
        <f>K824/H824*30</f>
        <v>1290</v>
      </c>
    </row>
    <row r="825" spans="1:12" s="2" customFormat="1" ht="13.95" customHeight="1" x14ac:dyDescent="0.2">
      <c r="A825" s="50" t="s">
        <v>70</v>
      </c>
      <c r="B825" s="50" t="s">
        <v>5</v>
      </c>
      <c r="C825" s="50" t="s">
        <v>40</v>
      </c>
      <c r="D825" s="50" t="s">
        <v>1235</v>
      </c>
      <c r="E825" s="50" t="s">
        <v>946</v>
      </c>
      <c r="F825" s="50" t="s">
        <v>155</v>
      </c>
      <c r="G825" s="50" t="s">
        <v>156</v>
      </c>
      <c r="H825" s="51">
        <v>1</v>
      </c>
      <c r="I825" s="52">
        <f>J825/H825</f>
        <v>32990</v>
      </c>
      <c r="J825" s="52">
        <v>32990</v>
      </c>
      <c r="K825" s="51">
        <v>12</v>
      </c>
      <c r="L825" s="53">
        <f>K825/H825*30</f>
        <v>360</v>
      </c>
    </row>
    <row r="826" spans="1:12" s="2" customFormat="1" ht="13.95" customHeight="1" x14ac:dyDescent="0.2">
      <c r="A826" s="50" t="s">
        <v>1329</v>
      </c>
      <c r="B826" s="50" t="s">
        <v>6</v>
      </c>
      <c r="C826" s="50" t="s">
        <v>64</v>
      </c>
      <c r="D826" s="50" t="s">
        <v>1333</v>
      </c>
      <c r="E826" s="50" t="s">
        <v>1331</v>
      </c>
      <c r="F826" s="50" t="s">
        <v>1332</v>
      </c>
      <c r="G826" s="50" t="s">
        <v>86</v>
      </c>
      <c r="H826" s="51">
        <v>5</v>
      </c>
      <c r="I826" s="52">
        <f>J826/H826</f>
        <v>6398</v>
      </c>
      <c r="J826" s="52">
        <v>31990</v>
      </c>
      <c r="K826" s="51">
        <v>92</v>
      </c>
      <c r="L826" s="53">
        <f>K826/H826*30</f>
        <v>552</v>
      </c>
    </row>
    <row r="827" spans="1:12" s="2" customFormat="1" ht="13.95" customHeight="1" x14ac:dyDescent="0.2">
      <c r="A827" s="50" t="s">
        <v>70</v>
      </c>
      <c r="B827" s="50" t="s">
        <v>7</v>
      </c>
      <c r="C827" s="50" t="s">
        <v>18</v>
      </c>
      <c r="D827" s="50" t="s">
        <v>1236</v>
      </c>
      <c r="E827" s="50" t="s">
        <v>1237</v>
      </c>
      <c r="F827" s="50" t="s">
        <v>106</v>
      </c>
      <c r="G827" s="50" t="s">
        <v>74</v>
      </c>
      <c r="H827" s="51">
        <v>2</v>
      </c>
      <c r="I827" s="52">
        <f>J827/H827</f>
        <v>15990</v>
      </c>
      <c r="J827" s="52">
        <v>31980</v>
      </c>
      <c r="K827" s="51">
        <v>15</v>
      </c>
      <c r="L827" s="53">
        <f>K827/H827*30</f>
        <v>225</v>
      </c>
    </row>
    <row r="828" spans="1:12" s="2" customFormat="1" ht="13.95" customHeight="1" x14ac:dyDescent="0.2">
      <c r="A828" s="50" t="s">
        <v>70</v>
      </c>
      <c r="B828" s="50" t="s">
        <v>7</v>
      </c>
      <c r="C828" s="50" t="s">
        <v>18</v>
      </c>
      <c r="D828" s="50" t="s">
        <v>1238</v>
      </c>
      <c r="E828" s="50" t="s">
        <v>790</v>
      </c>
      <c r="F828" s="50" t="s">
        <v>73</v>
      </c>
      <c r="G828" s="50" t="s">
        <v>86</v>
      </c>
      <c r="H828" s="51">
        <v>2</v>
      </c>
      <c r="I828" s="52">
        <f>J828/H828</f>
        <v>15990</v>
      </c>
      <c r="J828" s="52">
        <v>31980</v>
      </c>
      <c r="K828" s="51">
        <v>0</v>
      </c>
      <c r="L828" s="53">
        <f>K828/H828*30</f>
        <v>0</v>
      </c>
    </row>
    <row r="829" spans="1:12" s="2" customFormat="1" ht="13.95" customHeight="1" x14ac:dyDescent="0.2">
      <c r="A829" s="50" t="s">
        <v>70</v>
      </c>
      <c r="B829" s="50" t="s">
        <v>5</v>
      </c>
      <c r="C829" s="50" t="s">
        <v>42</v>
      </c>
      <c r="D829" s="50" t="s">
        <v>1239</v>
      </c>
      <c r="E829" s="50" t="s">
        <v>373</v>
      </c>
      <c r="F829" s="50" t="s">
        <v>73</v>
      </c>
      <c r="G829" s="50" t="s">
        <v>140</v>
      </c>
      <c r="H829" s="51">
        <v>2</v>
      </c>
      <c r="I829" s="52">
        <f>J829/H829</f>
        <v>15990</v>
      </c>
      <c r="J829" s="52">
        <v>31980</v>
      </c>
      <c r="K829" s="51">
        <v>3</v>
      </c>
      <c r="L829" s="53">
        <f>K829/H829*30</f>
        <v>45</v>
      </c>
    </row>
    <row r="830" spans="1:12" s="2" customFormat="1" ht="13.95" customHeight="1" x14ac:dyDescent="0.2">
      <c r="A830" s="50" t="s">
        <v>70</v>
      </c>
      <c r="B830" s="50" t="s">
        <v>5</v>
      </c>
      <c r="C830" s="50" t="s">
        <v>42</v>
      </c>
      <c r="D830" s="50" t="s">
        <v>1240</v>
      </c>
      <c r="E830" s="50" t="s">
        <v>680</v>
      </c>
      <c r="F830" s="50" t="s">
        <v>137</v>
      </c>
      <c r="G830" s="50" t="s">
        <v>74</v>
      </c>
      <c r="H830" s="51">
        <v>2</v>
      </c>
      <c r="I830" s="52">
        <f>J830/H830</f>
        <v>15990</v>
      </c>
      <c r="J830" s="52">
        <v>31980</v>
      </c>
      <c r="K830" s="51">
        <v>24</v>
      </c>
      <c r="L830" s="53">
        <f>K830/H830*30</f>
        <v>360</v>
      </c>
    </row>
    <row r="831" spans="1:12" s="2" customFormat="1" ht="13.95" customHeight="1" x14ac:dyDescent="0.2">
      <c r="A831" s="50" t="s">
        <v>416</v>
      </c>
      <c r="B831" s="50" t="s">
        <v>8</v>
      </c>
      <c r="C831" s="50" t="s">
        <v>8</v>
      </c>
      <c r="D831" s="50" t="s">
        <v>1243</v>
      </c>
      <c r="E831" s="50" t="s">
        <v>981</v>
      </c>
      <c r="F831" s="50" t="s">
        <v>106</v>
      </c>
      <c r="G831" s="50" t="s">
        <v>90</v>
      </c>
      <c r="H831" s="51">
        <v>1</v>
      </c>
      <c r="I831" s="52">
        <f>J831/H831</f>
        <v>29990</v>
      </c>
      <c r="J831" s="52">
        <v>29990</v>
      </c>
      <c r="K831" s="51">
        <v>2</v>
      </c>
      <c r="L831" s="53">
        <f>K831/H831*30</f>
        <v>60</v>
      </c>
    </row>
    <row r="832" spans="1:12" s="2" customFormat="1" ht="13.95" customHeight="1" x14ac:dyDescent="0.2">
      <c r="A832" s="50" t="s">
        <v>416</v>
      </c>
      <c r="B832" s="50" t="s">
        <v>8</v>
      </c>
      <c r="C832" s="50" t="s">
        <v>8</v>
      </c>
      <c r="D832" s="50" t="s">
        <v>1244</v>
      </c>
      <c r="E832" s="50" t="s">
        <v>981</v>
      </c>
      <c r="F832" s="50" t="s">
        <v>106</v>
      </c>
      <c r="G832" s="50" t="s">
        <v>90</v>
      </c>
      <c r="H832" s="51">
        <v>1</v>
      </c>
      <c r="I832" s="52">
        <f>J832/H832</f>
        <v>29990</v>
      </c>
      <c r="J832" s="52">
        <v>29990</v>
      </c>
      <c r="K832" s="51">
        <v>1</v>
      </c>
      <c r="L832" s="53">
        <f>K832/H832*30</f>
        <v>30</v>
      </c>
    </row>
    <row r="833" spans="1:12" s="2" customFormat="1" ht="13.95" customHeight="1" x14ac:dyDescent="0.2">
      <c r="A833" s="50" t="s">
        <v>416</v>
      </c>
      <c r="B833" s="50" t="s">
        <v>8</v>
      </c>
      <c r="C833" s="50" t="s">
        <v>8</v>
      </c>
      <c r="D833" s="50" t="s">
        <v>1245</v>
      </c>
      <c r="E833" s="50" t="s">
        <v>981</v>
      </c>
      <c r="F833" s="50" t="s">
        <v>106</v>
      </c>
      <c r="G833" s="50" t="s">
        <v>86</v>
      </c>
      <c r="H833" s="51">
        <v>1</v>
      </c>
      <c r="I833" s="52">
        <f>J833/H833</f>
        <v>29990</v>
      </c>
      <c r="J833" s="52">
        <v>29990</v>
      </c>
      <c r="K833" s="51">
        <v>0</v>
      </c>
      <c r="L833" s="53">
        <f>K833/H833*30</f>
        <v>0</v>
      </c>
    </row>
    <row r="834" spans="1:12" s="2" customFormat="1" ht="13.95" customHeight="1" x14ac:dyDescent="0.2">
      <c r="A834" s="50" t="s">
        <v>416</v>
      </c>
      <c r="B834" s="50" t="s">
        <v>8</v>
      </c>
      <c r="C834" s="50" t="s">
        <v>8</v>
      </c>
      <c r="D834" s="50" t="s">
        <v>1246</v>
      </c>
      <c r="E834" s="50" t="s">
        <v>981</v>
      </c>
      <c r="F834" s="50" t="s">
        <v>106</v>
      </c>
      <c r="G834" s="50" t="s">
        <v>86</v>
      </c>
      <c r="H834" s="51">
        <v>1</v>
      </c>
      <c r="I834" s="52">
        <f>J834/H834</f>
        <v>29990</v>
      </c>
      <c r="J834" s="52">
        <v>29990</v>
      </c>
      <c r="K834" s="51">
        <v>2</v>
      </c>
      <c r="L834" s="53">
        <f>K834/H834*30</f>
        <v>60</v>
      </c>
    </row>
    <row r="835" spans="1:12" s="2" customFormat="1" ht="13.95" customHeight="1" x14ac:dyDescent="0.2">
      <c r="A835" s="50" t="s">
        <v>416</v>
      </c>
      <c r="B835" s="50" t="s">
        <v>8</v>
      </c>
      <c r="C835" s="50" t="s">
        <v>8</v>
      </c>
      <c r="D835" s="50" t="s">
        <v>1247</v>
      </c>
      <c r="E835" s="50" t="s">
        <v>981</v>
      </c>
      <c r="F835" s="50" t="s">
        <v>106</v>
      </c>
      <c r="G835" s="50" t="s">
        <v>86</v>
      </c>
      <c r="H835" s="51">
        <v>1</v>
      </c>
      <c r="I835" s="52">
        <f>J835/H835</f>
        <v>29990</v>
      </c>
      <c r="J835" s="52">
        <v>29990</v>
      </c>
      <c r="K835" s="51">
        <v>0</v>
      </c>
      <c r="L835" s="53">
        <f>K835/H835*30</f>
        <v>0</v>
      </c>
    </row>
    <row r="836" spans="1:12" s="2" customFormat="1" ht="13.95" customHeight="1" x14ac:dyDescent="0.2">
      <c r="A836" s="50" t="s">
        <v>416</v>
      </c>
      <c r="B836" s="50" t="s">
        <v>8</v>
      </c>
      <c r="C836" s="50" t="s">
        <v>8</v>
      </c>
      <c r="D836" s="50" t="s">
        <v>1248</v>
      </c>
      <c r="E836" s="50" t="s">
        <v>981</v>
      </c>
      <c r="F836" s="50" t="s">
        <v>106</v>
      </c>
      <c r="G836" s="50" t="s">
        <v>86</v>
      </c>
      <c r="H836" s="51">
        <v>1</v>
      </c>
      <c r="I836" s="52">
        <f>J836/H836</f>
        <v>29990</v>
      </c>
      <c r="J836" s="52">
        <v>29990</v>
      </c>
      <c r="K836" s="51">
        <v>0</v>
      </c>
      <c r="L836" s="53">
        <f>K836/H836*30</f>
        <v>0</v>
      </c>
    </row>
    <row r="837" spans="1:12" s="2" customFormat="1" ht="13.95" customHeight="1" x14ac:dyDescent="0.2">
      <c r="A837" s="50" t="s">
        <v>15</v>
      </c>
      <c r="B837" s="50" t="s">
        <v>9</v>
      </c>
      <c r="C837" s="50" t="s">
        <v>29</v>
      </c>
      <c r="D837" s="50" t="s">
        <v>1249</v>
      </c>
      <c r="E837" s="50" t="s">
        <v>1250</v>
      </c>
      <c r="F837" s="50" t="s">
        <v>365</v>
      </c>
      <c r="G837" s="50" t="s">
        <v>1251</v>
      </c>
      <c r="H837" s="51">
        <v>1</v>
      </c>
      <c r="I837" s="52">
        <f>J837/H837</f>
        <v>29990</v>
      </c>
      <c r="J837" s="52">
        <v>29990</v>
      </c>
      <c r="K837" s="51">
        <v>1</v>
      </c>
      <c r="L837" s="53">
        <f>K837/H837*30</f>
        <v>30</v>
      </c>
    </row>
    <row r="838" spans="1:12" s="2" customFormat="1" ht="13.95" customHeight="1" x14ac:dyDescent="0.2">
      <c r="A838" s="50" t="s">
        <v>70</v>
      </c>
      <c r="B838" s="50" t="s">
        <v>7</v>
      </c>
      <c r="C838" s="50" t="s">
        <v>15</v>
      </c>
      <c r="D838" s="50" t="s">
        <v>1252</v>
      </c>
      <c r="E838" s="50" t="s">
        <v>1253</v>
      </c>
      <c r="F838" s="50" t="s">
        <v>1254</v>
      </c>
      <c r="G838" s="50" t="s">
        <v>86</v>
      </c>
      <c r="H838" s="51">
        <v>1</v>
      </c>
      <c r="I838" s="52">
        <f>J838/H838</f>
        <v>29990</v>
      </c>
      <c r="J838" s="52">
        <v>29990</v>
      </c>
      <c r="K838" s="51">
        <v>16</v>
      </c>
      <c r="L838" s="53">
        <f>K838/H838*30</f>
        <v>480</v>
      </c>
    </row>
    <row r="839" spans="1:12" s="2" customFormat="1" ht="13.95" customHeight="1" x14ac:dyDescent="0.2">
      <c r="A839" s="50" t="s">
        <v>70</v>
      </c>
      <c r="B839" s="50" t="s">
        <v>7</v>
      </c>
      <c r="C839" s="50" t="s">
        <v>15</v>
      </c>
      <c r="D839" s="50" t="s">
        <v>1255</v>
      </c>
      <c r="E839" s="50" t="s">
        <v>1253</v>
      </c>
      <c r="F839" s="50" t="s">
        <v>1254</v>
      </c>
      <c r="G839" s="50" t="s">
        <v>74</v>
      </c>
      <c r="H839" s="51">
        <v>1</v>
      </c>
      <c r="I839" s="52">
        <f>J839/H839</f>
        <v>29990</v>
      </c>
      <c r="J839" s="52">
        <v>29990</v>
      </c>
      <c r="K839" s="51">
        <v>20</v>
      </c>
      <c r="L839" s="53">
        <f>K839/H839*30</f>
        <v>600</v>
      </c>
    </row>
    <row r="840" spans="1:12" s="2" customFormat="1" ht="13.95" customHeight="1" x14ac:dyDescent="0.2">
      <c r="A840" s="50" t="s">
        <v>70</v>
      </c>
      <c r="B840" s="50" t="s">
        <v>7</v>
      </c>
      <c r="C840" s="50" t="s">
        <v>15</v>
      </c>
      <c r="D840" s="50" t="s">
        <v>1256</v>
      </c>
      <c r="E840" s="50" t="s">
        <v>1253</v>
      </c>
      <c r="F840" s="50" t="s">
        <v>1254</v>
      </c>
      <c r="G840" s="50" t="s">
        <v>84</v>
      </c>
      <c r="H840" s="51">
        <v>1</v>
      </c>
      <c r="I840" s="52">
        <f>J840/H840</f>
        <v>29990</v>
      </c>
      <c r="J840" s="52">
        <v>29990</v>
      </c>
      <c r="K840" s="51">
        <v>23</v>
      </c>
      <c r="L840" s="53">
        <f>K840/H840*30</f>
        <v>690</v>
      </c>
    </row>
    <row r="841" spans="1:12" s="2" customFormat="1" ht="13.95" customHeight="1" x14ac:dyDescent="0.2">
      <c r="A841" s="50" t="s">
        <v>70</v>
      </c>
      <c r="B841" s="50" t="s">
        <v>7</v>
      </c>
      <c r="C841" s="50" t="s">
        <v>18</v>
      </c>
      <c r="D841" s="50" t="s">
        <v>1257</v>
      </c>
      <c r="E841" s="50" t="s">
        <v>844</v>
      </c>
      <c r="F841" s="50" t="s">
        <v>580</v>
      </c>
      <c r="G841" s="50" t="s">
        <v>846</v>
      </c>
      <c r="H841" s="51">
        <v>1</v>
      </c>
      <c r="I841" s="52">
        <f>J841/H841</f>
        <v>29990</v>
      </c>
      <c r="J841" s="52">
        <v>29990</v>
      </c>
      <c r="K841" s="51">
        <v>4</v>
      </c>
      <c r="L841" s="53">
        <f>K841/H841*30</f>
        <v>120</v>
      </c>
    </row>
    <row r="842" spans="1:12" s="2" customFormat="1" ht="13.95" customHeight="1" x14ac:dyDescent="0.2">
      <c r="A842" s="50" t="s">
        <v>70</v>
      </c>
      <c r="B842" s="50" t="s">
        <v>7</v>
      </c>
      <c r="C842" s="50" t="s">
        <v>18</v>
      </c>
      <c r="D842" s="50" t="s">
        <v>1258</v>
      </c>
      <c r="E842" s="50" t="s">
        <v>669</v>
      </c>
      <c r="F842" s="50" t="s">
        <v>580</v>
      </c>
      <c r="G842" s="50" t="s">
        <v>676</v>
      </c>
      <c r="H842" s="51">
        <v>1</v>
      </c>
      <c r="I842" s="52">
        <f>J842/H842</f>
        <v>29990</v>
      </c>
      <c r="J842" s="52">
        <v>29990</v>
      </c>
      <c r="K842" s="51">
        <v>15</v>
      </c>
      <c r="L842" s="53">
        <f>K842/H842*30</f>
        <v>450</v>
      </c>
    </row>
    <row r="843" spans="1:12" s="2" customFormat="1" ht="13.95" customHeight="1" x14ac:dyDescent="0.2">
      <c r="A843" s="50" t="s">
        <v>70</v>
      </c>
      <c r="B843" s="50" t="s">
        <v>7</v>
      </c>
      <c r="C843" s="50" t="s">
        <v>18</v>
      </c>
      <c r="D843" s="50" t="s">
        <v>1259</v>
      </c>
      <c r="E843" s="50" t="s">
        <v>985</v>
      </c>
      <c r="F843" s="50" t="s">
        <v>580</v>
      </c>
      <c r="G843" s="50" t="s">
        <v>676</v>
      </c>
      <c r="H843" s="51">
        <v>1</v>
      </c>
      <c r="I843" s="52">
        <f>J843/H843</f>
        <v>29990</v>
      </c>
      <c r="J843" s="52">
        <v>29990</v>
      </c>
      <c r="K843" s="51">
        <v>8</v>
      </c>
      <c r="L843" s="53">
        <f>K843/H843*30</f>
        <v>240</v>
      </c>
    </row>
    <row r="844" spans="1:12" s="2" customFormat="1" ht="13.95" customHeight="1" x14ac:dyDescent="0.2">
      <c r="A844" s="50" t="s">
        <v>70</v>
      </c>
      <c r="B844" s="50" t="s">
        <v>7</v>
      </c>
      <c r="C844" s="50" t="s">
        <v>18</v>
      </c>
      <c r="D844" s="50" t="s">
        <v>1260</v>
      </c>
      <c r="E844" s="50" t="s">
        <v>1261</v>
      </c>
      <c r="F844" s="50" t="s">
        <v>580</v>
      </c>
      <c r="G844" s="50" t="s">
        <v>581</v>
      </c>
      <c r="H844" s="51">
        <v>1</v>
      </c>
      <c r="I844" s="52">
        <f>J844/H844</f>
        <v>29990</v>
      </c>
      <c r="J844" s="52">
        <v>29990</v>
      </c>
      <c r="K844" s="51">
        <v>7</v>
      </c>
      <c r="L844" s="53">
        <f>K844/H844*30</f>
        <v>210</v>
      </c>
    </row>
    <row r="845" spans="1:12" s="2" customFormat="1" ht="13.95" customHeight="1" x14ac:dyDescent="0.2">
      <c r="A845" s="50" t="s">
        <v>70</v>
      </c>
      <c r="B845" s="50" t="s">
        <v>7</v>
      </c>
      <c r="C845" s="50" t="s">
        <v>18</v>
      </c>
      <c r="D845" s="50" t="s">
        <v>1262</v>
      </c>
      <c r="E845" s="50" t="s">
        <v>1261</v>
      </c>
      <c r="F845" s="50" t="s">
        <v>580</v>
      </c>
      <c r="G845" s="50" t="s">
        <v>671</v>
      </c>
      <c r="H845" s="51">
        <v>1</v>
      </c>
      <c r="I845" s="52">
        <f>J845/H845</f>
        <v>29990</v>
      </c>
      <c r="J845" s="52">
        <v>29990</v>
      </c>
      <c r="K845" s="51">
        <v>16</v>
      </c>
      <c r="L845" s="53">
        <f>K845/H845*30</f>
        <v>480</v>
      </c>
    </row>
    <row r="846" spans="1:12" s="2" customFormat="1" ht="13.95" customHeight="1" x14ac:dyDescent="0.2">
      <c r="A846" s="50" t="s">
        <v>70</v>
      </c>
      <c r="B846" s="50" t="s">
        <v>7</v>
      </c>
      <c r="C846" s="50" t="s">
        <v>18</v>
      </c>
      <c r="D846" s="50" t="s">
        <v>1263</v>
      </c>
      <c r="E846" s="50" t="s">
        <v>1261</v>
      </c>
      <c r="F846" s="50" t="s">
        <v>580</v>
      </c>
      <c r="G846" s="50" t="s">
        <v>676</v>
      </c>
      <c r="H846" s="51">
        <v>1</v>
      </c>
      <c r="I846" s="52">
        <f>J846/H846</f>
        <v>29990</v>
      </c>
      <c r="J846" s="52">
        <v>29990</v>
      </c>
      <c r="K846" s="51">
        <v>7</v>
      </c>
      <c r="L846" s="53">
        <f>K846/H846*30</f>
        <v>210</v>
      </c>
    </row>
    <row r="847" spans="1:12" s="2" customFormat="1" ht="13.95" customHeight="1" x14ac:dyDescent="0.2">
      <c r="A847" s="50" t="s">
        <v>70</v>
      </c>
      <c r="B847" s="50" t="s">
        <v>7</v>
      </c>
      <c r="C847" s="50" t="s">
        <v>18</v>
      </c>
      <c r="D847" s="50" t="s">
        <v>1264</v>
      </c>
      <c r="E847" s="50" t="s">
        <v>848</v>
      </c>
      <c r="F847" s="50" t="s">
        <v>580</v>
      </c>
      <c r="G847" s="50" t="s">
        <v>846</v>
      </c>
      <c r="H847" s="51">
        <v>1</v>
      </c>
      <c r="I847" s="52">
        <f>J847/H847</f>
        <v>29990</v>
      </c>
      <c r="J847" s="52">
        <v>29990</v>
      </c>
      <c r="K847" s="51">
        <v>7</v>
      </c>
      <c r="L847" s="53">
        <f>K847/H847*30</f>
        <v>210</v>
      </c>
    </row>
    <row r="848" spans="1:12" s="2" customFormat="1" ht="13.95" customHeight="1" x14ac:dyDescent="0.2">
      <c r="A848" s="50" t="s">
        <v>70</v>
      </c>
      <c r="B848" s="50" t="s">
        <v>7</v>
      </c>
      <c r="C848" s="50" t="s">
        <v>18</v>
      </c>
      <c r="D848" s="50" t="s">
        <v>1265</v>
      </c>
      <c r="E848" s="50" t="s">
        <v>673</v>
      </c>
      <c r="F848" s="50" t="s">
        <v>580</v>
      </c>
      <c r="G848" s="50" t="s">
        <v>676</v>
      </c>
      <c r="H848" s="51">
        <v>1</v>
      </c>
      <c r="I848" s="52">
        <f>J848/H848</f>
        <v>29990</v>
      </c>
      <c r="J848" s="52">
        <v>29990</v>
      </c>
      <c r="K848" s="51">
        <v>7</v>
      </c>
      <c r="L848" s="53">
        <f>K848/H848*30</f>
        <v>210</v>
      </c>
    </row>
    <row r="849" spans="1:12" s="2" customFormat="1" ht="13.95" customHeight="1" x14ac:dyDescent="0.2">
      <c r="A849" s="50" t="s">
        <v>70</v>
      </c>
      <c r="B849" s="50" t="s">
        <v>7</v>
      </c>
      <c r="C849" s="50" t="s">
        <v>18</v>
      </c>
      <c r="D849" s="50" t="s">
        <v>1266</v>
      </c>
      <c r="E849" s="50" t="s">
        <v>991</v>
      </c>
      <c r="F849" s="50" t="s">
        <v>580</v>
      </c>
      <c r="G849" s="50" t="s">
        <v>846</v>
      </c>
      <c r="H849" s="51">
        <v>1</v>
      </c>
      <c r="I849" s="52">
        <f>J849/H849</f>
        <v>29990</v>
      </c>
      <c r="J849" s="52">
        <v>29990</v>
      </c>
      <c r="K849" s="51">
        <v>15</v>
      </c>
      <c r="L849" s="53">
        <f>K849/H849*30</f>
        <v>450</v>
      </c>
    </row>
    <row r="850" spans="1:12" s="2" customFormat="1" ht="13.95" customHeight="1" x14ac:dyDescent="0.2">
      <c r="A850" s="50" t="s">
        <v>70</v>
      </c>
      <c r="B850" s="50" t="s">
        <v>7</v>
      </c>
      <c r="C850" s="50" t="s">
        <v>18</v>
      </c>
      <c r="D850" s="50" t="s">
        <v>1267</v>
      </c>
      <c r="E850" s="50" t="s">
        <v>991</v>
      </c>
      <c r="F850" s="50" t="s">
        <v>580</v>
      </c>
      <c r="G850" s="50" t="s">
        <v>676</v>
      </c>
      <c r="H850" s="51">
        <v>1</v>
      </c>
      <c r="I850" s="52">
        <f>J850/H850</f>
        <v>29990</v>
      </c>
      <c r="J850" s="52">
        <v>29990</v>
      </c>
      <c r="K850" s="51">
        <v>16</v>
      </c>
      <c r="L850" s="53">
        <f>K850/H850*30</f>
        <v>480</v>
      </c>
    </row>
    <row r="851" spans="1:12" s="2" customFormat="1" ht="13.95" customHeight="1" x14ac:dyDescent="0.2">
      <c r="A851" s="50" t="s">
        <v>70</v>
      </c>
      <c r="B851" s="50" t="s">
        <v>7</v>
      </c>
      <c r="C851" s="50" t="s">
        <v>18</v>
      </c>
      <c r="D851" s="50" t="s">
        <v>1268</v>
      </c>
      <c r="E851" s="50" t="s">
        <v>675</v>
      </c>
      <c r="F851" s="50" t="s">
        <v>580</v>
      </c>
      <c r="G851" s="50" t="s">
        <v>581</v>
      </c>
      <c r="H851" s="51">
        <v>1</v>
      </c>
      <c r="I851" s="52">
        <f>J851/H851</f>
        <v>29990</v>
      </c>
      <c r="J851" s="52">
        <v>29990</v>
      </c>
      <c r="K851" s="51">
        <v>8</v>
      </c>
      <c r="L851" s="53">
        <f>K851/H851*30</f>
        <v>240</v>
      </c>
    </row>
    <row r="852" spans="1:12" s="2" customFormat="1" ht="13.95" customHeight="1" x14ac:dyDescent="0.2">
      <c r="A852" s="50" t="s">
        <v>70</v>
      </c>
      <c r="B852" s="50" t="s">
        <v>7</v>
      </c>
      <c r="C852" s="50" t="s">
        <v>18</v>
      </c>
      <c r="D852" s="50" t="s">
        <v>1269</v>
      </c>
      <c r="E852" s="50" t="s">
        <v>851</v>
      </c>
      <c r="F852" s="50" t="s">
        <v>580</v>
      </c>
      <c r="G852" s="50" t="s">
        <v>846</v>
      </c>
      <c r="H852" s="51">
        <v>1</v>
      </c>
      <c r="I852" s="52">
        <f>J852/H852</f>
        <v>29990</v>
      </c>
      <c r="J852" s="52">
        <v>29990</v>
      </c>
      <c r="K852" s="51">
        <v>9</v>
      </c>
      <c r="L852" s="53">
        <f>K852/H852*30</f>
        <v>270</v>
      </c>
    </row>
    <row r="853" spans="1:12" s="2" customFormat="1" ht="13.95" customHeight="1" x14ac:dyDescent="0.2">
      <c r="A853" s="50" t="s">
        <v>70</v>
      </c>
      <c r="B853" s="50" t="s">
        <v>7</v>
      </c>
      <c r="C853" s="50" t="s">
        <v>18</v>
      </c>
      <c r="D853" s="50" t="s">
        <v>1270</v>
      </c>
      <c r="E853" s="50" t="s">
        <v>851</v>
      </c>
      <c r="F853" s="50" t="s">
        <v>580</v>
      </c>
      <c r="G853" s="50" t="s">
        <v>671</v>
      </c>
      <c r="H853" s="51">
        <v>1</v>
      </c>
      <c r="I853" s="52">
        <f>J853/H853</f>
        <v>29990</v>
      </c>
      <c r="J853" s="52">
        <v>29990</v>
      </c>
      <c r="K853" s="51">
        <v>8</v>
      </c>
      <c r="L853" s="53">
        <f>K853/H853*30</f>
        <v>240</v>
      </c>
    </row>
    <row r="854" spans="1:12" s="2" customFormat="1" ht="13.95" customHeight="1" x14ac:dyDescent="0.2">
      <c r="A854" s="50" t="s">
        <v>70</v>
      </c>
      <c r="B854" s="50" t="s">
        <v>7</v>
      </c>
      <c r="C854" s="50" t="s">
        <v>18</v>
      </c>
      <c r="D854" s="50" t="s">
        <v>1271</v>
      </c>
      <c r="E854" s="50" t="s">
        <v>855</v>
      </c>
      <c r="F854" s="50" t="s">
        <v>580</v>
      </c>
      <c r="G854" s="50" t="s">
        <v>676</v>
      </c>
      <c r="H854" s="51">
        <v>1</v>
      </c>
      <c r="I854" s="52">
        <f>J854/H854</f>
        <v>29990</v>
      </c>
      <c r="J854" s="52">
        <v>29990</v>
      </c>
      <c r="K854" s="51">
        <v>7</v>
      </c>
      <c r="L854" s="53">
        <f>K854/H854*30</f>
        <v>210</v>
      </c>
    </row>
    <row r="855" spans="1:12" s="2" customFormat="1" ht="13.95" customHeight="1" x14ac:dyDescent="0.2">
      <c r="A855" s="50" t="s">
        <v>70</v>
      </c>
      <c r="B855" s="50" t="s">
        <v>7</v>
      </c>
      <c r="C855" s="50" t="s">
        <v>18</v>
      </c>
      <c r="D855" s="50" t="s">
        <v>1272</v>
      </c>
      <c r="E855" s="50" t="s">
        <v>995</v>
      </c>
      <c r="F855" s="50" t="s">
        <v>580</v>
      </c>
      <c r="G855" s="50" t="s">
        <v>846</v>
      </c>
      <c r="H855" s="51">
        <v>1</v>
      </c>
      <c r="I855" s="52">
        <f>J855/H855</f>
        <v>29990</v>
      </c>
      <c r="J855" s="52">
        <v>29990</v>
      </c>
      <c r="K855" s="51">
        <v>2</v>
      </c>
      <c r="L855" s="53">
        <f>K855/H855*30</f>
        <v>60</v>
      </c>
    </row>
    <row r="856" spans="1:12" s="2" customFormat="1" ht="13.95" customHeight="1" x14ac:dyDescent="0.2">
      <c r="A856" s="50" t="s">
        <v>70</v>
      </c>
      <c r="B856" s="50" t="s">
        <v>7</v>
      </c>
      <c r="C856" s="50" t="s">
        <v>18</v>
      </c>
      <c r="D856" s="50" t="s">
        <v>1273</v>
      </c>
      <c r="E856" s="50" t="s">
        <v>1274</v>
      </c>
      <c r="F856" s="50" t="s">
        <v>580</v>
      </c>
      <c r="G856" s="50" t="s">
        <v>581</v>
      </c>
      <c r="H856" s="51">
        <v>1</v>
      </c>
      <c r="I856" s="52">
        <f>J856/H856</f>
        <v>29990</v>
      </c>
      <c r="J856" s="52">
        <v>29990</v>
      </c>
      <c r="K856" s="51">
        <v>7</v>
      </c>
      <c r="L856" s="53">
        <f>K856/H856*30</f>
        <v>210</v>
      </c>
    </row>
    <row r="857" spans="1:12" s="2" customFormat="1" ht="13.95" customHeight="1" x14ac:dyDescent="0.2">
      <c r="A857" s="50" t="s">
        <v>70</v>
      </c>
      <c r="B857" s="50" t="s">
        <v>7</v>
      </c>
      <c r="C857" s="50" t="s">
        <v>18</v>
      </c>
      <c r="D857" s="50" t="s">
        <v>1275</v>
      </c>
      <c r="E857" s="50" t="s">
        <v>1274</v>
      </c>
      <c r="F857" s="50" t="s">
        <v>580</v>
      </c>
      <c r="G857" s="50" t="s">
        <v>846</v>
      </c>
      <c r="H857" s="51">
        <v>1</v>
      </c>
      <c r="I857" s="52">
        <f>J857/H857</f>
        <v>29990</v>
      </c>
      <c r="J857" s="52">
        <v>29990</v>
      </c>
      <c r="K857" s="51">
        <v>14</v>
      </c>
      <c r="L857" s="53">
        <f>K857/H857*30</f>
        <v>420</v>
      </c>
    </row>
    <row r="858" spans="1:12" s="2" customFormat="1" ht="13.95" customHeight="1" x14ac:dyDescent="0.2">
      <c r="A858" s="50" t="s">
        <v>70</v>
      </c>
      <c r="B858" s="50" t="s">
        <v>7</v>
      </c>
      <c r="C858" s="50" t="s">
        <v>18</v>
      </c>
      <c r="D858" s="50" t="s">
        <v>1276</v>
      </c>
      <c r="E858" s="50" t="s">
        <v>1274</v>
      </c>
      <c r="F858" s="50" t="s">
        <v>580</v>
      </c>
      <c r="G858" s="50" t="s">
        <v>676</v>
      </c>
      <c r="H858" s="51">
        <v>1</v>
      </c>
      <c r="I858" s="52">
        <f>J858/H858</f>
        <v>29990</v>
      </c>
      <c r="J858" s="52">
        <v>29990</v>
      </c>
      <c r="K858" s="51">
        <v>8</v>
      </c>
      <c r="L858" s="53">
        <f>K858/H858*30</f>
        <v>240</v>
      </c>
    </row>
    <row r="859" spans="1:12" s="2" customFormat="1" ht="13.95" customHeight="1" x14ac:dyDescent="0.2">
      <c r="A859" s="50" t="s">
        <v>70</v>
      </c>
      <c r="B859" s="50" t="s">
        <v>7</v>
      </c>
      <c r="C859" s="50" t="s">
        <v>18</v>
      </c>
      <c r="D859" s="50" t="s">
        <v>1277</v>
      </c>
      <c r="E859" s="50" t="s">
        <v>1278</v>
      </c>
      <c r="F859" s="50" t="s">
        <v>580</v>
      </c>
      <c r="G859" s="50" t="s">
        <v>671</v>
      </c>
      <c r="H859" s="51">
        <v>1</v>
      </c>
      <c r="I859" s="52">
        <f>J859/H859</f>
        <v>29990</v>
      </c>
      <c r="J859" s="52">
        <v>29990</v>
      </c>
      <c r="K859" s="51">
        <v>9</v>
      </c>
      <c r="L859" s="53">
        <f>K859/H859*30</f>
        <v>270</v>
      </c>
    </row>
    <row r="860" spans="1:12" s="2" customFormat="1" ht="13.95" customHeight="1" x14ac:dyDescent="0.2">
      <c r="A860" s="50" t="s">
        <v>70</v>
      </c>
      <c r="B860" s="50" t="s">
        <v>4</v>
      </c>
      <c r="C860" s="50" t="s">
        <v>48</v>
      </c>
      <c r="D860" s="50" t="s">
        <v>1279</v>
      </c>
      <c r="E860" s="50" t="s">
        <v>537</v>
      </c>
      <c r="F860" s="50" t="s">
        <v>137</v>
      </c>
      <c r="G860" s="50" t="s">
        <v>140</v>
      </c>
      <c r="H860" s="51">
        <v>1</v>
      </c>
      <c r="I860" s="52">
        <f>J860/H860</f>
        <v>29990</v>
      </c>
      <c r="J860" s="52">
        <v>29990</v>
      </c>
      <c r="K860" s="51">
        <v>16</v>
      </c>
      <c r="L860" s="53">
        <f>K860/H860*30</f>
        <v>480</v>
      </c>
    </row>
    <row r="861" spans="1:12" s="2" customFormat="1" ht="13.95" customHeight="1" x14ac:dyDescent="0.2">
      <c r="A861" s="50" t="s">
        <v>70</v>
      </c>
      <c r="B861" s="50" t="s">
        <v>11</v>
      </c>
      <c r="C861" s="50" t="s">
        <v>11</v>
      </c>
      <c r="D861" s="50" t="s">
        <v>1280</v>
      </c>
      <c r="E861" s="50" t="s">
        <v>1281</v>
      </c>
      <c r="F861" s="50" t="s">
        <v>1176</v>
      </c>
      <c r="G861" s="50" t="s">
        <v>1176</v>
      </c>
      <c r="H861" s="51">
        <v>1</v>
      </c>
      <c r="I861" s="52">
        <f>J861/H861</f>
        <v>29990</v>
      </c>
      <c r="J861" s="52">
        <v>29990</v>
      </c>
      <c r="K861" s="51">
        <v>1</v>
      </c>
      <c r="L861" s="53">
        <f>K861/H861*30</f>
        <v>30</v>
      </c>
    </row>
    <row r="862" spans="1:12" s="2" customFormat="1" ht="13.95" customHeight="1" x14ac:dyDescent="0.2">
      <c r="A862" s="50" t="s">
        <v>70</v>
      </c>
      <c r="B862" s="50" t="s">
        <v>5</v>
      </c>
      <c r="C862" s="50" t="s">
        <v>33</v>
      </c>
      <c r="D862" s="50" t="s">
        <v>1282</v>
      </c>
      <c r="E862" s="50" t="s">
        <v>857</v>
      </c>
      <c r="F862" s="50" t="s">
        <v>73</v>
      </c>
      <c r="G862" s="50" t="s">
        <v>943</v>
      </c>
      <c r="H862" s="51">
        <v>2</v>
      </c>
      <c r="I862" s="52">
        <f>J862/H862</f>
        <v>14990</v>
      </c>
      <c r="J862" s="52">
        <v>29980</v>
      </c>
      <c r="K862" s="51">
        <v>10</v>
      </c>
      <c r="L862" s="53">
        <f>K862/H862*30</f>
        <v>150</v>
      </c>
    </row>
    <row r="863" spans="1:12" s="2" customFormat="1" ht="13.95" customHeight="1" x14ac:dyDescent="0.2">
      <c r="A863" s="50" t="s">
        <v>70</v>
      </c>
      <c r="B863" s="50" t="s">
        <v>5</v>
      </c>
      <c r="C863" s="50" t="s">
        <v>33</v>
      </c>
      <c r="D863" s="50" t="s">
        <v>1283</v>
      </c>
      <c r="E863" s="50" t="s">
        <v>857</v>
      </c>
      <c r="F863" s="50" t="s">
        <v>137</v>
      </c>
      <c r="G863" s="50" t="s">
        <v>86</v>
      </c>
      <c r="H863" s="51">
        <v>2</v>
      </c>
      <c r="I863" s="52">
        <f>J863/H863</f>
        <v>14990</v>
      </c>
      <c r="J863" s="52">
        <v>29980</v>
      </c>
      <c r="K863" s="51">
        <v>47</v>
      </c>
      <c r="L863" s="53">
        <f>K863/H863*30</f>
        <v>705</v>
      </c>
    </row>
    <row r="864" spans="1:12" s="2" customFormat="1" ht="13.95" customHeight="1" x14ac:dyDescent="0.2">
      <c r="A864" s="50" t="s">
        <v>70</v>
      </c>
      <c r="B864" s="50" t="s">
        <v>5</v>
      </c>
      <c r="C864" s="50" t="s">
        <v>33</v>
      </c>
      <c r="D864" s="50" t="s">
        <v>1284</v>
      </c>
      <c r="E864" s="50" t="s">
        <v>857</v>
      </c>
      <c r="F864" s="50" t="s">
        <v>106</v>
      </c>
      <c r="G864" s="50" t="s">
        <v>97</v>
      </c>
      <c r="H864" s="51">
        <v>2</v>
      </c>
      <c r="I864" s="52">
        <f>J864/H864</f>
        <v>14990</v>
      </c>
      <c r="J864" s="52">
        <v>29980</v>
      </c>
      <c r="K864" s="51">
        <v>21</v>
      </c>
      <c r="L864" s="53">
        <f>K864/H864*30</f>
        <v>315</v>
      </c>
    </row>
    <row r="865" spans="1:12" s="2" customFormat="1" ht="13.95" customHeight="1" x14ac:dyDescent="0.2">
      <c r="A865" s="50" t="s">
        <v>70</v>
      </c>
      <c r="B865" s="50" t="s">
        <v>5</v>
      </c>
      <c r="C865" s="50" t="s">
        <v>33</v>
      </c>
      <c r="D865" s="50" t="s">
        <v>1285</v>
      </c>
      <c r="E865" s="50" t="s">
        <v>857</v>
      </c>
      <c r="F865" s="50" t="s">
        <v>106</v>
      </c>
      <c r="G865" s="50" t="s">
        <v>112</v>
      </c>
      <c r="H865" s="51">
        <v>2</v>
      </c>
      <c r="I865" s="52">
        <f>J865/H865</f>
        <v>14990</v>
      </c>
      <c r="J865" s="52">
        <v>29980</v>
      </c>
      <c r="K865" s="51">
        <v>27</v>
      </c>
      <c r="L865" s="53">
        <f>K865/H865*30</f>
        <v>405</v>
      </c>
    </row>
    <row r="866" spans="1:12" s="2" customFormat="1" ht="13.95" customHeight="1" x14ac:dyDescent="0.2">
      <c r="A866" s="50" t="s">
        <v>70</v>
      </c>
      <c r="B866" s="50" t="s">
        <v>5</v>
      </c>
      <c r="C866" s="50" t="s">
        <v>45</v>
      </c>
      <c r="D866" s="50" t="s">
        <v>1286</v>
      </c>
      <c r="E866" s="50" t="s">
        <v>474</v>
      </c>
      <c r="F866" s="50" t="s">
        <v>155</v>
      </c>
      <c r="G866" s="50" t="s">
        <v>1287</v>
      </c>
      <c r="H866" s="51">
        <v>3</v>
      </c>
      <c r="I866" s="52">
        <f>J866/H866</f>
        <v>9990</v>
      </c>
      <c r="J866" s="52">
        <v>29970</v>
      </c>
      <c r="K866" s="51">
        <v>2</v>
      </c>
      <c r="L866" s="53">
        <f>K866/H866*30</f>
        <v>20</v>
      </c>
    </row>
    <row r="867" spans="1:12" s="2" customFormat="1" ht="13.95" customHeight="1" x14ac:dyDescent="0.2">
      <c r="A867" s="50" t="s">
        <v>70</v>
      </c>
      <c r="B867" s="50" t="s">
        <v>5</v>
      </c>
      <c r="C867" s="50" t="s">
        <v>45</v>
      </c>
      <c r="D867" s="50" t="s">
        <v>1288</v>
      </c>
      <c r="E867" s="50" t="s">
        <v>592</v>
      </c>
      <c r="F867" s="50" t="s">
        <v>137</v>
      </c>
      <c r="G867" s="50" t="s">
        <v>86</v>
      </c>
      <c r="H867" s="51">
        <v>2</v>
      </c>
      <c r="I867" s="52">
        <f>J867/H867</f>
        <v>13990</v>
      </c>
      <c r="J867" s="52">
        <v>27980</v>
      </c>
      <c r="K867" s="51">
        <v>33</v>
      </c>
      <c r="L867" s="53">
        <f>K867/H867*30</f>
        <v>495</v>
      </c>
    </row>
    <row r="868" spans="1:12" s="2" customFormat="1" ht="13.95" customHeight="1" x14ac:dyDescent="0.2">
      <c r="A868" s="50" t="s">
        <v>1024</v>
      </c>
      <c r="B868" s="50" t="s">
        <v>6</v>
      </c>
      <c r="C868" s="50" t="s">
        <v>64</v>
      </c>
      <c r="D868" s="50" t="s">
        <v>1324</v>
      </c>
      <c r="E868" s="50" t="s">
        <v>1026</v>
      </c>
      <c r="F868" s="50" t="s">
        <v>260</v>
      </c>
      <c r="G868" s="50" t="s">
        <v>1325</v>
      </c>
      <c r="H868" s="51">
        <v>4</v>
      </c>
      <c r="I868" s="52">
        <f>J868/H868</f>
        <v>6995</v>
      </c>
      <c r="J868" s="52">
        <v>27980</v>
      </c>
      <c r="K868" s="51">
        <v>582</v>
      </c>
      <c r="L868" s="53">
        <f>K868/H868*30</f>
        <v>4365</v>
      </c>
    </row>
    <row r="869" spans="1:12" s="2" customFormat="1" ht="13.95" customHeight="1" x14ac:dyDescent="0.2">
      <c r="A869" s="50" t="s">
        <v>1024</v>
      </c>
      <c r="B869" s="50" t="s">
        <v>6</v>
      </c>
      <c r="C869" s="50" t="s">
        <v>64</v>
      </c>
      <c r="D869" s="50" t="s">
        <v>1326</v>
      </c>
      <c r="E869" s="50" t="s">
        <v>1026</v>
      </c>
      <c r="F869" s="50" t="s">
        <v>260</v>
      </c>
      <c r="G869" s="50" t="s">
        <v>86</v>
      </c>
      <c r="H869" s="51">
        <v>4</v>
      </c>
      <c r="I869" s="52">
        <f>J869/H869</f>
        <v>6995</v>
      </c>
      <c r="J869" s="52">
        <v>27980</v>
      </c>
      <c r="K869" s="51">
        <v>1180</v>
      </c>
      <c r="L869" s="53">
        <f>K869/H869*30</f>
        <v>8850</v>
      </c>
    </row>
    <row r="870" spans="1:12" s="2" customFormat="1" ht="13.95" customHeight="1" x14ac:dyDescent="0.2">
      <c r="A870" s="50" t="s">
        <v>1329</v>
      </c>
      <c r="B870" s="50" t="s">
        <v>6</v>
      </c>
      <c r="C870" s="50" t="s">
        <v>64</v>
      </c>
      <c r="D870" s="50" t="s">
        <v>1334</v>
      </c>
      <c r="E870" s="50" t="s">
        <v>1335</v>
      </c>
      <c r="F870" s="50" t="s">
        <v>260</v>
      </c>
      <c r="G870" s="50" t="s">
        <v>86</v>
      </c>
      <c r="H870" s="51">
        <v>4</v>
      </c>
      <c r="I870" s="52">
        <f>J870/H870</f>
        <v>6995</v>
      </c>
      <c r="J870" s="52">
        <v>27980</v>
      </c>
      <c r="K870" s="51">
        <v>171</v>
      </c>
      <c r="L870" s="53">
        <f>K870/H870*30</f>
        <v>1282.5</v>
      </c>
    </row>
    <row r="871" spans="1:12" s="2" customFormat="1" ht="13.95" customHeight="1" x14ac:dyDescent="0.2">
      <c r="A871" s="50" t="s">
        <v>70</v>
      </c>
      <c r="B871" s="50" t="s">
        <v>7</v>
      </c>
      <c r="C871" s="50" t="s">
        <v>15</v>
      </c>
      <c r="D871" s="50" t="s">
        <v>1289</v>
      </c>
      <c r="E871" s="50" t="s">
        <v>1029</v>
      </c>
      <c r="F871" s="50" t="s">
        <v>106</v>
      </c>
      <c r="G871" s="50" t="s">
        <v>88</v>
      </c>
      <c r="H871" s="51">
        <v>1</v>
      </c>
      <c r="I871" s="52">
        <f>J871/H871</f>
        <v>26990</v>
      </c>
      <c r="J871" s="52">
        <v>26990</v>
      </c>
      <c r="K871" s="51">
        <v>16</v>
      </c>
      <c r="L871" s="53">
        <f>K871/H871*30</f>
        <v>480</v>
      </c>
    </row>
    <row r="872" spans="1:12" s="2" customFormat="1" ht="13.95" customHeight="1" x14ac:dyDescent="0.2">
      <c r="A872" s="50" t="s">
        <v>70</v>
      </c>
      <c r="B872" s="50" t="s">
        <v>7</v>
      </c>
      <c r="C872" s="50" t="s">
        <v>15</v>
      </c>
      <c r="D872" s="50" t="s">
        <v>1290</v>
      </c>
      <c r="E872" s="50" t="s">
        <v>1029</v>
      </c>
      <c r="F872" s="50" t="s">
        <v>106</v>
      </c>
      <c r="G872" s="50" t="s">
        <v>112</v>
      </c>
      <c r="H872" s="51">
        <v>1</v>
      </c>
      <c r="I872" s="52">
        <f>J872/H872</f>
        <v>26990</v>
      </c>
      <c r="J872" s="52">
        <v>26990</v>
      </c>
      <c r="K872" s="51">
        <v>5</v>
      </c>
      <c r="L872" s="53">
        <f>K872/H872*30</f>
        <v>150</v>
      </c>
    </row>
    <row r="873" spans="1:12" s="2" customFormat="1" ht="13.95" customHeight="1" x14ac:dyDescent="0.2">
      <c r="A873" s="50" t="s">
        <v>70</v>
      </c>
      <c r="B873" s="50" t="s">
        <v>5</v>
      </c>
      <c r="C873" s="50" t="s">
        <v>45</v>
      </c>
      <c r="D873" s="50" t="s">
        <v>1291</v>
      </c>
      <c r="E873" s="50" t="s">
        <v>356</v>
      </c>
      <c r="F873" s="50" t="s">
        <v>73</v>
      </c>
      <c r="G873" s="50" t="s">
        <v>97</v>
      </c>
      <c r="H873" s="51">
        <v>1</v>
      </c>
      <c r="I873" s="52">
        <f>J873/H873</f>
        <v>26990</v>
      </c>
      <c r="J873" s="52">
        <v>26990</v>
      </c>
      <c r="K873" s="51">
        <v>26</v>
      </c>
      <c r="L873" s="53">
        <f>K873/H873*30</f>
        <v>780</v>
      </c>
    </row>
    <row r="874" spans="1:12" s="2" customFormat="1" ht="13.95" customHeight="1" x14ac:dyDescent="0.2">
      <c r="A874" s="50" t="s">
        <v>70</v>
      </c>
      <c r="B874" s="50" t="s">
        <v>5</v>
      </c>
      <c r="C874" s="50" t="s">
        <v>45</v>
      </c>
      <c r="D874" s="50" t="s">
        <v>1292</v>
      </c>
      <c r="E874" s="50" t="s">
        <v>356</v>
      </c>
      <c r="F874" s="50" t="s">
        <v>73</v>
      </c>
      <c r="G874" s="50" t="s">
        <v>74</v>
      </c>
      <c r="H874" s="51">
        <v>1</v>
      </c>
      <c r="I874" s="52">
        <f>J874/H874</f>
        <v>26990</v>
      </c>
      <c r="J874" s="52">
        <v>26990</v>
      </c>
      <c r="K874" s="51">
        <v>23</v>
      </c>
      <c r="L874" s="53">
        <f>K874/H874*30</f>
        <v>690</v>
      </c>
    </row>
    <row r="875" spans="1:12" s="2" customFormat="1" ht="13.95" customHeight="1" x14ac:dyDescent="0.2">
      <c r="A875" s="50" t="s">
        <v>70</v>
      </c>
      <c r="B875" s="50" t="s">
        <v>5</v>
      </c>
      <c r="C875" s="50" t="s">
        <v>45</v>
      </c>
      <c r="D875" s="50" t="s">
        <v>1293</v>
      </c>
      <c r="E875" s="50" t="s">
        <v>356</v>
      </c>
      <c r="F875" s="50" t="s">
        <v>374</v>
      </c>
      <c r="G875" s="50" t="s">
        <v>84</v>
      </c>
      <c r="H875" s="51">
        <v>1</v>
      </c>
      <c r="I875" s="52">
        <f>J875/H875</f>
        <v>26990</v>
      </c>
      <c r="J875" s="52">
        <v>26990</v>
      </c>
      <c r="K875" s="51">
        <v>2</v>
      </c>
      <c r="L875" s="53">
        <f>K875/H875*30</f>
        <v>60</v>
      </c>
    </row>
    <row r="876" spans="1:12" s="2" customFormat="1" ht="13.95" customHeight="1" x14ac:dyDescent="0.2">
      <c r="A876" s="50" t="s">
        <v>70</v>
      </c>
      <c r="B876" s="50" t="s">
        <v>5</v>
      </c>
      <c r="C876" s="50" t="s">
        <v>45</v>
      </c>
      <c r="D876" s="50" t="s">
        <v>1294</v>
      </c>
      <c r="E876" s="50" t="s">
        <v>356</v>
      </c>
      <c r="F876" s="50" t="s">
        <v>106</v>
      </c>
      <c r="G876" s="50" t="s">
        <v>84</v>
      </c>
      <c r="H876" s="51">
        <v>1</v>
      </c>
      <c r="I876" s="52">
        <f>J876/H876</f>
        <v>26990</v>
      </c>
      <c r="J876" s="52">
        <v>26990</v>
      </c>
      <c r="K876" s="51">
        <v>0</v>
      </c>
      <c r="L876" s="53">
        <f>K876/H876*30</f>
        <v>0</v>
      </c>
    </row>
    <row r="877" spans="1:12" s="2" customFormat="1" ht="13.95" customHeight="1" x14ac:dyDescent="0.2">
      <c r="A877" s="50" t="s">
        <v>70</v>
      </c>
      <c r="B877" s="50" t="s">
        <v>5</v>
      </c>
      <c r="C877" s="50" t="s">
        <v>45</v>
      </c>
      <c r="D877" s="50" t="s">
        <v>1295</v>
      </c>
      <c r="E877" s="50" t="s">
        <v>356</v>
      </c>
      <c r="F877" s="50" t="s">
        <v>106</v>
      </c>
      <c r="G877" s="50" t="s">
        <v>330</v>
      </c>
      <c r="H877" s="51">
        <v>1</v>
      </c>
      <c r="I877" s="52">
        <f>J877/H877</f>
        <v>26990</v>
      </c>
      <c r="J877" s="52">
        <v>26990</v>
      </c>
      <c r="K877" s="51">
        <v>0</v>
      </c>
      <c r="L877" s="53">
        <f>K877/H877*30</f>
        <v>0</v>
      </c>
    </row>
    <row r="878" spans="1:12" s="2" customFormat="1" ht="13.95" customHeight="1" x14ac:dyDescent="0.2">
      <c r="A878" s="50" t="s">
        <v>70</v>
      </c>
      <c r="B878" s="50" t="s">
        <v>7</v>
      </c>
      <c r="C878" s="50" t="s">
        <v>18</v>
      </c>
      <c r="D878" s="50" t="s">
        <v>1296</v>
      </c>
      <c r="E878" s="50" t="s">
        <v>1297</v>
      </c>
      <c r="F878" s="50" t="s">
        <v>223</v>
      </c>
      <c r="G878" s="50" t="s">
        <v>224</v>
      </c>
      <c r="H878" s="51">
        <v>2</v>
      </c>
      <c r="I878" s="52">
        <f>J878/H878</f>
        <v>12990</v>
      </c>
      <c r="J878" s="52">
        <v>25980</v>
      </c>
      <c r="K878" s="51">
        <v>0</v>
      </c>
      <c r="L878" s="53">
        <f>K878/H878*30</f>
        <v>0</v>
      </c>
    </row>
    <row r="879" spans="1:12" s="2" customFormat="1" ht="13.95" customHeight="1" x14ac:dyDescent="0.2">
      <c r="A879" s="50" t="s">
        <v>70</v>
      </c>
      <c r="B879" s="50" t="s">
        <v>7</v>
      </c>
      <c r="C879" s="50" t="s">
        <v>18</v>
      </c>
      <c r="D879" s="50" t="s">
        <v>1298</v>
      </c>
      <c r="E879" s="50" t="s">
        <v>1297</v>
      </c>
      <c r="F879" s="50" t="s">
        <v>106</v>
      </c>
      <c r="G879" s="50" t="s">
        <v>84</v>
      </c>
      <c r="H879" s="51">
        <v>2</v>
      </c>
      <c r="I879" s="52">
        <f>J879/H879</f>
        <v>12990</v>
      </c>
      <c r="J879" s="52">
        <v>25980</v>
      </c>
      <c r="K879" s="51">
        <v>0</v>
      </c>
      <c r="L879" s="53">
        <f>K879/H879*30</f>
        <v>0</v>
      </c>
    </row>
    <row r="880" spans="1:12" s="2" customFormat="1" ht="13.95" customHeight="1" x14ac:dyDescent="0.2">
      <c r="A880" s="50" t="s">
        <v>70</v>
      </c>
      <c r="B880" s="50" t="s">
        <v>5</v>
      </c>
      <c r="C880" s="50" t="s">
        <v>39</v>
      </c>
      <c r="D880" s="50" t="s">
        <v>1299</v>
      </c>
      <c r="E880" s="50" t="s">
        <v>1073</v>
      </c>
      <c r="F880" s="50" t="s">
        <v>73</v>
      </c>
      <c r="G880" s="50" t="s">
        <v>90</v>
      </c>
      <c r="H880" s="51">
        <v>2</v>
      </c>
      <c r="I880" s="52">
        <f>J880/H880</f>
        <v>12990</v>
      </c>
      <c r="J880" s="52">
        <v>25980</v>
      </c>
      <c r="K880" s="51">
        <v>15</v>
      </c>
      <c r="L880" s="53">
        <f>K880/H880*30</f>
        <v>225</v>
      </c>
    </row>
    <row r="881" spans="1:12" s="2" customFormat="1" ht="13.95" customHeight="1" x14ac:dyDescent="0.2">
      <c r="A881" s="50" t="s">
        <v>70</v>
      </c>
      <c r="B881" s="50" t="s">
        <v>5</v>
      </c>
      <c r="C881" s="50" t="s">
        <v>39</v>
      </c>
      <c r="D881" s="50" t="s">
        <v>1300</v>
      </c>
      <c r="E881" s="50" t="s">
        <v>1073</v>
      </c>
      <c r="F881" s="50" t="s">
        <v>223</v>
      </c>
      <c r="G881" s="50" t="s">
        <v>224</v>
      </c>
      <c r="H881" s="51">
        <v>2</v>
      </c>
      <c r="I881" s="52">
        <f>J881/H881</f>
        <v>12990</v>
      </c>
      <c r="J881" s="52">
        <v>25980</v>
      </c>
      <c r="K881" s="51">
        <v>22</v>
      </c>
      <c r="L881" s="53">
        <f>K881/H881*30</f>
        <v>330</v>
      </c>
    </row>
    <row r="882" spans="1:12" s="2" customFormat="1" ht="13.95" customHeight="1" x14ac:dyDescent="0.2">
      <c r="A882" s="50" t="s">
        <v>70</v>
      </c>
      <c r="B882" s="50" t="s">
        <v>5</v>
      </c>
      <c r="C882" s="50" t="s">
        <v>40</v>
      </c>
      <c r="D882" s="50" t="s">
        <v>1301</v>
      </c>
      <c r="E882" s="50" t="s">
        <v>933</v>
      </c>
      <c r="F882" s="50" t="s">
        <v>73</v>
      </c>
      <c r="G882" s="50" t="s">
        <v>140</v>
      </c>
      <c r="H882" s="51">
        <v>2</v>
      </c>
      <c r="I882" s="52">
        <f>J882/H882</f>
        <v>12990</v>
      </c>
      <c r="J882" s="52">
        <v>25980</v>
      </c>
      <c r="K882" s="51">
        <v>9</v>
      </c>
      <c r="L882" s="53">
        <f>K882/H882*30</f>
        <v>135</v>
      </c>
    </row>
    <row r="883" spans="1:12" s="2" customFormat="1" ht="13.95" customHeight="1" x14ac:dyDescent="0.2">
      <c r="A883" s="50" t="s">
        <v>70</v>
      </c>
      <c r="B883" s="50" t="s">
        <v>5</v>
      </c>
      <c r="C883" s="50" t="s">
        <v>40</v>
      </c>
      <c r="D883" s="50" t="s">
        <v>1302</v>
      </c>
      <c r="E883" s="50" t="s">
        <v>933</v>
      </c>
      <c r="F883" s="50" t="s">
        <v>73</v>
      </c>
      <c r="G883" s="50" t="s">
        <v>84</v>
      </c>
      <c r="H883" s="51">
        <v>2</v>
      </c>
      <c r="I883" s="52">
        <f>J883/H883</f>
        <v>12990</v>
      </c>
      <c r="J883" s="52">
        <v>25980</v>
      </c>
      <c r="K883" s="51">
        <v>29</v>
      </c>
      <c r="L883" s="53">
        <f>K883/H883*30</f>
        <v>435</v>
      </c>
    </row>
    <row r="884" spans="1:12" s="2" customFormat="1" ht="13.95" customHeight="1" x14ac:dyDescent="0.2">
      <c r="A884" s="50" t="s">
        <v>70</v>
      </c>
      <c r="B884" s="50" t="s">
        <v>5</v>
      </c>
      <c r="C884" s="50" t="s">
        <v>40</v>
      </c>
      <c r="D884" s="50" t="s">
        <v>1303</v>
      </c>
      <c r="E884" s="50" t="s">
        <v>933</v>
      </c>
      <c r="F884" s="50" t="s">
        <v>374</v>
      </c>
      <c r="G884" s="50" t="s">
        <v>140</v>
      </c>
      <c r="H884" s="51">
        <v>2</v>
      </c>
      <c r="I884" s="52">
        <f>J884/H884</f>
        <v>12990</v>
      </c>
      <c r="J884" s="52">
        <v>25980</v>
      </c>
      <c r="K884" s="51">
        <v>9</v>
      </c>
      <c r="L884" s="53">
        <f>K884/H884*30</f>
        <v>135</v>
      </c>
    </row>
    <row r="885" spans="1:12" s="2" customFormat="1" ht="13.95" customHeight="1" x14ac:dyDescent="0.2">
      <c r="A885" s="50" t="s">
        <v>70</v>
      </c>
      <c r="B885" s="50" t="s">
        <v>5</v>
      </c>
      <c r="C885" s="50" t="s">
        <v>40</v>
      </c>
      <c r="D885" s="50" t="s">
        <v>1304</v>
      </c>
      <c r="E885" s="50" t="s">
        <v>933</v>
      </c>
      <c r="F885" s="50" t="s">
        <v>106</v>
      </c>
      <c r="G885" s="50" t="s">
        <v>140</v>
      </c>
      <c r="H885" s="51">
        <v>2</v>
      </c>
      <c r="I885" s="52">
        <f>J885/H885</f>
        <v>12990</v>
      </c>
      <c r="J885" s="52">
        <v>25980</v>
      </c>
      <c r="K885" s="51">
        <v>30</v>
      </c>
      <c r="L885" s="53">
        <f>K885/H885*30</f>
        <v>450</v>
      </c>
    </row>
    <row r="886" spans="1:12" s="2" customFormat="1" ht="13.95" customHeight="1" x14ac:dyDescent="0.2">
      <c r="A886" s="50" t="s">
        <v>70</v>
      </c>
      <c r="B886" s="50" t="s">
        <v>5</v>
      </c>
      <c r="C886" s="50" t="s">
        <v>40</v>
      </c>
      <c r="D886" s="50" t="s">
        <v>1305</v>
      </c>
      <c r="E886" s="50" t="s">
        <v>933</v>
      </c>
      <c r="F886" s="50" t="s">
        <v>106</v>
      </c>
      <c r="G886" s="50" t="s">
        <v>86</v>
      </c>
      <c r="H886" s="51">
        <v>2</v>
      </c>
      <c r="I886" s="52">
        <f>J886/H886</f>
        <v>12990</v>
      </c>
      <c r="J886" s="52">
        <v>25980</v>
      </c>
      <c r="K886" s="51">
        <v>30</v>
      </c>
      <c r="L886" s="53">
        <f>K886/H886*30</f>
        <v>450</v>
      </c>
    </row>
    <row r="887" spans="1:12" s="2" customFormat="1" ht="13.95" customHeight="1" x14ac:dyDescent="0.2">
      <c r="A887" s="50" t="s">
        <v>70</v>
      </c>
      <c r="B887" s="50" t="s">
        <v>5</v>
      </c>
      <c r="C887" s="50" t="s">
        <v>40</v>
      </c>
      <c r="D887" s="50" t="s">
        <v>1306</v>
      </c>
      <c r="E887" s="50" t="s">
        <v>340</v>
      </c>
      <c r="F887" s="50" t="s">
        <v>155</v>
      </c>
      <c r="G887" s="50" t="s">
        <v>156</v>
      </c>
      <c r="H887" s="51">
        <v>2</v>
      </c>
      <c r="I887" s="52">
        <f>J887/H887</f>
        <v>12990</v>
      </c>
      <c r="J887" s="52">
        <v>25980</v>
      </c>
      <c r="K887" s="51">
        <v>42</v>
      </c>
      <c r="L887" s="53">
        <f>K887/H887*30</f>
        <v>630</v>
      </c>
    </row>
    <row r="888" spans="1:12" s="2" customFormat="1" ht="13.95" customHeight="1" x14ac:dyDescent="0.2">
      <c r="A888" s="50" t="s">
        <v>70</v>
      </c>
      <c r="B888" s="50" t="s">
        <v>5</v>
      </c>
      <c r="C888" s="50" t="s">
        <v>45</v>
      </c>
      <c r="D888" s="50" t="s">
        <v>1307</v>
      </c>
      <c r="E888" s="50" t="s">
        <v>592</v>
      </c>
      <c r="F888" s="50" t="s">
        <v>73</v>
      </c>
      <c r="G888" s="50" t="s">
        <v>140</v>
      </c>
      <c r="H888" s="51">
        <v>2</v>
      </c>
      <c r="I888" s="52">
        <f>J888/H888</f>
        <v>12990</v>
      </c>
      <c r="J888" s="52">
        <v>25980</v>
      </c>
      <c r="K888" s="51">
        <v>3</v>
      </c>
      <c r="L888" s="53">
        <f>K888/H888*30</f>
        <v>45</v>
      </c>
    </row>
    <row r="889" spans="1:12" s="2" customFormat="1" ht="13.95" customHeight="1" x14ac:dyDescent="0.2">
      <c r="A889" s="50" t="s">
        <v>70</v>
      </c>
      <c r="B889" s="50" t="s">
        <v>7</v>
      </c>
      <c r="C889" s="50" t="s">
        <v>15</v>
      </c>
      <c r="D889" s="50" t="s">
        <v>1308</v>
      </c>
      <c r="E889" s="50" t="s">
        <v>1309</v>
      </c>
      <c r="F889" s="50" t="s">
        <v>128</v>
      </c>
      <c r="G889" s="50" t="s">
        <v>316</v>
      </c>
      <c r="H889" s="51">
        <v>1</v>
      </c>
      <c r="I889" s="52">
        <f>J889/H889</f>
        <v>24990</v>
      </c>
      <c r="J889" s="52">
        <v>24990</v>
      </c>
      <c r="K889" s="51">
        <v>14</v>
      </c>
      <c r="L889" s="53">
        <f>K889/H889*30</f>
        <v>420</v>
      </c>
    </row>
    <row r="890" spans="1:12" s="2" customFormat="1" ht="13.95" customHeight="1" x14ac:dyDescent="0.2">
      <c r="A890" s="50" t="s">
        <v>70</v>
      </c>
      <c r="B890" s="50" t="s">
        <v>5</v>
      </c>
      <c r="C890" s="50" t="s">
        <v>33</v>
      </c>
      <c r="D890" s="50" t="s">
        <v>1310</v>
      </c>
      <c r="E890" s="50" t="s">
        <v>333</v>
      </c>
      <c r="F890" s="50" t="s">
        <v>137</v>
      </c>
      <c r="G890" s="50" t="s">
        <v>86</v>
      </c>
      <c r="H890" s="51">
        <v>1</v>
      </c>
      <c r="I890" s="52">
        <f>J890/H890</f>
        <v>24990</v>
      </c>
      <c r="J890" s="52">
        <v>24990</v>
      </c>
      <c r="K890" s="51">
        <v>29</v>
      </c>
      <c r="L890" s="53">
        <f>K890/H890*30</f>
        <v>870</v>
      </c>
    </row>
    <row r="891" spans="1:12" s="2" customFormat="1" ht="13.95" customHeight="1" x14ac:dyDescent="0.2">
      <c r="A891" s="50" t="s">
        <v>880</v>
      </c>
      <c r="B891" s="50" t="s">
        <v>6</v>
      </c>
      <c r="C891" s="50" t="s">
        <v>63</v>
      </c>
      <c r="D891" s="50" t="s">
        <v>1311</v>
      </c>
      <c r="E891" s="50" t="s">
        <v>1312</v>
      </c>
      <c r="F891" s="50" t="s">
        <v>1313</v>
      </c>
      <c r="G891" s="50" t="s">
        <v>143</v>
      </c>
      <c r="H891" s="51">
        <v>1</v>
      </c>
      <c r="I891" s="52">
        <f>J891/H891</f>
        <v>24990</v>
      </c>
      <c r="J891" s="52">
        <v>24990</v>
      </c>
      <c r="K891" s="51">
        <v>0</v>
      </c>
      <c r="L891" s="53">
        <f>K891/H891*30</f>
        <v>0</v>
      </c>
    </row>
    <row r="892" spans="1:12" s="2" customFormat="1" ht="13.95" customHeight="1" x14ac:dyDescent="0.2">
      <c r="A892" s="50" t="s">
        <v>880</v>
      </c>
      <c r="B892" s="50" t="s">
        <v>6</v>
      </c>
      <c r="C892" s="50" t="s">
        <v>63</v>
      </c>
      <c r="D892" s="50" t="s">
        <v>1314</v>
      </c>
      <c r="E892" s="50" t="s">
        <v>1312</v>
      </c>
      <c r="F892" s="50" t="s">
        <v>1313</v>
      </c>
      <c r="G892" s="50" t="s">
        <v>813</v>
      </c>
      <c r="H892" s="51">
        <v>1</v>
      </c>
      <c r="I892" s="52">
        <f>J892/H892</f>
        <v>24990</v>
      </c>
      <c r="J892" s="52">
        <v>24990</v>
      </c>
      <c r="K892" s="51">
        <v>29</v>
      </c>
      <c r="L892" s="53">
        <f>K892/H892*30</f>
        <v>870</v>
      </c>
    </row>
    <row r="893" spans="1:12" s="2" customFormat="1" ht="13.95" customHeight="1" x14ac:dyDescent="0.2">
      <c r="A893" s="50" t="s">
        <v>70</v>
      </c>
      <c r="B893" s="50" t="s">
        <v>5</v>
      </c>
      <c r="C893" s="50" t="s">
        <v>33</v>
      </c>
      <c r="D893" s="50" t="s">
        <v>1315</v>
      </c>
      <c r="E893" s="50" t="s">
        <v>333</v>
      </c>
      <c r="F893" s="50" t="s">
        <v>73</v>
      </c>
      <c r="G893" s="50" t="s">
        <v>86</v>
      </c>
      <c r="H893" s="51">
        <v>1</v>
      </c>
      <c r="I893" s="52">
        <f>J893/H893</f>
        <v>23990</v>
      </c>
      <c r="J893" s="52">
        <v>23990</v>
      </c>
      <c r="K893" s="51">
        <v>44</v>
      </c>
      <c r="L893" s="53">
        <f>K893/H893*30</f>
        <v>1320</v>
      </c>
    </row>
    <row r="894" spans="1:12" s="2" customFormat="1" ht="13.95" customHeight="1" x14ac:dyDescent="0.2">
      <c r="A894" s="50" t="s">
        <v>70</v>
      </c>
      <c r="B894" s="50" t="s">
        <v>5</v>
      </c>
      <c r="C894" s="50" t="s">
        <v>33</v>
      </c>
      <c r="D894" s="50" t="s">
        <v>1316</v>
      </c>
      <c r="E894" s="50" t="s">
        <v>333</v>
      </c>
      <c r="F894" s="50" t="s">
        <v>106</v>
      </c>
      <c r="G894" s="50" t="s">
        <v>88</v>
      </c>
      <c r="H894" s="51">
        <v>1</v>
      </c>
      <c r="I894" s="52">
        <f>J894/H894</f>
        <v>23990</v>
      </c>
      <c r="J894" s="52">
        <v>23990</v>
      </c>
      <c r="K894" s="51">
        <v>0</v>
      </c>
      <c r="L894" s="53">
        <f>K894/H894*30</f>
        <v>0</v>
      </c>
    </row>
    <row r="895" spans="1:12" s="2" customFormat="1" ht="13.95" customHeight="1" x14ac:dyDescent="0.2">
      <c r="A895" s="50" t="s">
        <v>70</v>
      </c>
      <c r="B895" s="50" t="s">
        <v>5</v>
      </c>
      <c r="C895" s="50" t="s">
        <v>33</v>
      </c>
      <c r="D895" s="50" t="s">
        <v>1317</v>
      </c>
      <c r="E895" s="50" t="s">
        <v>333</v>
      </c>
      <c r="F895" s="50" t="s">
        <v>106</v>
      </c>
      <c r="G895" s="50" t="s">
        <v>86</v>
      </c>
      <c r="H895" s="51">
        <v>1</v>
      </c>
      <c r="I895" s="52">
        <f>J895/H895</f>
        <v>23990</v>
      </c>
      <c r="J895" s="52">
        <v>23990</v>
      </c>
      <c r="K895" s="51">
        <v>5</v>
      </c>
      <c r="L895" s="53">
        <f>K895/H895*30</f>
        <v>150</v>
      </c>
    </row>
    <row r="896" spans="1:12" s="2" customFormat="1" ht="13.95" customHeight="1" x14ac:dyDescent="0.2">
      <c r="A896" s="50" t="s">
        <v>70</v>
      </c>
      <c r="B896" s="50" t="s">
        <v>5</v>
      </c>
      <c r="C896" s="50" t="s">
        <v>33</v>
      </c>
      <c r="D896" s="50" t="s">
        <v>1318</v>
      </c>
      <c r="E896" s="50" t="s">
        <v>333</v>
      </c>
      <c r="F896" s="50" t="s">
        <v>106</v>
      </c>
      <c r="G896" s="50" t="s">
        <v>74</v>
      </c>
      <c r="H896" s="51">
        <v>1</v>
      </c>
      <c r="I896" s="52">
        <f>J896/H896</f>
        <v>23990</v>
      </c>
      <c r="J896" s="52">
        <v>23990</v>
      </c>
      <c r="K896" s="51">
        <v>2</v>
      </c>
      <c r="L896" s="53">
        <f>K896/H896*30</f>
        <v>60</v>
      </c>
    </row>
    <row r="897" spans="1:12" s="2" customFormat="1" ht="13.95" customHeight="1" x14ac:dyDescent="0.2">
      <c r="A897" s="50" t="s">
        <v>70</v>
      </c>
      <c r="B897" s="50" t="s">
        <v>5</v>
      </c>
      <c r="C897" s="50" t="s">
        <v>33</v>
      </c>
      <c r="D897" s="50" t="s">
        <v>1319</v>
      </c>
      <c r="E897" s="50" t="s">
        <v>333</v>
      </c>
      <c r="F897" s="50" t="s">
        <v>155</v>
      </c>
      <c r="G897" s="50" t="s">
        <v>512</v>
      </c>
      <c r="H897" s="51">
        <v>1</v>
      </c>
      <c r="I897" s="52">
        <f>J897/H897</f>
        <v>23990</v>
      </c>
      <c r="J897" s="52">
        <v>23990</v>
      </c>
      <c r="K897" s="51">
        <v>5</v>
      </c>
      <c r="L897" s="53">
        <f>K897/H897*30</f>
        <v>150</v>
      </c>
    </row>
    <row r="898" spans="1:12" s="2" customFormat="1" ht="13.95" customHeight="1" x14ac:dyDescent="0.2">
      <c r="A898" s="50" t="s">
        <v>70</v>
      </c>
      <c r="B898" s="50" t="s">
        <v>5</v>
      </c>
      <c r="C898" s="50" t="s">
        <v>33</v>
      </c>
      <c r="D898" s="50" t="s">
        <v>1320</v>
      </c>
      <c r="E898" s="50" t="s">
        <v>333</v>
      </c>
      <c r="F898" s="50" t="s">
        <v>155</v>
      </c>
      <c r="G898" s="50" t="s">
        <v>1287</v>
      </c>
      <c r="H898" s="51">
        <v>1</v>
      </c>
      <c r="I898" s="52">
        <f>J898/H898</f>
        <v>23990</v>
      </c>
      <c r="J898" s="52">
        <v>23990</v>
      </c>
      <c r="K898" s="51">
        <v>0</v>
      </c>
      <c r="L898" s="53">
        <f>K898/H898*30</f>
        <v>0</v>
      </c>
    </row>
    <row r="899" spans="1:12" s="2" customFormat="1" ht="13.95" customHeight="1" x14ac:dyDescent="0.2">
      <c r="A899" s="50" t="s">
        <v>70</v>
      </c>
      <c r="B899" s="50" t="s">
        <v>5</v>
      </c>
      <c r="C899" s="50" t="s">
        <v>33</v>
      </c>
      <c r="D899" s="50" t="s">
        <v>1321</v>
      </c>
      <c r="E899" s="50" t="s">
        <v>333</v>
      </c>
      <c r="F899" s="50" t="s">
        <v>155</v>
      </c>
      <c r="G899" s="50" t="s">
        <v>156</v>
      </c>
      <c r="H899" s="51">
        <v>1</v>
      </c>
      <c r="I899" s="52">
        <f>J899/H899</f>
        <v>23990</v>
      </c>
      <c r="J899" s="52">
        <v>23990</v>
      </c>
      <c r="K899" s="51">
        <v>13</v>
      </c>
      <c r="L899" s="53">
        <f>K899/H899*30</f>
        <v>390</v>
      </c>
    </row>
    <row r="900" spans="1:12" s="2" customFormat="1" ht="13.95" customHeight="1" x14ac:dyDescent="0.2">
      <c r="A900" s="50" t="s">
        <v>70</v>
      </c>
      <c r="B900" s="50" t="s">
        <v>5</v>
      </c>
      <c r="C900" s="50" t="s">
        <v>45</v>
      </c>
      <c r="D900" s="50" t="s">
        <v>1322</v>
      </c>
      <c r="E900" s="50" t="s">
        <v>922</v>
      </c>
      <c r="F900" s="50" t="s">
        <v>73</v>
      </c>
      <c r="G900" s="50" t="s">
        <v>86</v>
      </c>
      <c r="H900" s="51">
        <v>2</v>
      </c>
      <c r="I900" s="52">
        <f>J900/H900</f>
        <v>11990</v>
      </c>
      <c r="J900" s="52">
        <v>23980</v>
      </c>
      <c r="K900" s="51">
        <v>40</v>
      </c>
      <c r="L900" s="53">
        <f>K900/H900*30</f>
        <v>600</v>
      </c>
    </row>
    <row r="901" spans="1:12" s="2" customFormat="1" ht="13.95" customHeight="1" x14ac:dyDescent="0.2">
      <c r="A901" s="50" t="s">
        <v>70</v>
      </c>
      <c r="B901" s="50" t="s">
        <v>5</v>
      </c>
      <c r="C901" s="50" t="s">
        <v>45</v>
      </c>
      <c r="D901" s="50" t="s">
        <v>1323</v>
      </c>
      <c r="E901" s="50" t="s">
        <v>922</v>
      </c>
      <c r="F901" s="50" t="s">
        <v>73</v>
      </c>
      <c r="G901" s="50" t="s">
        <v>84</v>
      </c>
      <c r="H901" s="51">
        <v>2</v>
      </c>
      <c r="I901" s="52">
        <f>J901/H901</f>
        <v>11990</v>
      </c>
      <c r="J901" s="52">
        <v>23980</v>
      </c>
      <c r="K901" s="51">
        <v>63</v>
      </c>
      <c r="L901" s="53">
        <f>K901/H901*30</f>
        <v>945</v>
      </c>
    </row>
    <row r="902" spans="1:12" s="2" customFormat="1" ht="13.95" customHeight="1" x14ac:dyDescent="0.2">
      <c r="A902" s="50" t="s">
        <v>70</v>
      </c>
      <c r="B902" s="50" t="s">
        <v>5</v>
      </c>
      <c r="C902" s="50" t="s">
        <v>37</v>
      </c>
      <c r="D902" s="50" t="s">
        <v>1327</v>
      </c>
      <c r="E902" s="50" t="s">
        <v>1328</v>
      </c>
      <c r="F902" s="50" t="s">
        <v>223</v>
      </c>
      <c r="G902" s="50" t="s">
        <v>224</v>
      </c>
      <c r="H902" s="51">
        <v>3</v>
      </c>
      <c r="I902" s="52">
        <f>J902/H902</f>
        <v>7990</v>
      </c>
      <c r="J902" s="52">
        <v>23970</v>
      </c>
      <c r="K902" s="51">
        <v>20</v>
      </c>
      <c r="L902" s="53">
        <f>K902/H902*30</f>
        <v>200</v>
      </c>
    </row>
    <row r="903" spans="1:12" s="2" customFormat="1" ht="13.95" customHeight="1" x14ac:dyDescent="0.2">
      <c r="A903" s="50" t="s">
        <v>1329</v>
      </c>
      <c r="B903" s="50" t="s">
        <v>6</v>
      </c>
      <c r="C903" s="50" t="s">
        <v>64</v>
      </c>
      <c r="D903" s="50" t="s">
        <v>1330</v>
      </c>
      <c r="E903" s="50" t="s">
        <v>1331</v>
      </c>
      <c r="F903" s="50" t="s">
        <v>1332</v>
      </c>
      <c r="G903" s="50" t="s">
        <v>577</v>
      </c>
      <c r="H903" s="51">
        <v>3</v>
      </c>
      <c r="I903" s="52">
        <f>J903/H903</f>
        <v>7990</v>
      </c>
      <c r="J903" s="52">
        <v>23970</v>
      </c>
      <c r="K903" s="51">
        <v>101</v>
      </c>
      <c r="L903" s="53">
        <f>K903/H903*30</f>
        <v>1009.9999999999999</v>
      </c>
    </row>
    <row r="904" spans="1:12" s="2" customFormat="1" ht="13.95" customHeight="1" x14ac:dyDescent="0.2">
      <c r="A904" s="50" t="s">
        <v>70</v>
      </c>
      <c r="B904" s="50" t="s">
        <v>7</v>
      </c>
      <c r="C904" s="50" t="s">
        <v>18</v>
      </c>
      <c r="D904" s="50" t="s">
        <v>1336</v>
      </c>
      <c r="E904" s="50" t="s">
        <v>967</v>
      </c>
      <c r="F904" s="50" t="s">
        <v>968</v>
      </c>
      <c r="G904" s="50" t="s">
        <v>1337</v>
      </c>
      <c r="H904" s="51">
        <v>1</v>
      </c>
      <c r="I904" s="52">
        <f>J904/H904</f>
        <v>20990</v>
      </c>
      <c r="J904" s="52">
        <v>20990</v>
      </c>
      <c r="K904" s="51">
        <v>13</v>
      </c>
      <c r="L904" s="53">
        <f>K904/H904*30</f>
        <v>390</v>
      </c>
    </row>
    <row r="905" spans="1:12" s="2" customFormat="1" ht="13.95" customHeight="1" x14ac:dyDescent="0.2">
      <c r="A905" s="50" t="s">
        <v>70</v>
      </c>
      <c r="B905" s="50" t="s">
        <v>7</v>
      </c>
      <c r="C905" s="50" t="s">
        <v>18</v>
      </c>
      <c r="D905" s="50" t="s">
        <v>1338</v>
      </c>
      <c r="E905" s="50" t="s">
        <v>967</v>
      </c>
      <c r="F905" s="50" t="s">
        <v>968</v>
      </c>
      <c r="G905" s="50" t="s">
        <v>1339</v>
      </c>
      <c r="H905" s="51">
        <v>1</v>
      </c>
      <c r="I905" s="52">
        <f>J905/H905</f>
        <v>20990</v>
      </c>
      <c r="J905" s="52">
        <v>20990</v>
      </c>
      <c r="K905" s="51">
        <v>0</v>
      </c>
      <c r="L905" s="53">
        <f>K905/H905*30</f>
        <v>0</v>
      </c>
    </row>
    <row r="906" spans="1:12" s="2" customFormat="1" ht="13.95" customHeight="1" x14ac:dyDescent="0.2">
      <c r="A906" s="50" t="s">
        <v>70</v>
      </c>
      <c r="B906" s="50" t="s">
        <v>7</v>
      </c>
      <c r="C906" s="50" t="s">
        <v>18</v>
      </c>
      <c r="D906" s="50" t="s">
        <v>1340</v>
      </c>
      <c r="E906" s="50" t="s">
        <v>967</v>
      </c>
      <c r="F906" s="50" t="s">
        <v>968</v>
      </c>
      <c r="G906" s="50" t="s">
        <v>1341</v>
      </c>
      <c r="H906" s="51">
        <v>1</v>
      </c>
      <c r="I906" s="52">
        <f>J906/H906</f>
        <v>20990</v>
      </c>
      <c r="J906" s="52">
        <v>20990</v>
      </c>
      <c r="K906" s="51">
        <v>21</v>
      </c>
      <c r="L906" s="53">
        <f>K906/H906*30</f>
        <v>630</v>
      </c>
    </row>
    <row r="907" spans="1:12" s="2" customFormat="1" ht="13.95" customHeight="1" x14ac:dyDescent="0.2">
      <c r="A907" s="50" t="s">
        <v>70</v>
      </c>
      <c r="B907" s="50" t="s">
        <v>7</v>
      </c>
      <c r="C907" s="50" t="s">
        <v>18</v>
      </c>
      <c r="D907" s="50" t="s">
        <v>1342</v>
      </c>
      <c r="E907" s="50" t="s">
        <v>967</v>
      </c>
      <c r="F907" s="50" t="s">
        <v>968</v>
      </c>
      <c r="G907" s="50" t="s">
        <v>1343</v>
      </c>
      <c r="H907" s="51">
        <v>1</v>
      </c>
      <c r="I907" s="52">
        <f>J907/H907</f>
        <v>20990</v>
      </c>
      <c r="J907" s="52">
        <v>20990</v>
      </c>
      <c r="K907" s="51">
        <v>18</v>
      </c>
      <c r="L907" s="53">
        <f>K907/H907*30</f>
        <v>540</v>
      </c>
    </row>
    <row r="908" spans="1:12" s="2" customFormat="1" ht="13.95" customHeight="1" x14ac:dyDescent="0.2">
      <c r="A908" s="50" t="s">
        <v>70</v>
      </c>
      <c r="B908" s="50" t="s">
        <v>7</v>
      </c>
      <c r="C908" s="50" t="s">
        <v>18</v>
      </c>
      <c r="D908" s="50" t="s">
        <v>1344</v>
      </c>
      <c r="E908" s="50" t="s">
        <v>967</v>
      </c>
      <c r="F908" s="50" t="s">
        <v>968</v>
      </c>
      <c r="G908" s="50" t="s">
        <v>1345</v>
      </c>
      <c r="H908" s="51">
        <v>1</v>
      </c>
      <c r="I908" s="52">
        <f>J908/H908</f>
        <v>20990</v>
      </c>
      <c r="J908" s="52">
        <v>20990</v>
      </c>
      <c r="K908" s="51">
        <v>11</v>
      </c>
      <c r="L908" s="53">
        <f>K908/H908*30</f>
        <v>330</v>
      </c>
    </row>
    <row r="909" spans="1:12" s="2" customFormat="1" ht="13.95" customHeight="1" x14ac:dyDescent="0.2">
      <c r="A909" s="50" t="s">
        <v>70</v>
      </c>
      <c r="B909" s="50" t="s">
        <v>7</v>
      </c>
      <c r="C909" s="50" t="s">
        <v>18</v>
      </c>
      <c r="D909" s="50" t="s">
        <v>1346</v>
      </c>
      <c r="E909" s="50" t="s">
        <v>967</v>
      </c>
      <c r="F909" s="50" t="s">
        <v>968</v>
      </c>
      <c r="G909" s="50" t="s">
        <v>1347</v>
      </c>
      <c r="H909" s="51">
        <v>1</v>
      </c>
      <c r="I909" s="52">
        <f>J909/H909</f>
        <v>20990</v>
      </c>
      <c r="J909" s="52">
        <v>20990</v>
      </c>
      <c r="K909" s="51">
        <v>38</v>
      </c>
      <c r="L909" s="53">
        <f>K909/H909*30</f>
        <v>1140</v>
      </c>
    </row>
    <row r="910" spans="1:12" s="2" customFormat="1" ht="13.95" customHeight="1" x14ac:dyDescent="0.2">
      <c r="A910" s="50" t="s">
        <v>70</v>
      </c>
      <c r="B910" s="50" t="s">
        <v>7</v>
      </c>
      <c r="C910" s="50" t="s">
        <v>18</v>
      </c>
      <c r="D910" s="50" t="s">
        <v>1348</v>
      </c>
      <c r="E910" s="50" t="s">
        <v>967</v>
      </c>
      <c r="F910" s="50" t="s">
        <v>968</v>
      </c>
      <c r="G910" s="50" t="s">
        <v>1349</v>
      </c>
      <c r="H910" s="51">
        <v>1</v>
      </c>
      <c r="I910" s="52">
        <f>J910/H910</f>
        <v>20990</v>
      </c>
      <c r="J910" s="52">
        <v>20990</v>
      </c>
      <c r="K910" s="51">
        <v>2</v>
      </c>
      <c r="L910" s="53">
        <f>K910/H910*30</f>
        <v>60</v>
      </c>
    </row>
    <row r="911" spans="1:12" s="2" customFormat="1" ht="13.95" customHeight="1" x14ac:dyDescent="0.2">
      <c r="A911" s="50" t="s">
        <v>70</v>
      </c>
      <c r="B911" s="50" t="s">
        <v>7</v>
      </c>
      <c r="C911" s="50" t="s">
        <v>18</v>
      </c>
      <c r="D911" s="50" t="s">
        <v>1350</v>
      </c>
      <c r="E911" s="50" t="s">
        <v>967</v>
      </c>
      <c r="F911" s="50" t="s">
        <v>968</v>
      </c>
      <c r="G911" s="50" t="s">
        <v>1351</v>
      </c>
      <c r="H911" s="51">
        <v>1</v>
      </c>
      <c r="I911" s="52">
        <f>J911/H911</f>
        <v>20990</v>
      </c>
      <c r="J911" s="52">
        <v>20990</v>
      </c>
      <c r="K911" s="51">
        <v>6</v>
      </c>
      <c r="L911" s="53">
        <f>K911/H911*30</f>
        <v>180</v>
      </c>
    </row>
    <row r="912" spans="1:12" s="2" customFormat="1" ht="13.95" customHeight="1" x14ac:dyDescent="0.2">
      <c r="A912" s="50" t="s">
        <v>70</v>
      </c>
      <c r="B912" s="50" t="s">
        <v>7</v>
      </c>
      <c r="C912" s="50" t="s">
        <v>18</v>
      </c>
      <c r="D912" s="50" t="s">
        <v>1352</v>
      </c>
      <c r="E912" s="50" t="s">
        <v>967</v>
      </c>
      <c r="F912" s="50" t="s">
        <v>968</v>
      </c>
      <c r="G912" s="50" t="s">
        <v>1353</v>
      </c>
      <c r="H912" s="51">
        <v>1</v>
      </c>
      <c r="I912" s="52">
        <f>J912/H912</f>
        <v>20990</v>
      </c>
      <c r="J912" s="52">
        <v>20990</v>
      </c>
      <c r="K912" s="51">
        <v>24</v>
      </c>
      <c r="L912" s="53">
        <f>K912/H912*30</f>
        <v>720</v>
      </c>
    </row>
    <row r="913" spans="1:12" s="2" customFormat="1" ht="13.95" customHeight="1" x14ac:dyDescent="0.2">
      <c r="A913" s="50" t="s">
        <v>70</v>
      </c>
      <c r="B913" s="50" t="s">
        <v>7</v>
      </c>
      <c r="C913" s="50" t="s">
        <v>16</v>
      </c>
      <c r="D913" s="50" t="s">
        <v>1354</v>
      </c>
      <c r="E913" s="50" t="s">
        <v>1197</v>
      </c>
      <c r="F913" s="50" t="s">
        <v>137</v>
      </c>
      <c r="G913" s="50" t="s">
        <v>86</v>
      </c>
      <c r="H913" s="51">
        <v>1</v>
      </c>
      <c r="I913" s="52">
        <f>J913/H913</f>
        <v>19990</v>
      </c>
      <c r="J913" s="52">
        <v>19990</v>
      </c>
      <c r="K913" s="51">
        <v>22</v>
      </c>
      <c r="L913" s="53">
        <f>K913/H913*30</f>
        <v>660</v>
      </c>
    </row>
    <row r="914" spans="1:12" s="2" customFormat="1" ht="13.95" customHeight="1" x14ac:dyDescent="0.2">
      <c r="A914" s="50" t="s">
        <v>70</v>
      </c>
      <c r="B914" s="50" t="s">
        <v>5</v>
      </c>
      <c r="C914" s="50" t="s">
        <v>38</v>
      </c>
      <c r="D914" s="50" t="s">
        <v>1355</v>
      </c>
      <c r="E914" s="50" t="s">
        <v>1356</v>
      </c>
      <c r="F914" s="50" t="s">
        <v>223</v>
      </c>
      <c r="G914" s="50" t="s">
        <v>224</v>
      </c>
      <c r="H914" s="51">
        <v>1</v>
      </c>
      <c r="I914" s="52">
        <f>J914/H914</f>
        <v>19990</v>
      </c>
      <c r="J914" s="52">
        <v>19990</v>
      </c>
      <c r="K914" s="51">
        <v>21</v>
      </c>
      <c r="L914" s="53">
        <f>K914/H914*30</f>
        <v>630</v>
      </c>
    </row>
    <row r="915" spans="1:12" s="2" customFormat="1" ht="13.95" customHeight="1" x14ac:dyDescent="0.2">
      <c r="A915" s="50" t="s">
        <v>70</v>
      </c>
      <c r="B915" s="50" t="s">
        <v>5</v>
      </c>
      <c r="C915" s="50" t="s">
        <v>38</v>
      </c>
      <c r="D915" s="50" t="s">
        <v>1357</v>
      </c>
      <c r="E915" s="50" t="s">
        <v>1356</v>
      </c>
      <c r="F915" s="50" t="s">
        <v>374</v>
      </c>
      <c r="G915" s="50" t="s">
        <v>86</v>
      </c>
      <c r="H915" s="51">
        <v>1</v>
      </c>
      <c r="I915" s="52">
        <f>J915/H915</f>
        <v>19990</v>
      </c>
      <c r="J915" s="52">
        <v>19990</v>
      </c>
      <c r="K915" s="51">
        <v>15</v>
      </c>
      <c r="L915" s="53">
        <f>K915/H915*30</f>
        <v>450</v>
      </c>
    </row>
    <row r="916" spans="1:12" s="2" customFormat="1" ht="13.95" customHeight="1" x14ac:dyDescent="0.2">
      <c r="A916" s="50" t="s">
        <v>70</v>
      </c>
      <c r="B916" s="50" t="s">
        <v>5</v>
      </c>
      <c r="C916" s="50" t="s">
        <v>38</v>
      </c>
      <c r="D916" s="50" t="s">
        <v>1358</v>
      </c>
      <c r="E916" s="50" t="s">
        <v>1356</v>
      </c>
      <c r="F916" s="50" t="s">
        <v>374</v>
      </c>
      <c r="G916" s="50" t="s">
        <v>84</v>
      </c>
      <c r="H916" s="51">
        <v>1</v>
      </c>
      <c r="I916" s="52">
        <f>J916/H916</f>
        <v>19990</v>
      </c>
      <c r="J916" s="52">
        <v>19990</v>
      </c>
      <c r="K916" s="51">
        <v>14</v>
      </c>
      <c r="L916" s="53">
        <f>K916/H916*30</f>
        <v>420</v>
      </c>
    </row>
    <row r="917" spans="1:12" s="2" customFormat="1" ht="13.95" customHeight="1" x14ac:dyDescent="0.2">
      <c r="A917" s="50" t="s">
        <v>70</v>
      </c>
      <c r="B917" s="50" t="s">
        <v>5</v>
      </c>
      <c r="C917" s="50" t="s">
        <v>45</v>
      </c>
      <c r="D917" s="50" t="s">
        <v>1359</v>
      </c>
      <c r="E917" s="50" t="s">
        <v>614</v>
      </c>
      <c r="F917" s="50" t="s">
        <v>137</v>
      </c>
      <c r="G917" s="50" t="s">
        <v>330</v>
      </c>
      <c r="H917" s="51">
        <v>1</v>
      </c>
      <c r="I917" s="52">
        <f>J917/H917</f>
        <v>19990</v>
      </c>
      <c r="J917" s="52">
        <v>19990</v>
      </c>
      <c r="K917" s="51">
        <v>0</v>
      </c>
      <c r="L917" s="53">
        <f>K917/H917*30</f>
        <v>0</v>
      </c>
    </row>
    <row r="918" spans="1:12" s="2" customFormat="1" ht="13.95" customHeight="1" x14ac:dyDescent="0.2">
      <c r="A918" s="50" t="s">
        <v>70</v>
      </c>
      <c r="B918" s="50" t="s">
        <v>5</v>
      </c>
      <c r="C918" s="50" t="s">
        <v>45</v>
      </c>
      <c r="D918" s="50" t="s">
        <v>1360</v>
      </c>
      <c r="E918" s="50" t="s">
        <v>474</v>
      </c>
      <c r="F918" s="50" t="s">
        <v>155</v>
      </c>
      <c r="G918" s="50" t="s">
        <v>512</v>
      </c>
      <c r="H918" s="51">
        <v>2</v>
      </c>
      <c r="I918" s="52">
        <f>J918/H918</f>
        <v>9990</v>
      </c>
      <c r="J918" s="52">
        <v>19980</v>
      </c>
      <c r="K918" s="51">
        <v>0</v>
      </c>
      <c r="L918" s="53">
        <f>K918/H918*30</f>
        <v>0</v>
      </c>
    </row>
    <row r="919" spans="1:12" s="2" customFormat="1" ht="13.95" customHeight="1" x14ac:dyDescent="0.2">
      <c r="A919" s="50" t="s">
        <v>70</v>
      </c>
      <c r="B919" s="50" t="s">
        <v>5</v>
      </c>
      <c r="C919" s="50" t="s">
        <v>37</v>
      </c>
      <c r="D919" s="50" t="s">
        <v>1361</v>
      </c>
      <c r="E919" s="50" t="s">
        <v>1202</v>
      </c>
      <c r="F919" s="50" t="s">
        <v>155</v>
      </c>
      <c r="G919" s="50" t="s">
        <v>156</v>
      </c>
      <c r="H919" s="51">
        <v>4</v>
      </c>
      <c r="I919" s="52">
        <f>J919/H919</f>
        <v>4990</v>
      </c>
      <c r="J919" s="52">
        <v>19960</v>
      </c>
      <c r="K919" s="51">
        <v>-2</v>
      </c>
      <c r="L919" s="53">
        <f>K919/H919*30</f>
        <v>-15</v>
      </c>
    </row>
    <row r="920" spans="1:12" s="2" customFormat="1" ht="13.95" customHeight="1" x14ac:dyDescent="0.2">
      <c r="A920" s="50" t="s">
        <v>70</v>
      </c>
      <c r="B920" s="50" t="s">
        <v>5</v>
      </c>
      <c r="C920" s="50" t="s">
        <v>45</v>
      </c>
      <c r="D920" s="50" t="s">
        <v>1362</v>
      </c>
      <c r="E920" s="50" t="s">
        <v>614</v>
      </c>
      <c r="F920" s="50" t="s">
        <v>106</v>
      </c>
      <c r="G920" s="50" t="s">
        <v>140</v>
      </c>
      <c r="H920" s="51">
        <v>1</v>
      </c>
      <c r="I920" s="52">
        <f>J920/H920</f>
        <v>18990</v>
      </c>
      <c r="J920" s="52">
        <v>18990</v>
      </c>
      <c r="K920" s="51">
        <v>0</v>
      </c>
      <c r="L920" s="53">
        <f>K920/H920*30</f>
        <v>0</v>
      </c>
    </row>
    <row r="921" spans="1:12" s="2" customFormat="1" ht="13.95" customHeight="1" x14ac:dyDescent="0.2">
      <c r="A921" s="50" t="s">
        <v>70</v>
      </c>
      <c r="B921" s="50" t="s">
        <v>5</v>
      </c>
      <c r="C921" s="50" t="s">
        <v>45</v>
      </c>
      <c r="D921" s="50" t="s">
        <v>1363</v>
      </c>
      <c r="E921" s="50" t="s">
        <v>614</v>
      </c>
      <c r="F921" s="50" t="s">
        <v>106</v>
      </c>
      <c r="G921" s="50" t="s">
        <v>86</v>
      </c>
      <c r="H921" s="51">
        <v>1</v>
      </c>
      <c r="I921" s="52">
        <f>J921/H921</f>
        <v>18990</v>
      </c>
      <c r="J921" s="52">
        <v>18990</v>
      </c>
      <c r="K921" s="51">
        <v>1</v>
      </c>
      <c r="L921" s="53">
        <f>K921/H921*30</f>
        <v>30</v>
      </c>
    </row>
    <row r="922" spans="1:12" s="2" customFormat="1" ht="13.95" customHeight="1" x14ac:dyDescent="0.2">
      <c r="A922" s="50" t="s">
        <v>70</v>
      </c>
      <c r="B922" s="50" t="s">
        <v>5</v>
      </c>
      <c r="C922" s="50" t="s">
        <v>45</v>
      </c>
      <c r="D922" s="50" t="s">
        <v>1364</v>
      </c>
      <c r="E922" s="50" t="s">
        <v>614</v>
      </c>
      <c r="F922" s="50" t="s">
        <v>106</v>
      </c>
      <c r="G922" s="50" t="s">
        <v>112</v>
      </c>
      <c r="H922" s="51">
        <v>1</v>
      </c>
      <c r="I922" s="52">
        <f>J922/H922</f>
        <v>18990</v>
      </c>
      <c r="J922" s="52">
        <v>18990</v>
      </c>
      <c r="K922" s="51">
        <v>13</v>
      </c>
      <c r="L922" s="53">
        <f>K922/H922*30</f>
        <v>390</v>
      </c>
    </row>
    <row r="923" spans="1:12" s="2" customFormat="1" ht="13.95" customHeight="1" x14ac:dyDescent="0.2">
      <c r="A923" s="50" t="s">
        <v>70</v>
      </c>
      <c r="B923" s="50" t="s">
        <v>5</v>
      </c>
      <c r="C923" s="50" t="s">
        <v>40</v>
      </c>
      <c r="D923" s="50" t="s">
        <v>1365</v>
      </c>
      <c r="E923" s="50" t="s">
        <v>708</v>
      </c>
      <c r="F923" s="50" t="s">
        <v>73</v>
      </c>
      <c r="G923" s="50" t="s">
        <v>86</v>
      </c>
      <c r="H923" s="51">
        <v>1</v>
      </c>
      <c r="I923" s="52">
        <f>J923/H923</f>
        <v>17990</v>
      </c>
      <c r="J923" s="52">
        <v>17990</v>
      </c>
      <c r="K923" s="51">
        <v>28</v>
      </c>
      <c r="L923" s="53">
        <f>K923/H923*30</f>
        <v>840</v>
      </c>
    </row>
    <row r="924" spans="1:12" s="2" customFormat="1" ht="13.95" customHeight="1" x14ac:dyDescent="0.2">
      <c r="A924" s="50" t="s">
        <v>70</v>
      </c>
      <c r="B924" s="50" t="s">
        <v>5</v>
      </c>
      <c r="C924" s="50" t="s">
        <v>40</v>
      </c>
      <c r="D924" s="50" t="s">
        <v>1366</v>
      </c>
      <c r="E924" s="50" t="s">
        <v>708</v>
      </c>
      <c r="F924" s="50" t="s">
        <v>137</v>
      </c>
      <c r="G924" s="50" t="s">
        <v>140</v>
      </c>
      <c r="H924" s="51">
        <v>1</v>
      </c>
      <c r="I924" s="52">
        <f>J924/H924</f>
        <v>17990</v>
      </c>
      <c r="J924" s="52">
        <v>17990</v>
      </c>
      <c r="K924" s="51">
        <v>1</v>
      </c>
      <c r="L924" s="53">
        <f>K924/H924*30</f>
        <v>30</v>
      </c>
    </row>
    <row r="925" spans="1:12" s="2" customFormat="1" ht="13.95" customHeight="1" x14ac:dyDescent="0.2">
      <c r="A925" s="50" t="s">
        <v>70</v>
      </c>
      <c r="B925" s="50" t="s">
        <v>5</v>
      </c>
      <c r="C925" s="50" t="s">
        <v>40</v>
      </c>
      <c r="D925" s="50" t="s">
        <v>1367</v>
      </c>
      <c r="E925" s="50" t="s">
        <v>708</v>
      </c>
      <c r="F925" s="50" t="s">
        <v>137</v>
      </c>
      <c r="G925" s="50" t="s">
        <v>86</v>
      </c>
      <c r="H925" s="51">
        <v>1</v>
      </c>
      <c r="I925" s="52">
        <f>J925/H925</f>
        <v>17990</v>
      </c>
      <c r="J925" s="52">
        <v>17990</v>
      </c>
      <c r="K925" s="51">
        <v>8</v>
      </c>
      <c r="L925" s="53">
        <f>K925/H925*30</f>
        <v>240</v>
      </c>
    </row>
    <row r="926" spans="1:12" s="2" customFormat="1" ht="13.95" customHeight="1" x14ac:dyDescent="0.2">
      <c r="A926" s="50" t="s">
        <v>70</v>
      </c>
      <c r="B926" s="50" t="s">
        <v>5</v>
      </c>
      <c r="C926" s="50" t="s">
        <v>40</v>
      </c>
      <c r="D926" s="50" t="s">
        <v>1368</v>
      </c>
      <c r="E926" s="50" t="s">
        <v>708</v>
      </c>
      <c r="F926" s="50" t="s">
        <v>137</v>
      </c>
      <c r="G926" s="50" t="s">
        <v>330</v>
      </c>
      <c r="H926" s="51">
        <v>1</v>
      </c>
      <c r="I926" s="52">
        <f>J926/H926</f>
        <v>17990</v>
      </c>
      <c r="J926" s="52">
        <v>17990</v>
      </c>
      <c r="K926" s="51">
        <v>0</v>
      </c>
      <c r="L926" s="53">
        <f>K926/H926*30</f>
        <v>0</v>
      </c>
    </row>
    <row r="927" spans="1:12" s="2" customFormat="1" ht="13.95" customHeight="1" x14ac:dyDescent="0.2">
      <c r="A927" s="50" t="s">
        <v>70</v>
      </c>
      <c r="B927" s="50" t="s">
        <v>5</v>
      </c>
      <c r="C927" s="50" t="s">
        <v>40</v>
      </c>
      <c r="D927" s="50" t="s">
        <v>1369</v>
      </c>
      <c r="E927" s="50" t="s">
        <v>708</v>
      </c>
      <c r="F927" s="50" t="s">
        <v>216</v>
      </c>
      <c r="G927" s="50" t="s">
        <v>90</v>
      </c>
      <c r="H927" s="51">
        <v>1</v>
      </c>
      <c r="I927" s="52">
        <f>J927/H927</f>
        <v>17990</v>
      </c>
      <c r="J927" s="52">
        <v>17990</v>
      </c>
      <c r="K927" s="51">
        <v>5</v>
      </c>
      <c r="L927" s="53">
        <f>K927/H927*30</f>
        <v>150</v>
      </c>
    </row>
    <row r="928" spans="1:12" s="2" customFormat="1" ht="13.95" customHeight="1" x14ac:dyDescent="0.2">
      <c r="A928" s="50" t="s">
        <v>70</v>
      </c>
      <c r="B928" s="50" t="s">
        <v>5</v>
      </c>
      <c r="C928" s="50" t="s">
        <v>40</v>
      </c>
      <c r="D928" s="50" t="s">
        <v>1370</v>
      </c>
      <c r="E928" s="50" t="s">
        <v>708</v>
      </c>
      <c r="F928" s="50" t="s">
        <v>216</v>
      </c>
      <c r="G928" s="50" t="s">
        <v>1371</v>
      </c>
      <c r="H928" s="51">
        <v>1</v>
      </c>
      <c r="I928" s="52">
        <f>J928/H928</f>
        <v>17990</v>
      </c>
      <c r="J928" s="52">
        <v>17990</v>
      </c>
      <c r="K928" s="51">
        <v>16</v>
      </c>
      <c r="L928" s="53">
        <f>K928/H928*30</f>
        <v>480</v>
      </c>
    </row>
    <row r="929" spans="1:12" s="2" customFormat="1" ht="13.95" customHeight="1" x14ac:dyDescent="0.2">
      <c r="A929" s="50" t="s">
        <v>70</v>
      </c>
      <c r="B929" s="50" t="s">
        <v>5</v>
      </c>
      <c r="C929" s="50" t="s">
        <v>44</v>
      </c>
      <c r="D929" s="50" t="s">
        <v>1372</v>
      </c>
      <c r="E929" s="50" t="s">
        <v>1373</v>
      </c>
      <c r="F929" s="50" t="s">
        <v>73</v>
      </c>
      <c r="G929" s="50" t="s">
        <v>140</v>
      </c>
      <c r="H929" s="51">
        <v>2</v>
      </c>
      <c r="I929" s="52">
        <f>J929/H929</f>
        <v>8990</v>
      </c>
      <c r="J929" s="52">
        <v>17980</v>
      </c>
      <c r="K929" s="51">
        <v>17</v>
      </c>
      <c r="L929" s="53">
        <f>K929/H929*30</f>
        <v>255</v>
      </c>
    </row>
    <row r="930" spans="1:12" s="2" customFormat="1" ht="13.95" customHeight="1" x14ac:dyDescent="0.2">
      <c r="A930" s="50" t="s">
        <v>70</v>
      </c>
      <c r="B930" s="50" t="s">
        <v>5</v>
      </c>
      <c r="C930" s="50" t="s">
        <v>44</v>
      </c>
      <c r="D930" s="50" t="s">
        <v>1374</v>
      </c>
      <c r="E930" s="50" t="s">
        <v>1373</v>
      </c>
      <c r="F930" s="50" t="s">
        <v>73</v>
      </c>
      <c r="G930" s="50" t="s">
        <v>88</v>
      </c>
      <c r="H930" s="51">
        <v>2</v>
      </c>
      <c r="I930" s="52">
        <f>J930/H930</f>
        <v>8990</v>
      </c>
      <c r="J930" s="52">
        <v>17980</v>
      </c>
      <c r="K930" s="51">
        <v>28</v>
      </c>
      <c r="L930" s="53">
        <f>K930/H930*30</f>
        <v>420</v>
      </c>
    </row>
    <row r="931" spans="1:12" s="2" customFormat="1" ht="13.95" customHeight="1" x14ac:dyDescent="0.2">
      <c r="A931" s="50" t="s">
        <v>70</v>
      </c>
      <c r="B931" s="50" t="s">
        <v>5</v>
      </c>
      <c r="C931" s="50" t="s">
        <v>44</v>
      </c>
      <c r="D931" s="50" t="s">
        <v>1375</v>
      </c>
      <c r="E931" s="50" t="s">
        <v>1373</v>
      </c>
      <c r="F931" s="50" t="s">
        <v>73</v>
      </c>
      <c r="G931" s="50" t="s">
        <v>86</v>
      </c>
      <c r="H931" s="51">
        <v>2</v>
      </c>
      <c r="I931" s="52">
        <f>J931/H931</f>
        <v>8990</v>
      </c>
      <c r="J931" s="52">
        <v>17980</v>
      </c>
      <c r="K931" s="51">
        <v>34</v>
      </c>
      <c r="L931" s="53">
        <f>K931/H931*30</f>
        <v>510</v>
      </c>
    </row>
    <row r="932" spans="1:12" s="2" customFormat="1" ht="13.95" customHeight="1" x14ac:dyDescent="0.2">
      <c r="A932" s="50" t="s">
        <v>70</v>
      </c>
      <c r="B932" s="50" t="s">
        <v>5</v>
      </c>
      <c r="C932" s="50" t="s">
        <v>44</v>
      </c>
      <c r="D932" s="50" t="s">
        <v>1376</v>
      </c>
      <c r="E932" s="50" t="s">
        <v>1373</v>
      </c>
      <c r="F932" s="50" t="s">
        <v>73</v>
      </c>
      <c r="G932" s="50" t="s">
        <v>74</v>
      </c>
      <c r="H932" s="51">
        <v>2</v>
      </c>
      <c r="I932" s="52">
        <f>J932/H932</f>
        <v>8990</v>
      </c>
      <c r="J932" s="52">
        <v>17980</v>
      </c>
      <c r="K932" s="51">
        <v>38</v>
      </c>
      <c r="L932" s="53">
        <f>K932/H932*30</f>
        <v>570</v>
      </c>
    </row>
    <row r="933" spans="1:12" s="2" customFormat="1" ht="13.95" customHeight="1" x14ac:dyDescent="0.2">
      <c r="A933" s="50" t="s">
        <v>70</v>
      </c>
      <c r="B933" s="50" t="s">
        <v>5</v>
      </c>
      <c r="C933" s="50" t="s">
        <v>44</v>
      </c>
      <c r="D933" s="50" t="s">
        <v>1377</v>
      </c>
      <c r="E933" s="50" t="s">
        <v>1373</v>
      </c>
      <c r="F933" s="50" t="s">
        <v>73</v>
      </c>
      <c r="G933" s="50" t="s">
        <v>330</v>
      </c>
      <c r="H933" s="51">
        <v>2</v>
      </c>
      <c r="I933" s="52">
        <f>J933/H933</f>
        <v>8990</v>
      </c>
      <c r="J933" s="52">
        <v>17980</v>
      </c>
      <c r="K933" s="51">
        <v>10</v>
      </c>
      <c r="L933" s="53">
        <f>K933/H933*30</f>
        <v>150</v>
      </c>
    </row>
    <row r="934" spans="1:12" s="2" customFormat="1" ht="13.95" customHeight="1" x14ac:dyDescent="0.2">
      <c r="A934" s="50" t="s">
        <v>416</v>
      </c>
      <c r="B934" s="50" t="s">
        <v>7</v>
      </c>
      <c r="C934" s="50" t="s">
        <v>18</v>
      </c>
      <c r="D934" s="50" t="s">
        <v>1378</v>
      </c>
      <c r="E934" s="50" t="s">
        <v>1228</v>
      </c>
      <c r="F934" s="50" t="s">
        <v>106</v>
      </c>
      <c r="G934" s="50" t="s">
        <v>86</v>
      </c>
      <c r="H934" s="51">
        <v>1</v>
      </c>
      <c r="I934" s="52">
        <f>J934/H934</f>
        <v>16990</v>
      </c>
      <c r="J934" s="52">
        <v>16990</v>
      </c>
      <c r="K934" s="51">
        <v>2</v>
      </c>
      <c r="L934" s="53">
        <f>K934/H934*30</f>
        <v>60</v>
      </c>
    </row>
    <row r="935" spans="1:12" s="2" customFormat="1" ht="13.95" customHeight="1" x14ac:dyDescent="0.2">
      <c r="A935" s="50" t="s">
        <v>416</v>
      </c>
      <c r="B935" s="50" t="s">
        <v>7</v>
      </c>
      <c r="C935" s="50" t="s">
        <v>18</v>
      </c>
      <c r="D935" s="50" t="s">
        <v>1379</v>
      </c>
      <c r="E935" s="50" t="s">
        <v>1380</v>
      </c>
      <c r="F935" s="50" t="s">
        <v>106</v>
      </c>
      <c r="G935" s="50" t="s">
        <v>90</v>
      </c>
      <c r="H935" s="51">
        <v>1</v>
      </c>
      <c r="I935" s="52">
        <f>J935/H935</f>
        <v>16990</v>
      </c>
      <c r="J935" s="52">
        <v>16990</v>
      </c>
      <c r="K935" s="51">
        <v>19</v>
      </c>
      <c r="L935" s="53">
        <f>K935/H935*30</f>
        <v>570</v>
      </c>
    </row>
    <row r="936" spans="1:12" s="2" customFormat="1" ht="13.95" customHeight="1" x14ac:dyDescent="0.2">
      <c r="A936" s="50" t="s">
        <v>416</v>
      </c>
      <c r="B936" s="50" t="s">
        <v>7</v>
      </c>
      <c r="C936" s="50" t="s">
        <v>18</v>
      </c>
      <c r="D936" s="50" t="s">
        <v>1381</v>
      </c>
      <c r="E936" s="50" t="s">
        <v>1380</v>
      </c>
      <c r="F936" s="50" t="s">
        <v>106</v>
      </c>
      <c r="G936" s="50" t="s">
        <v>86</v>
      </c>
      <c r="H936" s="51">
        <v>1</v>
      </c>
      <c r="I936" s="52">
        <f>J936/H936</f>
        <v>16990</v>
      </c>
      <c r="J936" s="52">
        <v>16990</v>
      </c>
      <c r="K936" s="51">
        <v>24</v>
      </c>
      <c r="L936" s="53">
        <f>K936/H936*30</f>
        <v>720</v>
      </c>
    </row>
    <row r="937" spans="1:12" s="2" customFormat="1" ht="13.95" customHeight="1" x14ac:dyDescent="0.2">
      <c r="A937" s="50" t="s">
        <v>416</v>
      </c>
      <c r="B937" s="50" t="s">
        <v>7</v>
      </c>
      <c r="C937" s="50" t="s">
        <v>18</v>
      </c>
      <c r="D937" s="50" t="s">
        <v>1382</v>
      </c>
      <c r="E937" s="50" t="s">
        <v>1380</v>
      </c>
      <c r="F937" s="50" t="s">
        <v>106</v>
      </c>
      <c r="G937" s="50" t="s">
        <v>112</v>
      </c>
      <c r="H937" s="51">
        <v>1</v>
      </c>
      <c r="I937" s="52">
        <f>J937/H937</f>
        <v>16990</v>
      </c>
      <c r="J937" s="52">
        <v>16990</v>
      </c>
      <c r="K937" s="51">
        <v>2</v>
      </c>
      <c r="L937" s="53">
        <f>K937/H937*30</f>
        <v>60</v>
      </c>
    </row>
    <row r="938" spans="1:12" s="2" customFormat="1" ht="13.95" customHeight="1" x14ac:dyDescent="0.2">
      <c r="A938" s="50" t="s">
        <v>70</v>
      </c>
      <c r="B938" s="50" t="s">
        <v>7</v>
      </c>
      <c r="C938" s="50" t="s">
        <v>20</v>
      </c>
      <c r="D938" s="50" t="s">
        <v>1383</v>
      </c>
      <c r="E938" s="50" t="s">
        <v>20</v>
      </c>
      <c r="F938" s="50" t="s">
        <v>73</v>
      </c>
      <c r="G938" s="50" t="s">
        <v>74</v>
      </c>
      <c r="H938" s="51">
        <v>1</v>
      </c>
      <c r="I938" s="52">
        <f>J938/H938</f>
        <v>16990</v>
      </c>
      <c r="J938" s="52">
        <v>16990</v>
      </c>
      <c r="K938" s="51">
        <v>2</v>
      </c>
      <c r="L938" s="53">
        <f>K938/H938*30</f>
        <v>60</v>
      </c>
    </row>
    <row r="939" spans="1:12" s="2" customFormat="1" ht="13.95" customHeight="1" x14ac:dyDescent="0.2">
      <c r="A939" s="50" t="s">
        <v>70</v>
      </c>
      <c r="B939" s="50" t="s">
        <v>7</v>
      </c>
      <c r="C939" s="50" t="s">
        <v>20</v>
      </c>
      <c r="D939" s="50" t="s">
        <v>1384</v>
      </c>
      <c r="E939" s="50" t="s">
        <v>20</v>
      </c>
      <c r="F939" s="50" t="s">
        <v>106</v>
      </c>
      <c r="G939" s="50" t="s">
        <v>112</v>
      </c>
      <c r="H939" s="51">
        <v>1</v>
      </c>
      <c r="I939" s="52">
        <f>J939/H939</f>
        <v>16990</v>
      </c>
      <c r="J939" s="52">
        <v>16990</v>
      </c>
      <c r="K939" s="51">
        <v>9</v>
      </c>
      <c r="L939" s="53">
        <f>K939/H939*30</f>
        <v>270</v>
      </c>
    </row>
    <row r="940" spans="1:12" s="2" customFormat="1" ht="13.95" customHeight="1" x14ac:dyDescent="0.2">
      <c r="A940" s="50" t="s">
        <v>70</v>
      </c>
      <c r="B940" s="50" t="s">
        <v>5</v>
      </c>
      <c r="C940" s="50" t="s">
        <v>42</v>
      </c>
      <c r="D940" s="50" t="s">
        <v>1385</v>
      </c>
      <c r="E940" s="50" t="s">
        <v>373</v>
      </c>
      <c r="F940" s="50" t="s">
        <v>1386</v>
      </c>
      <c r="G940" s="50" t="s">
        <v>1387</v>
      </c>
      <c r="H940" s="51">
        <v>1</v>
      </c>
      <c r="I940" s="52">
        <f>J940/H940</f>
        <v>16990</v>
      </c>
      <c r="J940" s="52">
        <v>16990</v>
      </c>
      <c r="K940" s="51">
        <v>2</v>
      </c>
      <c r="L940" s="53">
        <f>K940/H940*30</f>
        <v>60</v>
      </c>
    </row>
    <row r="941" spans="1:12" s="2" customFormat="1" ht="13.95" customHeight="1" x14ac:dyDescent="0.2">
      <c r="A941" s="50" t="s">
        <v>70</v>
      </c>
      <c r="B941" s="50" t="s">
        <v>7</v>
      </c>
      <c r="C941" s="50" t="s">
        <v>18</v>
      </c>
      <c r="D941" s="50" t="s">
        <v>1388</v>
      </c>
      <c r="E941" s="50" t="s">
        <v>1237</v>
      </c>
      <c r="F941" s="50" t="s">
        <v>106</v>
      </c>
      <c r="G941" s="50" t="s">
        <v>86</v>
      </c>
      <c r="H941" s="51">
        <v>1</v>
      </c>
      <c r="I941" s="52">
        <f>J941/H941</f>
        <v>15990</v>
      </c>
      <c r="J941" s="52">
        <v>15990</v>
      </c>
      <c r="K941" s="51">
        <v>18</v>
      </c>
      <c r="L941" s="53">
        <f>K941/H941*30</f>
        <v>540</v>
      </c>
    </row>
    <row r="942" spans="1:12" s="2" customFormat="1" ht="13.95" customHeight="1" x14ac:dyDescent="0.2">
      <c r="A942" s="50" t="s">
        <v>70</v>
      </c>
      <c r="B942" s="50" t="s">
        <v>5</v>
      </c>
      <c r="C942" s="50" t="s">
        <v>42</v>
      </c>
      <c r="D942" s="50" t="s">
        <v>1389</v>
      </c>
      <c r="E942" s="50" t="s">
        <v>373</v>
      </c>
      <c r="F942" s="50" t="s">
        <v>73</v>
      </c>
      <c r="G942" s="50" t="s">
        <v>330</v>
      </c>
      <c r="H942" s="51">
        <v>1</v>
      </c>
      <c r="I942" s="52">
        <f>J942/H942</f>
        <v>15990</v>
      </c>
      <c r="J942" s="52">
        <v>15990</v>
      </c>
      <c r="K942" s="51">
        <v>0</v>
      </c>
      <c r="L942" s="53">
        <f>K942/H942*30</f>
        <v>0</v>
      </c>
    </row>
    <row r="943" spans="1:12" s="2" customFormat="1" ht="13.95" customHeight="1" x14ac:dyDescent="0.2">
      <c r="A943" s="50" t="s">
        <v>70</v>
      </c>
      <c r="B943" s="50" t="s">
        <v>5</v>
      </c>
      <c r="C943" s="50" t="s">
        <v>42</v>
      </c>
      <c r="D943" s="50" t="s">
        <v>1390</v>
      </c>
      <c r="E943" s="50" t="s">
        <v>680</v>
      </c>
      <c r="F943" s="50" t="s">
        <v>137</v>
      </c>
      <c r="G943" s="50" t="s">
        <v>140</v>
      </c>
      <c r="H943" s="51">
        <v>1</v>
      </c>
      <c r="I943" s="52">
        <f>J943/H943</f>
        <v>15990</v>
      </c>
      <c r="J943" s="52">
        <v>15990</v>
      </c>
      <c r="K943" s="51">
        <v>1</v>
      </c>
      <c r="L943" s="53">
        <f>K943/H943*30</f>
        <v>30</v>
      </c>
    </row>
    <row r="944" spans="1:12" s="2" customFormat="1" ht="13.95" customHeight="1" x14ac:dyDescent="0.2">
      <c r="A944" s="50" t="s">
        <v>70</v>
      </c>
      <c r="B944" s="50" t="s">
        <v>5</v>
      </c>
      <c r="C944" s="50" t="s">
        <v>42</v>
      </c>
      <c r="D944" s="50" t="s">
        <v>1391</v>
      </c>
      <c r="E944" s="50" t="s">
        <v>680</v>
      </c>
      <c r="F944" s="50" t="s">
        <v>137</v>
      </c>
      <c r="G944" s="50" t="s">
        <v>88</v>
      </c>
      <c r="H944" s="51">
        <v>1</v>
      </c>
      <c r="I944" s="52">
        <f>J944/H944</f>
        <v>15990</v>
      </c>
      <c r="J944" s="52">
        <v>15990</v>
      </c>
      <c r="K944" s="51">
        <v>38</v>
      </c>
      <c r="L944" s="53">
        <f>K944/H944*30</f>
        <v>1140</v>
      </c>
    </row>
    <row r="945" spans="1:12" s="2" customFormat="1" ht="13.95" customHeight="1" x14ac:dyDescent="0.2">
      <c r="A945" s="50" t="s">
        <v>70</v>
      </c>
      <c r="B945" s="50" t="s">
        <v>5</v>
      </c>
      <c r="C945" s="50" t="s">
        <v>42</v>
      </c>
      <c r="D945" s="50" t="s">
        <v>1392</v>
      </c>
      <c r="E945" s="50" t="s">
        <v>680</v>
      </c>
      <c r="F945" s="50" t="s">
        <v>137</v>
      </c>
      <c r="G945" s="50" t="s">
        <v>86</v>
      </c>
      <c r="H945" s="51">
        <v>1</v>
      </c>
      <c r="I945" s="52">
        <f>J945/H945</f>
        <v>15990</v>
      </c>
      <c r="J945" s="52">
        <v>15990</v>
      </c>
      <c r="K945" s="51">
        <v>44</v>
      </c>
      <c r="L945" s="53">
        <f>K945/H945*30</f>
        <v>1320</v>
      </c>
    </row>
    <row r="946" spans="1:12" s="2" customFormat="1" ht="13.95" customHeight="1" x14ac:dyDescent="0.2">
      <c r="A946" s="50" t="s">
        <v>1329</v>
      </c>
      <c r="B946" s="50" t="s">
        <v>6</v>
      </c>
      <c r="C946" s="50" t="s">
        <v>64</v>
      </c>
      <c r="D946" s="50" t="s">
        <v>1393</v>
      </c>
      <c r="E946" s="50" t="s">
        <v>1331</v>
      </c>
      <c r="F946" s="50" t="s">
        <v>1332</v>
      </c>
      <c r="G946" s="50" t="s">
        <v>90</v>
      </c>
      <c r="H946" s="51">
        <v>2</v>
      </c>
      <c r="I946" s="52">
        <f>J946/H946</f>
        <v>7990</v>
      </c>
      <c r="J946" s="52">
        <v>15980</v>
      </c>
      <c r="K946" s="51">
        <v>103</v>
      </c>
      <c r="L946" s="53">
        <f>K946/H946*30</f>
        <v>1545</v>
      </c>
    </row>
    <row r="947" spans="1:12" s="2" customFormat="1" ht="13.95" customHeight="1" x14ac:dyDescent="0.2">
      <c r="A947" s="50" t="s">
        <v>70</v>
      </c>
      <c r="B947" s="50" t="s">
        <v>5</v>
      </c>
      <c r="C947" s="50" t="s">
        <v>33</v>
      </c>
      <c r="D947" s="50" t="s">
        <v>1394</v>
      </c>
      <c r="E947" s="50" t="s">
        <v>857</v>
      </c>
      <c r="F947" s="50" t="s">
        <v>137</v>
      </c>
      <c r="G947" s="50" t="s">
        <v>88</v>
      </c>
      <c r="H947" s="51">
        <v>1</v>
      </c>
      <c r="I947" s="52">
        <f>J947/H947</f>
        <v>14990</v>
      </c>
      <c r="J947" s="52">
        <v>14990</v>
      </c>
      <c r="K947" s="51">
        <v>49</v>
      </c>
      <c r="L947" s="53">
        <f>K947/H947*30</f>
        <v>1470</v>
      </c>
    </row>
    <row r="948" spans="1:12" s="2" customFormat="1" ht="13.95" customHeight="1" x14ac:dyDescent="0.2">
      <c r="A948" s="50" t="s">
        <v>70</v>
      </c>
      <c r="B948" s="50" t="s">
        <v>5</v>
      </c>
      <c r="C948" s="50" t="s">
        <v>33</v>
      </c>
      <c r="D948" s="50" t="s">
        <v>1395</v>
      </c>
      <c r="E948" s="50" t="s">
        <v>857</v>
      </c>
      <c r="F948" s="50" t="s">
        <v>106</v>
      </c>
      <c r="G948" s="50" t="s">
        <v>88</v>
      </c>
      <c r="H948" s="51">
        <v>1</v>
      </c>
      <c r="I948" s="52">
        <f>J948/H948</f>
        <v>14990</v>
      </c>
      <c r="J948" s="52">
        <v>14990</v>
      </c>
      <c r="K948" s="51">
        <v>51</v>
      </c>
      <c r="L948" s="53">
        <f>K948/H948*30</f>
        <v>1530</v>
      </c>
    </row>
    <row r="949" spans="1:12" s="2" customFormat="1" ht="13.95" customHeight="1" x14ac:dyDescent="0.2">
      <c r="A949" s="50" t="s">
        <v>70</v>
      </c>
      <c r="B949" s="50" t="s">
        <v>5</v>
      </c>
      <c r="C949" s="50" t="s">
        <v>42</v>
      </c>
      <c r="D949" s="50" t="s">
        <v>1396</v>
      </c>
      <c r="E949" s="50" t="s">
        <v>680</v>
      </c>
      <c r="F949" s="50" t="s">
        <v>73</v>
      </c>
      <c r="G949" s="50" t="s">
        <v>140</v>
      </c>
      <c r="H949" s="51">
        <v>1</v>
      </c>
      <c r="I949" s="52">
        <f>J949/H949</f>
        <v>14990</v>
      </c>
      <c r="J949" s="52">
        <v>14990</v>
      </c>
      <c r="K949" s="51">
        <v>15</v>
      </c>
      <c r="L949" s="53">
        <f>K949/H949*30</f>
        <v>450</v>
      </c>
    </row>
    <row r="950" spans="1:12" s="2" customFormat="1" ht="13.95" customHeight="1" x14ac:dyDescent="0.2">
      <c r="A950" s="50" t="s">
        <v>70</v>
      </c>
      <c r="B950" s="50" t="s">
        <v>5</v>
      </c>
      <c r="C950" s="50" t="s">
        <v>42</v>
      </c>
      <c r="D950" s="50" t="s">
        <v>1397</v>
      </c>
      <c r="E950" s="50" t="s">
        <v>680</v>
      </c>
      <c r="F950" s="50" t="s">
        <v>73</v>
      </c>
      <c r="G950" s="50" t="s">
        <v>88</v>
      </c>
      <c r="H950" s="51">
        <v>1</v>
      </c>
      <c r="I950" s="52">
        <f>J950/H950</f>
        <v>14990</v>
      </c>
      <c r="J950" s="52">
        <v>14990</v>
      </c>
      <c r="K950" s="51">
        <v>28</v>
      </c>
      <c r="L950" s="53">
        <f>K950/H950*30</f>
        <v>840</v>
      </c>
    </row>
    <row r="951" spans="1:12" s="2" customFormat="1" ht="13.95" customHeight="1" x14ac:dyDescent="0.2">
      <c r="A951" s="50" t="s">
        <v>70</v>
      </c>
      <c r="B951" s="50" t="s">
        <v>5</v>
      </c>
      <c r="C951" s="50" t="s">
        <v>42</v>
      </c>
      <c r="D951" s="50" t="s">
        <v>1398</v>
      </c>
      <c r="E951" s="50" t="s">
        <v>680</v>
      </c>
      <c r="F951" s="50" t="s">
        <v>73</v>
      </c>
      <c r="G951" s="50" t="s">
        <v>330</v>
      </c>
      <c r="H951" s="51">
        <v>1</v>
      </c>
      <c r="I951" s="52">
        <f>J951/H951</f>
        <v>14990</v>
      </c>
      <c r="J951" s="52">
        <v>14990</v>
      </c>
      <c r="K951" s="51">
        <v>7</v>
      </c>
      <c r="L951" s="53">
        <f>K951/H951*30</f>
        <v>210</v>
      </c>
    </row>
    <row r="952" spans="1:12" s="2" customFormat="1" ht="13.95" customHeight="1" x14ac:dyDescent="0.2">
      <c r="A952" s="50" t="s">
        <v>70</v>
      </c>
      <c r="B952" s="50" t="s">
        <v>5</v>
      </c>
      <c r="C952" s="50" t="s">
        <v>42</v>
      </c>
      <c r="D952" s="50" t="s">
        <v>1399</v>
      </c>
      <c r="E952" s="50" t="s">
        <v>680</v>
      </c>
      <c r="F952" s="50" t="s">
        <v>1131</v>
      </c>
      <c r="G952" s="50" t="s">
        <v>1400</v>
      </c>
      <c r="H952" s="51">
        <v>1</v>
      </c>
      <c r="I952" s="52">
        <f>J952/H952</f>
        <v>14990</v>
      </c>
      <c r="J952" s="52">
        <v>14990</v>
      </c>
      <c r="K952" s="51">
        <v>25</v>
      </c>
      <c r="L952" s="53">
        <f>K952/H952*30</f>
        <v>750</v>
      </c>
    </row>
    <row r="953" spans="1:12" s="2" customFormat="1" ht="13.95" customHeight="1" x14ac:dyDescent="0.2">
      <c r="A953" s="50" t="s">
        <v>1096</v>
      </c>
      <c r="B953" s="50" t="s">
        <v>9</v>
      </c>
      <c r="C953" s="50" t="s">
        <v>26</v>
      </c>
      <c r="D953" s="50" t="s">
        <v>1401</v>
      </c>
      <c r="E953" s="50" t="s">
        <v>1402</v>
      </c>
      <c r="F953" s="50" t="s">
        <v>1403</v>
      </c>
      <c r="G953" s="50" t="s">
        <v>90</v>
      </c>
      <c r="H953" s="51">
        <v>1</v>
      </c>
      <c r="I953" s="52">
        <f>J953/H953</f>
        <v>14990</v>
      </c>
      <c r="J953" s="52">
        <v>14990</v>
      </c>
      <c r="K953" s="51">
        <v>0</v>
      </c>
      <c r="L953" s="53">
        <f>K953/H953*30</f>
        <v>0</v>
      </c>
    </row>
    <row r="954" spans="1:12" s="2" customFormat="1" ht="13.95" customHeight="1" x14ac:dyDescent="0.2">
      <c r="A954" s="50" t="s">
        <v>70</v>
      </c>
      <c r="B954" s="50" t="s">
        <v>5</v>
      </c>
      <c r="C954" s="50" t="s">
        <v>40</v>
      </c>
      <c r="D954" s="50" t="s">
        <v>1404</v>
      </c>
      <c r="E954" s="50" t="s">
        <v>933</v>
      </c>
      <c r="F954" s="50" t="s">
        <v>137</v>
      </c>
      <c r="G954" s="50" t="s">
        <v>330</v>
      </c>
      <c r="H954" s="51">
        <v>1</v>
      </c>
      <c r="I954" s="52">
        <f>J954/H954</f>
        <v>13990</v>
      </c>
      <c r="J954" s="52">
        <v>13990</v>
      </c>
      <c r="K954" s="51">
        <v>8</v>
      </c>
      <c r="L954" s="53">
        <f>K954/H954*30</f>
        <v>240</v>
      </c>
    </row>
    <row r="955" spans="1:12" s="2" customFormat="1" ht="13.95" customHeight="1" x14ac:dyDescent="0.2">
      <c r="A955" s="50" t="s">
        <v>70</v>
      </c>
      <c r="B955" s="50" t="s">
        <v>7</v>
      </c>
      <c r="C955" s="50" t="s">
        <v>18</v>
      </c>
      <c r="D955" s="50" t="s">
        <v>1405</v>
      </c>
      <c r="E955" s="50" t="s">
        <v>1297</v>
      </c>
      <c r="F955" s="50" t="s">
        <v>106</v>
      </c>
      <c r="G955" s="50" t="s">
        <v>140</v>
      </c>
      <c r="H955" s="51">
        <v>1</v>
      </c>
      <c r="I955" s="52">
        <f>J955/H955</f>
        <v>12990</v>
      </c>
      <c r="J955" s="52">
        <v>12990</v>
      </c>
      <c r="K955" s="51">
        <v>0</v>
      </c>
      <c r="L955" s="53">
        <f>K955/H955*30</f>
        <v>0</v>
      </c>
    </row>
    <row r="956" spans="1:12" s="2" customFormat="1" ht="13.95" customHeight="1" x14ac:dyDescent="0.2">
      <c r="A956" s="50" t="s">
        <v>70</v>
      </c>
      <c r="B956" s="50" t="s">
        <v>7</v>
      </c>
      <c r="C956" s="50" t="s">
        <v>18</v>
      </c>
      <c r="D956" s="50" t="s">
        <v>1406</v>
      </c>
      <c r="E956" s="50" t="s">
        <v>1297</v>
      </c>
      <c r="F956" s="50" t="s">
        <v>106</v>
      </c>
      <c r="G956" s="50" t="s">
        <v>86</v>
      </c>
      <c r="H956" s="51">
        <v>1</v>
      </c>
      <c r="I956" s="52">
        <f>J956/H956</f>
        <v>12990</v>
      </c>
      <c r="J956" s="52">
        <v>12990</v>
      </c>
      <c r="K956" s="51">
        <v>0</v>
      </c>
      <c r="L956" s="53">
        <f>K956/H956*30</f>
        <v>0</v>
      </c>
    </row>
    <row r="957" spans="1:12" s="2" customFormat="1" ht="13.95" customHeight="1" x14ac:dyDescent="0.2">
      <c r="A957" s="50" t="s">
        <v>70</v>
      </c>
      <c r="B957" s="50" t="s">
        <v>5</v>
      </c>
      <c r="C957" s="50" t="s">
        <v>39</v>
      </c>
      <c r="D957" s="50" t="s">
        <v>1407</v>
      </c>
      <c r="E957" s="50" t="s">
        <v>1073</v>
      </c>
      <c r="F957" s="50" t="s">
        <v>73</v>
      </c>
      <c r="G957" s="50" t="s">
        <v>97</v>
      </c>
      <c r="H957" s="51">
        <v>1</v>
      </c>
      <c r="I957" s="52">
        <f>J957/H957</f>
        <v>12990</v>
      </c>
      <c r="J957" s="52">
        <v>12990</v>
      </c>
      <c r="K957" s="51">
        <v>0</v>
      </c>
      <c r="L957" s="53">
        <f>K957/H957*30</f>
        <v>0</v>
      </c>
    </row>
    <row r="958" spans="1:12" s="2" customFormat="1" ht="13.95" customHeight="1" x14ac:dyDescent="0.2">
      <c r="A958" s="50" t="s">
        <v>70</v>
      </c>
      <c r="B958" s="50" t="s">
        <v>5</v>
      </c>
      <c r="C958" s="50" t="s">
        <v>39</v>
      </c>
      <c r="D958" s="50" t="s">
        <v>1408</v>
      </c>
      <c r="E958" s="50" t="s">
        <v>1073</v>
      </c>
      <c r="F958" s="50" t="s">
        <v>73</v>
      </c>
      <c r="G958" s="50" t="s">
        <v>74</v>
      </c>
      <c r="H958" s="51">
        <v>1</v>
      </c>
      <c r="I958" s="52">
        <f>J958/H958</f>
        <v>12990</v>
      </c>
      <c r="J958" s="52">
        <v>12990</v>
      </c>
      <c r="K958" s="51">
        <v>16</v>
      </c>
      <c r="L958" s="53">
        <f>K958/H958*30</f>
        <v>480</v>
      </c>
    </row>
    <row r="959" spans="1:12" s="2" customFormat="1" ht="13.95" customHeight="1" x14ac:dyDescent="0.2">
      <c r="A959" s="50" t="s">
        <v>70</v>
      </c>
      <c r="B959" s="50" t="s">
        <v>5</v>
      </c>
      <c r="C959" s="50" t="s">
        <v>39</v>
      </c>
      <c r="D959" s="50" t="s">
        <v>1409</v>
      </c>
      <c r="E959" s="50" t="s">
        <v>1073</v>
      </c>
      <c r="F959" s="50" t="s">
        <v>216</v>
      </c>
      <c r="G959" s="50" t="s">
        <v>90</v>
      </c>
      <c r="H959" s="51">
        <v>1</v>
      </c>
      <c r="I959" s="52">
        <f>J959/H959</f>
        <v>12990</v>
      </c>
      <c r="J959" s="52">
        <v>12990</v>
      </c>
      <c r="K959" s="51">
        <v>5</v>
      </c>
      <c r="L959" s="53">
        <f>K959/H959*30</f>
        <v>150</v>
      </c>
    </row>
    <row r="960" spans="1:12" s="2" customFormat="1" ht="13.95" customHeight="1" x14ac:dyDescent="0.2">
      <c r="A960" s="50" t="s">
        <v>70</v>
      </c>
      <c r="B960" s="50" t="s">
        <v>5</v>
      </c>
      <c r="C960" s="50" t="s">
        <v>40</v>
      </c>
      <c r="D960" s="50" t="s">
        <v>1410</v>
      </c>
      <c r="E960" s="50" t="s">
        <v>933</v>
      </c>
      <c r="F960" s="50" t="s">
        <v>73</v>
      </c>
      <c r="G960" s="50" t="s">
        <v>88</v>
      </c>
      <c r="H960" s="51">
        <v>1</v>
      </c>
      <c r="I960" s="52">
        <f>J960/H960</f>
        <v>12990</v>
      </c>
      <c r="J960" s="52">
        <v>12990</v>
      </c>
      <c r="K960" s="51">
        <v>54</v>
      </c>
      <c r="L960" s="53">
        <f>K960/H960*30</f>
        <v>1620</v>
      </c>
    </row>
    <row r="961" spans="1:12" s="2" customFormat="1" ht="13.95" customHeight="1" x14ac:dyDescent="0.2">
      <c r="A961" s="50" t="s">
        <v>70</v>
      </c>
      <c r="B961" s="50" t="s">
        <v>5</v>
      </c>
      <c r="C961" s="50" t="s">
        <v>40</v>
      </c>
      <c r="D961" s="50" t="s">
        <v>1411</v>
      </c>
      <c r="E961" s="50" t="s">
        <v>933</v>
      </c>
      <c r="F961" s="50" t="s">
        <v>73</v>
      </c>
      <c r="G961" s="50" t="s">
        <v>86</v>
      </c>
      <c r="H961" s="51">
        <v>1</v>
      </c>
      <c r="I961" s="52">
        <f>J961/H961</f>
        <v>12990</v>
      </c>
      <c r="J961" s="52">
        <v>12990</v>
      </c>
      <c r="K961" s="51">
        <v>43</v>
      </c>
      <c r="L961" s="53">
        <f>K961/H961*30</f>
        <v>1290</v>
      </c>
    </row>
    <row r="962" spans="1:12" s="2" customFormat="1" ht="13.95" customHeight="1" x14ac:dyDescent="0.2">
      <c r="A962" s="50" t="s">
        <v>70</v>
      </c>
      <c r="B962" s="50" t="s">
        <v>5</v>
      </c>
      <c r="C962" s="50" t="s">
        <v>40</v>
      </c>
      <c r="D962" s="50" t="s">
        <v>1412</v>
      </c>
      <c r="E962" s="50" t="s">
        <v>933</v>
      </c>
      <c r="F962" s="50" t="s">
        <v>374</v>
      </c>
      <c r="G962" s="50" t="s">
        <v>330</v>
      </c>
      <c r="H962" s="51">
        <v>1</v>
      </c>
      <c r="I962" s="52">
        <f>J962/H962</f>
        <v>12990</v>
      </c>
      <c r="J962" s="52">
        <v>12990</v>
      </c>
      <c r="K962" s="51">
        <v>3</v>
      </c>
      <c r="L962" s="53">
        <f>K962/H962*30</f>
        <v>90</v>
      </c>
    </row>
    <row r="963" spans="1:12" s="2" customFormat="1" ht="13.95" customHeight="1" x14ac:dyDescent="0.2">
      <c r="A963" s="50" t="s">
        <v>70</v>
      </c>
      <c r="B963" s="50" t="s">
        <v>5</v>
      </c>
      <c r="C963" s="50" t="s">
        <v>40</v>
      </c>
      <c r="D963" s="50" t="s">
        <v>1413</v>
      </c>
      <c r="E963" s="50" t="s">
        <v>933</v>
      </c>
      <c r="F963" s="50" t="s">
        <v>106</v>
      </c>
      <c r="G963" s="50" t="s">
        <v>330</v>
      </c>
      <c r="H963" s="51">
        <v>1</v>
      </c>
      <c r="I963" s="52">
        <f>J963/H963</f>
        <v>12990</v>
      </c>
      <c r="J963" s="52">
        <v>12990</v>
      </c>
      <c r="K963" s="51">
        <v>0</v>
      </c>
      <c r="L963" s="53">
        <f>K963/H963*30</f>
        <v>0</v>
      </c>
    </row>
    <row r="964" spans="1:12" s="2" customFormat="1" ht="13.95" customHeight="1" x14ac:dyDescent="0.2">
      <c r="A964" s="50" t="s">
        <v>70</v>
      </c>
      <c r="B964" s="50" t="s">
        <v>5</v>
      </c>
      <c r="C964" s="50" t="s">
        <v>44</v>
      </c>
      <c r="D964" s="50" t="s">
        <v>1414</v>
      </c>
      <c r="E964" s="50" t="s">
        <v>1415</v>
      </c>
      <c r="F964" s="50" t="s">
        <v>216</v>
      </c>
      <c r="G964" s="50" t="s">
        <v>90</v>
      </c>
      <c r="H964" s="51">
        <v>1</v>
      </c>
      <c r="I964" s="52">
        <f>J964/H964</f>
        <v>12990</v>
      </c>
      <c r="J964" s="52">
        <v>12990</v>
      </c>
      <c r="K964" s="51">
        <v>25</v>
      </c>
      <c r="L964" s="53">
        <f>K964/H964*30</f>
        <v>750</v>
      </c>
    </row>
    <row r="965" spans="1:12" s="2" customFormat="1" ht="13.95" customHeight="1" x14ac:dyDescent="0.2">
      <c r="A965" s="50" t="s">
        <v>70</v>
      </c>
      <c r="B965" s="50" t="s">
        <v>5</v>
      </c>
      <c r="C965" s="50" t="s">
        <v>44</v>
      </c>
      <c r="D965" s="50" t="s">
        <v>1416</v>
      </c>
      <c r="E965" s="50" t="s">
        <v>1415</v>
      </c>
      <c r="F965" s="50" t="s">
        <v>216</v>
      </c>
      <c r="G965" s="50" t="s">
        <v>813</v>
      </c>
      <c r="H965" s="51">
        <v>1</v>
      </c>
      <c r="I965" s="52">
        <f>J965/H965</f>
        <v>12990</v>
      </c>
      <c r="J965" s="52">
        <v>12990</v>
      </c>
      <c r="K965" s="51">
        <v>24</v>
      </c>
      <c r="L965" s="53">
        <f>K965/H965*30</f>
        <v>720</v>
      </c>
    </row>
    <row r="966" spans="1:12" s="2" customFormat="1" ht="13.95" customHeight="1" x14ac:dyDescent="0.2">
      <c r="A966" s="50" t="s">
        <v>70</v>
      </c>
      <c r="B966" s="50" t="s">
        <v>5</v>
      </c>
      <c r="C966" s="50" t="s">
        <v>45</v>
      </c>
      <c r="D966" s="50" t="s">
        <v>1417</v>
      </c>
      <c r="E966" s="50" t="s">
        <v>592</v>
      </c>
      <c r="F966" s="50" t="s">
        <v>73</v>
      </c>
      <c r="G966" s="50" t="s">
        <v>330</v>
      </c>
      <c r="H966" s="51">
        <v>1</v>
      </c>
      <c r="I966" s="52">
        <f>J966/H966</f>
        <v>12990</v>
      </c>
      <c r="J966" s="52">
        <v>12990</v>
      </c>
      <c r="K966" s="51">
        <v>0</v>
      </c>
      <c r="L966" s="53">
        <f>K966/H966*30</f>
        <v>0</v>
      </c>
    </row>
    <row r="967" spans="1:12" s="2" customFormat="1" ht="13.95" customHeight="1" x14ac:dyDescent="0.2">
      <c r="A967" s="50" t="s">
        <v>70</v>
      </c>
      <c r="B967" s="50" t="s">
        <v>11</v>
      </c>
      <c r="C967" s="50" t="s">
        <v>11</v>
      </c>
      <c r="D967" s="50" t="s">
        <v>1418</v>
      </c>
      <c r="E967" s="50" t="s">
        <v>1419</v>
      </c>
      <c r="F967" s="50" t="s">
        <v>1176</v>
      </c>
      <c r="G967" s="50" t="s">
        <v>1176</v>
      </c>
      <c r="H967" s="51">
        <v>1</v>
      </c>
      <c r="I967" s="52">
        <f>J967/H967</f>
        <v>11990</v>
      </c>
      <c r="J967" s="52">
        <v>11990</v>
      </c>
      <c r="K967" s="51">
        <v>0</v>
      </c>
      <c r="L967" s="53">
        <f>K967/H967*30</f>
        <v>0</v>
      </c>
    </row>
    <row r="968" spans="1:12" s="2" customFormat="1" ht="13.95" customHeight="1" x14ac:dyDescent="0.2">
      <c r="A968" s="50" t="s">
        <v>70</v>
      </c>
      <c r="B968" s="50" t="s">
        <v>5</v>
      </c>
      <c r="C968" s="50" t="s">
        <v>37</v>
      </c>
      <c r="D968" s="50" t="s">
        <v>1420</v>
      </c>
      <c r="E968" s="50" t="s">
        <v>1219</v>
      </c>
      <c r="F968" s="50" t="s">
        <v>374</v>
      </c>
      <c r="G968" s="50" t="s">
        <v>86</v>
      </c>
      <c r="H968" s="51">
        <v>2</v>
      </c>
      <c r="I968" s="52">
        <f>J968/H968</f>
        <v>5990</v>
      </c>
      <c r="J968" s="52">
        <v>11980</v>
      </c>
      <c r="K968" s="51">
        <v>30</v>
      </c>
      <c r="L968" s="53">
        <f>K968/H968*30</f>
        <v>450</v>
      </c>
    </row>
    <row r="969" spans="1:12" s="2" customFormat="1" ht="13.95" customHeight="1" x14ac:dyDescent="0.2">
      <c r="A969" s="50" t="s">
        <v>70</v>
      </c>
      <c r="B969" s="50" t="s">
        <v>5</v>
      </c>
      <c r="C969" s="50" t="s">
        <v>37</v>
      </c>
      <c r="D969" s="50" t="s">
        <v>1421</v>
      </c>
      <c r="E969" s="50" t="s">
        <v>1219</v>
      </c>
      <c r="F969" s="50" t="s">
        <v>216</v>
      </c>
      <c r="G969" s="50" t="s">
        <v>414</v>
      </c>
      <c r="H969" s="51">
        <v>2</v>
      </c>
      <c r="I969" s="52">
        <f>J969/H969</f>
        <v>5990</v>
      </c>
      <c r="J969" s="52">
        <v>11980</v>
      </c>
      <c r="K969" s="51">
        <v>16</v>
      </c>
      <c r="L969" s="53">
        <f>K969/H969*30</f>
        <v>240</v>
      </c>
    </row>
    <row r="970" spans="1:12" s="2" customFormat="1" ht="13.95" customHeight="1" x14ac:dyDescent="0.2">
      <c r="A970" s="50" t="s">
        <v>70</v>
      </c>
      <c r="B970" s="50" t="s">
        <v>5</v>
      </c>
      <c r="C970" s="50" t="s">
        <v>45</v>
      </c>
      <c r="D970" s="50" t="s">
        <v>1422</v>
      </c>
      <c r="E970" s="50" t="s">
        <v>474</v>
      </c>
      <c r="F970" s="50" t="s">
        <v>155</v>
      </c>
      <c r="G970" s="50" t="s">
        <v>156</v>
      </c>
      <c r="H970" s="51">
        <v>1</v>
      </c>
      <c r="I970" s="52">
        <f>J970/H970</f>
        <v>9990</v>
      </c>
      <c r="J970" s="52">
        <v>9990</v>
      </c>
      <c r="K970" s="51">
        <v>25</v>
      </c>
      <c r="L970" s="53">
        <f>K970/H970*30</f>
        <v>750</v>
      </c>
    </row>
    <row r="971" spans="1:12" s="2" customFormat="1" ht="13.95" customHeight="1" x14ac:dyDescent="0.2">
      <c r="A971" s="50" t="s">
        <v>70</v>
      </c>
      <c r="B971" s="50" t="s">
        <v>5</v>
      </c>
      <c r="C971" s="50" t="s">
        <v>44</v>
      </c>
      <c r="D971" s="50" t="s">
        <v>1423</v>
      </c>
      <c r="E971" s="50" t="s">
        <v>1373</v>
      </c>
      <c r="F971" s="50" t="s">
        <v>73</v>
      </c>
      <c r="G971" s="50" t="s">
        <v>84</v>
      </c>
      <c r="H971" s="51">
        <v>1</v>
      </c>
      <c r="I971" s="52">
        <f>J971/H971</f>
        <v>8990</v>
      </c>
      <c r="J971" s="52">
        <v>8990</v>
      </c>
      <c r="K971" s="51">
        <v>24</v>
      </c>
      <c r="L971" s="53">
        <f>K971/H971*30</f>
        <v>720</v>
      </c>
    </row>
    <row r="972" spans="1:12" s="2" customFormat="1" ht="13.95" customHeight="1" x14ac:dyDescent="0.2">
      <c r="A972" s="50" t="s">
        <v>70</v>
      </c>
      <c r="B972" s="50" t="s">
        <v>5</v>
      </c>
      <c r="C972" s="50" t="s">
        <v>37</v>
      </c>
      <c r="D972" s="50" t="s">
        <v>1424</v>
      </c>
      <c r="E972" s="50" t="s">
        <v>1328</v>
      </c>
      <c r="F972" s="50" t="s">
        <v>216</v>
      </c>
      <c r="G972" s="50" t="s">
        <v>90</v>
      </c>
      <c r="H972" s="51">
        <v>1</v>
      </c>
      <c r="I972" s="52">
        <f>J972/H972</f>
        <v>7990</v>
      </c>
      <c r="J972" s="52">
        <v>7990</v>
      </c>
      <c r="K972" s="51">
        <v>9</v>
      </c>
      <c r="L972" s="53">
        <f>K972/H972*30</f>
        <v>270</v>
      </c>
    </row>
    <row r="973" spans="1:12" s="2" customFormat="1" ht="13.95" customHeight="1" x14ac:dyDescent="0.2">
      <c r="A973" s="50" t="s">
        <v>70</v>
      </c>
      <c r="B973" s="50" t="s">
        <v>5</v>
      </c>
      <c r="C973" s="50" t="s">
        <v>37</v>
      </c>
      <c r="D973" s="50" t="s">
        <v>1425</v>
      </c>
      <c r="E973" s="50" t="s">
        <v>1328</v>
      </c>
      <c r="F973" s="50" t="s">
        <v>216</v>
      </c>
      <c r="G973" s="50" t="s">
        <v>1371</v>
      </c>
      <c r="H973" s="51">
        <v>1</v>
      </c>
      <c r="I973" s="52">
        <f>J973/H973</f>
        <v>7990</v>
      </c>
      <c r="J973" s="52">
        <v>7990</v>
      </c>
      <c r="K973" s="51">
        <v>10</v>
      </c>
      <c r="L973" s="53">
        <f>K973/H973*30</f>
        <v>300</v>
      </c>
    </row>
    <row r="974" spans="1:12" s="2" customFormat="1" ht="13.95" customHeight="1" x14ac:dyDescent="0.2">
      <c r="A974" s="50" t="s">
        <v>70</v>
      </c>
      <c r="B974" s="50" t="s">
        <v>5</v>
      </c>
      <c r="C974" s="50" t="s">
        <v>37</v>
      </c>
      <c r="D974" s="50" t="s">
        <v>1426</v>
      </c>
      <c r="E974" s="50" t="s">
        <v>1328</v>
      </c>
      <c r="F974" s="50" t="s">
        <v>216</v>
      </c>
      <c r="G974" s="50" t="s">
        <v>86</v>
      </c>
      <c r="H974" s="51">
        <v>1</v>
      </c>
      <c r="I974" s="52">
        <f>J974/H974</f>
        <v>7990</v>
      </c>
      <c r="J974" s="52">
        <v>7990</v>
      </c>
      <c r="K974" s="51">
        <v>12</v>
      </c>
      <c r="L974" s="53">
        <f>K974/H974*30</f>
        <v>360</v>
      </c>
    </row>
    <row r="975" spans="1:12" s="2" customFormat="1" ht="13.95" customHeight="1" x14ac:dyDescent="0.2">
      <c r="A975" s="50" t="s">
        <v>70</v>
      </c>
      <c r="B975" s="50" t="s">
        <v>5</v>
      </c>
      <c r="C975" s="50" t="s">
        <v>37</v>
      </c>
      <c r="D975" s="50" t="s">
        <v>1427</v>
      </c>
      <c r="E975" s="50" t="s">
        <v>1328</v>
      </c>
      <c r="F975" s="50" t="s">
        <v>155</v>
      </c>
      <c r="G975" s="50" t="s">
        <v>1287</v>
      </c>
      <c r="H975" s="51">
        <v>1</v>
      </c>
      <c r="I975" s="52">
        <f>J975/H975</f>
        <v>7990</v>
      </c>
      <c r="J975" s="52">
        <v>7990</v>
      </c>
      <c r="K975" s="51">
        <v>0</v>
      </c>
      <c r="L975" s="53">
        <f>K975/H975*30</f>
        <v>0</v>
      </c>
    </row>
    <row r="976" spans="1:12" s="2" customFormat="1" ht="13.95" customHeight="1" x14ac:dyDescent="0.2">
      <c r="A976" s="50" t="s">
        <v>70</v>
      </c>
      <c r="B976" s="50" t="s">
        <v>5</v>
      </c>
      <c r="C976" s="50" t="s">
        <v>45</v>
      </c>
      <c r="D976" s="50" t="s">
        <v>1428</v>
      </c>
      <c r="E976" s="50" t="s">
        <v>1429</v>
      </c>
      <c r="F976" s="50" t="s">
        <v>73</v>
      </c>
      <c r="G976" s="50" t="s">
        <v>86</v>
      </c>
      <c r="H976" s="51">
        <v>1</v>
      </c>
      <c r="I976" s="52">
        <f>J976/H976</f>
        <v>7990</v>
      </c>
      <c r="J976" s="52">
        <v>7990</v>
      </c>
      <c r="K976" s="51">
        <v>1</v>
      </c>
      <c r="L976" s="53">
        <f>K976/H976*30</f>
        <v>30</v>
      </c>
    </row>
    <row r="977" spans="1:12" s="2" customFormat="1" ht="13.95" customHeight="1" x14ac:dyDescent="0.2">
      <c r="A977" s="50" t="s">
        <v>70</v>
      </c>
      <c r="B977" s="50" t="s">
        <v>11</v>
      </c>
      <c r="C977" s="50" t="s">
        <v>11</v>
      </c>
      <c r="D977" s="50" t="s">
        <v>1430</v>
      </c>
      <c r="E977" s="50" t="s">
        <v>1431</v>
      </c>
      <c r="F977" s="50"/>
      <c r="G977" s="50"/>
      <c r="H977" s="51">
        <v>1</v>
      </c>
      <c r="I977" s="52">
        <f>J977/H977</f>
        <v>7990</v>
      </c>
      <c r="J977" s="52">
        <v>7990</v>
      </c>
      <c r="K977" s="51">
        <v>1</v>
      </c>
      <c r="L977" s="53">
        <f>K977/H977*30</f>
        <v>30</v>
      </c>
    </row>
    <row r="978" spans="1:12" s="2" customFormat="1" ht="13.95" customHeight="1" x14ac:dyDescent="0.2">
      <c r="A978" s="50" t="s">
        <v>70</v>
      </c>
      <c r="B978" s="50" t="s">
        <v>5</v>
      </c>
      <c r="C978" s="50" t="s">
        <v>45</v>
      </c>
      <c r="D978" s="50" t="s">
        <v>1432</v>
      </c>
      <c r="E978" s="50" t="s">
        <v>1433</v>
      </c>
      <c r="F978" s="50" t="s">
        <v>73</v>
      </c>
      <c r="G978" s="50" t="s">
        <v>86</v>
      </c>
      <c r="H978" s="51">
        <v>1</v>
      </c>
      <c r="I978" s="52">
        <f>J978/H978</f>
        <v>6990</v>
      </c>
      <c r="J978" s="52">
        <v>6990</v>
      </c>
      <c r="K978" s="51">
        <v>0</v>
      </c>
      <c r="L978" s="53">
        <f>K978/H978*30</f>
        <v>0</v>
      </c>
    </row>
    <row r="979" spans="1:12" s="2" customFormat="1" ht="13.95" customHeight="1" x14ac:dyDescent="0.2">
      <c r="A979" s="50" t="s">
        <v>70</v>
      </c>
      <c r="B979" s="50" t="s">
        <v>11</v>
      </c>
      <c r="C979" s="50" t="s">
        <v>11</v>
      </c>
      <c r="D979" s="50" t="s">
        <v>1434</v>
      </c>
      <c r="E979" s="50" t="s">
        <v>1435</v>
      </c>
      <c r="F979" s="50"/>
      <c r="G979" s="50"/>
      <c r="H979" s="51">
        <v>1</v>
      </c>
      <c r="I979" s="52">
        <f>J979/H979</f>
        <v>6490</v>
      </c>
      <c r="J979" s="52">
        <v>6490</v>
      </c>
      <c r="K979" s="51">
        <v>0</v>
      </c>
      <c r="L979" s="53">
        <f>K979/H979*30</f>
        <v>0</v>
      </c>
    </row>
    <row r="980" spans="1:12" s="2" customFormat="1" ht="13.95" customHeight="1" x14ac:dyDescent="0.2">
      <c r="A980" s="50" t="s">
        <v>70</v>
      </c>
      <c r="B980" s="50" t="s">
        <v>5</v>
      </c>
      <c r="C980" s="50" t="s">
        <v>37</v>
      </c>
      <c r="D980" s="50" t="s">
        <v>1436</v>
      </c>
      <c r="E980" s="50" t="s">
        <v>1219</v>
      </c>
      <c r="F980" s="50" t="s">
        <v>216</v>
      </c>
      <c r="G980" s="50" t="s">
        <v>90</v>
      </c>
      <c r="H980" s="51">
        <v>1</v>
      </c>
      <c r="I980" s="52">
        <f>J980/H980</f>
        <v>5990</v>
      </c>
      <c r="J980" s="52">
        <v>5990</v>
      </c>
      <c r="K980" s="51">
        <v>15</v>
      </c>
      <c r="L980" s="53">
        <f>K980/H980*30</f>
        <v>450</v>
      </c>
    </row>
    <row r="981" spans="1:12" s="2" customFormat="1" ht="13.95" customHeight="1" x14ac:dyDescent="0.2">
      <c r="A981" s="50" t="s">
        <v>70</v>
      </c>
      <c r="B981" s="50" t="s">
        <v>5</v>
      </c>
      <c r="C981" s="50" t="s">
        <v>37</v>
      </c>
      <c r="D981" s="50" t="s">
        <v>1437</v>
      </c>
      <c r="E981" s="50" t="s">
        <v>1219</v>
      </c>
      <c r="F981" s="50" t="s">
        <v>216</v>
      </c>
      <c r="G981" s="50" t="s">
        <v>1371</v>
      </c>
      <c r="H981" s="51">
        <v>1</v>
      </c>
      <c r="I981" s="52">
        <f>J981/H981</f>
        <v>5990</v>
      </c>
      <c r="J981" s="52">
        <v>5990</v>
      </c>
      <c r="K981" s="51">
        <v>19</v>
      </c>
      <c r="L981" s="53">
        <f>K981/H981*30</f>
        <v>570</v>
      </c>
    </row>
    <row r="982" spans="1:12" s="2" customFormat="1" ht="13.95" customHeight="1" x14ac:dyDescent="0.2">
      <c r="A982" s="50" t="s">
        <v>70</v>
      </c>
      <c r="B982" s="50" t="s">
        <v>7</v>
      </c>
      <c r="C982" s="50" t="s">
        <v>22</v>
      </c>
      <c r="D982" s="50" t="s">
        <v>1438</v>
      </c>
      <c r="E982" s="50" t="s">
        <v>22</v>
      </c>
      <c r="F982" s="50" t="s">
        <v>216</v>
      </c>
      <c r="G982" s="50" t="s">
        <v>90</v>
      </c>
      <c r="H982" s="51">
        <v>2</v>
      </c>
      <c r="I982" s="52">
        <f>J982/H982</f>
        <v>2990</v>
      </c>
      <c r="J982" s="52">
        <v>5980</v>
      </c>
      <c r="K982" s="51">
        <v>2</v>
      </c>
      <c r="L982" s="53">
        <f>K982/H982*30</f>
        <v>30</v>
      </c>
    </row>
    <row r="983" spans="1:12" s="2" customFormat="1" ht="13.95" customHeight="1" x14ac:dyDescent="0.2">
      <c r="A983" s="50" t="s">
        <v>70</v>
      </c>
      <c r="B983" s="50" t="s">
        <v>5</v>
      </c>
      <c r="C983" s="50" t="s">
        <v>37</v>
      </c>
      <c r="D983" s="50" t="s">
        <v>1439</v>
      </c>
      <c r="E983" s="50" t="s">
        <v>1202</v>
      </c>
      <c r="F983" s="50" t="s">
        <v>216</v>
      </c>
      <c r="G983" s="50" t="s">
        <v>90</v>
      </c>
      <c r="H983" s="51">
        <v>1</v>
      </c>
      <c r="I983" s="52">
        <f>J983/H983</f>
        <v>4990</v>
      </c>
      <c r="J983" s="52">
        <v>4990</v>
      </c>
      <c r="K983" s="51">
        <v>1</v>
      </c>
      <c r="L983" s="53">
        <f>K983/H983*30</f>
        <v>30</v>
      </c>
    </row>
    <row r="984" spans="1:12" s="2" customFormat="1" ht="13.95" customHeight="1" x14ac:dyDescent="0.2">
      <c r="A984" s="50" t="s">
        <v>70</v>
      </c>
      <c r="B984" s="50" t="s">
        <v>5</v>
      </c>
      <c r="C984" s="50" t="s">
        <v>37</v>
      </c>
      <c r="D984" s="50" t="s">
        <v>1440</v>
      </c>
      <c r="E984" s="50" t="s">
        <v>1202</v>
      </c>
      <c r="F984" s="50" t="s">
        <v>216</v>
      </c>
      <c r="G984" s="50" t="s">
        <v>414</v>
      </c>
      <c r="H984" s="51">
        <v>1</v>
      </c>
      <c r="I984" s="52">
        <f>J984/H984</f>
        <v>4990</v>
      </c>
      <c r="J984" s="52">
        <v>4990</v>
      </c>
      <c r="K984" s="51">
        <v>14</v>
      </c>
      <c r="L984" s="53">
        <f>K984/H984*30</f>
        <v>420</v>
      </c>
    </row>
    <row r="985" spans="1:12" s="2" customFormat="1" ht="13.95" customHeight="1" x14ac:dyDescent="0.2">
      <c r="A985" s="50" t="s">
        <v>70</v>
      </c>
      <c r="B985" s="50" t="s">
        <v>5</v>
      </c>
      <c r="C985" s="50" t="s">
        <v>37</v>
      </c>
      <c r="D985" s="50" t="s">
        <v>1441</v>
      </c>
      <c r="E985" s="50" t="s">
        <v>1202</v>
      </c>
      <c r="F985" s="50" t="s">
        <v>216</v>
      </c>
      <c r="G985" s="50" t="s">
        <v>86</v>
      </c>
      <c r="H985" s="51">
        <v>1</v>
      </c>
      <c r="I985" s="52">
        <f>J985/H985</f>
        <v>4990</v>
      </c>
      <c r="J985" s="52">
        <v>4990</v>
      </c>
      <c r="K985" s="51">
        <v>0</v>
      </c>
      <c r="L985" s="53">
        <f>K985/H985*30</f>
        <v>0</v>
      </c>
    </row>
    <row r="986" spans="1:12" s="2" customFormat="1" ht="13.95" customHeight="1" x14ac:dyDescent="0.2">
      <c r="A986" s="50" t="s">
        <v>70</v>
      </c>
      <c r="B986" s="50" t="s">
        <v>11</v>
      </c>
      <c r="C986" s="50" t="s">
        <v>11</v>
      </c>
      <c r="D986" s="50" t="s">
        <v>1442</v>
      </c>
      <c r="E986" s="50" t="s">
        <v>1443</v>
      </c>
      <c r="F986" s="50" t="s">
        <v>1176</v>
      </c>
      <c r="G986" s="50" t="s">
        <v>1176</v>
      </c>
      <c r="H986" s="51">
        <v>1</v>
      </c>
      <c r="I986" s="52">
        <f>J986/H986</f>
        <v>4990</v>
      </c>
      <c r="J986" s="52">
        <v>4990</v>
      </c>
      <c r="K986" s="51">
        <v>1</v>
      </c>
      <c r="L986" s="53">
        <f>K986/H986*30</f>
        <v>30</v>
      </c>
    </row>
    <row r="987" spans="1:12" s="2" customFormat="1" ht="13.95" customHeight="1" x14ac:dyDescent="0.2">
      <c r="A987" s="50" t="s">
        <v>70</v>
      </c>
      <c r="B987" s="50" t="s">
        <v>5</v>
      </c>
      <c r="C987" s="50" t="s">
        <v>44</v>
      </c>
      <c r="D987" s="50" t="s">
        <v>1444</v>
      </c>
      <c r="E987" s="50" t="s">
        <v>1445</v>
      </c>
      <c r="F987" s="50" t="s">
        <v>216</v>
      </c>
      <c r="G987" s="50" t="s">
        <v>90</v>
      </c>
      <c r="H987" s="51">
        <v>1</v>
      </c>
      <c r="I987" s="52">
        <f>J987/H987</f>
        <v>3990</v>
      </c>
      <c r="J987" s="52">
        <v>3990</v>
      </c>
      <c r="K987" s="51">
        <v>22</v>
      </c>
      <c r="L987" s="53">
        <f>K987/H987*30</f>
        <v>660</v>
      </c>
    </row>
    <row r="988" spans="1:12" s="2" customFormat="1" ht="13.95" customHeight="1" x14ac:dyDescent="0.2">
      <c r="A988" s="50" t="s">
        <v>70</v>
      </c>
      <c r="B988" s="50" t="s">
        <v>5</v>
      </c>
      <c r="C988" s="50" t="s">
        <v>44</v>
      </c>
      <c r="D988" s="50" t="s">
        <v>1446</v>
      </c>
      <c r="E988" s="50" t="s">
        <v>1445</v>
      </c>
      <c r="F988" s="50" t="s">
        <v>216</v>
      </c>
      <c r="G988" s="50" t="s">
        <v>414</v>
      </c>
      <c r="H988" s="51">
        <v>1</v>
      </c>
      <c r="I988" s="52">
        <f>J988/H988</f>
        <v>3990</v>
      </c>
      <c r="J988" s="52">
        <v>3990</v>
      </c>
      <c r="K988" s="51">
        <v>42</v>
      </c>
      <c r="L988" s="53">
        <f>K988/H988*30</f>
        <v>1260</v>
      </c>
    </row>
    <row r="989" spans="1:12" s="2" customFormat="1" ht="13.95" customHeight="1" x14ac:dyDescent="0.2">
      <c r="A989" s="50" t="s">
        <v>70</v>
      </c>
      <c r="B989" s="50" t="s">
        <v>5</v>
      </c>
      <c r="C989" s="50" t="s">
        <v>44</v>
      </c>
      <c r="D989" s="50" t="s">
        <v>1447</v>
      </c>
      <c r="E989" s="50" t="s">
        <v>1445</v>
      </c>
      <c r="F989" s="50" t="s">
        <v>216</v>
      </c>
      <c r="G989" s="50" t="s">
        <v>86</v>
      </c>
      <c r="H989" s="51">
        <v>1</v>
      </c>
      <c r="I989" s="52">
        <f>J989/H989</f>
        <v>3990</v>
      </c>
      <c r="J989" s="52">
        <v>3990</v>
      </c>
      <c r="K989" s="51">
        <v>42</v>
      </c>
      <c r="L989" s="53">
        <f>K989/H989*30</f>
        <v>1260</v>
      </c>
    </row>
    <row r="990" spans="1:12" s="2" customFormat="1" ht="13.95" customHeight="1" x14ac:dyDescent="0.2">
      <c r="A990" s="50" t="s">
        <v>70</v>
      </c>
      <c r="B990" s="50" t="s">
        <v>5</v>
      </c>
      <c r="C990" s="50" t="s">
        <v>44</v>
      </c>
      <c r="D990" s="50" t="s">
        <v>1448</v>
      </c>
      <c r="E990" s="50" t="s">
        <v>1445</v>
      </c>
      <c r="F990" s="50" t="s">
        <v>216</v>
      </c>
      <c r="G990" s="50" t="s">
        <v>112</v>
      </c>
      <c r="H990" s="51">
        <v>1</v>
      </c>
      <c r="I990" s="52">
        <f>J990/H990</f>
        <v>3990</v>
      </c>
      <c r="J990" s="52">
        <v>3990</v>
      </c>
      <c r="K990" s="51">
        <v>22</v>
      </c>
      <c r="L990" s="53">
        <f>K990/H990*30</f>
        <v>660</v>
      </c>
    </row>
    <row r="991" spans="1:12" s="2" customFormat="1" ht="13.95" customHeight="1" x14ac:dyDescent="0.2">
      <c r="A991" s="50" t="s">
        <v>70</v>
      </c>
      <c r="B991" s="50" t="s">
        <v>5</v>
      </c>
      <c r="C991" s="50" t="s">
        <v>44</v>
      </c>
      <c r="D991" s="50" t="s">
        <v>1449</v>
      </c>
      <c r="E991" s="50" t="s">
        <v>1445</v>
      </c>
      <c r="F991" s="50" t="s">
        <v>216</v>
      </c>
      <c r="G991" s="50" t="s">
        <v>813</v>
      </c>
      <c r="H991" s="51">
        <v>1</v>
      </c>
      <c r="I991" s="52">
        <f>J991/H991</f>
        <v>3990</v>
      </c>
      <c r="J991" s="52">
        <v>3990</v>
      </c>
      <c r="K991" s="51">
        <v>13</v>
      </c>
      <c r="L991" s="53">
        <f>K991/H991*30</f>
        <v>390</v>
      </c>
    </row>
  </sheetData>
  <sortState xmlns:xlrd2="http://schemas.microsoft.com/office/spreadsheetml/2017/richdata2" ref="A3:S991">
    <sortCondition descending="1" ref="J3:J991"/>
  </sortState>
  <conditionalFormatting sqref="D1:D1048576">
    <cfRule type="duplicateValues" dxfId="1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587A-0E23-49CC-ACB7-803DFB1F8C4F}">
  <dimension ref="A1:L1050"/>
  <sheetViews>
    <sheetView showGridLines="0" zoomScaleNormal="100" zoomScaleSheetLayoutView="100" workbookViewId="0">
      <selection activeCell="J1050" sqref="J1050"/>
    </sheetView>
  </sheetViews>
  <sheetFormatPr baseColWidth="10" defaultRowHeight="14.4" outlineLevelRow="2" x14ac:dyDescent="0.3"/>
  <cols>
    <col min="1" max="1" width="13.44140625" bestFit="1" customWidth="1"/>
    <col min="2" max="2" width="14.109375" bestFit="1" customWidth="1"/>
    <col min="3" max="3" width="16.5546875" bestFit="1" customWidth="1"/>
    <col min="4" max="4" width="16.109375" bestFit="1" customWidth="1"/>
    <col min="5" max="5" width="32.77734375" bestFit="1" customWidth="1"/>
    <col min="6" max="6" width="15.33203125" bestFit="1" customWidth="1"/>
    <col min="7" max="7" width="25.109375" bestFit="1" customWidth="1"/>
    <col min="8" max="8" width="4.88671875" style="44" bestFit="1" customWidth="1"/>
    <col min="9" max="9" width="9" style="43" bestFit="1" customWidth="1"/>
    <col min="10" max="10" width="11.88671875" style="43" bestFit="1" customWidth="1"/>
    <col min="11" max="11" width="5.21875" style="44" bestFit="1" customWidth="1"/>
    <col min="12" max="12" width="4.33203125" style="36" bestFit="1" customWidth="1"/>
  </cols>
  <sheetData>
    <row r="1" spans="1:12" s="37" customFormat="1" x14ac:dyDescent="0.3">
      <c r="A1" s="45" t="s">
        <v>1512</v>
      </c>
      <c r="B1" s="45" t="s">
        <v>1513</v>
      </c>
      <c r="C1" s="45" t="s">
        <v>1514</v>
      </c>
      <c r="D1" s="45" t="s">
        <v>1515</v>
      </c>
      <c r="E1" s="45" t="s">
        <v>1516</v>
      </c>
      <c r="F1" s="45" t="s">
        <v>1517</v>
      </c>
      <c r="G1" s="45" t="s">
        <v>1518</v>
      </c>
      <c r="H1" s="45" t="s">
        <v>1519</v>
      </c>
      <c r="I1" s="45" t="s">
        <v>1520</v>
      </c>
      <c r="J1" s="45" t="s">
        <v>3</v>
      </c>
      <c r="K1" s="45" t="s">
        <v>1521</v>
      </c>
      <c r="L1" s="45" t="s">
        <v>69</v>
      </c>
    </row>
    <row r="2" spans="1:12" s="2" customFormat="1" ht="13.95" customHeight="1" outlineLevel="2" x14ac:dyDescent="0.2">
      <c r="A2" s="54" t="s">
        <v>880</v>
      </c>
      <c r="B2" s="54" t="s">
        <v>7</v>
      </c>
      <c r="C2" s="54" t="s">
        <v>14</v>
      </c>
      <c r="D2" s="54" t="s">
        <v>881</v>
      </c>
      <c r="E2" s="54" t="s">
        <v>882</v>
      </c>
      <c r="F2" s="54" t="s">
        <v>883</v>
      </c>
      <c r="G2" s="54" t="s">
        <v>448</v>
      </c>
      <c r="H2" s="55">
        <v>1</v>
      </c>
      <c r="I2" s="56">
        <f>J2/H2</f>
        <v>79990</v>
      </c>
      <c r="J2" s="56">
        <v>79990</v>
      </c>
      <c r="K2" s="55">
        <v>20</v>
      </c>
      <c r="L2" s="57">
        <f>K2/H2*30</f>
        <v>600</v>
      </c>
    </row>
    <row r="3" spans="1:12" s="2" customFormat="1" ht="13.95" customHeight="1" outlineLevel="2" x14ac:dyDescent="0.2">
      <c r="A3" s="50" t="s">
        <v>880</v>
      </c>
      <c r="B3" s="50" t="s">
        <v>7</v>
      </c>
      <c r="C3" s="50" t="s">
        <v>14</v>
      </c>
      <c r="D3" s="50" t="s">
        <v>1009</v>
      </c>
      <c r="E3" s="50" t="s">
        <v>1010</v>
      </c>
      <c r="F3" s="50" t="s">
        <v>883</v>
      </c>
      <c r="G3" s="50" t="s">
        <v>86</v>
      </c>
      <c r="H3" s="51">
        <v>1</v>
      </c>
      <c r="I3" s="52">
        <f>J3/H3</f>
        <v>55993</v>
      </c>
      <c r="J3" s="52">
        <v>55993</v>
      </c>
      <c r="K3" s="51">
        <v>17</v>
      </c>
      <c r="L3" s="53">
        <f>K3/H3*30</f>
        <v>510</v>
      </c>
    </row>
    <row r="4" spans="1:12" s="2" customFormat="1" ht="13.95" customHeight="1" outlineLevel="1" x14ac:dyDescent="0.2">
      <c r="A4" s="50"/>
      <c r="B4" s="50"/>
      <c r="C4" s="58" t="s">
        <v>1493</v>
      </c>
      <c r="D4" s="50"/>
      <c r="E4" s="50"/>
      <c r="F4" s="50"/>
      <c r="G4" s="50"/>
      <c r="H4" s="51">
        <f>SUBTOTAL(9,H2:H3)</f>
        <v>2</v>
      </c>
      <c r="I4" s="52"/>
      <c r="J4" s="52">
        <f>SUBTOTAL(9,J2:J3)</f>
        <v>135983</v>
      </c>
      <c r="K4" s="51"/>
      <c r="L4" s="53"/>
    </row>
    <row r="5" spans="1:12" s="2" customFormat="1" ht="13.95" customHeight="1" outlineLevel="2" x14ac:dyDescent="0.2">
      <c r="A5" s="50" t="s">
        <v>70</v>
      </c>
      <c r="B5" s="50" t="s">
        <v>7</v>
      </c>
      <c r="C5" s="50" t="s">
        <v>15</v>
      </c>
      <c r="D5" s="50" t="s">
        <v>1028</v>
      </c>
      <c r="E5" s="50" t="s">
        <v>1029</v>
      </c>
      <c r="F5" s="50" t="s">
        <v>106</v>
      </c>
      <c r="G5" s="50" t="s">
        <v>86</v>
      </c>
      <c r="H5" s="51">
        <v>2</v>
      </c>
      <c r="I5" s="52">
        <f>J5/H5</f>
        <v>26990</v>
      </c>
      <c r="J5" s="52">
        <v>53980</v>
      </c>
      <c r="K5" s="51">
        <v>2</v>
      </c>
      <c r="L5" s="53">
        <f>K5/H5*30</f>
        <v>30</v>
      </c>
    </row>
    <row r="6" spans="1:12" s="2" customFormat="1" ht="13.95" customHeight="1" outlineLevel="2" x14ac:dyDescent="0.2">
      <c r="A6" s="50" t="s">
        <v>70</v>
      </c>
      <c r="B6" s="50" t="s">
        <v>7</v>
      </c>
      <c r="C6" s="50" t="s">
        <v>15</v>
      </c>
      <c r="D6" s="50" t="s">
        <v>1252</v>
      </c>
      <c r="E6" s="50" t="s">
        <v>1253</v>
      </c>
      <c r="F6" s="50" t="s">
        <v>1254</v>
      </c>
      <c r="G6" s="50" t="s">
        <v>86</v>
      </c>
      <c r="H6" s="51">
        <v>1</v>
      </c>
      <c r="I6" s="52">
        <f>J6/H6</f>
        <v>29990</v>
      </c>
      <c r="J6" s="52">
        <v>29990</v>
      </c>
      <c r="K6" s="51">
        <v>16</v>
      </c>
      <c r="L6" s="53">
        <f>K6/H6*30</f>
        <v>480</v>
      </c>
    </row>
    <row r="7" spans="1:12" s="2" customFormat="1" ht="13.95" customHeight="1" outlineLevel="2" x14ac:dyDescent="0.2">
      <c r="A7" s="50" t="s">
        <v>70</v>
      </c>
      <c r="B7" s="50" t="s">
        <v>7</v>
      </c>
      <c r="C7" s="50" t="s">
        <v>15</v>
      </c>
      <c r="D7" s="50" t="s">
        <v>1255</v>
      </c>
      <c r="E7" s="50" t="s">
        <v>1253</v>
      </c>
      <c r="F7" s="50" t="s">
        <v>1254</v>
      </c>
      <c r="G7" s="50" t="s">
        <v>74</v>
      </c>
      <c r="H7" s="51">
        <v>1</v>
      </c>
      <c r="I7" s="52">
        <f>J7/H7</f>
        <v>29990</v>
      </c>
      <c r="J7" s="52">
        <v>29990</v>
      </c>
      <c r="K7" s="51">
        <v>20</v>
      </c>
      <c r="L7" s="53">
        <f>K7/H7*30</f>
        <v>600</v>
      </c>
    </row>
    <row r="8" spans="1:12" s="2" customFormat="1" ht="13.95" customHeight="1" outlineLevel="2" x14ac:dyDescent="0.2">
      <c r="A8" s="50" t="s">
        <v>70</v>
      </c>
      <c r="B8" s="50" t="s">
        <v>7</v>
      </c>
      <c r="C8" s="50" t="s">
        <v>15</v>
      </c>
      <c r="D8" s="50" t="s">
        <v>1256</v>
      </c>
      <c r="E8" s="50" t="s">
        <v>1253</v>
      </c>
      <c r="F8" s="50" t="s">
        <v>1254</v>
      </c>
      <c r="G8" s="50" t="s">
        <v>84</v>
      </c>
      <c r="H8" s="51">
        <v>1</v>
      </c>
      <c r="I8" s="52">
        <f>J8/H8</f>
        <v>29990</v>
      </c>
      <c r="J8" s="52">
        <v>29990</v>
      </c>
      <c r="K8" s="51">
        <v>23</v>
      </c>
      <c r="L8" s="53">
        <f>K8/H8*30</f>
        <v>690</v>
      </c>
    </row>
    <row r="9" spans="1:12" s="2" customFormat="1" ht="13.95" customHeight="1" outlineLevel="2" x14ac:dyDescent="0.2">
      <c r="A9" s="50" t="s">
        <v>70</v>
      </c>
      <c r="B9" s="50" t="s">
        <v>7</v>
      </c>
      <c r="C9" s="50" t="s">
        <v>15</v>
      </c>
      <c r="D9" s="50" t="s">
        <v>1289</v>
      </c>
      <c r="E9" s="50" t="s">
        <v>1029</v>
      </c>
      <c r="F9" s="50" t="s">
        <v>106</v>
      </c>
      <c r="G9" s="50" t="s">
        <v>88</v>
      </c>
      <c r="H9" s="51">
        <v>1</v>
      </c>
      <c r="I9" s="52">
        <f>J9/H9</f>
        <v>26990</v>
      </c>
      <c r="J9" s="52">
        <v>26990</v>
      </c>
      <c r="K9" s="51">
        <v>16</v>
      </c>
      <c r="L9" s="53">
        <f>K9/H9*30</f>
        <v>480</v>
      </c>
    </row>
    <row r="10" spans="1:12" s="2" customFormat="1" ht="13.95" customHeight="1" outlineLevel="2" x14ac:dyDescent="0.2">
      <c r="A10" s="50" t="s">
        <v>70</v>
      </c>
      <c r="B10" s="50" t="s">
        <v>7</v>
      </c>
      <c r="C10" s="50" t="s">
        <v>15</v>
      </c>
      <c r="D10" s="50" t="s">
        <v>1290</v>
      </c>
      <c r="E10" s="50" t="s">
        <v>1029</v>
      </c>
      <c r="F10" s="50" t="s">
        <v>106</v>
      </c>
      <c r="G10" s="50" t="s">
        <v>112</v>
      </c>
      <c r="H10" s="51">
        <v>1</v>
      </c>
      <c r="I10" s="52">
        <f>J10/H10</f>
        <v>26990</v>
      </c>
      <c r="J10" s="52">
        <v>26990</v>
      </c>
      <c r="K10" s="51">
        <v>5</v>
      </c>
      <c r="L10" s="53">
        <f>K10/H10*30</f>
        <v>150</v>
      </c>
    </row>
    <row r="11" spans="1:12" s="2" customFormat="1" ht="13.95" customHeight="1" outlineLevel="2" x14ac:dyDescent="0.2">
      <c r="A11" s="50" t="s">
        <v>70</v>
      </c>
      <c r="B11" s="50" t="s">
        <v>7</v>
      </c>
      <c r="C11" s="50" t="s">
        <v>15</v>
      </c>
      <c r="D11" s="50" t="s">
        <v>1308</v>
      </c>
      <c r="E11" s="50" t="s">
        <v>1309</v>
      </c>
      <c r="F11" s="50" t="s">
        <v>128</v>
      </c>
      <c r="G11" s="50" t="s">
        <v>316</v>
      </c>
      <c r="H11" s="51">
        <v>1</v>
      </c>
      <c r="I11" s="52">
        <f>J11/H11</f>
        <v>24990</v>
      </c>
      <c r="J11" s="52">
        <v>24990</v>
      </c>
      <c r="K11" s="51">
        <v>14</v>
      </c>
      <c r="L11" s="53">
        <f>K11/H11*30</f>
        <v>420</v>
      </c>
    </row>
    <row r="12" spans="1:12" s="2" customFormat="1" ht="13.95" customHeight="1" outlineLevel="1" x14ac:dyDescent="0.2">
      <c r="A12" s="50"/>
      <c r="B12" s="50"/>
      <c r="C12" s="58" t="s">
        <v>1501</v>
      </c>
      <c r="D12" s="50"/>
      <c r="E12" s="50"/>
      <c r="F12" s="50"/>
      <c r="G12" s="50"/>
      <c r="H12" s="51">
        <f>SUBTOTAL(9,H5:H11)</f>
        <v>8</v>
      </c>
      <c r="I12" s="52"/>
      <c r="J12" s="52">
        <f>SUBTOTAL(9,J5:J11)</f>
        <v>222920</v>
      </c>
      <c r="K12" s="51"/>
      <c r="L12" s="53"/>
    </row>
    <row r="13" spans="1:12" s="2" customFormat="1" ht="13.95" customHeight="1" outlineLevel="2" x14ac:dyDescent="0.2">
      <c r="A13" s="50" t="s">
        <v>70</v>
      </c>
      <c r="B13" s="50" t="s">
        <v>7</v>
      </c>
      <c r="C13" s="50" t="s">
        <v>12</v>
      </c>
      <c r="D13" s="50" t="s">
        <v>245</v>
      </c>
      <c r="E13" s="50" t="s">
        <v>246</v>
      </c>
      <c r="F13" s="50" t="s">
        <v>73</v>
      </c>
      <c r="G13" s="50" t="s">
        <v>84</v>
      </c>
      <c r="H13" s="51">
        <v>4</v>
      </c>
      <c r="I13" s="52">
        <f>J13/H13</f>
        <v>84990</v>
      </c>
      <c r="J13" s="52">
        <v>339960</v>
      </c>
      <c r="K13" s="51">
        <v>10</v>
      </c>
      <c r="L13" s="53">
        <f>K13/H13*30</f>
        <v>75</v>
      </c>
    </row>
    <row r="14" spans="1:12" s="2" customFormat="1" ht="13.95" customHeight="1" outlineLevel="2" x14ac:dyDescent="0.2">
      <c r="A14" s="50" t="s">
        <v>70</v>
      </c>
      <c r="B14" s="50" t="s">
        <v>7</v>
      </c>
      <c r="C14" s="50" t="s">
        <v>12</v>
      </c>
      <c r="D14" s="50" t="s">
        <v>343</v>
      </c>
      <c r="E14" s="50" t="s">
        <v>246</v>
      </c>
      <c r="F14" s="50" t="s">
        <v>73</v>
      </c>
      <c r="G14" s="50" t="s">
        <v>344</v>
      </c>
      <c r="H14" s="51">
        <v>3</v>
      </c>
      <c r="I14" s="52">
        <f>J14/H14</f>
        <v>84990</v>
      </c>
      <c r="J14" s="52">
        <v>254970</v>
      </c>
      <c r="K14" s="51">
        <v>13</v>
      </c>
      <c r="L14" s="53">
        <f>K14/H14*30</f>
        <v>130</v>
      </c>
    </row>
    <row r="15" spans="1:12" s="2" customFormat="1" ht="13.95" customHeight="1" outlineLevel="2" x14ac:dyDescent="0.2">
      <c r="A15" s="50" t="s">
        <v>70</v>
      </c>
      <c r="B15" s="50" t="s">
        <v>7</v>
      </c>
      <c r="C15" s="50" t="s">
        <v>12</v>
      </c>
      <c r="D15" s="50" t="s">
        <v>503</v>
      </c>
      <c r="E15" s="50" t="s">
        <v>246</v>
      </c>
      <c r="F15" s="50" t="s">
        <v>73</v>
      </c>
      <c r="G15" s="50" t="s">
        <v>86</v>
      </c>
      <c r="H15" s="51">
        <v>2</v>
      </c>
      <c r="I15" s="52">
        <f>J15/H15</f>
        <v>84990</v>
      </c>
      <c r="J15" s="52">
        <v>169980</v>
      </c>
      <c r="K15" s="51">
        <v>14</v>
      </c>
      <c r="L15" s="53">
        <f>K15/H15*30</f>
        <v>210</v>
      </c>
    </row>
    <row r="16" spans="1:12" s="2" customFormat="1" ht="13.95" customHeight="1" outlineLevel="1" x14ac:dyDescent="0.2">
      <c r="A16" s="50"/>
      <c r="B16" s="50"/>
      <c r="C16" s="58" t="s">
        <v>1470</v>
      </c>
      <c r="D16" s="50"/>
      <c r="E16" s="50"/>
      <c r="F16" s="50"/>
      <c r="G16" s="50"/>
      <c r="H16" s="51">
        <f>SUBTOTAL(9,H13:H15)</f>
        <v>9</v>
      </c>
      <c r="I16" s="52"/>
      <c r="J16" s="52">
        <f>SUBTOTAL(9,J13:J15)</f>
        <v>764910</v>
      </c>
      <c r="K16" s="51"/>
      <c r="L16" s="53"/>
    </row>
    <row r="17" spans="1:12" s="2" customFormat="1" ht="13.95" customHeight="1" outlineLevel="2" x14ac:dyDescent="0.2">
      <c r="A17" s="50" t="s">
        <v>70</v>
      </c>
      <c r="B17" s="50" t="s">
        <v>7</v>
      </c>
      <c r="C17" s="50" t="s">
        <v>16</v>
      </c>
      <c r="D17" s="50" t="s">
        <v>1196</v>
      </c>
      <c r="E17" s="50" t="s">
        <v>1197</v>
      </c>
      <c r="F17" s="50" t="s">
        <v>137</v>
      </c>
      <c r="G17" s="50" t="s">
        <v>74</v>
      </c>
      <c r="H17" s="51">
        <v>2</v>
      </c>
      <c r="I17" s="52">
        <f>J17/H17</f>
        <v>19990</v>
      </c>
      <c r="J17" s="52">
        <v>39980</v>
      </c>
      <c r="K17" s="51">
        <v>20</v>
      </c>
      <c r="L17" s="53">
        <f>K17/H17*30</f>
        <v>300</v>
      </c>
    </row>
    <row r="18" spans="1:12" s="2" customFormat="1" ht="13.95" customHeight="1" outlineLevel="2" x14ac:dyDescent="0.2">
      <c r="A18" s="50" t="s">
        <v>70</v>
      </c>
      <c r="B18" s="50" t="s">
        <v>7</v>
      </c>
      <c r="C18" s="50" t="s">
        <v>16</v>
      </c>
      <c r="D18" s="50" t="s">
        <v>1354</v>
      </c>
      <c r="E18" s="50" t="s">
        <v>1197</v>
      </c>
      <c r="F18" s="50" t="s">
        <v>137</v>
      </c>
      <c r="G18" s="50" t="s">
        <v>86</v>
      </c>
      <c r="H18" s="51">
        <v>1</v>
      </c>
      <c r="I18" s="52">
        <f>J18/H18</f>
        <v>19990</v>
      </c>
      <c r="J18" s="52">
        <v>19990</v>
      </c>
      <c r="K18" s="51">
        <v>22</v>
      </c>
      <c r="L18" s="53">
        <f>K18/H18*30</f>
        <v>660</v>
      </c>
    </row>
    <row r="19" spans="1:12" s="2" customFormat="1" ht="13.95" customHeight="1" outlineLevel="1" x14ac:dyDescent="0.2">
      <c r="A19" s="50"/>
      <c r="B19" s="50"/>
      <c r="C19" s="58" t="s">
        <v>1503</v>
      </c>
      <c r="D19" s="50"/>
      <c r="E19" s="50"/>
      <c r="F19" s="50"/>
      <c r="G19" s="50"/>
      <c r="H19" s="51">
        <f>SUBTOTAL(9,H17:H18)</f>
        <v>3</v>
      </c>
      <c r="I19" s="52"/>
      <c r="J19" s="52">
        <f>SUBTOTAL(9,J17:J18)</f>
        <v>59970</v>
      </c>
      <c r="K19" s="51"/>
      <c r="L19" s="53"/>
    </row>
    <row r="20" spans="1:12" s="2" customFormat="1" ht="13.95" customHeight="1" outlineLevel="2" x14ac:dyDescent="0.2">
      <c r="A20" s="50" t="s">
        <v>70</v>
      </c>
      <c r="B20" s="50" t="s">
        <v>7</v>
      </c>
      <c r="C20" s="50" t="s">
        <v>17</v>
      </c>
      <c r="D20" s="50" t="s">
        <v>539</v>
      </c>
      <c r="E20" s="50" t="s">
        <v>540</v>
      </c>
      <c r="F20" s="50" t="s">
        <v>106</v>
      </c>
      <c r="G20" s="50" t="s">
        <v>112</v>
      </c>
      <c r="H20" s="51">
        <v>4</v>
      </c>
      <c r="I20" s="52">
        <f>J20/H20</f>
        <v>39990</v>
      </c>
      <c r="J20" s="52">
        <v>159960</v>
      </c>
      <c r="K20" s="51">
        <v>2</v>
      </c>
      <c r="L20" s="53">
        <f>K20/H20*30</f>
        <v>15</v>
      </c>
    </row>
    <row r="21" spans="1:12" s="2" customFormat="1" ht="13.95" customHeight="1" outlineLevel="2" x14ac:dyDescent="0.2">
      <c r="A21" s="50" t="s">
        <v>70</v>
      </c>
      <c r="B21" s="50" t="s">
        <v>7</v>
      </c>
      <c r="C21" s="50" t="s">
        <v>17</v>
      </c>
      <c r="D21" s="50" t="s">
        <v>667</v>
      </c>
      <c r="E21" s="50" t="s">
        <v>540</v>
      </c>
      <c r="F21" s="50" t="s">
        <v>106</v>
      </c>
      <c r="G21" s="50" t="s">
        <v>84</v>
      </c>
      <c r="H21" s="51">
        <v>3</v>
      </c>
      <c r="I21" s="52">
        <f>J21/H21</f>
        <v>39990</v>
      </c>
      <c r="J21" s="52">
        <v>119970</v>
      </c>
      <c r="K21" s="51">
        <v>4</v>
      </c>
      <c r="L21" s="53">
        <f>K21/H21*30</f>
        <v>40</v>
      </c>
    </row>
    <row r="22" spans="1:12" s="2" customFormat="1" ht="13.95" customHeight="1" outlineLevel="2" x14ac:dyDescent="0.2">
      <c r="A22" s="50" t="s">
        <v>70</v>
      </c>
      <c r="B22" s="50" t="s">
        <v>7</v>
      </c>
      <c r="C22" s="50" t="s">
        <v>17</v>
      </c>
      <c r="D22" s="50" t="s">
        <v>888</v>
      </c>
      <c r="E22" s="50" t="s">
        <v>889</v>
      </c>
      <c r="F22" s="50" t="s">
        <v>73</v>
      </c>
      <c r="G22" s="50" t="s">
        <v>84</v>
      </c>
      <c r="H22" s="51">
        <v>2</v>
      </c>
      <c r="I22" s="52">
        <f>J22/H22</f>
        <v>39990</v>
      </c>
      <c r="J22" s="52">
        <v>79980</v>
      </c>
      <c r="K22" s="51">
        <v>12</v>
      </c>
      <c r="L22" s="53">
        <f>K22/H22*30</f>
        <v>180</v>
      </c>
    </row>
    <row r="23" spans="1:12" s="2" customFormat="1" ht="13.95" customHeight="1" outlineLevel="2" x14ac:dyDescent="0.2">
      <c r="A23" s="50" t="s">
        <v>70</v>
      </c>
      <c r="B23" s="50" t="s">
        <v>7</v>
      </c>
      <c r="C23" s="50" t="s">
        <v>17</v>
      </c>
      <c r="D23" s="50" t="s">
        <v>890</v>
      </c>
      <c r="E23" s="50" t="s">
        <v>540</v>
      </c>
      <c r="F23" s="50" t="s">
        <v>73</v>
      </c>
      <c r="G23" s="50" t="s">
        <v>86</v>
      </c>
      <c r="H23" s="51">
        <v>2</v>
      </c>
      <c r="I23" s="52">
        <f>J23/H23</f>
        <v>39990</v>
      </c>
      <c r="J23" s="52">
        <v>79980</v>
      </c>
      <c r="K23" s="51">
        <v>8</v>
      </c>
      <c r="L23" s="53">
        <f>K23/H23*30</f>
        <v>120</v>
      </c>
    </row>
    <row r="24" spans="1:12" s="2" customFormat="1" ht="13.95" customHeight="1" outlineLevel="2" x14ac:dyDescent="0.2">
      <c r="A24" s="50" t="s">
        <v>70</v>
      </c>
      <c r="B24" s="50" t="s">
        <v>7</v>
      </c>
      <c r="C24" s="50" t="s">
        <v>17</v>
      </c>
      <c r="D24" s="50" t="s">
        <v>1158</v>
      </c>
      <c r="E24" s="50" t="s">
        <v>889</v>
      </c>
      <c r="F24" s="50" t="s">
        <v>106</v>
      </c>
      <c r="G24" s="50" t="s">
        <v>112</v>
      </c>
      <c r="H24" s="51">
        <v>1</v>
      </c>
      <c r="I24" s="52">
        <f>J24/H24</f>
        <v>39990</v>
      </c>
      <c r="J24" s="52">
        <v>39990</v>
      </c>
      <c r="K24" s="51">
        <v>2</v>
      </c>
      <c r="L24" s="53">
        <f>K24/H24*30</f>
        <v>60</v>
      </c>
    </row>
    <row r="25" spans="1:12" s="2" customFormat="1" ht="13.95" customHeight="1" outlineLevel="2" x14ac:dyDescent="0.2">
      <c r="A25" s="50" t="s">
        <v>70</v>
      </c>
      <c r="B25" s="50" t="s">
        <v>7</v>
      </c>
      <c r="C25" s="50" t="s">
        <v>17</v>
      </c>
      <c r="D25" s="50" t="s">
        <v>1159</v>
      </c>
      <c r="E25" s="50" t="s">
        <v>889</v>
      </c>
      <c r="F25" s="50" t="s">
        <v>106</v>
      </c>
      <c r="G25" s="50" t="s">
        <v>84</v>
      </c>
      <c r="H25" s="51">
        <v>1</v>
      </c>
      <c r="I25" s="52">
        <f>J25/H25</f>
        <v>39990</v>
      </c>
      <c r="J25" s="52">
        <v>39990</v>
      </c>
      <c r="K25" s="51">
        <v>7</v>
      </c>
      <c r="L25" s="53">
        <f>K25/H25*30</f>
        <v>210</v>
      </c>
    </row>
    <row r="26" spans="1:12" s="2" customFormat="1" ht="13.95" customHeight="1" outlineLevel="2" x14ac:dyDescent="0.2">
      <c r="A26" s="50" t="s">
        <v>70</v>
      </c>
      <c r="B26" s="50" t="s">
        <v>7</v>
      </c>
      <c r="C26" s="50" t="s">
        <v>17</v>
      </c>
      <c r="D26" s="50" t="s">
        <v>1160</v>
      </c>
      <c r="E26" s="50" t="s">
        <v>540</v>
      </c>
      <c r="F26" s="50" t="s">
        <v>73</v>
      </c>
      <c r="G26" s="50" t="s">
        <v>84</v>
      </c>
      <c r="H26" s="51">
        <v>1</v>
      </c>
      <c r="I26" s="52">
        <f>J26/H26</f>
        <v>39990</v>
      </c>
      <c r="J26" s="52">
        <v>39990</v>
      </c>
      <c r="K26" s="51">
        <v>12</v>
      </c>
      <c r="L26" s="53">
        <f>K26/H26*30</f>
        <v>360</v>
      </c>
    </row>
    <row r="27" spans="1:12" s="2" customFormat="1" ht="13.95" customHeight="1" outlineLevel="2" x14ac:dyDescent="0.2">
      <c r="A27" s="50" t="s">
        <v>70</v>
      </c>
      <c r="B27" s="50" t="s">
        <v>7</v>
      </c>
      <c r="C27" s="50" t="s">
        <v>17</v>
      </c>
      <c r="D27" s="50" t="s">
        <v>1161</v>
      </c>
      <c r="E27" s="50" t="s">
        <v>540</v>
      </c>
      <c r="F27" s="50" t="s">
        <v>106</v>
      </c>
      <c r="G27" s="50" t="s">
        <v>86</v>
      </c>
      <c r="H27" s="51">
        <v>1</v>
      </c>
      <c r="I27" s="52">
        <f>J27/H27</f>
        <v>39990</v>
      </c>
      <c r="J27" s="52">
        <v>39990</v>
      </c>
      <c r="K27" s="51">
        <v>8</v>
      </c>
      <c r="L27" s="53">
        <f>K27/H27*30</f>
        <v>240</v>
      </c>
    </row>
    <row r="28" spans="1:12" s="2" customFormat="1" ht="13.95" customHeight="1" outlineLevel="1" x14ac:dyDescent="0.2">
      <c r="A28" s="50"/>
      <c r="B28" s="50"/>
      <c r="C28" s="58" t="s">
        <v>1484</v>
      </c>
      <c r="D28" s="50"/>
      <c r="E28" s="50"/>
      <c r="F28" s="50"/>
      <c r="G28" s="50"/>
      <c r="H28" s="51">
        <f>SUBTOTAL(9,H20:H27)</f>
        <v>15</v>
      </c>
      <c r="I28" s="52"/>
      <c r="J28" s="52">
        <f>SUBTOTAL(9,J20:J27)</f>
        <v>599850</v>
      </c>
      <c r="K28" s="51"/>
      <c r="L28" s="53"/>
    </row>
    <row r="29" spans="1:12" s="2" customFormat="1" ht="13.95" customHeight="1" outlineLevel="2" x14ac:dyDescent="0.2">
      <c r="A29" s="50" t="s">
        <v>70</v>
      </c>
      <c r="B29" s="50" t="s">
        <v>7</v>
      </c>
      <c r="C29" s="50" t="s">
        <v>18</v>
      </c>
      <c r="D29" s="50" t="s">
        <v>578</v>
      </c>
      <c r="E29" s="50" t="s">
        <v>579</v>
      </c>
      <c r="F29" s="50" t="s">
        <v>580</v>
      </c>
      <c r="G29" s="50" t="s">
        <v>581</v>
      </c>
      <c r="H29" s="51">
        <v>5</v>
      </c>
      <c r="I29" s="52">
        <f>J29/H29</f>
        <v>29990</v>
      </c>
      <c r="J29" s="52">
        <v>149950</v>
      </c>
      <c r="K29" s="51">
        <v>3</v>
      </c>
      <c r="L29" s="53">
        <f>K29/H29*30</f>
        <v>18</v>
      </c>
    </row>
    <row r="30" spans="1:12" s="2" customFormat="1" ht="13.95" customHeight="1" outlineLevel="2" x14ac:dyDescent="0.2">
      <c r="A30" s="50" t="s">
        <v>70</v>
      </c>
      <c r="B30" s="50" t="s">
        <v>7</v>
      </c>
      <c r="C30" s="50" t="s">
        <v>18</v>
      </c>
      <c r="D30" s="50" t="s">
        <v>668</v>
      </c>
      <c r="E30" s="50" t="s">
        <v>669</v>
      </c>
      <c r="F30" s="50" t="s">
        <v>580</v>
      </c>
      <c r="G30" s="50" t="s">
        <v>581</v>
      </c>
      <c r="H30" s="51">
        <v>4</v>
      </c>
      <c r="I30" s="52">
        <f>J30/H30</f>
        <v>29990</v>
      </c>
      <c r="J30" s="52">
        <v>119960</v>
      </c>
      <c r="K30" s="51">
        <v>4</v>
      </c>
      <c r="L30" s="53">
        <f>K30/H30*30</f>
        <v>30</v>
      </c>
    </row>
    <row r="31" spans="1:12" s="2" customFormat="1" ht="13.95" customHeight="1" outlineLevel="2" x14ac:dyDescent="0.2">
      <c r="A31" s="50" t="s">
        <v>70</v>
      </c>
      <c r="B31" s="50" t="s">
        <v>7</v>
      </c>
      <c r="C31" s="50" t="s">
        <v>18</v>
      </c>
      <c r="D31" s="50" t="s">
        <v>670</v>
      </c>
      <c r="E31" s="50" t="s">
        <v>669</v>
      </c>
      <c r="F31" s="50" t="s">
        <v>580</v>
      </c>
      <c r="G31" s="50" t="s">
        <v>671</v>
      </c>
      <c r="H31" s="51">
        <v>4</v>
      </c>
      <c r="I31" s="52">
        <f>J31/H31</f>
        <v>29990</v>
      </c>
      <c r="J31" s="52">
        <v>119960</v>
      </c>
      <c r="K31" s="51">
        <v>15</v>
      </c>
      <c r="L31" s="53">
        <f>K31/H31*30</f>
        <v>112.5</v>
      </c>
    </row>
    <row r="32" spans="1:12" s="2" customFormat="1" ht="13.95" customHeight="1" outlineLevel="2" x14ac:dyDescent="0.2">
      <c r="A32" s="50" t="s">
        <v>70</v>
      </c>
      <c r="B32" s="50" t="s">
        <v>7</v>
      </c>
      <c r="C32" s="50" t="s">
        <v>18</v>
      </c>
      <c r="D32" s="50" t="s">
        <v>672</v>
      </c>
      <c r="E32" s="50" t="s">
        <v>673</v>
      </c>
      <c r="F32" s="50" t="s">
        <v>580</v>
      </c>
      <c r="G32" s="50" t="s">
        <v>671</v>
      </c>
      <c r="H32" s="51">
        <v>4</v>
      </c>
      <c r="I32" s="52">
        <f>J32/H32</f>
        <v>29990</v>
      </c>
      <c r="J32" s="52">
        <v>119960</v>
      </c>
      <c r="K32" s="51">
        <v>5</v>
      </c>
      <c r="L32" s="53">
        <f>K32/H32*30</f>
        <v>37.5</v>
      </c>
    </row>
    <row r="33" spans="1:12" s="2" customFormat="1" ht="13.95" customHeight="1" outlineLevel="2" x14ac:dyDescent="0.2">
      <c r="A33" s="50" t="s">
        <v>70</v>
      </c>
      <c r="B33" s="50" t="s">
        <v>7</v>
      </c>
      <c r="C33" s="50" t="s">
        <v>18</v>
      </c>
      <c r="D33" s="50" t="s">
        <v>674</v>
      </c>
      <c r="E33" s="50" t="s">
        <v>675</v>
      </c>
      <c r="F33" s="50" t="s">
        <v>580</v>
      </c>
      <c r="G33" s="50" t="s">
        <v>676</v>
      </c>
      <c r="H33" s="51">
        <v>4</v>
      </c>
      <c r="I33" s="52">
        <f>J33/H33</f>
        <v>29990</v>
      </c>
      <c r="J33" s="52">
        <v>119960</v>
      </c>
      <c r="K33" s="51">
        <v>9</v>
      </c>
      <c r="L33" s="53">
        <f>K33/H33*30</f>
        <v>67.5</v>
      </c>
    </row>
    <row r="34" spans="1:12" s="2" customFormat="1" ht="13.95" customHeight="1" outlineLevel="2" x14ac:dyDescent="0.2">
      <c r="A34" s="50" t="s">
        <v>70</v>
      </c>
      <c r="B34" s="50" t="s">
        <v>7</v>
      </c>
      <c r="C34" s="50" t="s">
        <v>18</v>
      </c>
      <c r="D34" s="50" t="s">
        <v>789</v>
      </c>
      <c r="E34" s="50" t="s">
        <v>790</v>
      </c>
      <c r="F34" s="50" t="s">
        <v>73</v>
      </c>
      <c r="G34" s="50" t="s">
        <v>74</v>
      </c>
      <c r="H34" s="51">
        <v>6</v>
      </c>
      <c r="I34" s="52">
        <f>J34/H34</f>
        <v>15990</v>
      </c>
      <c r="J34" s="52">
        <v>95940</v>
      </c>
      <c r="K34" s="51">
        <v>15</v>
      </c>
      <c r="L34" s="53">
        <f>K34/H34*30</f>
        <v>75</v>
      </c>
    </row>
    <row r="35" spans="1:12" s="2" customFormat="1" ht="13.95" customHeight="1" outlineLevel="2" x14ac:dyDescent="0.2">
      <c r="A35" s="50" t="s">
        <v>70</v>
      </c>
      <c r="B35" s="50" t="s">
        <v>7</v>
      </c>
      <c r="C35" s="50" t="s">
        <v>18</v>
      </c>
      <c r="D35" s="50" t="s">
        <v>840</v>
      </c>
      <c r="E35" s="50" t="s">
        <v>841</v>
      </c>
      <c r="F35" s="50" t="s">
        <v>580</v>
      </c>
      <c r="G35" s="50" t="s">
        <v>842</v>
      </c>
      <c r="H35" s="51">
        <v>3</v>
      </c>
      <c r="I35" s="52">
        <f>J35/H35</f>
        <v>29990</v>
      </c>
      <c r="J35" s="52">
        <v>89970</v>
      </c>
      <c r="K35" s="51">
        <v>7</v>
      </c>
      <c r="L35" s="53">
        <f>K35/H35*30</f>
        <v>70</v>
      </c>
    </row>
    <row r="36" spans="1:12" s="2" customFormat="1" ht="13.95" customHeight="1" outlineLevel="2" x14ac:dyDescent="0.2">
      <c r="A36" s="50" t="s">
        <v>70</v>
      </c>
      <c r="B36" s="50" t="s">
        <v>7</v>
      </c>
      <c r="C36" s="50" t="s">
        <v>18</v>
      </c>
      <c r="D36" s="50" t="s">
        <v>843</v>
      </c>
      <c r="E36" s="50" t="s">
        <v>844</v>
      </c>
      <c r="F36" s="50" t="s">
        <v>580</v>
      </c>
      <c r="G36" s="50" t="s">
        <v>676</v>
      </c>
      <c r="H36" s="51">
        <v>3</v>
      </c>
      <c r="I36" s="52">
        <f>J36/H36</f>
        <v>29990</v>
      </c>
      <c r="J36" s="52">
        <v>89970</v>
      </c>
      <c r="K36" s="51">
        <v>6</v>
      </c>
      <c r="L36" s="53">
        <f>K36/H36*30</f>
        <v>60</v>
      </c>
    </row>
    <row r="37" spans="1:12" s="2" customFormat="1" ht="13.95" customHeight="1" outlineLevel="2" x14ac:dyDescent="0.2">
      <c r="A37" s="50" t="s">
        <v>70</v>
      </c>
      <c r="B37" s="50" t="s">
        <v>7</v>
      </c>
      <c r="C37" s="50" t="s">
        <v>18</v>
      </c>
      <c r="D37" s="50" t="s">
        <v>845</v>
      </c>
      <c r="E37" s="50" t="s">
        <v>669</v>
      </c>
      <c r="F37" s="50" t="s">
        <v>580</v>
      </c>
      <c r="G37" s="50" t="s">
        <v>846</v>
      </c>
      <c r="H37" s="51">
        <v>3</v>
      </c>
      <c r="I37" s="52">
        <f>J37/H37</f>
        <v>29990</v>
      </c>
      <c r="J37" s="52">
        <v>89970</v>
      </c>
      <c r="K37" s="51">
        <v>13</v>
      </c>
      <c r="L37" s="53">
        <f>K37/H37*30</f>
        <v>130</v>
      </c>
    </row>
    <row r="38" spans="1:12" s="2" customFormat="1" ht="13.95" customHeight="1" outlineLevel="2" x14ac:dyDescent="0.2">
      <c r="A38" s="50" t="s">
        <v>70</v>
      </c>
      <c r="B38" s="50" t="s">
        <v>7</v>
      </c>
      <c r="C38" s="50" t="s">
        <v>18</v>
      </c>
      <c r="D38" s="50" t="s">
        <v>847</v>
      </c>
      <c r="E38" s="50" t="s">
        <v>848</v>
      </c>
      <c r="F38" s="50" t="s">
        <v>580</v>
      </c>
      <c r="G38" s="50" t="s">
        <v>581</v>
      </c>
      <c r="H38" s="51">
        <v>3</v>
      </c>
      <c r="I38" s="52">
        <f>J38/H38</f>
        <v>29990</v>
      </c>
      <c r="J38" s="52">
        <v>89970</v>
      </c>
      <c r="K38" s="51">
        <v>4</v>
      </c>
      <c r="L38" s="53">
        <f>K38/H38*30</f>
        <v>40</v>
      </c>
    </row>
    <row r="39" spans="1:12" s="2" customFormat="1" ht="13.95" customHeight="1" outlineLevel="2" x14ac:dyDescent="0.2">
      <c r="A39" s="50" t="s">
        <v>70</v>
      </c>
      <c r="B39" s="50" t="s">
        <v>7</v>
      </c>
      <c r="C39" s="50" t="s">
        <v>18</v>
      </c>
      <c r="D39" s="50" t="s">
        <v>849</v>
      </c>
      <c r="E39" s="50" t="s">
        <v>675</v>
      </c>
      <c r="F39" s="50" t="s">
        <v>580</v>
      </c>
      <c r="G39" s="50" t="s">
        <v>671</v>
      </c>
      <c r="H39" s="51">
        <v>3</v>
      </c>
      <c r="I39" s="52">
        <f>J39/H39</f>
        <v>29990</v>
      </c>
      <c r="J39" s="52">
        <v>89970</v>
      </c>
      <c r="K39" s="51">
        <v>5</v>
      </c>
      <c r="L39" s="53">
        <f>K39/H39*30</f>
        <v>50</v>
      </c>
    </row>
    <row r="40" spans="1:12" s="2" customFormat="1" ht="13.95" customHeight="1" outlineLevel="2" x14ac:dyDescent="0.2">
      <c r="A40" s="50" t="s">
        <v>70</v>
      </c>
      <c r="B40" s="50" t="s">
        <v>7</v>
      </c>
      <c r="C40" s="50" t="s">
        <v>18</v>
      </c>
      <c r="D40" s="50" t="s">
        <v>850</v>
      </c>
      <c r="E40" s="50" t="s">
        <v>851</v>
      </c>
      <c r="F40" s="50" t="s">
        <v>580</v>
      </c>
      <c r="G40" s="50" t="s">
        <v>581</v>
      </c>
      <c r="H40" s="51">
        <v>3</v>
      </c>
      <c r="I40" s="52">
        <f>J40/H40</f>
        <v>29990</v>
      </c>
      <c r="J40" s="52">
        <v>89970</v>
      </c>
      <c r="K40" s="51">
        <v>13</v>
      </c>
      <c r="L40" s="53">
        <f>K40/H40*30</f>
        <v>130</v>
      </c>
    </row>
    <row r="41" spans="1:12" s="2" customFormat="1" ht="13.95" customHeight="1" outlineLevel="2" x14ac:dyDescent="0.2">
      <c r="A41" s="50" t="s">
        <v>70</v>
      </c>
      <c r="B41" s="50" t="s">
        <v>7</v>
      </c>
      <c r="C41" s="50" t="s">
        <v>18</v>
      </c>
      <c r="D41" s="50" t="s">
        <v>852</v>
      </c>
      <c r="E41" s="50" t="s">
        <v>853</v>
      </c>
      <c r="F41" s="50" t="s">
        <v>580</v>
      </c>
      <c r="G41" s="50" t="s">
        <v>846</v>
      </c>
      <c r="H41" s="51">
        <v>3</v>
      </c>
      <c r="I41" s="52">
        <f>J41/H41</f>
        <v>29990</v>
      </c>
      <c r="J41" s="52">
        <v>89970</v>
      </c>
      <c r="K41" s="51">
        <v>4</v>
      </c>
      <c r="L41" s="53">
        <f>K41/H41*30</f>
        <v>40</v>
      </c>
    </row>
    <row r="42" spans="1:12" s="2" customFormat="1" ht="13.95" customHeight="1" outlineLevel="2" x14ac:dyDescent="0.2">
      <c r="A42" s="50" t="s">
        <v>70</v>
      </c>
      <c r="B42" s="50" t="s">
        <v>7</v>
      </c>
      <c r="C42" s="50" t="s">
        <v>18</v>
      </c>
      <c r="D42" s="50" t="s">
        <v>854</v>
      </c>
      <c r="E42" s="50" t="s">
        <v>855</v>
      </c>
      <c r="F42" s="50" t="s">
        <v>580</v>
      </c>
      <c r="G42" s="50" t="s">
        <v>671</v>
      </c>
      <c r="H42" s="51">
        <v>3</v>
      </c>
      <c r="I42" s="52">
        <f>J42/H42</f>
        <v>29990</v>
      </c>
      <c r="J42" s="52">
        <v>89970</v>
      </c>
      <c r="K42" s="51">
        <v>6</v>
      </c>
      <c r="L42" s="53">
        <f>K42/H42*30</f>
        <v>60</v>
      </c>
    </row>
    <row r="43" spans="1:12" s="2" customFormat="1" ht="13.95" customHeight="1" outlineLevel="2" x14ac:dyDescent="0.2">
      <c r="A43" s="50" t="s">
        <v>70</v>
      </c>
      <c r="B43" s="50" t="s">
        <v>7</v>
      </c>
      <c r="C43" s="50" t="s">
        <v>18</v>
      </c>
      <c r="D43" s="50" t="s">
        <v>966</v>
      </c>
      <c r="E43" s="50" t="s">
        <v>967</v>
      </c>
      <c r="F43" s="50" t="s">
        <v>968</v>
      </c>
      <c r="G43" s="50" t="s">
        <v>969</v>
      </c>
      <c r="H43" s="51">
        <v>3</v>
      </c>
      <c r="I43" s="52">
        <f>J43/H43</f>
        <v>20990</v>
      </c>
      <c r="J43" s="52">
        <v>62970</v>
      </c>
      <c r="K43" s="51">
        <v>9</v>
      </c>
      <c r="L43" s="53">
        <f>K43/H43*30</f>
        <v>90</v>
      </c>
    </row>
    <row r="44" spans="1:12" s="2" customFormat="1" ht="13.95" customHeight="1" outlineLevel="2" x14ac:dyDescent="0.2">
      <c r="A44" s="50" t="s">
        <v>70</v>
      </c>
      <c r="B44" s="50" t="s">
        <v>7</v>
      </c>
      <c r="C44" s="50" t="s">
        <v>18</v>
      </c>
      <c r="D44" s="50" t="s">
        <v>970</v>
      </c>
      <c r="E44" s="50" t="s">
        <v>967</v>
      </c>
      <c r="F44" s="50" t="s">
        <v>968</v>
      </c>
      <c r="G44" s="50" t="s">
        <v>846</v>
      </c>
      <c r="H44" s="51">
        <v>3</v>
      </c>
      <c r="I44" s="52">
        <f>J44/H44</f>
        <v>20990</v>
      </c>
      <c r="J44" s="52">
        <v>62970</v>
      </c>
      <c r="K44" s="51">
        <v>11</v>
      </c>
      <c r="L44" s="53">
        <f>K44/H44*30</f>
        <v>110</v>
      </c>
    </row>
    <row r="45" spans="1:12" s="2" customFormat="1" ht="13.95" customHeight="1" outlineLevel="2" x14ac:dyDescent="0.2">
      <c r="A45" s="50" t="s">
        <v>70</v>
      </c>
      <c r="B45" s="50" t="s">
        <v>7</v>
      </c>
      <c r="C45" s="50" t="s">
        <v>18</v>
      </c>
      <c r="D45" s="50" t="s">
        <v>984</v>
      </c>
      <c r="E45" s="50" t="s">
        <v>985</v>
      </c>
      <c r="F45" s="50" t="s">
        <v>580</v>
      </c>
      <c r="G45" s="50" t="s">
        <v>846</v>
      </c>
      <c r="H45" s="51">
        <v>2</v>
      </c>
      <c r="I45" s="52">
        <f>J45/H45</f>
        <v>29990</v>
      </c>
      <c r="J45" s="52">
        <v>59980</v>
      </c>
      <c r="K45" s="51">
        <v>4</v>
      </c>
      <c r="L45" s="53">
        <f>K45/H45*30</f>
        <v>60</v>
      </c>
    </row>
    <row r="46" spans="1:12" s="2" customFormat="1" ht="13.95" customHeight="1" outlineLevel="2" x14ac:dyDescent="0.2">
      <c r="A46" s="50" t="s">
        <v>70</v>
      </c>
      <c r="B46" s="50" t="s">
        <v>7</v>
      </c>
      <c r="C46" s="50" t="s">
        <v>18</v>
      </c>
      <c r="D46" s="50" t="s">
        <v>986</v>
      </c>
      <c r="E46" s="50" t="s">
        <v>579</v>
      </c>
      <c r="F46" s="50" t="s">
        <v>580</v>
      </c>
      <c r="G46" s="50" t="s">
        <v>846</v>
      </c>
      <c r="H46" s="51">
        <v>2</v>
      </c>
      <c r="I46" s="52">
        <f>J46/H46</f>
        <v>29990</v>
      </c>
      <c r="J46" s="52">
        <v>59980</v>
      </c>
      <c r="K46" s="51">
        <v>6</v>
      </c>
      <c r="L46" s="53">
        <f>K46/H46*30</f>
        <v>90</v>
      </c>
    </row>
    <row r="47" spans="1:12" s="2" customFormat="1" ht="13.95" customHeight="1" outlineLevel="2" x14ac:dyDescent="0.2">
      <c r="A47" s="50" t="s">
        <v>70</v>
      </c>
      <c r="B47" s="50" t="s">
        <v>7</v>
      </c>
      <c r="C47" s="50" t="s">
        <v>18</v>
      </c>
      <c r="D47" s="50" t="s">
        <v>987</v>
      </c>
      <c r="E47" s="50" t="s">
        <v>848</v>
      </c>
      <c r="F47" s="50" t="s">
        <v>580</v>
      </c>
      <c r="G47" s="50" t="s">
        <v>671</v>
      </c>
      <c r="H47" s="51">
        <v>2</v>
      </c>
      <c r="I47" s="52">
        <f>J47/H47</f>
        <v>29990</v>
      </c>
      <c r="J47" s="52">
        <v>59980</v>
      </c>
      <c r="K47" s="51">
        <v>8</v>
      </c>
      <c r="L47" s="53">
        <f>K47/H47*30</f>
        <v>120</v>
      </c>
    </row>
    <row r="48" spans="1:12" s="2" customFormat="1" ht="13.95" customHeight="1" outlineLevel="2" x14ac:dyDescent="0.2">
      <c r="A48" s="50" t="s">
        <v>70</v>
      </c>
      <c r="B48" s="50" t="s">
        <v>7</v>
      </c>
      <c r="C48" s="50" t="s">
        <v>18</v>
      </c>
      <c r="D48" s="50" t="s">
        <v>988</v>
      </c>
      <c r="E48" s="50" t="s">
        <v>848</v>
      </c>
      <c r="F48" s="50" t="s">
        <v>580</v>
      </c>
      <c r="G48" s="50" t="s">
        <v>676</v>
      </c>
      <c r="H48" s="51">
        <v>2</v>
      </c>
      <c r="I48" s="52">
        <f>J48/H48</f>
        <v>29990</v>
      </c>
      <c r="J48" s="52">
        <v>59980</v>
      </c>
      <c r="K48" s="51">
        <v>6</v>
      </c>
      <c r="L48" s="53">
        <f>K48/H48*30</f>
        <v>90</v>
      </c>
    </row>
    <row r="49" spans="1:12" s="2" customFormat="1" ht="13.95" customHeight="1" outlineLevel="2" x14ac:dyDescent="0.2">
      <c r="A49" s="50" t="s">
        <v>70</v>
      </c>
      <c r="B49" s="50" t="s">
        <v>7</v>
      </c>
      <c r="C49" s="50" t="s">
        <v>18</v>
      </c>
      <c r="D49" s="50" t="s">
        <v>989</v>
      </c>
      <c r="E49" s="50" t="s">
        <v>673</v>
      </c>
      <c r="F49" s="50" t="s">
        <v>580</v>
      </c>
      <c r="G49" s="50" t="s">
        <v>846</v>
      </c>
      <c r="H49" s="51">
        <v>2</v>
      </c>
      <c r="I49" s="52">
        <f>J49/H49</f>
        <v>29990</v>
      </c>
      <c r="J49" s="52">
        <v>59980</v>
      </c>
      <c r="K49" s="51">
        <v>4</v>
      </c>
      <c r="L49" s="53">
        <f>K49/H49*30</f>
        <v>60</v>
      </c>
    </row>
    <row r="50" spans="1:12" s="2" customFormat="1" ht="13.95" customHeight="1" outlineLevel="2" x14ac:dyDescent="0.2">
      <c r="A50" s="50" t="s">
        <v>70</v>
      </c>
      <c r="B50" s="50" t="s">
        <v>7</v>
      </c>
      <c r="C50" s="50" t="s">
        <v>18</v>
      </c>
      <c r="D50" s="50" t="s">
        <v>990</v>
      </c>
      <c r="E50" s="50" t="s">
        <v>991</v>
      </c>
      <c r="F50" s="50" t="s">
        <v>580</v>
      </c>
      <c r="G50" s="50" t="s">
        <v>581</v>
      </c>
      <c r="H50" s="51">
        <v>2</v>
      </c>
      <c r="I50" s="52">
        <f>J50/H50</f>
        <v>29990</v>
      </c>
      <c r="J50" s="52">
        <v>59980</v>
      </c>
      <c r="K50" s="51">
        <v>16</v>
      </c>
      <c r="L50" s="53">
        <f>K50/H50*30</f>
        <v>240</v>
      </c>
    </row>
    <row r="51" spans="1:12" s="2" customFormat="1" ht="13.95" customHeight="1" outlineLevel="2" x14ac:dyDescent="0.2">
      <c r="A51" s="50" t="s">
        <v>70</v>
      </c>
      <c r="B51" s="50" t="s">
        <v>7</v>
      </c>
      <c r="C51" s="50" t="s">
        <v>18</v>
      </c>
      <c r="D51" s="50" t="s">
        <v>992</v>
      </c>
      <c r="E51" s="50" t="s">
        <v>851</v>
      </c>
      <c r="F51" s="50" t="s">
        <v>580</v>
      </c>
      <c r="G51" s="50" t="s">
        <v>676</v>
      </c>
      <c r="H51" s="51">
        <v>2</v>
      </c>
      <c r="I51" s="52">
        <f>J51/H51</f>
        <v>29990</v>
      </c>
      <c r="J51" s="52">
        <v>59980</v>
      </c>
      <c r="K51" s="51">
        <v>8</v>
      </c>
      <c r="L51" s="53">
        <f>K51/H51*30</f>
        <v>120</v>
      </c>
    </row>
    <row r="52" spans="1:12" s="2" customFormat="1" ht="13.95" customHeight="1" outlineLevel="2" x14ac:dyDescent="0.2">
      <c r="A52" s="50" t="s">
        <v>70</v>
      </c>
      <c r="B52" s="50" t="s">
        <v>7</v>
      </c>
      <c r="C52" s="50" t="s">
        <v>18</v>
      </c>
      <c r="D52" s="50" t="s">
        <v>993</v>
      </c>
      <c r="E52" s="50" t="s">
        <v>855</v>
      </c>
      <c r="F52" s="50" t="s">
        <v>580</v>
      </c>
      <c r="G52" s="50" t="s">
        <v>581</v>
      </c>
      <c r="H52" s="51">
        <v>2</v>
      </c>
      <c r="I52" s="52">
        <f>J52/H52</f>
        <v>29990</v>
      </c>
      <c r="J52" s="52">
        <v>59980</v>
      </c>
      <c r="K52" s="51">
        <v>16</v>
      </c>
      <c r="L52" s="53">
        <f>K52/H52*30</f>
        <v>240</v>
      </c>
    </row>
    <row r="53" spans="1:12" s="2" customFormat="1" ht="13.95" customHeight="1" outlineLevel="2" x14ac:dyDescent="0.2">
      <c r="A53" s="50" t="s">
        <v>70</v>
      </c>
      <c r="B53" s="50" t="s">
        <v>7</v>
      </c>
      <c r="C53" s="50" t="s">
        <v>18</v>
      </c>
      <c r="D53" s="50" t="s">
        <v>994</v>
      </c>
      <c r="E53" s="50" t="s">
        <v>995</v>
      </c>
      <c r="F53" s="50" t="s">
        <v>580</v>
      </c>
      <c r="G53" s="50" t="s">
        <v>671</v>
      </c>
      <c r="H53" s="51">
        <v>2</v>
      </c>
      <c r="I53" s="52">
        <f>J53/H53</f>
        <v>29990</v>
      </c>
      <c r="J53" s="52">
        <v>59980</v>
      </c>
      <c r="K53" s="51">
        <v>3</v>
      </c>
      <c r="L53" s="53">
        <f>K53/H53*30</f>
        <v>45</v>
      </c>
    </row>
    <row r="54" spans="1:12" s="2" customFormat="1" ht="13.95" customHeight="1" outlineLevel="2" x14ac:dyDescent="0.2">
      <c r="A54" s="50" t="s">
        <v>70</v>
      </c>
      <c r="B54" s="50" t="s">
        <v>7</v>
      </c>
      <c r="C54" s="50" t="s">
        <v>18</v>
      </c>
      <c r="D54" s="50" t="s">
        <v>1147</v>
      </c>
      <c r="E54" s="50" t="s">
        <v>967</v>
      </c>
      <c r="F54" s="50" t="s">
        <v>968</v>
      </c>
      <c r="G54" s="50" t="s">
        <v>1148</v>
      </c>
      <c r="H54" s="51">
        <v>2</v>
      </c>
      <c r="I54" s="52">
        <f>J54/H54</f>
        <v>20990</v>
      </c>
      <c r="J54" s="52">
        <v>41980</v>
      </c>
      <c r="K54" s="51">
        <v>35</v>
      </c>
      <c r="L54" s="53">
        <f>K54/H54*30</f>
        <v>525</v>
      </c>
    </row>
    <row r="55" spans="1:12" s="2" customFormat="1" ht="13.95" customHeight="1" outlineLevel="2" x14ac:dyDescent="0.2">
      <c r="A55" s="50" t="s">
        <v>70</v>
      </c>
      <c r="B55" s="50" t="s">
        <v>7</v>
      </c>
      <c r="C55" s="50" t="s">
        <v>18</v>
      </c>
      <c r="D55" s="50" t="s">
        <v>1149</v>
      </c>
      <c r="E55" s="50" t="s">
        <v>967</v>
      </c>
      <c r="F55" s="50" t="s">
        <v>968</v>
      </c>
      <c r="G55" s="50" t="s">
        <v>1150</v>
      </c>
      <c r="H55" s="51">
        <v>2</v>
      </c>
      <c r="I55" s="52">
        <f>J55/H55</f>
        <v>20990</v>
      </c>
      <c r="J55" s="52">
        <v>41980</v>
      </c>
      <c r="K55" s="51">
        <v>4</v>
      </c>
      <c r="L55" s="53">
        <f>K55/H55*30</f>
        <v>60</v>
      </c>
    </row>
    <row r="56" spans="1:12" s="2" customFormat="1" ht="13.95" customHeight="1" outlineLevel="2" x14ac:dyDescent="0.2">
      <c r="A56" s="50" t="s">
        <v>70</v>
      </c>
      <c r="B56" s="50" t="s">
        <v>7</v>
      </c>
      <c r="C56" s="50" t="s">
        <v>18</v>
      </c>
      <c r="D56" s="50" t="s">
        <v>1151</v>
      </c>
      <c r="E56" s="50" t="s">
        <v>967</v>
      </c>
      <c r="F56" s="50" t="s">
        <v>968</v>
      </c>
      <c r="G56" s="50" t="s">
        <v>1152</v>
      </c>
      <c r="H56" s="51">
        <v>2</v>
      </c>
      <c r="I56" s="52">
        <f>J56/H56</f>
        <v>20990</v>
      </c>
      <c r="J56" s="52">
        <v>41980</v>
      </c>
      <c r="K56" s="51">
        <v>18</v>
      </c>
      <c r="L56" s="53">
        <f>K56/H56*30</f>
        <v>270</v>
      </c>
    </row>
    <row r="57" spans="1:12" s="2" customFormat="1" ht="13.95" customHeight="1" outlineLevel="2" x14ac:dyDescent="0.2">
      <c r="A57" s="50" t="s">
        <v>416</v>
      </c>
      <c r="B57" s="50" t="s">
        <v>7</v>
      </c>
      <c r="C57" s="50" t="s">
        <v>18</v>
      </c>
      <c r="D57" s="50" t="s">
        <v>1227</v>
      </c>
      <c r="E57" s="50" t="s">
        <v>1228</v>
      </c>
      <c r="F57" s="50" t="s">
        <v>106</v>
      </c>
      <c r="G57" s="50" t="s">
        <v>90</v>
      </c>
      <c r="H57" s="51">
        <v>2</v>
      </c>
      <c r="I57" s="52">
        <f>J57/H57</f>
        <v>16990</v>
      </c>
      <c r="J57" s="52">
        <v>33980</v>
      </c>
      <c r="K57" s="51">
        <v>4</v>
      </c>
      <c r="L57" s="53">
        <f>K57/H57*30</f>
        <v>60</v>
      </c>
    </row>
    <row r="58" spans="1:12" s="2" customFormat="1" ht="13.95" customHeight="1" outlineLevel="2" x14ac:dyDescent="0.2">
      <c r="A58" s="50" t="s">
        <v>70</v>
      </c>
      <c r="B58" s="50" t="s">
        <v>7</v>
      </c>
      <c r="C58" s="50" t="s">
        <v>18</v>
      </c>
      <c r="D58" s="50" t="s">
        <v>1236</v>
      </c>
      <c r="E58" s="50" t="s">
        <v>1237</v>
      </c>
      <c r="F58" s="50" t="s">
        <v>106</v>
      </c>
      <c r="G58" s="50" t="s">
        <v>74</v>
      </c>
      <c r="H58" s="51">
        <v>2</v>
      </c>
      <c r="I58" s="52">
        <f>J58/H58</f>
        <v>15990</v>
      </c>
      <c r="J58" s="52">
        <v>31980</v>
      </c>
      <c r="K58" s="51">
        <v>15</v>
      </c>
      <c r="L58" s="53">
        <f>K58/H58*30</f>
        <v>225</v>
      </c>
    </row>
    <row r="59" spans="1:12" s="2" customFormat="1" ht="13.95" customHeight="1" outlineLevel="2" x14ac:dyDescent="0.2">
      <c r="A59" s="50" t="s">
        <v>70</v>
      </c>
      <c r="B59" s="50" t="s">
        <v>7</v>
      </c>
      <c r="C59" s="50" t="s">
        <v>18</v>
      </c>
      <c r="D59" s="50" t="s">
        <v>1238</v>
      </c>
      <c r="E59" s="50" t="s">
        <v>790</v>
      </c>
      <c r="F59" s="50" t="s">
        <v>73</v>
      </c>
      <c r="G59" s="50" t="s">
        <v>86</v>
      </c>
      <c r="H59" s="51">
        <v>2</v>
      </c>
      <c r="I59" s="52">
        <f>J59/H59</f>
        <v>15990</v>
      </c>
      <c r="J59" s="52">
        <v>31980</v>
      </c>
      <c r="K59" s="51">
        <v>0</v>
      </c>
      <c r="L59" s="53">
        <f>K59/H59*30</f>
        <v>0</v>
      </c>
    </row>
    <row r="60" spans="1:12" s="2" customFormat="1" ht="13.95" customHeight="1" outlineLevel="2" x14ac:dyDescent="0.2">
      <c r="A60" s="50" t="s">
        <v>70</v>
      </c>
      <c r="B60" s="50" t="s">
        <v>7</v>
      </c>
      <c r="C60" s="50" t="s">
        <v>18</v>
      </c>
      <c r="D60" s="50" t="s">
        <v>1257</v>
      </c>
      <c r="E60" s="50" t="s">
        <v>844</v>
      </c>
      <c r="F60" s="50" t="s">
        <v>580</v>
      </c>
      <c r="G60" s="50" t="s">
        <v>846</v>
      </c>
      <c r="H60" s="51">
        <v>1</v>
      </c>
      <c r="I60" s="52">
        <f>J60/H60</f>
        <v>29990</v>
      </c>
      <c r="J60" s="52">
        <v>29990</v>
      </c>
      <c r="K60" s="51">
        <v>4</v>
      </c>
      <c r="L60" s="53">
        <f>K60/H60*30</f>
        <v>120</v>
      </c>
    </row>
    <row r="61" spans="1:12" s="2" customFormat="1" ht="13.95" customHeight="1" outlineLevel="2" x14ac:dyDescent="0.2">
      <c r="A61" s="50" t="s">
        <v>70</v>
      </c>
      <c r="B61" s="50" t="s">
        <v>7</v>
      </c>
      <c r="C61" s="50" t="s">
        <v>18</v>
      </c>
      <c r="D61" s="50" t="s">
        <v>1258</v>
      </c>
      <c r="E61" s="50" t="s">
        <v>669</v>
      </c>
      <c r="F61" s="50" t="s">
        <v>580</v>
      </c>
      <c r="G61" s="50" t="s">
        <v>676</v>
      </c>
      <c r="H61" s="51">
        <v>1</v>
      </c>
      <c r="I61" s="52">
        <f>J61/H61</f>
        <v>29990</v>
      </c>
      <c r="J61" s="52">
        <v>29990</v>
      </c>
      <c r="K61" s="51">
        <v>15</v>
      </c>
      <c r="L61" s="53">
        <f>K61/H61*30</f>
        <v>450</v>
      </c>
    </row>
    <row r="62" spans="1:12" s="2" customFormat="1" ht="13.95" customHeight="1" outlineLevel="2" x14ac:dyDescent="0.2">
      <c r="A62" s="50" t="s">
        <v>70</v>
      </c>
      <c r="B62" s="50" t="s">
        <v>7</v>
      </c>
      <c r="C62" s="50" t="s">
        <v>18</v>
      </c>
      <c r="D62" s="50" t="s">
        <v>1259</v>
      </c>
      <c r="E62" s="50" t="s">
        <v>985</v>
      </c>
      <c r="F62" s="50" t="s">
        <v>580</v>
      </c>
      <c r="G62" s="50" t="s">
        <v>676</v>
      </c>
      <c r="H62" s="51">
        <v>1</v>
      </c>
      <c r="I62" s="52">
        <f>J62/H62</f>
        <v>29990</v>
      </c>
      <c r="J62" s="52">
        <v>29990</v>
      </c>
      <c r="K62" s="51">
        <v>8</v>
      </c>
      <c r="L62" s="53">
        <f>K62/H62*30</f>
        <v>240</v>
      </c>
    </row>
    <row r="63" spans="1:12" s="2" customFormat="1" ht="13.95" customHeight="1" outlineLevel="2" x14ac:dyDescent="0.2">
      <c r="A63" s="50" t="s">
        <v>70</v>
      </c>
      <c r="B63" s="50" t="s">
        <v>7</v>
      </c>
      <c r="C63" s="50" t="s">
        <v>18</v>
      </c>
      <c r="D63" s="50" t="s">
        <v>1260</v>
      </c>
      <c r="E63" s="50" t="s">
        <v>1261</v>
      </c>
      <c r="F63" s="50" t="s">
        <v>580</v>
      </c>
      <c r="G63" s="50" t="s">
        <v>581</v>
      </c>
      <c r="H63" s="51">
        <v>1</v>
      </c>
      <c r="I63" s="52">
        <f>J63/H63</f>
        <v>29990</v>
      </c>
      <c r="J63" s="52">
        <v>29990</v>
      </c>
      <c r="K63" s="51">
        <v>7</v>
      </c>
      <c r="L63" s="53">
        <f>K63/H63*30</f>
        <v>210</v>
      </c>
    </row>
    <row r="64" spans="1:12" s="2" customFormat="1" ht="13.95" customHeight="1" outlineLevel="2" x14ac:dyDescent="0.2">
      <c r="A64" s="50" t="s">
        <v>70</v>
      </c>
      <c r="B64" s="50" t="s">
        <v>7</v>
      </c>
      <c r="C64" s="50" t="s">
        <v>18</v>
      </c>
      <c r="D64" s="50" t="s">
        <v>1262</v>
      </c>
      <c r="E64" s="50" t="s">
        <v>1261</v>
      </c>
      <c r="F64" s="50" t="s">
        <v>580</v>
      </c>
      <c r="G64" s="50" t="s">
        <v>671</v>
      </c>
      <c r="H64" s="51">
        <v>1</v>
      </c>
      <c r="I64" s="52">
        <f>J64/H64</f>
        <v>29990</v>
      </c>
      <c r="J64" s="52">
        <v>29990</v>
      </c>
      <c r="K64" s="51">
        <v>16</v>
      </c>
      <c r="L64" s="53">
        <f>K64/H64*30</f>
        <v>480</v>
      </c>
    </row>
    <row r="65" spans="1:12" s="2" customFormat="1" ht="13.95" customHeight="1" outlineLevel="2" x14ac:dyDescent="0.2">
      <c r="A65" s="50" t="s">
        <v>70</v>
      </c>
      <c r="B65" s="50" t="s">
        <v>7</v>
      </c>
      <c r="C65" s="50" t="s">
        <v>18</v>
      </c>
      <c r="D65" s="50" t="s">
        <v>1263</v>
      </c>
      <c r="E65" s="50" t="s">
        <v>1261</v>
      </c>
      <c r="F65" s="50" t="s">
        <v>580</v>
      </c>
      <c r="G65" s="50" t="s">
        <v>676</v>
      </c>
      <c r="H65" s="51">
        <v>1</v>
      </c>
      <c r="I65" s="52">
        <f>J65/H65</f>
        <v>29990</v>
      </c>
      <c r="J65" s="52">
        <v>29990</v>
      </c>
      <c r="K65" s="51">
        <v>7</v>
      </c>
      <c r="L65" s="53">
        <f>K65/H65*30</f>
        <v>210</v>
      </c>
    </row>
    <row r="66" spans="1:12" s="2" customFormat="1" ht="13.95" customHeight="1" outlineLevel="2" x14ac:dyDescent="0.2">
      <c r="A66" s="50" t="s">
        <v>70</v>
      </c>
      <c r="B66" s="50" t="s">
        <v>7</v>
      </c>
      <c r="C66" s="50" t="s">
        <v>18</v>
      </c>
      <c r="D66" s="50" t="s">
        <v>1264</v>
      </c>
      <c r="E66" s="50" t="s">
        <v>848</v>
      </c>
      <c r="F66" s="50" t="s">
        <v>580</v>
      </c>
      <c r="G66" s="50" t="s">
        <v>846</v>
      </c>
      <c r="H66" s="51">
        <v>1</v>
      </c>
      <c r="I66" s="52">
        <f>J66/H66</f>
        <v>29990</v>
      </c>
      <c r="J66" s="52">
        <v>29990</v>
      </c>
      <c r="K66" s="51">
        <v>7</v>
      </c>
      <c r="L66" s="53">
        <f>K66/H66*30</f>
        <v>210</v>
      </c>
    </row>
    <row r="67" spans="1:12" s="2" customFormat="1" ht="13.95" customHeight="1" outlineLevel="2" x14ac:dyDescent="0.2">
      <c r="A67" s="50" t="s">
        <v>70</v>
      </c>
      <c r="B67" s="50" t="s">
        <v>7</v>
      </c>
      <c r="C67" s="50" t="s">
        <v>18</v>
      </c>
      <c r="D67" s="50" t="s">
        <v>1265</v>
      </c>
      <c r="E67" s="50" t="s">
        <v>673</v>
      </c>
      <c r="F67" s="50" t="s">
        <v>580</v>
      </c>
      <c r="G67" s="50" t="s">
        <v>676</v>
      </c>
      <c r="H67" s="51">
        <v>1</v>
      </c>
      <c r="I67" s="52">
        <f>J67/H67</f>
        <v>29990</v>
      </c>
      <c r="J67" s="52">
        <v>29990</v>
      </c>
      <c r="K67" s="51">
        <v>7</v>
      </c>
      <c r="L67" s="53">
        <f>K67/H67*30</f>
        <v>210</v>
      </c>
    </row>
    <row r="68" spans="1:12" s="2" customFormat="1" ht="13.95" customHeight="1" outlineLevel="2" x14ac:dyDescent="0.2">
      <c r="A68" s="50" t="s">
        <v>70</v>
      </c>
      <c r="B68" s="50" t="s">
        <v>7</v>
      </c>
      <c r="C68" s="50" t="s">
        <v>18</v>
      </c>
      <c r="D68" s="50" t="s">
        <v>1266</v>
      </c>
      <c r="E68" s="50" t="s">
        <v>991</v>
      </c>
      <c r="F68" s="50" t="s">
        <v>580</v>
      </c>
      <c r="G68" s="50" t="s">
        <v>846</v>
      </c>
      <c r="H68" s="51">
        <v>1</v>
      </c>
      <c r="I68" s="52">
        <f>J68/H68</f>
        <v>29990</v>
      </c>
      <c r="J68" s="52">
        <v>29990</v>
      </c>
      <c r="K68" s="51">
        <v>15</v>
      </c>
      <c r="L68" s="53">
        <f>K68/H68*30</f>
        <v>450</v>
      </c>
    </row>
    <row r="69" spans="1:12" s="2" customFormat="1" ht="13.95" customHeight="1" outlineLevel="2" x14ac:dyDescent="0.2">
      <c r="A69" s="50" t="s">
        <v>70</v>
      </c>
      <c r="B69" s="50" t="s">
        <v>7</v>
      </c>
      <c r="C69" s="50" t="s">
        <v>18</v>
      </c>
      <c r="D69" s="50" t="s">
        <v>1267</v>
      </c>
      <c r="E69" s="50" t="s">
        <v>991</v>
      </c>
      <c r="F69" s="50" t="s">
        <v>580</v>
      </c>
      <c r="G69" s="50" t="s">
        <v>676</v>
      </c>
      <c r="H69" s="51">
        <v>1</v>
      </c>
      <c r="I69" s="52">
        <f>J69/H69</f>
        <v>29990</v>
      </c>
      <c r="J69" s="52">
        <v>29990</v>
      </c>
      <c r="K69" s="51">
        <v>16</v>
      </c>
      <c r="L69" s="53">
        <f>K69/H69*30</f>
        <v>480</v>
      </c>
    </row>
    <row r="70" spans="1:12" s="2" customFormat="1" ht="13.95" customHeight="1" outlineLevel="2" x14ac:dyDescent="0.2">
      <c r="A70" s="50" t="s">
        <v>70</v>
      </c>
      <c r="B70" s="50" t="s">
        <v>7</v>
      </c>
      <c r="C70" s="50" t="s">
        <v>18</v>
      </c>
      <c r="D70" s="50" t="s">
        <v>1268</v>
      </c>
      <c r="E70" s="50" t="s">
        <v>675</v>
      </c>
      <c r="F70" s="50" t="s">
        <v>580</v>
      </c>
      <c r="G70" s="50" t="s">
        <v>581</v>
      </c>
      <c r="H70" s="51">
        <v>1</v>
      </c>
      <c r="I70" s="52">
        <f>J70/H70</f>
        <v>29990</v>
      </c>
      <c r="J70" s="52">
        <v>29990</v>
      </c>
      <c r="K70" s="51">
        <v>8</v>
      </c>
      <c r="L70" s="53">
        <f>K70/H70*30</f>
        <v>240</v>
      </c>
    </row>
    <row r="71" spans="1:12" s="2" customFormat="1" ht="13.95" customHeight="1" outlineLevel="2" x14ac:dyDescent="0.2">
      <c r="A71" s="50" t="s">
        <v>70</v>
      </c>
      <c r="B71" s="50" t="s">
        <v>7</v>
      </c>
      <c r="C71" s="50" t="s">
        <v>18</v>
      </c>
      <c r="D71" s="50" t="s">
        <v>1269</v>
      </c>
      <c r="E71" s="50" t="s">
        <v>851</v>
      </c>
      <c r="F71" s="50" t="s">
        <v>580</v>
      </c>
      <c r="G71" s="50" t="s">
        <v>846</v>
      </c>
      <c r="H71" s="51">
        <v>1</v>
      </c>
      <c r="I71" s="52">
        <f>J71/H71</f>
        <v>29990</v>
      </c>
      <c r="J71" s="52">
        <v>29990</v>
      </c>
      <c r="K71" s="51">
        <v>9</v>
      </c>
      <c r="L71" s="53">
        <f>K71/H71*30</f>
        <v>270</v>
      </c>
    </row>
    <row r="72" spans="1:12" s="2" customFormat="1" ht="13.95" customHeight="1" outlineLevel="2" x14ac:dyDescent="0.2">
      <c r="A72" s="50" t="s">
        <v>70</v>
      </c>
      <c r="B72" s="50" t="s">
        <v>7</v>
      </c>
      <c r="C72" s="50" t="s">
        <v>18</v>
      </c>
      <c r="D72" s="50" t="s">
        <v>1270</v>
      </c>
      <c r="E72" s="50" t="s">
        <v>851</v>
      </c>
      <c r="F72" s="50" t="s">
        <v>580</v>
      </c>
      <c r="G72" s="50" t="s">
        <v>671</v>
      </c>
      <c r="H72" s="51">
        <v>1</v>
      </c>
      <c r="I72" s="52">
        <f>J72/H72</f>
        <v>29990</v>
      </c>
      <c r="J72" s="52">
        <v>29990</v>
      </c>
      <c r="K72" s="51">
        <v>8</v>
      </c>
      <c r="L72" s="53">
        <f>K72/H72*30</f>
        <v>240</v>
      </c>
    </row>
    <row r="73" spans="1:12" s="2" customFormat="1" ht="13.95" customHeight="1" outlineLevel="2" x14ac:dyDescent="0.2">
      <c r="A73" s="50" t="s">
        <v>70</v>
      </c>
      <c r="B73" s="50" t="s">
        <v>7</v>
      </c>
      <c r="C73" s="50" t="s">
        <v>18</v>
      </c>
      <c r="D73" s="50" t="s">
        <v>1271</v>
      </c>
      <c r="E73" s="50" t="s">
        <v>855</v>
      </c>
      <c r="F73" s="50" t="s">
        <v>580</v>
      </c>
      <c r="G73" s="50" t="s">
        <v>676</v>
      </c>
      <c r="H73" s="51">
        <v>1</v>
      </c>
      <c r="I73" s="52">
        <f>J73/H73</f>
        <v>29990</v>
      </c>
      <c r="J73" s="52">
        <v>29990</v>
      </c>
      <c r="K73" s="51">
        <v>7</v>
      </c>
      <c r="L73" s="53">
        <f>K73/H73*30</f>
        <v>210</v>
      </c>
    </row>
    <row r="74" spans="1:12" s="2" customFormat="1" ht="13.95" customHeight="1" outlineLevel="2" x14ac:dyDescent="0.2">
      <c r="A74" s="50" t="s">
        <v>70</v>
      </c>
      <c r="B74" s="50" t="s">
        <v>7</v>
      </c>
      <c r="C74" s="50" t="s">
        <v>18</v>
      </c>
      <c r="D74" s="50" t="s">
        <v>1272</v>
      </c>
      <c r="E74" s="50" t="s">
        <v>995</v>
      </c>
      <c r="F74" s="50" t="s">
        <v>580</v>
      </c>
      <c r="G74" s="50" t="s">
        <v>846</v>
      </c>
      <c r="H74" s="51">
        <v>1</v>
      </c>
      <c r="I74" s="52">
        <f>J74/H74</f>
        <v>29990</v>
      </c>
      <c r="J74" s="52">
        <v>29990</v>
      </c>
      <c r="K74" s="51">
        <v>2</v>
      </c>
      <c r="L74" s="53">
        <f>K74/H74*30</f>
        <v>60</v>
      </c>
    </row>
    <row r="75" spans="1:12" s="2" customFormat="1" ht="13.95" customHeight="1" outlineLevel="2" x14ac:dyDescent="0.2">
      <c r="A75" s="50" t="s">
        <v>70</v>
      </c>
      <c r="B75" s="50" t="s">
        <v>7</v>
      </c>
      <c r="C75" s="50" t="s">
        <v>18</v>
      </c>
      <c r="D75" s="50" t="s">
        <v>1273</v>
      </c>
      <c r="E75" s="50" t="s">
        <v>1274</v>
      </c>
      <c r="F75" s="50" t="s">
        <v>580</v>
      </c>
      <c r="G75" s="50" t="s">
        <v>581</v>
      </c>
      <c r="H75" s="51">
        <v>1</v>
      </c>
      <c r="I75" s="52">
        <f>J75/H75</f>
        <v>29990</v>
      </c>
      <c r="J75" s="52">
        <v>29990</v>
      </c>
      <c r="K75" s="51">
        <v>7</v>
      </c>
      <c r="L75" s="53">
        <f>K75/H75*30</f>
        <v>210</v>
      </c>
    </row>
    <row r="76" spans="1:12" s="2" customFormat="1" ht="13.95" customHeight="1" outlineLevel="2" x14ac:dyDescent="0.2">
      <c r="A76" s="50" t="s">
        <v>70</v>
      </c>
      <c r="B76" s="50" t="s">
        <v>7</v>
      </c>
      <c r="C76" s="50" t="s">
        <v>18</v>
      </c>
      <c r="D76" s="50" t="s">
        <v>1275</v>
      </c>
      <c r="E76" s="50" t="s">
        <v>1274</v>
      </c>
      <c r="F76" s="50" t="s">
        <v>580</v>
      </c>
      <c r="G76" s="50" t="s">
        <v>846</v>
      </c>
      <c r="H76" s="51">
        <v>1</v>
      </c>
      <c r="I76" s="52">
        <f>J76/H76</f>
        <v>29990</v>
      </c>
      <c r="J76" s="52">
        <v>29990</v>
      </c>
      <c r="K76" s="51">
        <v>14</v>
      </c>
      <c r="L76" s="53">
        <f>K76/H76*30</f>
        <v>420</v>
      </c>
    </row>
    <row r="77" spans="1:12" s="2" customFormat="1" ht="13.95" customHeight="1" outlineLevel="2" x14ac:dyDescent="0.2">
      <c r="A77" s="50" t="s">
        <v>70</v>
      </c>
      <c r="B77" s="50" t="s">
        <v>7</v>
      </c>
      <c r="C77" s="50" t="s">
        <v>18</v>
      </c>
      <c r="D77" s="50" t="s">
        <v>1276</v>
      </c>
      <c r="E77" s="50" t="s">
        <v>1274</v>
      </c>
      <c r="F77" s="50" t="s">
        <v>580</v>
      </c>
      <c r="G77" s="50" t="s">
        <v>676</v>
      </c>
      <c r="H77" s="51">
        <v>1</v>
      </c>
      <c r="I77" s="52">
        <f>J77/H77</f>
        <v>29990</v>
      </c>
      <c r="J77" s="52">
        <v>29990</v>
      </c>
      <c r="K77" s="51">
        <v>8</v>
      </c>
      <c r="L77" s="53">
        <f>K77/H77*30</f>
        <v>240</v>
      </c>
    </row>
    <row r="78" spans="1:12" s="2" customFormat="1" ht="13.95" customHeight="1" outlineLevel="2" x14ac:dyDescent="0.2">
      <c r="A78" s="50" t="s">
        <v>70</v>
      </c>
      <c r="B78" s="50" t="s">
        <v>7</v>
      </c>
      <c r="C78" s="50" t="s">
        <v>18</v>
      </c>
      <c r="D78" s="50" t="s">
        <v>1277</v>
      </c>
      <c r="E78" s="50" t="s">
        <v>1278</v>
      </c>
      <c r="F78" s="50" t="s">
        <v>580</v>
      </c>
      <c r="G78" s="50" t="s">
        <v>671</v>
      </c>
      <c r="H78" s="51">
        <v>1</v>
      </c>
      <c r="I78" s="52">
        <f>J78/H78</f>
        <v>29990</v>
      </c>
      <c r="J78" s="52">
        <v>29990</v>
      </c>
      <c r="K78" s="51">
        <v>9</v>
      </c>
      <c r="L78" s="53">
        <f>K78/H78*30</f>
        <v>270</v>
      </c>
    </row>
    <row r="79" spans="1:12" s="2" customFormat="1" ht="13.95" customHeight="1" outlineLevel="2" x14ac:dyDescent="0.2">
      <c r="A79" s="50" t="s">
        <v>70</v>
      </c>
      <c r="B79" s="50" t="s">
        <v>7</v>
      </c>
      <c r="C79" s="50" t="s">
        <v>18</v>
      </c>
      <c r="D79" s="50" t="s">
        <v>1296</v>
      </c>
      <c r="E79" s="50" t="s">
        <v>1297</v>
      </c>
      <c r="F79" s="50" t="s">
        <v>223</v>
      </c>
      <c r="G79" s="50" t="s">
        <v>224</v>
      </c>
      <c r="H79" s="51">
        <v>2</v>
      </c>
      <c r="I79" s="52">
        <f>J79/H79</f>
        <v>12990</v>
      </c>
      <c r="J79" s="52">
        <v>25980</v>
      </c>
      <c r="K79" s="51">
        <v>0</v>
      </c>
      <c r="L79" s="53">
        <f>K79/H79*30</f>
        <v>0</v>
      </c>
    </row>
    <row r="80" spans="1:12" s="2" customFormat="1" ht="13.95" customHeight="1" outlineLevel="2" x14ac:dyDescent="0.2">
      <c r="A80" s="50" t="s">
        <v>70</v>
      </c>
      <c r="B80" s="50" t="s">
        <v>7</v>
      </c>
      <c r="C80" s="50" t="s">
        <v>18</v>
      </c>
      <c r="D80" s="50" t="s">
        <v>1298</v>
      </c>
      <c r="E80" s="50" t="s">
        <v>1297</v>
      </c>
      <c r="F80" s="50" t="s">
        <v>106</v>
      </c>
      <c r="G80" s="50" t="s">
        <v>84</v>
      </c>
      <c r="H80" s="51">
        <v>2</v>
      </c>
      <c r="I80" s="52">
        <f>J80/H80</f>
        <v>12990</v>
      </c>
      <c r="J80" s="52">
        <v>25980</v>
      </c>
      <c r="K80" s="51">
        <v>0</v>
      </c>
      <c r="L80" s="53">
        <f>K80/H80*30</f>
        <v>0</v>
      </c>
    </row>
    <row r="81" spans="1:12" s="2" customFormat="1" ht="13.95" customHeight="1" outlineLevel="2" x14ac:dyDescent="0.2">
      <c r="A81" s="50" t="s">
        <v>70</v>
      </c>
      <c r="B81" s="50" t="s">
        <v>7</v>
      </c>
      <c r="C81" s="50" t="s">
        <v>18</v>
      </c>
      <c r="D81" s="50" t="s">
        <v>1336</v>
      </c>
      <c r="E81" s="50" t="s">
        <v>967</v>
      </c>
      <c r="F81" s="50" t="s">
        <v>968</v>
      </c>
      <c r="G81" s="50" t="s">
        <v>1337</v>
      </c>
      <c r="H81" s="51">
        <v>1</v>
      </c>
      <c r="I81" s="52">
        <f>J81/H81</f>
        <v>20990</v>
      </c>
      <c r="J81" s="52">
        <v>20990</v>
      </c>
      <c r="K81" s="51">
        <v>13</v>
      </c>
      <c r="L81" s="53">
        <f>K81/H81*30</f>
        <v>390</v>
      </c>
    </row>
    <row r="82" spans="1:12" s="2" customFormat="1" ht="13.95" customHeight="1" outlineLevel="2" x14ac:dyDescent="0.2">
      <c r="A82" s="50" t="s">
        <v>70</v>
      </c>
      <c r="B82" s="50" t="s">
        <v>7</v>
      </c>
      <c r="C82" s="50" t="s">
        <v>18</v>
      </c>
      <c r="D82" s="50" t="s">
        <v>1338</v>
      </c>
      <c r="E82" s="50" t="s">
        <v>967</v>
      </c>
      <c r="F82" s="50" t="s">
        <v>968</v>
      </c>
      <c r="G82" s="50" t="s">
        <v>1339</v>
      </c>
      <c r="H82" s="51">
        <v>1</v>
      </c>
      <c r="I82" s="52">
        <f>J82/H82</f>
        <v>20990</v>
      </c>
      <c r="J82" s="52">
        <v>20990</v>
      </c>
      <c r="K82" s="51">
        <v>0</v>
      </c>
      <c r="L82" s="53">
        <f>K82/H82*30</f>
        <v>0</v>
      </c>
    </row>
    <row r="83" spans="1:12" s="2" customFormat="1" ht="13.95" customHeight="1" outlineLevel="2" x14ac:dyDescent="0.2">
      <c r="A83" s="50" t="s">
        <v>70</v>
      </c>
      <c r="B83" s="50" t="s">
        <v>7</v>
      </c>
      <c r="C83" s="50" t="s">
        <v>18</v>
      </c>
      <c r="D83" s="50" t="s">
        <v>1340</v>
      </c>
      <c r="E83" s="50" t="s">
        <v>967</v>
      </c>
      <c r="F83" s="50" t="s">
        <v>968</v>
      </c>
      <c r="G83" s="50" t="s">
        <v>1341</v>
      </c>
      <c r="H83" s="51">
        <v>1</v>
      </c>
      <c r="I83" s="52">
        <f>J83/H83</f>
        <v>20990</v>
      </c>
      <c r="J83" s="52">
        <v>20990</v>
      </c>
      <c r="K83" s="51">
        <v>21</v>
      </c>
      <c r="L83" s="53">
        <f>K83/H83*30</f>
        <v>630</v>
      </c>
    </row>
    <row r="84" spans="1:12" s="2" customFormat="1" ht="13.95" customHeight="1" outlineLevel="2" x14ac:dyDescent="0.2">
      <c r="A84" s="50" t="s">
        <v>70</v>
      </c>
      <c r="B84" s="50" t="s">
        <v>7</v>
      </c>
      <c r="C84" s="50" t="s">
        <v>18</v>
      </c>
      <c r="D84" s="50" t="s">
        <v>1342</v>
      </c>
      <c r="E84" s="50" t="s">
        <v>967</v>
      </c>
      <c r="F84" s="50" t="s">
        <v>968</v>
      </c>
      <c r="G84" s="50" t="s">
        <v>1343</v>
      </c>
      <c r="H84" s="51">
        <v>1</v>
      </c>
      <c r="I84" s="52">
        <f>J84/H84</f>
        <v>20990</v>
      </c>
      <c r="J84" s="52">
        <v>20990</v>
      </c>
      <c r="K84" s="51">
        <v>18</v>
      </c>
      <c r="L84" s="53">
        <f>K84/H84*30</f>
        <v>540</v>
      </c>
    </row>
    <row r="85" spans="1:12" s="2" customFormat="1" ht="13.95" customHeight="1" outlineLevel="2" x14ac:dyDescent="0.2">
      <c r="A85" s="50" t="s">
        <v>70</v>
      </c>
      <c r="B85" s="50" t="s">
        <v>7</v>
      </c>
      <c r="C85" s="50" t="s">
        <v>18</v>
      </c>
      <c r="D85" s="50" t="s">
        <v>1344</v>
      </c>
      <c r="E85" s="50" t="s">
        <v>967</v>
      </c>
      <c r="F85" s="50" t="s">
        <v>968</v>
      </c>
      <c r="G85" s="50" t="s">
        <v>1345</v>
      </c>
      <c r="H85" s="51">
        <v>1</v>
      </c>
      <c r="I85" s="52">
        <f>J85/H85</f>
        <v>20990</v>
      </c>
      <c r="J85" s="52">
        <v>20990</v>
      </c>
      <c r="K85" s="51">
        <v>11</v>
      </c>
      <c r="L85" s="53">
        <f>K85/H85*30</f>
        <v>330</v>
      </c>
    </row>
    <row r="86" spans="1:12" s="2" customFormat="1" ht="13.95" customHeight="1" outlineLevel="2" x14ac:dyDescent="0.2">
      <c r="A86" s="50" t="s">
        <v>70</v>
      </c>
      <c r="B86" s="50" t="s">
        <v>7</v>
      </c>
      <c r="C86" s="50" t="s">
        <v>18</v>
      </c>
      <c r="D86" s="50" t="s">
        <v>1346</v>
      </c>
      <c r="E86" s="50" t="s">
        <v>967</v>
      </c>
      <c r="F86" s="50" t="s">
        <v>968</v>
      </c>
      <c r="G86" s="50" t="s">
        <v>1347</v>
      </c>
      <c r="H86" s="51">
        <v>1</v>
      </c>
      <c r="I86" s="52">
        <f>J86/H86</f>
        <v>20990</v>
      </c>
      <c r="J86" s="52">
        <v>20990</v>
      </c>
      <c r="K86" s="51">
        <v>38</v>
      </c>
      <c r="L86" s="53">
        <f>K86/H86*30</f>
        <v>1140</v>
      </c>
    </row>
    <row r="87" spans="1:12" s="2" customFormat="1" ht="13.95" customHeight="1" outlineLevel="2" x14ac:dyDescent="0.2">
      <c r="A87" s="50" t="s">
        <v>70</v>
      </c>
      <c r="B87" s="50" t="s">
        <v>7</v>
      </c>
      <c r="C87" s="50" t="s">
        <v>18</v>
      </c>
      <c r="D87" s="50" t="s">
        <v>1348</v>
      </c>
      <c r="E87" s="50" t="s">
        <v>967</v>
      </c>
      <c r="F87" s="50" t="s">
        <v>968</v>
      </c>
      <c r="G87" s="50" t="s">
        <v>1349</v>
      </c>
      <c r="H87" s="51">
        <v>1</v>
      </c>
      <c r="I87" s="52">
        <f>J87/H87</f>
        <v>20990</v>
      </c>
      <c r="J87" s="52">
        <v>20990</v>
      </c>
      <c r="K87" s="51">
        <v>2</v>
      </c>
      <c r="L87" s="53">
        <f>K87/H87*30</f>
        <v>60</v>
      </c>
    </row>
    <row r="88" spans="1:12" s="2" customFormat="1" ht="13.95" customHeight="1" outlineLevel="2" x14ac:dyDescent="0.2">
      <c r="A88" s="50" t="s">
        <v>70</v>
      </c>
      <c r="B88" s="50" t="s">
        <v>7</v>
      </c>
      <c r="C88" s="50" t="s">
        <v>18</v>
      </c>
      <c r="D88" s="50" t="s">
        <v>1350</v>
      </c>
      <c r="E88" s="50" t="s">
        <v>967</v>
      </c>
      <c r="F88" s="50" t="s">
        <v>968</v>
      </c>
      <c r="G88" s="50" t="s">
        <v>1351</v>
      </c>
      <c r="H88" s="51">
        <v>1</v>
      </c>
      <c r="I88" s="52">
        <f>J88/H88</f>
        <v>20990</v>
      </c>
      <c r="J88" s="52">
        <v>20990</v>
      </c>
      <c r="K88" s="51">
        <v>6</v>
      </c>
      <c r="L88" s="53">
        <f>K88/H88*30</f>
        <v>180</v>
      </c>
    </row>
    <row r="89" spans="1:12" s="2" customFormat="1" ht="13.95" customHeight="1" outlineLevel="2" x14ac:dyDescent="0.2">
      <c r="A89" s="50" t="s">
        <v>70</v>
      </c>
      <c r="B89" s="50" t="s">
        <v>7</v>
      </c>
      <c r="C89" s="50" t="s">
        <v>18</v>
      </c>
      <c r="D89" s="50" t="s">
        <v>1352</v>
      </c>
      <c r="E89" s="50" t="s">
        <v>967</v>
      </c>
      <c r="F89" s="50" t="s">
        <v>968</v>
      </c>
      <c r="G89" s="50" t="s">
        <v>1353</v>
      </c>
      <c r="H89" s="51">
        <v>1</v>
      </c>
      <c r="I89" s="52">
        <f>J89/H89</f>
        <v>20990</v>
      </c>
      <c r="J89" s="52">
        <v>20990</v>
      </c>
      <c r="K89" s="51">
        <v>24</v>
      </c>
      <c r="L89" s="53">
        <f>K89/H89*30</f>
        <v>720</v>
      </c>
    </row>
    <row r="90" spans="1:12" s="2" customFormat="1" ht="13.95" customHeight="1" outlineLevel="2" x14ac:dyDescent="0.2">
      <c r="A90" s="50" t="s">
        <v>416</v>
      </c>
      <c r="B90" s="50" t="s">
        <v>7</v>
      </c>
      <c r="C90" s="50" t="s">
        <v>18</v>
      </c>
      <c r="D90" s="50" t="s">
        <v>1378</v>
      </c>
      <c r="E90" s="50" t="s">
        <v>1228</v>
      </c>
      <c r="F90" s="50" t="s">
        <v>106</v>
      </c>
      <c r="G90" s="50" t="s">
        <v>86</v>
      </c>
      <c r="H90" s="51">
        <v>1</v>
      </c>
      <c r="I90" s="52">
        <f>J90/H90</f>
        <v>16990</v>
      </c>
      <c r="J90" s="52">
        <v>16990</v>
      </c>
      <c r="K90" s="51">
        <v>2</v>
      </c>
      <c r="L90" s="53">
        <f>K90/H90*30</f>
        <v>60</v>
      </c>
    </row>
    <row r="91" spans="1:12" s="2" customFormat="1" ht="13.95" customHeight="1" outlineLevel="2" x14ac:dyDescent="0.2">
      <c r="A91" s="50" t="s">
        <v>416</v>
      </c>
      <c r="B91" s="50" t="s">
        <v>7</v>
      </c>
      <c r="C91" s="50" t="s">
        <v>18</v>
      </c>
      <c r="D91" s="50" t="s">
        <v>1379</v>
      </c>
      <c r="E91" s="50" t="s">
        <v>1380</v>
      </c>
      <c r="F91" s="50" t="s">
        <v>106</v>
      </c>
      <c r="G91" s="50" t="s">
        <v>90</v>
      </c>
      <c r="H91" s="51">
        <v>1</v>
      </c>
      <c r="I91" s="52">
        <f>J91/H91</f>
        <v>16990</v>
      </c>
      <c r="J91" s="52">
        <v>16990</v>
      </c>
      <c r="K91" s="51">
        <v>19</v>
      </c>
      <c r="L91" s="53">
        <f>K91/H91*30</f>
        <v>570</v>
      </c>
    </row>
    <row r="92" spans="1:12" s="2" customFormat="1" ht="13.95" customHeight="1" outlineLevel="2" x14ac:dyDescent="0.2">
      <c r="A92" s="50" t="s">
        <v>416</v>
      </c>
      <c r="B92" s="50" t="s">
        <v>7</v>
      </c>
      <c r="C92" s="50" t="s">
        <v>18</v>
      </c>
      <c r="D92" s="50" t="s">
        <v>1381</v>
      </c>
      <c r="E92" s="50" t="s">
        <v>1380</v>
      </c>
      <c r="F92" s="50" t="s">
        <v>106</v>
      </c>
      <c r="G92" s="50" t="s">
        <v>86</v>
      </c>
      <c r="H92" s="51">
        <v>1</v>
      </c>
      <c r="I92" s="52">
        <f>J92/H92</f>
        <v>16990</v>
      </c>
      <c r="J92" s="52">
        <v>16990</v>
      </c>
      <c r="K92" s="51">
        <v>24</v>
      </c>
      <c r="L92" s="53">
        <f>K92/H92*30</f>
        <v>720</v>
      </c>
    </row>
    <row r="93" spans="1:12" s="2" customFormat="1" ht="13.95" customHeight="1" outlineLevel="2" x14ac:dyDescent="0.2">
      <c r="A93" s="50" t="s">
        <v>416</v>
      </c>
      <c r="B93" s="50" t="s">
        <v>7</v>
      </c>
      <c r="C93" s="50" t="s">
        <v>18</v>
      </c>
      <c r="D93" s="50" t="s">
        <v>1382</v>
      </c>
      <c r="E93" s="50" t="s">
        <v>1380</v>
      </c>
      <c r="F93" s="50" t="s">
        <v>106</v>
      </c>
      <c r="G93" s="50" t="s">
        <v>112</v>
      </c>
      <c r="H93" s="51">
        <v>1</v>
      </c>
      <c r="I93" s="52">
        <f>J93/H93</f>
        <v>16990</v>
      </c>
      <c r="J93" s="52">
        <v>16990</v>
      </c>
      <c r="K93" s="51">
        <v>2</v>
      </c>
      <c r="L93" s="53">
        <f>K93/H93*30</f>
        <v>60</v>
      </c>
    </row>
    <row r="94" spans="1:12" s="2" customFormat="1" ht="13.95" customHeight="1" outlineLevel="2" x14ac:dyDescent="0.2">
      <c r="A94" s="50" t="s">
        <v>70</v>
      </c>
      <c r="B94" s="50" t="s">
        <v>7</v>
      </c>
      <c r="C94" s="50" t="s">
        <v>18</v>
      </c>
      <c r="D94" s="50" t="s">
        <v>1388</v>
      </c>
      <c r="E94" s="50" t="s">
        <v>1237</v>
      </c>
      <c r="F94" s="50" t="s">
        <v>106</v>
      </c>
      <c r="G94" s="50" t="s">
        <v>86</v>
      </c>
      <c r="H94" s="51">
        <v>1</v>
      </c>
      <c r="I94" s="52">
        <f>J94/H94</f>
        <v>15990</v>
      </c>
      <c r="J94" s="52">
        <v>15990</v>
      </c>
      <c r="K94" s="51">
        <v>18</v>
      </c>
      <c r="L94" s="53">
        <f>K94/H94*30</f>
        <v>540</v>
      </c>
    </row>
    <row r="95" spans="1:12" s="2" customFormat="1" ht="13.95" customHeight="1" outlineLevel="2" x14ac:dyDescent="0.2">
      <c r="A95" s="50" t="s">
        <v>70</v>
      </c>
      <c r="B95" s="50" t="s">
        <v>7</v>
      </c>
      <c r="C95" s="50" t="s">
        <v>18</v>
      </c>
      <c r="D95" s="50" t="s">
        <v>1405</v>
      </c>
      <c r="E95" s="50" t="s">
        <v>1297</v>
      </c>
      <c r="F95" s="50" t="s">
        <v>106</v>
      </c>
      <c r="G95" s="50" t="s">
        <v>140</v>
      </c>
      <c r="H95" s="51">
        <v>1</v>
      </c>
      <c r="I95" s="52">
        <f>J95/H95</f>
        <v>12990</v>
      </c>
      <c r="J95" s="52">
        <v>12990</v>
      </c>
      <c r="K95" s="51">
        <v>0</v>
      </c>
      <c r="L95" s="53">
        <f>K95/H95*30</f>
        <v>0</v>
      </c>
    </row>
    <row r="96" spans="1:12" s="2" customFormat="1" ht="13.95" customHeight="1" outlineLevel="2" x14ac:dyDescent="0.2">
      <c r="A96" s="50" t="s">
        <v>70</v>
      </c>
      <c r="B96" s="50" t="s">
        <v>7</v>
      </c>
      <c r="C96" s="50" t="s">
        <v>18</v>
      </c>
      <c r="D96" s="50" t="s">
        <v>1406</v>
      </c>
      <c r="E96" s="50" t="s">
        <v>1297</v>
      </c>
      <c r="F96" s="50" t="s">
        <v>106</v>
      </c>
      <c r="G96" s="50" t="s">
        <v>86</v>
      </c>
      <c r="H96" s="51">
        <v>1</v>
      </c>
      <c r="I96" s="52">
        <f>J96/H96</f>
        <v>12990</v>
      </c>
      <c r="J96" s="52">
        <v>12990</v>
      </c>
      <c r="K96" s="51">
        <v>0</v>
      </c>
      <c r="L96" s="53">
        <f>K96/H96*30</f>
        <v>0</v>
      </c>
    </row>
    <row r="97" spans="1:12" s="2" customFormat="1" ht="13.95" customHeight="1" outlineLevel="1" x14ac:dyDescent="0.2">
      <c r="A97" s="50"/>
      <c r="B97" s="50"/>
      <c r="C97" s="58" t="s">
        <v>1486</v>
      </c>
      <c r="D97" s="50"/>
      <c r="E97" s="50"/>
      <c r="F97" s="50"/>
      <c r="G97" s="50"/>
      <c r="H97" s="51">
        <f>SUBTOTAL(9,H29:H96)</f>
        <v>126</v>
      </c>
      <c r="I97" s="52"/>
      <c r="J97" s="52">
        <f>SUBTOTAL(9,J29:J96)</f>
        <v>3255740</v>
      </c>
      <c r="K97" s="51"/>
      <c r="L97" s="53"/>
    </row>
    <row r="98" spans="1:12" s="2" customFormat="1" ht="13.95" customHeight="1" outlineLevel="2" x14ac:dyDescent="0.2">
      <c r="A98" s="50" t="s">
        <v>121</v>
      </c>
      <c r="B98" s="50" t="s">
        <v>7</v>
      </c>
      <c r="C98" s="50" t="s">
        <v>19</v>
      </c>
      <c r="D98" s="50" t="s">
        <v>399</v>
      </c>
      <c r="E98" s="50" t="s">
        <v>400</v>
      </c>
      <c r="F98" s="50" t="s">
        <v>73</v>
      </c>
      <c r="G98" s="50" t="s">
        <v>86</v>
      </c>
      <c r="H98" s="51">
        <v>1</v>
      </c>
      <c r="I98" s="52">
        <f>J98/H98</f>
        <v>219990</v>
      </c>
      <c r="J98" s="52">
        <v>219990</v>
      </c>
      <c r="K98" s="51">
        <v>6</v>
      </c>
      <c r="L98" s="53">
        <f>K98/H98*30</f>
        <v>180</v>
      </c>
    </row>
    <row r="99" spans="1:12" s="2" customFormat="1" ht="13.95" customHeight="1" outlineLevel="1" x14ac:dyDescent="0.2">
      <c r="A99" s="50"/>
      <c r="B99" s="50"/>
      <c r="C99" s="58" t="s">
        <v>1480</v>
      </c>
      <c r="D99" s="50"/>
      <c r="E99" s="50"/>
      <c r="F99" s="50"/>
      <c r="G99" s="50"/>
      <c r="H99" s="51">
        <f>SUBTOTAL(9,H98:H98)</f>
        <v>1</v>
      </c>
      <c r="I99" s="52"/>
      <c r="J99" s="52">
        <f>SUBTOTAL(9,J98:J98)</f>
        <v>219990</v>
      </c>
      <c r="K99" s="51"/>
      <c r="L99" s="53"/>
    </row>
    <row r="100" spans="1:12" s="2" customFormat="1" ht="13.95" customHeight="1" outlineLevel="2" x14ac:dyDescent="0.2">
      <c r="A100" s="50" t="s">
        <v>70</v>
      </c>
      <c r="B100" s="50" t="s">
        <v>7</v>
      </c>
      <c r="C100" s="50" t="s">
        <v>20</v>
      </c>
      <c r="D100" s="50" t="s">
        <v>730</v>
      </c>
      <c r="E100" s="50" t="s">
        <v>20</v>
      </c>
      <c r="F100" s="50" t="s">
        <v>106</v>
      </c>
      <c r="G100" s="50" t="s">
        <v>88</v>
      </c>
      <c r="H100" s="51">
        <v>6</v>
      </c>
      <c r="I100" s="52">
        <f>J100/H100</f>
        <v>16990</v>
      </c>
      <c r="J100" s="52">
        <v>101940</v>
      </c>
      <c r="K100" s="51">
        <v>12</v>
      </c>
      <c r="L100" s="53">
        <f>K100/H100*30</f>
        <v>60</v>
      </c>
    </row>
    <row r="101" spans="1:12" s="2" customFormat="1" ht="13.95" customHeight="1" outlineLevel="2" x14ac:dyDescent="0.2">
      <c r="A101" s="50" t="s">
        <v>70</v>
      </c>
      <c r="B101" s="50" t="s">
        <v>7</v>
      </c>
      <c r="C101" s="50" t="s">
        <v>20</v>
      </c>
      <c r="D101" s="50" t="s">
        <v>860</v>
      </c>
      <c r="E101" s="50" t="s">
        <v>20</v>
      </c>
      <c r="F101" s="50" t="s">
        <v>73</v>
      </c>
      <c r="G101" s="50" t="s">
        <v>86</v>
      </c>
      <c r="H101" s="51">
        <v>5</v>
      </c>
      <c r="I101" s="52">
        <f>J101/H101</f>
        <v>16990</v>
      </c>
      <c r="J101" s="52">
        <v>84950</v>
      </c>
      <c r="K101" s="51">
        <v>12</v>
      </c>
      <c r="L101" s="53">
        <f>K101/H101*30</f>
        <v>72</v>
      </c>
    </row>
    <row r="102" spans="1:12" s="2" customFormat="1" ht="13.95" customHeight="1" outlineLevel="2" x14ac:dyDescent="0.2">
      <c r="A102" s="50" t="s">
        <v>70</v>
      </c>
      <c r="B102" s="50" t="s">
        <v>7</v>
      </c>
      <c r="C102" s="50" t="s">
        <v>20</v>
      </c>
      <c r="D102" s="50" t="s">
        <v>861</v>
      </c>
      <c r="E102" s="50" t="s">
        <v>20</v>
      </c>
      <c r="F102" s="50" t="s">
        <v>106</v>
      </c>
      <c r="G102" s="50" t="s">
        <v>84</v>
      </c>
      <c r="H102" s="51">
        <v>5</v>
      </c>
      <c r="I102" s="52">
        <f>J102/H102</f>
        <v>16990</v>
      </c>
      <c r="J102" s="52">
        <v>84950</v>
      </c>
      <c r="K102" s="51">
        <v>20</v>
      </c>
      <c r="L102" s="53">
        <f>K102/H102*30</f>
        <v>120</v>
      </c>
    </row>
    <row r="103" spans="1:12" s="2" customFormat="1" ht="13.95" customHeight="1" outlineLevel="2" x14ac:dyDescent="0.2">
      <c r="A103" s="50" t="s">
        <v>70</v>
      </c>
      <c r="B103" s="50" t="s">
        <v>7</v>
      </c>
      <c r="C103" s="50" t="s">
        <v>20</v>
      </c>
      <c r="D103" s="50" t="s">
        <v>1080</v>
      </c>
      <c r="E103" s="50" t="s">
        <v>20</v>
      </c>
      <c r="F103" s="50" t="s">
        <v>106</v>
      </c>
      <c r="G103" s="50" t="s">
        <v>86</v>
      </c>
      <c r="H103" s="51">
        <v>3</v>
      </c>
      <c r="I103" s="52">
        <f>J103/H103</f>
        <v>16990</v>
      </c>
      <c r="J103" s="52">
        <v>50970</v>
      </c>
      <c r="K103" s="51">
        <v>29</v>
      </c>
      <c r="L103" s="53">
        <f>K103/H103*30</f>
        <v>290</v>
      </c>
    </row>
    <row r="104" spans="1:12" s="2" customFormat="1" ht="13.95" customHeight="1" outlineLevel="2" x14ac:dyDescent="0.2">
      <c r="A104" s="50" t="s">
        <v>70</v>
      </c>
      <c r="B104" s="50" t="s">
        <v>7</v>
      </c>
      <c r="C104" s="50" t="s">
        <v>20</v>
      </c>
      <c r="D104" s="50" t="s">
        <v>1229</v>
      </c>
      <c r="E104" s="50" t="s">
        <v>20</v>
      </c>
      <c r="F104" s="50" t="s">
        <v>73</v>
      </c>
      <c r="G104" s="50" t="s">
        <v>88</v>
      </c>
      <c r="H104" s="51">
        <v>2</v>
      </c>
      <c r="I104" s="52">
        <f>J104/H104</f>
        <v>16990</v>
      </c>
      <c r="J104" s="52">
        <v>33980</v>
      </c>
      <c r="K104" s="51">
        <v>2</v>
      </c>
      <c r="L104" s="53">
        <f>K104/H104*30</f>
        <v>30</v>
      </c>
    </row>
    <row r="105" spans="1:12" s="2" customFormat="1" ht="13.95" customHeight="1" outlineLevel="2" x14ac:dyDescent="0.2">
      <c r="A105" s="50" t="s">
        <v>70</v>
      </c>
      <c r="B105" s="50" t="s">
        <v>7</v>
      </c>
      <c r="C105" s="50" t="s">
        <v>20</v>
      </c>
      <c r="D105" s="50" t="s">
        <v>1230</v>
      </c>
      <c r="E105" s="50" t="s">
        <v>20</v>
      </c>
      <c r="F105" s="50" t="s">
        <v>73</v>
      </c>
      <c r="G105" s="50" t="s">
        <v>84</v>
      </c>
      <c r="H105" s="51">
        <v>2</v>
      </c>
      <c r="I105" s="52">
        <f>J105/H105</f>
        <v>16990</v>
      </c>
      <c r="J105" s="52">
        <v>33980</v>
      </c>
      <c r="K105" s="51">
        <v>7</v>
      </c>
      <c r="L105" s="53">
        <f>K105/H105*30</f>
        <v>105</v>
      </c>
    </row>
    <row r="106" spans="1:12" s="2" customFormat="1" ht="13.95" customHeight="1" outlineLevel="2" x14ac:dyDescent="0.2">
      <c r="A106" s="50" t="s">
        <v>70</v>
      </c>
      <c r="B106" s="50" t="s">
        <v>7</v>
      </c>
      <c r="C106" s="50" t="s">
        <v>20</v>
      </c>
      <c r="D106" s="50" t="s">
        <v>1383</v>
      </c>
      <c r="E106" s="50" t="s">
        <v>20</v>
      </c>
      <c r="F106" s="50" t="s">
        <v>73</v>
      </c>
      <c r="G106" s="50" t="s">
        <v>74</v>
      </c>
      <c r="H106" s="51">
        <v>1</v>
      </c>
      <c r="I106" s="52">
        <f>J106/H106</f>
        <v>16990</v>
      </c>
      <c r="J106" s="52">
        <v>16990</v>
      </c>
      <c r="K106" s="51">
        <v>2</v>
      </c>
      <c r="L106" s="53">
        <f>K106/H106*30</f>
        <v>60</v>
      </c>
    </row>
    <row r="107" spans="1:12" s="2" customFormat="1" ht="13.95" customHeight="1" outlineLevel="2" x14ac:dyDescent="0.2">
      <c r="A107" s="50" t="s">
        <v>70</v>
      </c>
      <c r="B107" s="50" t="s">
        <v>7</v>
      </c>
      <c r="C107" s="50" t="s">
        <v>20</v>
      </c>
      <c r="D107" s="50" t="s">
        <v>1384</v>
      </c>
      <c r="E107" s="50" t="s">
        <v>20</v>
      </c>
      <c r="F107" s="50" t="s">
        <v>106</v>
      </c>
      <c r="G107" s="50" t="s">
        <v>112</v>
      </c>
      <c r="H107" s="51">
        <v>1</v>
      </c>
      <c r="I107" s="52">
        <f>J107/H107</f>
        <v>16990</v>
      </c>
      <c r="J107" s="52">
        <v>16990</v>
      </c>
      <c r="K107" s="51">
        <v>9</v>
      </c>
      <c r="L107" s="53">
        <f>K107/H107*30</f>
        <v>270</v>
      </c>
    </row>
    <row r="108" spans="1:12" s="2" customFormat="1" ht="13.95" customHeight="1" outlineLevel="1" x14ac:dyDescent="0.2">
      <c r="A108" s="50"/>
      <c r="B108" s="50"/>
      <c r="C108" s="58" t="s">
        <v>1490</v>
      </c>
      <c r="D108" s="50"/>
      <c r="E108" s="50"/>
      <c r="F108" s="50"/>
      <c r="G108" s="50"/>
      <c r="H108" s="51">
        <f>SUBTOTAL(9,H100:H107)</f>
        <v>25</v>
      </c>
      <c r="I108" s="52"/>
      <c r="J108" s="52">
        <f>SUBTOTAL(9,J100:J107)</f>
        <v>424750</v>
      </c>
      <c r="K108" s="51"/>
      <c r="L108" s="53"/>
    </row>
    <row r="109" spans="1:12" s="2" customFormat="1" ht="13.95" customHeight="1" outlineLevel="2" x14ac:dyDescent="0.2">
      <c r="A109" s="50" t="s">
        <v>70</v>
      </c>
      <c r="B109" s="50" t="s">
        <v>7</v>
      </c>
      <c r="C109" s="50" t="s">
        <v>21</v>
      </c>
      <c r="D109" s="50" t="s">
        <v>214</v>
      </c>
      <c r="E109" s="50" t="s">
        <v>215</v>
      </c>
      <c r="F109" s="50" t="s">
        <v>216</v>
      </c>
      <c r="G109" s="50" t="s">
        <v>112</v>
      </c>
      <c r="H109" s="51">
        <v>11</v>
      </c>
      <c r="I109" s="52">
        <f>J109/H109</f>
        <v>34990</v>
      </c>
      <c r="J109" s="52">
        <v>384890</v>
      </c>
      <c r="K109" s="51">
        <v>21</v>
      </c>
      <c r="L109" s="53">
        <f>K109/H109*30</f>
        <v>57.272727272727273</v>
      </c>
    </row>
    <row r="110" spans="1:12" s="2" customFormat="1" ht="13.95" customHeight="1" outlineLevel="2" x14ac:dyDescent="0.2">
      <c r="A110" s="50" t="s">
        <v>70</v>
      </c>
      <c r="B110" s="50" t="s">
        <v>7</v>
      </c>
      <c r="C110" s="50" t="s">
        <v>21</v>
      </c>
      <c r="D110" s="50" t="s">
        <v>265</v>
      </c>
      <c r="E110" s="50" t="s">
        <v>266</v>
      </c>
      <c r="F110" s="50" t="s">
        <v>73</v>
      </c>
      <c r="G110" s="50" t="s">
        <v>88</v>
      </c>
      <c r="H110" s="51">
        <v>5</v>
      </c>
      <c r="I110" s="52">
        <f>J110/H110</f>
        <v>64990</v>
      </c>
      <c r="J110" s="52">
        <v>324950</v>
      </c>
      <c r="K110" s="51">
        <v>11</v>
      </c>
      <c r="L110" s="53">
        <f>K110/H110*30</f>
        <v>66</v>
      </c>
    </row>
    <row r="111" spans="1:12" s="2" customFormat="1" ht="13.95" customHeight="1" outlineLevel="2" x14ac:dyDescent="0.2">
      <c r="A111" s="50" t="s">
        <v>70</v>
      </c>
      <c r="B111" s="50" t="s">
        <v>7</v>
      </c>
      <c r="C111" s="50" t="s">
        <v>21</v>
      </c>
      <c r="D111" s="50" t="s">
        <v>267</v>
      </c>
      <c r="E111" s="50" t="s">
        <v>266</v>
      </c>
      <c r="F111" s="50" t="s">
        <v>73</v>
      </c>
      <c r="G111" s="50" t="s">
        <v>86</v>
      </c>
      <c r="H111" s="51">
        <v>5</v>
      </c>
      <c r="I111" s="52">
        <f>J111/H111</f>
        <v>64990</v>
      </c>
      <c r="J111" s="52">
        <v>324950</v>
      </c>
      <c r="K111" s="51">
        <v>10</v>
      </c>
      <c r="L111" s="53">
        <f>K111/H111*30</f>
        <v>60</v>
      </c>
    </row>
    <row r="112" spans="1:12" s="2" customFormat="1" ht="13.95" customHeight="1" outlineLevel="2" x14ac:dyDescent="0.2">
      <c r="A112" s="50" t="s">
        <v>70</v>
      </c>
      <c r="B112" s="50" t="s">
        <v>7</v>
      </c>
      <c r="C112" s="50" t="s">
        <v>21</v>
      </c>
      <c r="D112" s="50" t="s">
        <v>268</v>
      </c>
      <c r="E112" s="50" t="s">
        <v>266</v>
      </c>
      <c r="F112" s="50" t="s">
        <v>73</v>
      </c>
      <c r="G112" s="50" t="s">
        <v>84</v>
      </c>
      <c r="H112" s="51">
        <v>5</v>
      </c>
      <c r="I112" s="52">
        <f>J112/H112</f>
        <v>64990</v>
      </c>
      <c r="J112" s="52">
        <v>324950</v>
      </c>
      <c r="K112" s="51">
        <v>6</v>
      </c>
      <c r="L112" s="53">
        <f>K112/H112*30</f>
        <v>36</v>
      </c>
    </row>
    <row r="113" spans="1:12" s="2" customFormat="1" ht="13.95" customHeight="1" outlineLevel="2" x14ac:dyDescent="0.2">
      <c r="A113" s="50" t="s">
        <v>70</v>
      </c>
      <c r="B113" s="50" t="s">
        <v>7</v>
      </c>
      <c r="C113" s="50" t="s">
        <v>21</v>
      </c>
      <c r="D113" s="50" t="s">
        <v>412</v>
      </c>
      <c r="E113" s="50" t="s">
        <v>413</v>
      </c>
      <c r="F113" s="50" t="s">
        <v>216</v>
      </c>
      <c r="G113" s="50" t="s">
        <v>414</v>
      </c>
      <c r="H113" s="51">
        <v>6</v>
      </c>
      <c r="I113" s="52">
        <f>J113/H113</f>
        <v>34990</v>
      </c>
      <c r="J113" s="52">
        <v>209940</v>
      </c>
      <c r="K113" s="51">
        <v>12</v>
      </c>
      <c r="L113" s="53">
        <f>K113/H113*30</f>
        <v>60</v>
      </c>
    </row>
    <row r="114" spans="1:12" s="2" customFormat="1" ht="13.95" customHeight="1" outlineLevel="2" x14ac:dyDescent="0.2">
      <c r="A114" s="50" t="s">
        <v>70</v>
      </c>
      <c r="B114" s="50" t="s">
        <v>7</v>
      </c>
      <c r="C114" s="50" t="s">
        <v>21</v>
      </c>
      <c r="D114" s="50" t="s">
        <v>415</v>
      </c>
      <c r="E114" s="50" t="s">
        <v>413</v>
      </c>
      <c r="F114" s="50" t="s">
        <v>216</v>
      </c>
      <c r="G114" s="50" t="s">
        <v>112</v>
      </c>
      <c r="H114" s="51">
        <v>6</v>
      </c>
      <c r="I114" s="52">
        <f>J114/H114</f>
        <v>34990</v>
      </c>
      <c r="J114" s="52">
        <v>209940</v>
      </c>
      <c r="K114" s="51">
        <v>17</v>
      </c>
      <c r="L114" s="53">
        <f>K114/H114*30</f>
        <v>85</v>
      </c>
    </row>
    <row r="115" spans="1:12" s="2" customFormat="1" ht="13.95" customHeight="1" outlineLevel="2" x14ac:dyDescent="0.2">
      <c r="A115" s="50" t="s">
        <v>70</v>
      </c>
      <c r="B115" s="50" t="s">
        <v>7</v>
      </c>
      <c r="C115" s="50" t="s">
        <v>21</v>
      </c>
      <c r="D115" s="50" t="s">
        <v>590</v>
      </c>
      <c r="E115" s="50" t="s">
        <v>215</v>
      </c>
      <c r="F115" s="50" t="s">
        <v>216</v>
      </c>
      <c r="G115" s="50" t="s">
        <v>414</v>
      </c>
      <c r="H115" s="51">
        <v>4</v>
      </c>
      <c r="I115" s="52">
        <f>J115/H115</f>
        <v>34990</v>
      </c>
      <c r="J115" s="52">
        <v>139960</v>
      </c>
      <c r="K115" s="51">
        <v>10</v>
      </c>
      <c r="L115" s="53">
        <f>K115/H115*30</f>
        <v>75</v>
      </c>
    </row>
    <row r="116" spans="1:12" s="2" customFormat="1" ht="13.95" customHeight="1" outlineLevel="1" x14ac:dyDescent="0.2">
      <c r="A116" s="50"/>
      <c r="B116" s="50"/>
      <c r="C116" s="58" t="s">
        <v>1467</v>
      </c>
      <c r="D116" s="50"/>
      <c r="E116" s="50"/>
      <c r="F116" s="50"/>
      <c r="G116" s="50"/>
      <c r="H116" s="51">
        <f>SUBTOTAL(9,H109:H115)</f>
        <v>42</v>
      </c>
      <c r="I116" s="52"/>
      <c r="J116" s="52">
        <f>SUBTOTAL(9,J109:J115)</f>
        <v>1919580</v>
      </c>
      <c r="K116" s="51"/>
      <c r="L116" s="53"/>
    </row>
    <row r="117" spans="1:12" s="2" customFormat="1" ht="13.95" customHeight="1" outlineLevel="2" x14ac:dyDescent="0.2">
      <c r="A117" s="50" t="s">
        <v>70</v>
      </c>
      <c r="B117" s="50" t="s">
        <v>7</v>
      </c>
      <c r="C117" s="50" t="s">
        <v>22</v>
      </c>
      <c r="D117" s="50" t="s">
        <v>1438</v>
      </c>
      <c r="E117" s="50" t="s">
        <v>22</v>
      </c>
      <c r="F117" s="50" t="s">
        <v>216</v>
      </c>
      <c r="G117" s="50" t="s">
        <v>90</v>
      </c>
      <c r="H117" s="51">
        <v>2</v>
      </c>
      <c r="I117" s="52">
        <f>J117/H117</f>
        <v>2990</v>
      </c>
      <c r="J117" s="52">
        <v>5980</v>
      </c>
      <c r="K117" s="51">
        <v>2</v>
      </c>
      <c r="L117" s="53">
        <f>K117/H117*30</f>
        <v>30</v>
      </c>
    </row>
    <row r="118" spans="1:12" s="2" customFormat="1" ht="13.95" customHeight="1" outlineLevel="1" x14ac:dyDescent="0.2">
      <c r="A118" s="50"/>
      <c r="B118" s="50"/>
      <c r="C118" s="58" t="s">
        <v>1510</v>
      </c>
      <c r="D118" s="50"/>
      <c r="E118" s="50"/>
      <c r="F118" s="50"/>
      <c r="G118" s="50"/>
      <c r="H118" s="51">
        <f>SUBTOTAL(9,H117:H117)</f>
        <v>2</v>
      </c>
      <c r="I118" s="52"/>
      <c r="J118" s="52">
        <f>SUBTOTAL(9,J117:J117)</f>
        <v>5980</v>
      </c>
      <c r="K118" s="51"/>
      <c r="L118" s="53"/>
    </row>
    <row r="119" spans="1:12" s="2" customFormat="1" ht="13.95" customHeight="1" outlineLevel="2" x14ac:dyDescent="0.2">
      <c r="A119" s="50" t="s">
        <v>532</v>
      </c>
      <c r="B119" s="50" t="s">
        <v>7</v>
      </c>
      <c r="C119" s="50" t="s">
        <v>23</v>
      </c>
      <c r="D119" s="50" t="s">
        <v>897</v>
      </c>
      <c r="E119" s="50" t="s">
        <v>898</v>
      </c>
      <c r="F119" s="50" t="s">
        <v>260</v>
      </c>
      <c r="G119" s="50" t="s">
        <v>899</v>
      </c>
      <c r="H119" s="51">
        <v>2</v>
      </c>
      <c r="I119" s="52">
        <f>J119/H119</f>
        <v>39990</v>
      </c>
      <c r="J119" s="52">
        <v>79980</v>
      </c>
      <c r="K119" s="51">
        <v>9</v>
      </c>
      <c r="L119" s="53">
        <f>K119/H119*30</f>
        <v>135</v>
      </c>
    </row>
    <row r="120" spans="1:12" s="2" customFormat="1" ht="13.95" customHeight="1" outlineLevel="2" x14ac:dyDescent="0.2">
      <c r="A120" s="50" t="s">
        <v>532</v>
      </c>
      <c r="B120" s="50" t="s">
        <v>7</v>
      </c>
      <c r="C120" s="50" t="s">
        <v>23</v>
      </c>
      <c r="D120" s="50" t="s">
        <v>1101</v>
      </c>
      <c r="E120" s="50" t="s">
        <v>1102</v>
      </c>
      <c r="F120" s="50" t="s">
        <v>1103</v>
      </c>
      <c r="G120" s="50" t="s">
        <v>1104</v>
      </c>
      <c r="H120" s="51">
        <v>1</v>
      </c>
      <c r="I120" s="52">
        <f>J120/H120</f>
        <v>49990</v>
      </c>
      <c r="J120" s="52">
        <v>49990</v>
      </c>
      <c r="K120" s="51">
        <v>3</v>
      </c>
      <c r="L120" s="53">
        <f>K120/H120*30</f>
        <v>90</v>
      </c>
    </row>
    <row r="121" spans="1:12" s="2" customFormat="1" ht="13.95" customHeight="1" outlineLevel="2" x14ac:dyDescent="0.2">
      <c r="A121" s="50" t="s">
        <v>532</v>
      </c>
      <c r="B121" s="50" t="s">
        <v>7</v>
      </c>
      <c r="C121" s="50" t="s">
        <v>23</v>
      </c>
      <c r="D121" s="50" t="s">
        <v>1105</v>
      </c>
      <c r="E121" s="50" t="s">
        <v>1102</v>
      </c>
      <c r="F121" s="50" t="s">
        <v>1103</v>
      </c>
      <c r="G121" s="50" t="s">
        <v>1104</v>
      </c>
      <c r="H121" s="51">
        <v>1</v>
      </c>
      <c r="I121" s="52">
        <f>J121/H121</f>
        <v>49990</v>
      </c>
      <c r="J121" s="52">
        <v>49990</v>
      </c>
      <c r="K121" s="51">
        <v>2</v>
      </c>
      <c r="L121" s="53">
        <f>K121/H121*30</f>
        <v>60</v>
      </c>
    </row>
    <row r="122" spans="1:12" s="2" customFormat="1" ht="13.95" customHeight="1" outlineLevel="2" x14ac:dyDescent="0.2">
      <c r="A122" s="50" t="s">
        <v>532</v>
      </c>
      <c r="B122" s="50" t="s">
        <v>7</v>
      </c>
      <c r="C122" s="50" t="s">
        <v>23</v>
      </c>
      <c r="D122" s="50" t="s">
        <v>1106</v>
      </c>
      <c r="E122" s="50" t="s">
        <v>1102</v>
      </c>
      <c r="F122" s="50" t="s">
        <v>1103</v>
      </c>
      <c r="G122" s="50" t="s">
        <v>1107</v>
      </c>
      <c r="H122" s="51">
        <v>1</v>
      </c>
      <c r="I122" s="52">
        <f>J122/H122</f>
        <v>49990</v>
      </c>
      <c r="J122" s="52">
        <v>49990</v>
      </c>
      <c r="K122" s="51">
        <v>4</v>
      </c>
      <c r="L122" s="53">
        <f>K122/H122*30</f>
        <v>120</v>
      </c>
    </row>
    <row r="123" spans="1:12" s="2" customFormat="1" ht="13.95" customHeight="1" outlineLevel="2" x14ac:dyDescent="0.2">
      <c r="A123" s="50" t="s">
        <v>532</v>
      </c>
      <c r="B123" s="50" t="s">
        <v>7</v>
      </c>
      <c r="C123" s="50" t="s">
        <v>23</v>
      </c>
      <c r="D123" s="50" t="s">
        <v>1108</v>
      </c>
      <c r="E123" s="50" t="s">
        <v>1102</v>
      </c>
      <c r="F123" s="50" t="s">
        <v>1103</v>
      </c>
      <c r="G123" s="50" t="s">
        <v>1107</v>
      </c>
      <c r="H123" s="51">
        <v>1</v>
      </c>
      <c r="I123" s="52">
        <f>J123/H123</f>
        <v>49990</v>
      </c>
      <c r="J123" s="52">
        <v>49990</v>
      </c>
      <c r="K123" s="51">
        <v>3</v>
      </c>
      <c r="L123" s="53">
        <f>K123/H123*30</f>
        <v>90</v>
      </c>
    </row>
    <row r="124" spans="1:12" s="2" customFormat="1" ht="13.95" customHeight="1" outlineLevel="2" x14ac:dyDescent="0.2">
      <c r="A124" s="50" t="s">
        <v>532</v>
      </c>
      <c r="B124" s="50" t="s">
        <v>7</v>
      </c>
      <c r="C124" s="50" t="s">
        <v>23</v>
      </c>
      <c r="D124" s="50" t="s">
        <v>1109</v>
      </c>
      <c r="E124" s="50" t="s">
        <v>1102</v>
      </c>
      <c r="F124" s="50" t="s">
        <v>1103</v>
      </c>
      <c r="G124" s="50" t="s">
        <v>1110</v>
      </c>
      <c r="H124" s="51">
        <v>1</v>
      </c>
      <c r="I124" s="52">
        <f>J124/H124</f>
        <v>49990</v>
      </c>
      <c r="J124" s="52">
        <v>49990</v>
      </c>
      <c r="K124" s="51">
        <v>6</v>
      </c>
      <c r="L124" s="53">
        <f>K124/H124*30</f>
        <v>180</v>
      </c>
    </row>
    <row r="125" spans="1:12" s="2" customFormat="1" ht="13.95" customHeight="1" outlineLevel="2" x14ac:dyDescent="0.2">
      <c r="A125" s="50" t="s">
        <v>532</v>
      </c>
      <c r="B125" s="50" t="s">
        <v>7</v>
      </c>
      <c r="C125" s="50" t="s">
        <v>23</v>
      </c>
      <c r="D125" s="50" t="s">
        <v>1111</v>
      </c>
      <c r="E125" s="50" t="s">
        <v>1102</v>
      </c>
      <c r="F125" s="50" t="s">
        <v>1103</v>
      </c>
      <c r="G125" s="50" t="s">
        <v>1110</v>
      </c>
      <c r="H125" s="51">
        <v>1</v>
      </c>
      <c r="I125" s="52">
        <f>J125/H125</f>
        <v>49990</v>
      </c>
      <c r="J125" s="52">
        <v>49990</v>
      </c>
      <c r="K125" s="51">
        <v>3</v>
      </c>
      <c r="L125" s="53">
        <f>K125/H125*30</f>
        <v>90</v>
      </c>
    </row>
    <row r="126" spans="1:12" s="2" customFormat="1" ht="13.95" customHeight="1" outlineLevel="2" x14ac:dyDescent="0.2">
      <c r="A126" s="50" t="s">
        <v>532</v>
      </c>
      <c r="B126" s="50" t="s">
        <v>7</v>
      </c>
      <c r="C126" s="50" t="s">
        <v>23</v>
      </c>
      <c r="D126" s="50" t="s">
        <v>1112</v>
      </c>
      <c r="E126" s="50" t="s">
        <v>1102</v>
      </c>
      <c r="F126" s="50" t="s">
        <v>1103</v>
      </c>
      <c r="G126" s="50" t="s">
        <v>899</v>
      </c>
      <c r="H126" s="51">
        <v>1</v>
      </c>
      <c r="I126" s="52">
        <f>J126/H126</f>
        <v>49990</v>
      </c>
      <c r="J126" s="52">
        <v>49990</v>
      </c>
      <c r="K126" s="51">
        <v>1</v>
      </c>
      <c r="L126" s="53">
        <f>K126/H126*30</f>
        <v>30</v>
      </c>
    </row>
    <row r="127" spans="1:12" s="2" customFormat="1" ht="13.95" customHeight="1" outlineLevel="2" x14ac:dyDescent="0.2">
      <c r="A127" s="50" t="s">
        <v>532</v>
      </c>
      <c r="B127" s="50" t="s">
        <v>7</v>
      </c>
      <c r="C127" s="50" t="s">
        <v>23</v>
      </c>
      <c r="D127" s="50" t="s">
        <v>1177</v>
      </c>
      <c r="E127" s="50" t="s">
        <v>898</v>
      </c>
      <c r="F127" s="50" t="s">
        <v>260</v>
      </c>
      <c r="G127" s="50" t="s">
        <v>1107</v>
      </c>
      <c r="H127" s="51">
        <v>1</v>
      </c>
      <c r="I127" s="52">
        <f>J127/H127</f>
        <v>39990</v>
      </c>
      <c r="J127" s="52">
        <v>39990</v>
      </c>
      <c r="K127" s="51">
        <v>8</v>
      </c>
      <c r="L127" s="53">
        <f>K127/H127*30</f>
        <v>240</v>
      </c>
    </row>
    <row r="128" spans="1:12" s="2" customFormat="1" ht="13.95" customHeight="1" outlineLevel="2" x14ac:dyDescent="0.2">
      <c r="A128" s="50" t="s">
        <v>532</v>
      </c>
      <c r="B128" s="50" t="s">
        <v>7</v>
      </c>
      <c r="C128" s="50" t="s">
        <v>23</v>
      </c>
      <c r="D128" s="50" t="s">
        <v>1178</v>
      </c>
      <c r="E128" s="50" t="s">
        <v>898</v>
      </c>
      <c r="F128" s="50" t="s">
        <v>260</v>
      </c>
      <c r="G128" s="50" t="s">
        <v>1110</v>
      </c>
      <c r="H128" s="51">
        <v>1</v>
      </c>
      <c r="I128" s="52">
        <f>J128/H128</f>
        <v>39990</v>
      </c>
      <c r="J128" s="52">
        <v>39990</v>
      </c>
      <c r="K128" s="51">
        <v>4</v>
      </c>
      <c r="L128" s="53">
        <f>K128/H128*30</f>
        <v>120</v>
      </c>
    </row>
    <row r="129" spans="1:12" s="2" customFormat="1" ht="13.95" customHeight="1" outlineLevel="2" x14ac:dyDescent="0.2">
      <c r="A129" s="50" t="s">
        <v>532</v>
      </c>
      <c r="B129" s="50" t="s">
        <v>7</v>
      </c>
      <c r="C129" s="50" t="s">
        <v>23</v>
      </c>
      <c r="D129" s="50" t="s">
        <v>1179</v>
      </c>
      <c r="E129" s="50" t="s">
        <v>898</v>
      </c>
      <c r="F129" s="50" t="s">
        <v>260</v>
      </c>
      <c r="G129" s="50" t="s">
        <v>1110</v>
      </c>
      <c r="H129" s="51">
        <v>1</v>
      </c>
      <c r="I129" s="52">
        <f>J129/H129</f>
        <v>39990</v>
      </c>
      <c r="J129" s="52">
        <v>39990</v>
      </c>
      <c r="K129" s="51">
        <v>5</v>
      </c>
      <c r="L129" s="53">
        <f>K129/H129*30</f>
        <v>150</v>
      </c>
    </row>
    <row r="130" spans="1:12" s="2" customFormat="1" ht="13.95" customHeight="1" outlineLevel="1" x14ac:dyDescent="0.2">
      <c r="A130" s="50"/>
      <c r="B130" s="50"/>
      <c r="C130" s="58" t="s">
        <v>1496</v>
      </c>
      <c r="D130" s="50"/>
      <c r="E130" s="50"/>
      <c r="F130" s="50"/>
      <c r="G130" s="50"/>
      <c r="H130" s="51">
        <f>SUBTOTAL(9,H119:H129)</f>
        <v>12</v>
      </c>
      <c r="I130" s="52"/>
      <c r="J130" s="52">
        <f>SUBTOTAL(9,J119:J129)</f>
        <v>549880</v>
      </c>
      <c r="K130" s="51"/>
      <c r="L130" s="53"/>
    </row>
    <row r="131" spans="1:12" s="2" customFormat="1" ht="13.95" customHeight="1" outlineLevel="2" x14ac:dyDescent="0.2">
      <c r="A131" s="50" t="s">
        <v>639</v>
      </c>
      <c r="B131" s="50" t="s">
        <v>9</v>
      </c>
      <c r="C131" s="50" t="s">
        <v>24</v>
      </c>
      <c r="D131" s="50" t="s">
        <v>640</v>
      </c>
      <c r="E131" s="50" t="s">
        <v>641</v>
      </c>
      <c r="F131" s="50" t="s">
        <v>365</v>
      </c>
      <c r="G131" s="50" t="s">
        <v>86</v>
      </c>
      <c r="H131" s="51">
        <v>1</v>
      </c>
      <c r="I131" s="52">
        <f>J131/H131</f>
        <v>119990</v>
      </c>
      <c r="J131" s="52">
        <v>119990</v>
      </c>
      <c r="K131" s="51">
        <v>2</v>
      </c>
      <c r="L131" s="53">
        <f>K131/H131*30</f>
        <v>60</v>
      </c>
    </row>
    <row r="132" spans="1:12" s="2" customFormat="1" ht="13.95" customHeight="1" outlineLevel="2" x14ac:dyDescent="0.2">
      <c r="A132" s="50" t="s">
        <v>639</v>
      </c>
      <c r="B132" s="50" t="s">
        <v>9</v>
      </c>
      <c r="C132" s="50" t="s">
        <v>24</v>
      </c>
      <c r="D132" s="50" t="s">
        <v>642</v>
      </c>
      <c r="E132" s="50" t="s">
        <v>641</v>
      </c>
      <c r="F132" s="50" t="s">
        <v>365</v>
      </c>
      <c r="G132" s="50" t="s">
        <v>86</v>
      </c>
      <c r="H132" s="51">
        <v>1</v>
      </c>
      <c r="I132" s="52">
        <f>J132/H132</f>
        <v>119990</v>
      </c>
      <c r="J132" s="52">
        <v>119990</v>
      </c>
      <c r="K132" s="51">
        <v>2</v>
      </c>
      <c r="L132" s="53">
        <f>K132/H132*30</f>
        <v>60</v>
      </c>
    </row>
    <row r="133" spans="1:12" s="2" customFormat="1" ht="13.95" customHeight="1" outlineLevel="1" x14ac:dyDescent="0.2">
      <c r="A133" s="50"/>
      <c r="B133" s="50"/>
      <c r="C133" s="58" t="s">
        <v>1487</v>
      </c>
      <c r="D133" s="50"/>
      <c r="E133" s="50"/>
      <c r="F133" s="50"/>
      <c r="G133" s="50"/>
      <c r="H133" s="51">
        <f>SUBTOTAL(9,H131:H132)</f>
        <v>2</v>
      </c>
      <c r="I133" s="52"/>
      <c r="J133" s="52">
        <f>SUBTOTAL(9,J131:J132)</f>
        <v>239980</v>
      </c>
      <c r="K133" s="51"/>
      <c r="L133" s="53"/>
    </row>
    <row r="134" spans="1:12" s="2" customFormat="1" ht="13.95" customHeight="1" outlineLevel="2" x14ac:dyDescent="0.2">
      <c r="A134" s="50" t="s">
        <v>362</v>
      </c>
      <c r="B134" s="50" t="s">
        <v>9</v>
      </c>
      <c r="C134" s="50" t="s">
        <v>25</v>
      </c>
      <c r="D134" s="50" t="s">
        <v>764</v>
      </c>
      <c r="E134" s="50" t="s">
        <v>765</v>
      </c>
      <c r="F134" s="50" t="s">
        <v>365</v>
      </c>
      <c r="G134" s="50" t="s">
        <v>86</v>
      </c>
      <c r="H134" s="51">
        <v>1</v>
      </c>
      <c r="I134" s="52">
        <f>J134/H134</f>
        <v>99990</v>
      </c>
      <c r="J134" s="52">
        <v>99990</v>
      </c>
      <c r="K134" s="51">
        <v>0</v>
      </c>
      <c r="L134" s="53">
        <f>K134/H134*30</f>
        <v>0</v>
      </c>
    </row>
    <row r="135" spans="1:12" s="2" customFormat="1" ht="13.95" customHeight="1" outlineLevel="2" x14ac:dyDescent="0.2">
      <c r="A135" s="50" t="s">
        <v>639</v>
      </c>
      <c r="B135" s="50" t="s">
        <v>9</v>
      </c>
      <c r="C135" s="50" t="s">
        <v>25</v>
      </c>
      <c r="D135" s="50" t="s">
        <v>814</v>
      </c>
      <c r="E135" s="50" t="s">
        <v>815</v>
      </c>
      <c r="F135" s="50" t="s">
        <v>365</v>
      </c>
      <c r="G135" s="50" t="s">
        <v>112</v>
      </c>
      <c r="H135" s="51">
        <v>1</v>
      </c>
      <c r="I135" s="52">
        <f>J135/H135</f>
        <v>89990</v>
      </c>
      <c r="J135" s="52">
        <v>89990</v>
      </c>
      <c r="K135" s="51">
        <v>0</v>
      </c>
      <c r="L135" s="53">
        <f>K135/H135*30</f>
        <v>0</v>
      </c>
    </row>
    <row r="136" spans="1:12" s="2" customFormat="1" ht="13.95" customHeight="1" outlineLevel="2" x14ac:dyDescent="0.2">
      <c r="A136" s="50" t="s">
        <v>639</v>
      </c>
      <c r="B136" s="50" t="s">
        <v>9</v>
      </c>
      <c r="C136" s="50" t="s">
        <v>25</v>
      </c>
      <c r="D136" s="50" t="s">
        <v>816</v>
      </c>
      <c r="E136" s="50" t="s">
        <v>817</v>
      </c>
      <c r="F136" s="50" t="s">
        <v>365</v>
      </c>
      <c r="G136" s="50" t="s">
        <v>818</v>
      </c>
      <c r="H136" s="51">
        <v>1</v>
      </c>
      <c r="I136" s="52">
        <f>J136/H136</f>
        <v>89990</v>
      </c>
      <c r="J136" s="52">
        <v>89990</v>
      </c>
      <c r="K136" s="51">
        <v>1</v>
      </c>
      <c r="L136" s="53">
        <f>K136/H136*30</f>
        <v>30</v>
      </c>
    </row>
    <row r="137" spans="1:12" s="2" customFormat="1" ht="13.95" customHeight="1" outlineLevel="1" x14ac:dyDescent="0.2">
      <c r="A137" s="50"/>
      <c r="B137" s="50"/>
      <c r="C137" s="58" t="s">
        <v>1492</v>
      </c>
      <c r="D137" s="50"/>
      <c r="E137" s="50"/>
      <c r="F137" s="50"/>
      <c r="G137" s="50"/>
      <c r="H137" s="51">
        <f>SUBTOTAL(9,H134:H136)</f>
        <v>3</v>
      </c>
      <c r="I137" s="52"/>
      <c r="J137" s="52">
        <f>SUBTOTAL(9,J134:J136)</f>
        <v>279970</v>
      </c>
      <c r="K137" s="51"/>
      <c r="L137" s="53"/>
    </row>
    <row r="138" spans="1:12" s="2" customFormat="1" ht="13.95" customHeight="1" outlineLevel="2" x14ac:dyDescent="0.2">
      <c r="A138" s="50" t="s">
        <v>1096</v>
      </c>
      <c r="B138" s="50" t="s">
        <v>9</v>
      </c>
      <c r="C138" s="50" t="s">
        <v>26</v>
      </c>
      <c r="D138" s="50" t="s">
        <v>1401</v>
      </c>
      <c r="E138" s="50" t="s">
        <v>1402</v>
      </c>
      <c r="F138" s="50" t="s">
        <v>1403</v>
      </c>
      <c r="G138" s="50" t="s">
        <v>90</v>
      </c>
      <c r="H138" s="51">
        <v>1</v>
      </c>
      <c r="I138" s="52">
        <f>J138/H138</f>
        <v>14990</v>
      </c>
      <c r="J138" s="52">
        <v>14990</v>
      </c>
      <c r="K138" s="51">
        <v>0</v>
      </c>
      <c r="L138" s="53">
        <f>K138/H138*30</f>
        <v>0</v>
      </c>
    </row>
    <row r="139" spans="1:12" s="2" customFormat="1" ht="13.95" customHeight="1" outlineLevel="1" x14ac:dyDescent="0.2">
      <c r="A139" s="50"/>
      <c r="B139" s="50"/>
      <c r="C139" s="58" t="s">
        <v>1509</v>
      </c>
      <c r="D139" s="50"/>
      <c r="E139" s="50"/>
      <c r="F139" s="50"/>
      <c r="G139" s="50"/>
      <c r="H139" s="51">
        <f>SUBTOTAL(9,H138:H138)</f>
        <v>1</v>
      </c>
      <c r="I139" s="52"/>
      <c r="J139" s="52">
        <f>SUBTOTAL(9,J138:J138)</f>
        <v>14990</v>
      </c>
      <c r="K139" s="51"/>
      <c r="L139" s="53"/>
    </row>
    <row r="140" spans="1:12" s="2" customFormat="1" ht="13.95" customHeight="1" outlineLevel="2" x14ac:dyDescent="0.2">
      <c r="A140" s="50" t="s">
        <v>759</v>
      </c>
      <c r="B140" s="50" t="s">
        <v>9</v>
      </c>
      <c r="C140" s="50" t="s">
        <v>27</v>
      </c>
      <c r="D140" s="50" t="s">
        <v>760</v>
      </c>
      <c r="E140" s="50" t="s">
        <v>761</v>
      </c>
      <c r="F140" s="50" t="s">
        <v>106</v>
      </c>
      <c r="G140" s="50" t="s">
        <v>88</v>
      </c>
      <c r="H140" s="51">
        <v>1</v>
      </c>
      <c r="I140" s="52">
        <f>J140/H140</f>
        <v>99990</v>
      </c>
      <c r="J140" s="52">
        <v>99990</v>
      </c>
      <c r="K140" s="51">
        <v>0</v>
      </c>
      <c r="L140" s="53">
        <f>K140/H140*30</f>
        <v>0</v>
      </c>
    </row>
    <row r="141" spans="1:12" s="2" customFormat="1" ht="13.95" customHeight="1" outlineLevel="2" x14ac:dyDescent="0.2">
      <c r="A141" s="50" t="s">
        <v>759</v>
      </c>
      <c r="B141" s="50" t="s">
        <v>9</v>
      </c>
      <c r="C141" s="50" t="s">
        <v>27</v>
      </c>
      <c r="D141" s="50" t="s">
        <v>762</v>
      </c>
      <c r="E141" s="50" t="s">
        <v>763</v>
      </c>
      <c r="F141" s="50" t="s">
        <v>106</v>
      </c>
      <c r="G141" s="50" t="s">
        <v>86</v>
      </c>
      <c r="H141" s="51">
        <v>1</v>
      </c>
      <c r="I141" s="52">
        <f>J141/H141</f>
        <v>99990</v>
      </c>
      <c r="J141" s="52">
        <v>99990</v>
      </c>
      <c r="K141" s="51">
        <v>0</v>
      </c>
      <c r="L141" s="53">
        <f>K141/H141*30</f>
        <v>0</v>
      </c>
    </row>
    <row r="142" spans="1:12" s="2" customFormat="1" ht="13.95" customHeight="1" outlineLevel="1" x14ac:dyDescent="0.2">
      <c r="A142" s="50"/>
      <c r="B142" s="50"/>
      <c r="C142" s="58" t="s">
        <v>1491</v>
      </c>
      <c r="D142" s="50"/>
      <c r="E142" s="50"/>
      <c r="F142" s="50"/>
      <c r="G142" s="50"/>
      <c r="H142" s="51">
        <f>SUBTOTAL(9,H140:H141)</f>
        <v>2</v>
      </c>
      <c r="I142" s="52"/>
      <c r="J142" s="52">
        <f>SUBTOTAL(9,J140:J141)</f>
        <v>199980</v>
      </c>
      <c r="K142" s="51"/>
      <c r="L142" s="53"/>
    </row>
    <row r="143" spans="1:12" s="2" customFormat="1" ht="13.95" customHeight="1" outlineLevel="2" x14ac:dyDescent="0.2">
      <c r="A143" s="50" t="s">
        <v>362</v>
      </c>
      <c r="B143" s="50" t="s">
        <v>9</v>
      </c>
      <c r="C143" s="50" t="s">
        <v>28</v>
      </c>
      <c r="D143" s="50" t="s">
        <v>363</v>
      </c>
      <c r="E143" s="50" t="s">
        <v>364</v>
      </c>
      <c r="F143" s="50" t="s">
        <v>365</v>
      </c>
      <c r="G143" s="50" t="s">
        <v>84</v>
      </c>
      <c r="H143" s="51">
        <v>2</v>
      </c>
      <c r="I143" s="52">
        <f>J143/H143</f>
        <v>119990</v>
      </c>
      <c r="J143" s="52">
        <v>239980</v>
      </c>
      <c r="K143" s="51">
        <v>3</v>
      </c>
      <c r="L143" s="53">
        <f>K143/H143*30</f>
        <v>45</v>
      </c>
    </row>
    <row r="144" spans="1:12" s="2" customFormat="1" ht="13.95" customHeight="1" outlineLevel="2" x14ac:dyDescent="0.2">
      <c r="A144" s="50" t="s">
        <v>362</v>
      </c>
      <c r="B144" s="50" t="s">
        <v>9</v>
      </c>
      <c r="C144" s="50" t="s">
        <v>28</v>
      </c>
      <c r="D144" s="50" t="s">
        <v>366</v>
      </c>
      <c r="E144" s="50" t="s">
        <v>364</v>
      </c>
      <c r="F144" s="50" t="s">
        <v>365</v>
      </c>
      <c r="G144" s="50" t="s">
        <v>330</v>
      </c>
      <c r="H144" s="51">
        <v>2</v>
      </c>
      <c r="I144" s="52">
        <f>J144/H144</f>
        <v>119990</v>
      </c>
      <c r="J144" s="52">
        <v>239980</v>
      </c>
      <c r="K144" s="51">
        <v>1</v>
      </c>
      <c r="L144" s="53">
        <f>K144/H144*30</f>
        <v>15</v>
      </c>
    </row>
    <row r="145" spans="1:12" s="2" customFormat="1" ht="13.95" customHeight="1" outlineLevel="2" x14ac:dyDescent="0.2">
      <c r="A145" s="50" t="s">
        <v>362</v>
      </c>
      <c r="B145" s="50" t="s">
        <v>9</v>
      </c>
      <c r="C145" s="50" t="s">
        <v>28</v>
      </c>
      <c r="D145" s="50" t="s">
        <v>367</v>
      </c>
      <c r="E145" s="50" t="s">
        <v>368</v>
      </c>
      <c r="F145" s="50" t="s">
        <v>365</v>
      </c>
      <c r="G145" s="50" t="s">
        <v>369</v>
      </c>
      <c r="H145" s="51">
        <v>2</v>
      </c>
      <c r="I145" s="52">
        <f>J145/H145</f>
        <v>119990</v>
      </c>
      <c r="J145" s="52">
        <v>239980</v>
      </c>
      <c r="K145" s="51">
        <v>3</v>
      </c>
      <c r="L145" s="53">
        <f>K145/H145*30</f>
        <v>45</v>
      </c>
    </row>
    <row r="146" spans="1:12" s="2" customFormat="1" ht="13.95" customHeight="1" outlineLevel="2" x14ac:dyDescent="0.2">
      <c r="A146" s="50" t="s">
        <v>362</v>
      </c>
      <c r="B146" s="50" t="s">
        <v>9</v>
      </c>
      <c r="C146" s="50" t="s">
        <v>28</v>
      </c>
      <c r="D146" s="50" t="s">
        <v>370</v>
      </c>
      <c r="E146" s="50" t="s">
        <v>368</v>
      </c>
      <c r="F146" s="50" t="s">
        <v>365</v>
      </c>
      <c r="G146" s="50" t="s">
        <v>86</v>
      </c>
      <c r="H146" s="51">
        <v>2</v>
      </c>
      <c r="I146" s="52">
        <f>J146/H146</f>
        <v>119990</v>
      </c>
      <c r="J146" s="52">
        <v>239980</v>
      </c>
      <c r="K146" s="51">
        <v>24</v>
      </c>
      <c r="L146" s="53">
        <f>K146/H146*30</f>
        <v>360</v>
      </c>
    </row>
    <row r="147" spans="1:12" s="2" customFormat="1" ht="13.95" customHeight="1" outlineLevel="2" x14ac:dyDescent="0.2">
      <c r="A147" s="50" t="s">
        <v>362</v>
      </c>
      <c r="B147" s="50" t="s">
        <v>9</v>
      </c>
      <c r="C147" s="50" t="s">
        <v>28</v>
      </c>
      <c r="D147" s="50" t="s">
        <v>648</v>
      </c>
      <c r="E147" s="50" t="s">
        <v>364</v>
      </c>
      <c r="F147" s="50" t="s">
        <v>365</v>
      </c>
      <c r="G147" s="50" t="s">
        <v>140</v>
      </c>
      <c r="H147" s="51">
        <v>1</v>
      </c>
      <c r="I147" s="52">
        <f>J147/H147</f>
        <v>119990</v>
      </c>
      <c r="J147" s="52">
        <v>119990</v>
      </c>
      <c r="K147" s="51">
        <v>6</v>
      </c>
      <c r="L147" s="53">
        <f>K147/H147*30</f>
        <v>180</v>
      </c>
    </row>
    <row r="148" spans="1:12" s="2" customFormat="1" ht="13.95" customHeight="1" outlineLevel="2" x14ac:dyDescent="0.2">
      <c r="A148" s="50" t="s">
        <v>362</v>
      </c>
      <c r="B148" s="50" t="s">
        <v>9</v>
      </c>
      <c r="C148" s="50" t="s">
        <v>28</v>
      </c>
      <c r="D148" s="50" t="s">
        <v>649</v>
      </c>
      <c r="E148" s="50" t="s">
        <v>364</v>
      </c>
      <c r="F148" s="50" t="s">
        <v>365</v>
      </c>
      <c r="G148" s="50" t="s">
        <v>140</v>
      </c>
      <c r="H148" s="51">
        <v>1</v>
      </c>
      <c r="I148" s="52">
        <f>J148/H148</f>
        <v>119990</v>
      </c>
      <c r="J148" s="52">
        <v>119990</v>
      </c>
      <c r="K148" s="51">
        <v>2</v>
      </c>
      <c r="L148" s="53">
        <f>K148/H148*30</f>
        <v>60</v>
      </c>
    </row>
    <row r="149" spans="1:12" s="2" customFormat="1" ht="13.95" customHeight="1" outlineLevel="2" x14ac:dyDescent="0.2">
      <c r="A149" s="50" t="s">
        <v>362</v>
      </c>
      <c r="B149" s="50" t="s">
        <v>9</v>
      </c>
      <c r="C149" s="50" t="s">
        <v>28</v>
      </c>
      <c r="D149" s="50" t="s">
        <v>650</v>
      </c>
      <c r="E149" s="50" t="s">
        <v>364</v>
      </c>
      <c r="F149" s="50" t="s">
        <v>365</v>
      </c>
      <c r="G149" s="50" t="s">
        <v>294</v>
      </c>
      <c r="H149" s="51">
        <v>1</v>
      </c>
      <c r="I149" s="52">
        <f>J149/H149</f>
        <v>119990</v>
      </c>
      <c r="J149" s="52">
        <v>119990</v>
      </c>
      <c r="K149" s="51">
        <v>0</v>
      </c>
      <c r="L149" s="53">
        <f>K149/H149*30</f>
        <v>0</v>
      </c>
    </row>
    <row r="150" spans="1:12" s="2" customFormat="1" ht="13.95" customHeight="1" outlineLevel="2" x14ac:dyDescent="0.2">
      <c r="A150" s="50" t="s">
        <v>362</v>
      </c>
      <c r="B150" s="50" t="s">
        <v>9</v>
      </c>
      <c r="C150" s="50" t="s">
        <v>28</v>
      </c>
      <c r="D150" s="50" t="s">
        <v>651</v>
      </c>
      <c r="E150" s="50" t="s">
        <v>364</v>
      </c>
      <c r="F150" s="50" t="s">
        <v>365</v>
      </c>
      <c r="G150" s="50" t="s">
        <v>369</v>
      </c>
      <c r="H150" s="51">
        <v>1</v>
      </c>
      <c r="I150" s="52">
        <f>J150/H150</f>
        <v>119990</v>
      </c>
      <c r="J150" s="52">
        <v>119990</v>
      </c>
      <c r="K150" s="51">
        <v>5</v>
      </c>
      <c r="L150" s="53">
        <f>K150/H150*30</f>
        <v>150</v>
      </c>
    </row>
    <row r="151" spans="1:12" s="2" customFormat="1" ht="13.95" customHeight="1" outlineLevel="2" x14ac:dyDescent="0.2">
      <c r="A151" s="50" t="s">
        <v>362</v>
      </c>
      <c r="B151" s="50" t="s">
        <v>9</v>
      </c>
      <c r="C151" s="50" t="s">
        <v>28</v>
      </c>
      <c r="D151" s="50" t="s">
        <v>652</v>
      </c>
      <c r="E151" s="50" t="s">
        <v>364</v>
      </c>
      <c r="F151" s="50" t="s">
        <v>365</v>
      </c>
      <c r="G151" s="50" t="s">
        <v>84</v>
      </c>
      <c r="H151" s="51">
        <v>1</v>
      </c>
      <c r="I151" s="52">
        <f>J151/H151</f>
        <v>119990</v>
      </c>
      <c r="J151" s="52">
        <v>119990</v>
      </c>
      <c r="K151" s="51">
        <v>5</v>
      </c>
      <c r="L151" s="53">
        <f>K151/H151*30</f>
        <v>150</v>
      </c>
    </row>
    <row r="152" spans="1:12" s="2" customFormat="1" ht="13.95" customHeight="1" outlineLevel="2" x14ac:dyDescent="0.2">
      <c r="A152" s="50" t="s">
        <v>362</v>
      </c>
      <c r="B152" s="50" t="s">
        <v>9</v>
      </c>
      <c r="C152" s="50" t="s">
        <v>28</v>
      </c>
      <c r="D152" s="50" t="s">
        <v>653</v>
      </c>
      <c r="E152" s="50" t="s">
        <v>364</v>
      </c>
      <c r="F152" s="50" t="s">
        <v>365</v>
      </c>
      <c r="G152" s="50" t="s">
        <v>84</v>
      </c>
      <c r="H152" s="51">
        <v>1</v>
      </c>
      <c r="I152" s="52">
        <f>J152/H152</f>
        <v>119990</v>
      </c>
      <c r="J152" s="52">
        <v>119990</v>
      </c>
      <c r="K152" s="51">
        <v>7</v>
      </c>
      <c r="L152" s="53">
        <f>K152/H152*30</f>
        <v>210</v>
      </c>
    </row>
    <row r="153" spans="1:12" s="2" customFormat="1" ht="13.95" customHeight="1" outlineLevel="2" x14ac:dyDescent="0.2">
      <c r="A153" s="50" t="s">
        <v>362</v>
      </c>
      <c r="B153" s="50" t="s">
        <v>9</v>
      </c>
      <c r="C153" s="50" t="s">
        <v>28</v>
      </c>
      <c r="D153" s="50" t="s">
        <v>654</v>
      </c>
      <c r="E153" s="50" t="s">
        <v>364</v>
      </c>
      <c r="F153" s="50" t="s">
        <v>365</v>
      </c>
      <c r="G153" s="50" t="s">
        <v>330</v>
      </c>
      <c r="H153" s="51">
        <v>1</v>
      </c>
      <c r="I153" s="52">
        <f>J153/H153</f>
        <v>119990</v>
      </c>
      <c r="J153" s="52">
        <v>119990</v>
      </c>
      <c r="K153" s="51">
        <v>0</v>
      </c>
      <c r="L153" s="53">
        <f>K153/H153*30</f>
        <v>0</v>
      </c>
    </row>
    <row r="154" spans="1:12" s="2" customFormat="1" ht="13.95" customHeight="1" outlineLevel="2" x14ac:dyDescent="0.2">
      <c r="A154" s="50" t="s">
        <v>362</v>
      </c>
      <c r="B154" s="50" t="s">
        <v>9</v>
      </c>
      <c r="C154" s="50" t="s">
        <v>28</v>
      </c>
      <c r="D154" s="50" t="s">
        <v>655</v>
      </c>
      <c r="E154" s="50" t="s">
        <v>364</v>
      </c>
      <c r="F154" s="50" t="s">
        <v>365</v>
      </c>
      <c r="G154" s="50" t="s">
        <v>330</v>
      </c>
      <c r="H154" s="51">
        <v>1</v>
      </c>
      <c r="I154" s="52">
        <f>J154/H154</f>
        <v>119990</v>
      </c>
      <c r="J154" s="52">
        <v>119990</v>
      </c>
      <c r="K154" s="51">
        <v>1</v>
      </c>
      <c r="L154" s="53">
        <f>K154/H154*30</f>
        <v>30</v>
      </c>
    </row>
    <row r="155" spans="1:12" s="2" customFormat="1" ht="13.95" customHeight="1" outlineLevel="2" x14ac:dyDescent="0.2">
      <c r="A155" s="50" t="s">
        <v>362</v>
      </c>
      <c r="B155" s="50" t="s">
        <v>9</v>
      </c>
      <c r="C155" s="50" t="s">
        <v>28</v>
      </c>
      <c r="D155" s="50" t="s">
        <v>656</v>
      </c>
      <c r="E155" s="50" t="s">
        <v>368</v>
      </c>
      <c r="F155" s="50" t="s">
        <v>365</v>
      </c>
      <c r="G155" s="50" t="s">
        <v>369</v>
      </c>
      <c r="H155" s="51">
        <v>1</v>
      </c>
      <c r="I155" s="52">
        <f>J155/H155</f>
        <v>119990</v>
      </c>
      <c r="J155" s="52">
        <v>119990</v>
      </c>
      <c r="K155" s="51">
        <v>4</v>
      </c>
      <c r="L155" s="53">
        <f>K155/H155*30</f>
        <v>120</v>
      </c>
    </row>
    <row r="156" spans="1:12" s="2" customFormat="1" ht="13.95" customHeight="1" outlineLevel="1" x14ac:dyDescent="0.2">
      <c r="A156" s="50"/>
      <c r="B156" s="50"/>
      <c r="C156" s="58" t="s">
        <v>1478</v>
      </c>
      <c r="D156" s="50"/>
      <c r="E156" s="50"/>
      <c r="F156" s="50"/>
      <c r="G156" s="50"/>
      <c r="H156" s="51">
        <f>SUBTOTAL(9,H143:H155)</f>
        <v>17</v>
      </c>
      <c r="I156" s="52"/>
      <c r="J156" s="52">
        <f>SUBTOTAL(9,J143:J155)</f>
        <v>2039830</v>
      </c>
      <c r="K156" s="51"/>
      <c r="L156" s="53"/>
    </row>
    <row r="157" spans="1:12" s="2" customFormat="1" ht="13.95" customHeight="1" outlineLevel="2" x14ac:dyDescent="0.2">
      <c r="A157" s="50" t="s">
        <v>15</v>
      </c>
      <c r="B157" s="50" t="s">
        <v>9</v>
      </c>
      <c r="C157" s="50" t="s">
        <v>29</v>
      </c>
      <c r="D157" s="50" t="s">
        <v>1249</v>
      </c>
      <c r="E157" s="50" t="s">
        <v>1250</v>
      </c>
      <c r="F157" s="50" t="s">
        <v>365</v>
      </c>
      <c r="G157" s="50" t="s">
        <v>1251</v>
      </c>
      <c r="H157" s="51">
        <v>1</v>
      </c>
      <c r="I157" s="52">
        <f>J157/H157</f>
        <v>29990</v>
      </c>
      <c r="J157" s="52">
        <v>29990</v>
      </c>
      <c r="K157" s="51">
        <v>1</v>
      </c>
      <c r="L157" s="53">
        <f>K157/H157*30</f>
        <v>30</v>
      </c>
    </row>
    <row r="158" spans="1:12" s="2" customFormat="1" ht="13.95" customHeight="1" outlineLevel="1" x14ac:dyDescent="0.2">
      <c r="A158" s="50"/>
      <c r="B158" s="50"/>
      <c r="C158" s="58" t="s">
        <v>1505</v>
      </c>
      <c r="D158" s="50"/>
      <c r="E158" s="50"/>
      <c r="F158" s="50"/>
      <c r="G158" s="50"/>
      <c r="H158" s="51">
        <f>SUBTOTAL(9,H157:H157)</f>
        <v>1</v>
      </c>
      <c r="I158" s="52"/>
      <c r="J158" s="52">
        <f>SUBTOTAL(9,J157:J157)</f>
        <v>29990</v>
      </c>
      <c r="K158" s="51"/>
      <c r="L158" s="53"/>
    </row>
    <row r="159" spans="1:12" s="2" customFormat="1" ht="13.95" customHeight="1" outlineLevel="2" x14ac:dyDescent="0.2">
      <c r="A159" s="50" t="s">
        <v>290</v>
      </c>
      <c r="B159" s="50" t="s">
        <v>8</v>
      </c>
      <c r="C159" s="50" t="s">
        <v>8</v>
      </c>
      <c r="D159" s="50" t="s">
        <v>291</v>
      </c>
      <c r="E159" s="50" t="s">
        <v>292</v>
      </c>
      <c r="F159" s="50" t="s">
        <v>106</v>
      </c>
      <c r="G159" s="50" t="s">
        <v>86</v>
      </c>
      <c r="H159" s="51">
        <v>3</v>
      </c>
      <c r="I159" s="52">
        <f>J159/H159</f>
        <v>99990</v>
      </c>
      <c r="J159" s="52">
        <v>299970</v>
      </c>
      <c r="K159" s="51">
        <v>4</v>
      </c>
      <c r="L159" s="53">
        <f>K159/H159*30</f>
        <v>40</v>
      </c>
    </row>
    <row r="160" spans="1:12" s="2" customFormat="1" ht="13.95" customHeight="1" outlineLevel="2" x14ac:dyDescent="0.2">
      <c r="A160" s="50" t="s">
        <v>416</v>
      </c>
      <c r="B160" s="50" t="s">
        <v>8</v>
      </c>
      <c r="C160" s="50" t="s">
        <v>8</v>
      </c>
      <c r="D160" s="50" t="s">
        <v>417</v>
      </c>
      <c r="E160" s="50" t="s">
        <v>418</v>
      </c>
      <c r="F160" s="50" t="s">
        <v>365</v>
      </c>
      <c r="G160" s="50" t="s">
        <v>86</v>
      </c>
      <c r="H160" s="51">
        <v>4</v>
      </c>
      <c r="I160" s="52">
        <f>J160/H160</f>
        <v>51990</v>
      </c>
      <c r="J160" s="52">
        <v>207960</v>
      </c>
      <c r="K160" s="51">
        <v>15</v>
      </c>
      <c r="L160" s="53">
        <f>K160/H160*30</f>
        <v>112.5</v>
      </c>
    </row>
    <row r="161" spans="1:12" s="2" customFormat="1" ht="13.95" customHeight="1" outlineLevel="2" x14ac:dyDescent="0.2">
      <c r="A161" s="50" t="s">
        <v>290</v>
      </c>
      <c r="B161" s="50" t="s">
        <v>8</v>
      </c>
      <c r="C161" s="50" t="s">
        <v>8</v>
      </c>
      <c r="D161" s="50" t="s">
        <v>432</v>
      </c>
      <c r="E161" s="50" t="s">
        <v>292</v>
      </c>
      <c r="F161" s="50" t="s">
        <v>106</v>
      </c>
      <c r="G161" s="50" t="s">
        <v>86</v>
      </c>
      <c r="H161" s="51">
        <v>2</v>
      </c>
      <c r="I161" s="52">
        <f>J161/H161</f>
        <v>99990</v>
      </c>
      <c r="J161" s="52">
        <v>199980</v>
      </c>
      <c r="K161" s="51">
        <v>0</v>
      </c>
      <c r="L161" s="53">
        <f>K161/H161*30</f>
        <v>0</v>
      </c>
    </row>
    <row r="162" spans="1:12" s="2" customFormat="1" ht="13.95" customHeight="1" outlineLevel="2" x14ac:dyDescent="0.2">
      <c r="A162" s="50" t="s">
        <v>290</v>
      </c>
      <c r="B162" s="50" t="s">
        <v>8</v>
      </c>
      <c r="C162" s="50" t="s">
        <v>8</v>
      </c>
      <c r="D162" s="50" t="s">
        <v>433</v>
      </c>
      <c r="E162" s="50" t="s">
        <v>292</v>
      </c>
      <c r="F162" s="50" t="s">
        <v>106</v>
      </c>
      <c r="G162" s="50" t="s">
        <v>86</v>
      </c>
      <c r="H162" s="51">
        <v>2</v>
      </c>
      <c r="I162" s="52">
        <f>J162/H162</f>
        <v>99990</v>
      </c>
      <c r="J162" s="52">
        <v>199980</v>
      </c>
      <c r="K162" s="51">
        <v>5</v>
      </c>
      <c r="L162" s="53">
        <f>K162/H162*30</f>
        <v>75</v>
      </c>
    </row>
    <row r="163" spans="1:12" s="2" customFormat="1" ht="13.95" customHeight="1" outlineLevel="2" x14ac:dyDescent="0.2">
      <c r="A163" s="50" t="s">
        <v>290</v>
      </c>
      <c r="B163" s="50" t="s">
        <v>8</v>
      </c>
      <c r="C163" s="50" t="s">
        <v>8</v>
      </c>
      <c r="D163" s="50" t="s">
        <v>434</v>
      </c>
      <c r="E163" s="50" t="s">
        <v>435</v>
      </c>
      <c r="F163" s="50" t="s">
        <v>106</v>
      </c>
      <c r="G163" s="50" t="s">
        <v>88</v>
      </c>
      <c r="H163" s="51">
        <v>2</v>
      </c>
      <c r="I163" s="52">
        <f>J163/H163</f>
        <v>99990</v>
      </c>
      <c r="J163" s="52">
        <v>199980</v>
      </c>
      <c r="K163" s="51">
        <v>5</v>
      </c>
      <c r="L163" s="53">
        <f>K163/H163*30</f>
        <v>75</v>
      </c>
    </row>
    <row r="164" spans="1:12" s="2" customFormat="1" ht="13.95" customHeight="1" outlineLevel="2" x14ac:dyDescent="0.2">
      <c r="A164" s="50" t="s">
        <v>290</v>
      </c>
      <c r="B164" s="50" t="s">
        <v>8</v>
      </c>
      <c r="C164" s="50" t="s">
        <v>8</v>
      </c>
      <c r="D164" s="50" t="s">
        <v>436</v>
      </c>
      <c r="E164" s="50" t="s">
        <v>435</v>
      </c>
      <c r="F164" s="50" t="s">
        <v>106</v>
      </c>
      <c r="G164" s="50" t="s">
        <v>88</v>
      </c>
      <c r="H164" s="51">
        <v>2</v>
      </c>
      <c r="I164" s="52">
        <f>J164/H164</f>
        <v>99990</v>
      </c>
      <c r="J164" s="52">
        <v>199980</v>
      </c>
      <c r="K164" s="51">
        <v>4</v>
      </c>
      <c r="L164" s="53">
        <f>K164/H164*30</f>
        <v>60</v>
      </c>
    </row>
    <row r="165" spans="1:12" s="2" customFormat="1" ht="13.95" customHeight="1" outlineLevel="2" x14ac:dyDescent="0.2">
      <c r="A165" s="50" t="s">
        <v>290</v>
      </c>
      <c r="B165" s="50" t="s">
        <v>8</v>
      </c>
      <c r="C165" s="50" t="s">
        <v>8</v>
      </c>
      <c r="D165" s="50" t="s">
        <v>437</v>
      </c>
      <c r="E165" s="50" t="s">
        <v>435</v>
      </c>
      <c r="F165" s="50" t="s">
        <v>106</v>
      </c>
      <c r="G165" s="50" t="s">
        <v>88</v>
      </c>
      <c r="H165" s="51">
        <v>2</v>
      </c>
      <c r="I165" s="52">
        <f>J165/H165</f>
        <v>99990</v>
      </c>
      <c r="J165" s="52">
        <v>199980</v>
      </c>
      <c r="K165" s="51">
        <v>12</v>
      </c>
      <c r="L165" s="53">
        <f>K165/H165*30</f>
        <v>180</v>
      </c>
    </row>
    <row r="166" spans="1:12" s="2" customFormat="1" ht="13.95" customHeight="1" outlineLevel="2" x14ac:dyDescent="0.2">
      <c r="A166" s="50" t="s">
        <v>416</v>
      </c>
      <c r="B166" s="50" t="s">
        <v>8</v>
      </c>
      <c r="C166" s="50" t="s">
        <v>8</v>
      </c>
      <c r="D166" s="50" t="s">
        <v>443</v>
      </c>
      <c r="E166" s="50" t="s">
        <v>444</v>
      </c>
      <c r="F166" s="50" t="s">
        <v>73</v>
      </c>
      <c r="G166" s="50" t="s">
        <v>84</v>
      </c>
      <c r="H166" s="51">
        <v>5</v>
      </c>
      <c r="I166" s="52">
        <f>J166/H166</f>
        <v>39990</v>
      </c>
      <c r="J166" s="52">
        <v>199950</v>
      </c>
      <c r="K166" s="51">
        <v>0</v>
      </c>
      <c r="L166" s="53">
        <f>K166/H166*30</f>
        <v>0</v>
      </c>
    </row>
    <row r="167" spans="1:12" s="2" customFormat="1" ht="13.95" customHeight="1" outlineLevel="2" x14ac:dyDescent="0.2">
      <c r="A167" s="50" t="s">
        <v>416</v>
      </c>
      <c r="B167" s="50" t="s">
        <v>8</v>
      </c>
      <c r="C167" s="50" t="s">
        <v>8</v>
      </c>
      <c r="D167" s="50" t="s">
        <v>538</v>
      </c>
      <c r="E167" s="50" t="s">
        <v>444</v>
      </c>
      <c r="F167" s="50" t="s">
        <v>73</v>
      </c>
      <c r="G167" s="50" t="s">
        <v>74</v>
      </c>
      <c r="H167" s="51">
        <v>4</v>
      </c>
      <c r="I167" s="52">
        <f>J167/H167</f>
        <v>39990</v>
      </c>
      <c r="J167" s="52">
        <v>159960</v>
      </c>
      <c r="K167" s="51">
        <v>2</v>
      </c>
      <c r="L167" s="53">
        <f>K167/H167*30</f>
        <v>15</v>
      </c>
    </row>
    <row r="168" spans="1:12" s="2" customFormat="1" ht="13.95" customHeight="1" outlineLevel="2" x14ac:dyDescent="0.2">
      <c r="A168" s="50" t="s">
        <v>416</v>
      </c>
      <c r="B168" s="50" t="s">
        <v>8</v>
      </c>
      <c r="C168" s="50" t="s">
        <v>8</v>
      </c>
      <c r="D168" s="50" t="s">
        <v>546</v>
      </c>
      <c r="E168" s="50" t="s">
        <v>547</v>
      </c>
      <c r="F168" s="50" t="s">
        <v>365</v>
      </c>
      <c r="G168" s="50" t="s">
        <v>84</v>
      </c>
      <c r="H168" s="51">
        <v>3</v>
      </c>
      <c r="I168" s="52">
        <f>J168/H168</f>
        <v>51990</v>
      </c>
      <c r="J168" s="52">
        <v>155970</v>
      </c>
      <c r="K168" s="51">
        <v>2</v>
      </c>
      <c r="L168" s="53">
        <f>K168/H168*30</f>
        <v>20</v>
      </c>
    </row>
    <row r="169" spans="1:12" s="2" customFormat="1" ht="13.95" customHeight="1" outlineLevel="2" x14ac:dyDescent="0.2">
      <c r="A169" s="50" t="s">
        <v>416</v>
      </c>
      <c r="B169" s="50" t="s">
        <v>8</v>
      </c>
      <c r="C169" s="50" t="s">
        <v>8</v>
      </c>
      <c r="D169" s="50" t="s">
        <v>548</v>
      </c>
      <c r="E169" s="50" t="s">
        <v>547</v>
      </c>
      <c r="F169" s="50" t="s">
        <v>365</v>
      </c>
      <c r="G169" s="50" t="s">
        <v>84</v>
      </c>
      <c r="H169" s="51">
        <v>3</v>
      </c>
      <c r="I169" s="52">
        <f>J169/H169</f>
        <v>51990</v>
      </c>
      <c r="J169" s="52">
        <v>155970</v>
      </c>
      <c r="K169" s="51">
        <v>7</v>
      </c>
      <c r="L169" s="53">
        <f>K169/H169*30</f>
        <v>70</v>
      </c>
    </row>
    <row r="170" spans="1:12" s="2" customFormat="1" ht="13.95" customHeight="1" outlineLevel="2" x14ac:dyDescent="0.2">
      <c r="A170" s="50" t="s">
        <v>416</v>
      </c>
      <c r="B170" s="50" t="s">
        <v>8</v>
      </c>
      <c r="C170" s="50" t="s">
        <v>8</v>
      </c>
      <c r="D170" s="50" t="s">
        <v>549</v>
      </c>
      <c r="E170" s="50" t="s">
        <v>418</v>
      </c>
      <c r="F170" s="50" t="s">
        <v>365</v>
      </c>
      <c r="G170" s="50" t="s">
        <v>112</v>
      </c>
      <c r="H170" s="51">
        <v>3</v>
      </c>
      <c r="I170" s="52">
        <f>J170/H170</f>
        <v>51990</v>
      </c>
      <c r="J170" s="52">
        <v>155970</v>
      </c>
      <c r="K170" s="51">
        <v>9</v>
      </c>
      <c r="L170" s="53">
        <f>K170/H170*30</f>
        <v>90</v>
      </c>
    </row>
    <row r="171" spans="1:12" s="2" customFormat="1" ht="13.95" customHeight="1" outlineLevel="2" x14ac:dyDescent="0.2">
      <c r="A171" s="50" t="s">
        <v>416</v>
      </c>
      <c r="B171" s="50" t="s">
        <v>8</v>
      </c>
      <c r="C171" s="50" t="s">
        <v>8</v>
      </c>
      <c r="D171" s="50" t="s">
        <v>550</v>
      </c>
      <c r="E171" s="50" t="s">
        <v>551</v>
      </c>
      <c r="F171" s="50" t="s">
        <v>73</v>
      </c>
      <c r="G171" s="50" t="s">
        <v>552</v>
      </c>
      <c r="H171" s="51">
        <v>3</v>
      </c>
      <c r="I171" s="52">
        <f>J171/H171</f>
        <v>51990</v>
      </c>
      <c r="J171" s="52">
        <v>155970</v>
      </c>
      <c r="K171" s="51">
        <v>3</v>
      </c>
      <c r="L171" s="53">
        <f>K171/H171*30</f>
        <v>30</v>
      </c>
    </row>
    <row r="172" spans="1:12" s="2" customFormat="1" ht="13.95" customHeight="1" outlineLevel="2" x14ac:dyDescent="0.2">
      <c r="A172" s="50" t="s">
        <v>416</v>
      </c>
      <c r="B172" s="50" t="s">
        <v>8</v>
      </c>
      <c r="C172" s="50" t="s">
        <v>8</v>
      </c>
      <c r="D172" s="50" t="s">
        <v>665</v>
      </c>
      <c r="E172" s="50" t="s">
        <v>444</v>
      </c>
      <c r="F172" s="50" t="s">
        <v>73</v>
      </c>
      <c r="G172" s="50" t="s">
        <v>88</v>
      </c>
      <c r="H172" s="51">
        <v>3</v>
      </c>
      <c r="I172" s="52">
        <f>J172/H172</f>
        <v>39990</v>
      </c>
      <c r="J172" s="52">
        <v>119970</v>
      </c>
      <c r="K172" s="51">
        <v>0</v>
      </c>
      <c r="L172" s="53">
        <f>K172/H172*30</f>
        <v>0</v>
      </c>
    </row>
    <row r="173" spans="1:12" s="2" customFormat="1" ht="13.95" customHeight="1" outlineLevel="2" x14ac:dyDescent="0.2">
      <c r="A173" s="50" t="s">
        <v>416</v>
      </c>
      <c r="B173" s="50" t="s">
        <v>8</v>
      </c>
      <c r="C173" s="50" t="s">
        <v>8</v>
      </c>
      <c r="D173" s="50" t="s">
        <v>666</v>
      </c>
      <c r="E173" s="50" t="s">
        <v>444</v>
      </c>
      <c r="F173" s="50" t="s">
        <v>73</v>
      </c>
      <c r="G173" s="50" t="s">
        <v>86</v>
      </c>
      <c r="H173" s="51">
        <v>3</v>
      </c>
      <c r="I173" s="52">
        <f>J173/H173</f>
        <v>39990</v>
      </c>
      <c r="J173" s="52">
        <v>119970</v>
      </c>
      <c r="K173" s="51">
        <v>2</v>
      </c>
      <c r="L173" s="53">
        <f>K173/H173*30</f>
        <v>20</v>
      </c>
    </row>
    <row r="174" spans="1:12" s="2" customFormat="1" ht="13.95" customHeight="1" outlineLevel="2" x14ac:dyDescent="0.2">
      <c r="A174" s="50" t="s">
        <v>416</v>
      </c>
      <c r="B174" s="50" t="s">
        <v>8</v>
      </c>
      <c r="C174" s="50" t="s">
        <v>8</v>
      </c>
      <c r="D174" s="50" t="s">
        <v>699</v>
      </c>
      <c r="E174" s="50" t="s">
        <v>700</v>
      </c>
      <c r="F174" s="50" t="s">
        <v>106</v>
      </c>
      <c r="G174" s="50" t="s">
        <v>88</v>
      </c>
      <c r="H174" s="51">
        <v>2</v>
      </c>
      <c r="I174" s="52">
        <f>J174/H174</f>
        <v>55990</v>
      </c>
      <c r="J174" s="52">
        <v>111980</v>
      </c>
      <c r="K174" s="51">
        <v>1</v>
      </c>
      <c r="L174" s="53">
        <f>K174/H174*30</f>
        <v>15</v>
      </c>
    </row>
    <row r="175" spans="1:12" s="2" customFormat="1" ht="13.95" customHeight="1" outlineLevel="2" x14ac:dyDescent="0.2">
      <c r="A175" s="50" t="s">
        <v>416</v>
      </c>
      <c r="B175" s="50" t="s">
        <v>8</v>
      </c>
      <c r="C175" s="50" t="s">
        <v>8</v>
      </c>
      <c r="D175" s="50" t="s">
        <v>713</v>
      </c>
      <c r="E175" s="50" t="s">
        <v>418</v>
      </c>
      <c r="F175" s="50" t="s">
        <v>365</v>
      </c>
      <c r="G175" s="50" t="s">
        <v>112</v>
      </c>
      <c r="H175" s="51">
        <v>2</v>
      </c>
      <c r="I175" s="52">
        <f>J175/H175</f>
        <v>51990</v>
      </c>
      <c r="J175" s="52">
        <v>103980</v>
      </c>
      <c r="K175" s="51">
        <v>0</v>
      </c>
      <c r="L175" s="53">
        <f>K175/H175*30</f>
        <v>0</v>
      </c>
    </row>
    <row r="176" spans="1:12" s="2" customFormat="1" ht="13.95" customHeight="1" outlineLevel="2" x14ac:dyDescent="0.2">
      <c r="A176" s="50" t="s">
        <v>416</v>
      </c>
      <c r="B176" s="50" t="s">
        <v>8</v>
      </c>
      <c r="C176" s="50" t="s">
        <v>8</v>
      </c>
      <c r="D176" s="50" t="s">
        <v>714</v>
      </c>
      <c r="E176" s="50" t="s">
        <v>715</v>
      </c>
      <c r="F176" s="50" t="s">
        <v>73</v>
      </c>
      <c r="G176" s="50" t="s">
        <v>86</v>
      </c>
      <c r="H176" s="51">
        <v>2</v>
      </c>
      <c r="I176" s="52">
        <f>J176/H176</f>
        <v>51990</v>
      </c>
      <c r="J176" s="52">
        <v>103980</v>
      </c>
      <c r="K176" s="51">
        <v>1</v>
      </c>
      <c r="L176" s="53">
        <f>K176/H176*30</f>
        <v>15</v>
      </c>
    </row>
    <row r="177" spans="1:12" s="2" customFormat="1" ht="13.95" customHeight="1" outlineLevel="2" x14ac:dyDescent="0.2">
      <c r="A177" s="50" t="s">
        <v>416</v>
      </c>
      <c r="B177" s="50" t="s">
        <v>8</v>
      </c>
      <c r="C177" s="50" t="s">
        <v>8</v>
      </c>
      <c r="D177" s="50" t="s">
        <v>716</v>
      </c>
      <c r="E177" s="50" t="s">
        <v>715</v>
      </c>
      <c r="F177" s="50" t="s">
        <v>73</v>
      </c>
      <c r="G177" s="50" t="s">
        <v>86</v>
      </c>
      <c r="H177" s="51">
        <v>2</v>
      </c>
      <c r="I177" s="52">
        <f>J177/H177</f>
        <v>51990</v>
      </c>
      <c r="J177" s="52">
        <v>103980</v>
      </c>
      <c r="K177" s="51">
        <v>3</v>
      </c>
      <c r="L177" s="53">
        <f>K177/H177*30</f>
        <v>45</v>
      </c>
    </row>
    <row r="178" spans="1:12" s="2" customFormat="1" ht="13.95" customHeight="1" outlineLevel="2" x14ac:dyDescent="0.2">
      <c r="A178" s="50" t="s">
        <v>416</v>
      </c>
      <c r="B178" s="50" t="s">
        <v>8</v>
      </c>
      <c r="C178" s="50" t="s">
        <v>8</v>
      </c>
      <c r="D178" s="50" t="s">
        <v>717</v>
      </c>
      <c r="E178" s="50" t="s">
        <v>718</v>
      </c>
      <c r="F178" s="50" t="s">
        <v>719</v>
      </c>
      <c r="G178" s="50" t="s">
        <v>720</v>
      </c>
      <c r="H178" s="51">
        <v>2</v>
      </c>
      <c r="I178" s="52">
        <f>J178/H178</f>
        <v>51990</v>
      </c>
      <c r="J178" s="52">
        <v>103980</v>
      </c>
      <c r="K178" s="51">
        <v>7</v>
      </c>
      <c r="L178" s="53">
        <f>K178/H178*30</f>
        <v>105</v>
      </c>
    </row>
    <row r="179" spans="1:12" s="2" customFormat="1" ht="13.95" customHeight="1" outlineLevel="2" x14ac:dyDescent="0.2">
      <c r="A179" s="50" t="s">
        <v>416</v>
      </c>
      <c r="B179" s="50" t="s">
        <v>8</v>
      </c>
      <c r="C179" s="50" t="s">
        <v>8</v>
      </c>
      <c r="D179" s="50" t="s">
        <v>721</v>
      </c>
      <c r="E179" s="50" t="s">
        <v>718</v>
      </c>
      <c r="F179" s="50" t="s">
        <v>719</v>
      </c>
      <c r="G179" s="50" t="s">
        <v>720</v>
      </c>
      <c r="H179" s="51">
        <v>2</v>
      </c>
      <c r="I179" s="52">
        <f>J179/H179</f>
        <v>51990</v>
      </c>
      <c r="J179" s="52">
        <v>103980</v>
      </c>
      <c r="K179" s="51">
        <v>4</v>
      </c>
      <c r="L179" s="53">
        <f>K179/H179*30</f>
        <v>60</v>
      </c>
    </row>
    <row r="180" spans="1:12" s="2" customFormat="1" ht="13.95" customHeight="1" outlineLevel="2" x14ac:dyDescent="0.2">
      <c r="A180" s="50" t="s">
        <v>416</v>
      </c>
      <c r="B180" s="50" t="s">
        <v>8</v>
      </c>
      <c r="C180" s="50" t="s">
        <v>8</v>
      </c>
      <c r="D180" s="50" t="s">
        <v>722</v>
      </c>
      <c r="E180" s="50" t="s">
        <v>551</v>
      </c>
      <c r="F180" s="50" t="s">
        <v>73</v>
      </c>
      <c r="G180" s="50" t="s">
        <v>552</v>
      </c>
      <c r="H180" s="51">
        <v>2</v>
      </c>
      <c r="I180" s="52">
        <f>J180/H180</f>
        <v>51990</v>
      </c>
      <c r="J180" s="52">
        <v>103980</v>
      </c>
      <c r="K180" s="51">
        <v>1</v>
      </c>
      <c r="L180" s="53">
        <f>K180/H180*30</f>
        <v>15</v>
      </c>
    </row>
    <row r="181" spans="1:12" s="2" customFormat="1" ht="13.95" customHeight="1" outlineLevel="2" x14ac:dyDescent="0.2">
      <c r="A181" s="50" t="s">
        <v>290</v>
      </c>
      <c r="B181" s="50" t="s">
        <v>8</v>
      </c>
      <c r="C181" s="50" t="s">
        <v>8</v>
      </c>
      <c r="D181" s="50" t="s">
        <v>745</v>
      </c>
      <c r="E181" s="50" t="s">
        <v>292</v>
      </c>
      <c r="F181" s="50" t="s">
        <v>106</v>
      </c>
      <c r="G181" s="50" t="s">
        <v>86</v>
      </c>
      <c r="H181" s="51">
        <v>1</v>
      </c>
      <c r="I181" s="52">
        <f>J181/H181</f>
        <v>99990</v>
      </c>
      <c r="J181" s="52">
        <v>99990</v>
      </c>
      <c r="K181" s="51">
        <v>2</v>
      </c>
      <c r="L181" s="53">
        <f>K181/H181*30</f>
        <v>60</v>
      </c>
    </row>
    <row r="182" spans="1:12" s="2" customFormat="1" ht="13.95" customHeight="1" outlineLevel="2" x14ac:dyDescent="0.2">
      <c r="A182" s="50" t="s">
        <v>290</v>
      </c>
      <c r="B182" s="50" t="s">
        <v>8</v>
      </c>
      <c r="C182" s="50" t="s">
        <v>8</v>
      </c>
      <c r="D182" s="50" t="s">
        <v>746</v>
      </c>
      <c r="E182" s="50" t="s">
        <v>292</v>
      </c>
      <c r="F182" s="50" t="s">
        <v>106</v>
      </c>
      <c r="G182" s="50" t="s">
        <v>86</v>
      </c>
      <c r="H182" s="51">
        <v>1</v>
      </c>
      <c r="I182" s="52">
        <f>J182/H182</f>
        <v>99990</v>
      </c>
      <c r="J182" s="52">
        <v>99990</v>
      </c>
      <c r="K182" s="51">
        <v>5</v>
      </c>
      <c r="L182" s="53">
        <f>K182/H182*30</f>
        <v>150</v>
      </c>
    </row>
    <row r="183" spans="1:12" s="2" customFormat="1" ht="13.95" customHeight="1" outlineLevel="2" x14ac:dyDescent="0.2">
      <c r="A183" s="50" t="s">
        <v>290</v>
      </c>
      <c r="B183" s="50" t="s">
        <v>8</v>
      </c>
      <c r="C183" s="50" t="s">
        <v>8</v>
      </c>
      <c r="D183" s="50" t="s">
        <v>747</v>
      </c>
      <c r="E183" s="50" t="s">
        <v>292</v>
      </c>
      <c r="F183" s="50" t="s">
        <v>106</v>
      </c>
      <c r="G183" s="50" t="s">
        <v>86</v>
      </c>
      <c r="H183" s="51">
        <v>1</v>
      </c>
      <c r="I183" s="52">
        <f>J183/H183</f>
        <v>99990</v>
      </c>
      <c r="J183" s="52">
        <v>99990</v>
      </c>
      <c r="K183" s="51">
        <v>5</v>
      </c>
      <c r="L183" s="53">
        <f>K183/H183*30</f>
        <v>150</v>
      </c>
    </row>
    <row r="184" spans="1:12" s="2" customFormat="1" ht="13.95" customHeight="1" outlineLevel="2" x14ac:dyDescent="0.2">
      <c r="A184" s="50" t="s">
        <v>290</v>
      </c>
      <c r="B184" s="50" t="s">
        <v>8</v>
      </c>
      <c r="C184" s="50" t="s">
        <v>8</v>
      </c>
      <c r="D184" s="50" t="s">
        <v>748</v>
      </c>
      <c r="E184" s="50" t="s">
        <v>292</v>
      </c>
      <c r="F184" s="50" t="s">
        <v>106</v>
      </c>
      <c r="G184" s="50" t="s">
        <v>86</v>
      </c>
      <c r="H184" s="51">
        <v>1</v>
      </c>
      <c r="I184" s="52">
        <f>J184/H184</f>
        <v>99990</v>
      </c>
      <c r="J184" s="52">
        <v>99990</v>
      </c>
      <c r="K184" s="51">
        <v>1</v>
      </c>
      <c r="L184" s="53">
        <f>K184/H184*30</f>
        <v>30</v>
      </c>
    </row>
    <row r="185" spans="1:12" s="2" customFormat="1" ht="13.95" customHeight="1" outlineLevel="2" x14ac:dyDescent="0.2">
      <c r="A185" s="50" t="s">
        <v>290</v>
      </c>
      <c r="B185" s="50" t="s">
        <v>8</v>
      </c>
      <c r="C185" s="50" t="s">
        <v>8</v>
      </c>
      <c r="D185" s="50" t="s">
        <v>749</v>
      </c>
      <c r="E185" s="50" t="s">
        <v>292</v>
      </c>
      <c r="F185" s="50" t="s">
        <v>106</v>
      </c>
      <c r="G185" s="50" t="s">
        <v>112</v>
      </c>
      <c r="H185" s="51">
        <v>1</v>
      </c>
      <c r="I185" s="52">
        <f>J185/H185</f>
        <v>99990</v>
      </c>
      <c r="J185" s="52">
        <v>99990</v>
      </c>
      <c r="K185" s="51">
        <v>5</v>
      </c>
      <c r="L185" s="53">
        <f>K185/H185*30</f>
        <v>150</v>
      </c>
    </row>
    <row r="186" spans="1:12" s="2" customFormat="1" ht="13.95" customHeight="1" outlineLevel="2" x14ac:dyDescent="0.2">
      <c r="A186" s="50" t="s">
        <v>290</v>
      </c>
      <c r="B186" s="50" t="s">
        <v>8</v>
      </c>
      <c r="C186" s="50" t="s">
        <v>8</v>
      </c>
      <c r="D186" s="50" t="s">
        <v>750</v>
      </c>
      <c r="E186" s="50" t="s">
        <v>292</v>
      </c>
      <c r="F186" s="50" t="s">
        <v>106</v>
      </c>
      <c r="G186" s="50" t="s">
        <v>112</v>
      </c>
      <c r="H186" s="51">
        <v>1</v>
      </c>
      <c r="I186" s="52">
        <f>J186/H186</f>
        <v>99990</v>
      </c>
      <c r="J186" s="52">
        <v>99990</v>
      </c>
      <c r="K186" s="51">
        <v>2</v>
      </c>
      <c r="L186" s="53">
        <f>K186/H186*30</f>
        <v>60</v>
      </c>
    </row>
    <row r="187" spans="1:12" s="2" customFormat="1" ht="13.95" customHeight="1" outlineLevel="2" x14ac:dyDescent="0.2">
      <c r="A187" s="50" t="s">
        <v>290</v>
      </c>
      <c r="B187" s="50" t="s">
        <v>8</v>
      </c>
      <c r="C187" s="50" t="s">
        <v>8</v>
      </c>
      <c r="D187" s="50" t="s">
        <v>751</v>
      </c>
      <c r="E187" s="50" t="s">
        <v>292</v>
      </c>
      <c r="F187" s="50" t="s">
        <v>106</v>
      </c>
      <c r="G187" s="50" t="s">
        <v>112</v>
      </c>
      <c r="H187" s="51">
        <v>1</v>
      </c>
      <c r="I187" s="52">
        <f>J187/H187</f>
        <v>99990</v>
      </c>
      <c r="J187" s="52">
        <v>99990</v>
      </c>
      <c r="K187" s="51">
        <v>6</v>
      </c>
      <c r="L187" s="53">
        <f>K187/H187*30</f>
        <v>180</v>
      </c>
    </row>
    <row r="188" spans="1:12" s="2" customFormat="1" ht="13.95" customHeight="1" outlineLevel="2" x14ac:dyDescent="0.2">
      <c r="A188" s="50" t="s">
        <v>290</v>
      </c>
      <c r="B188" s="50" t="s">
        <v>8</v>
      </c>
      <c r="C188" s="50" t="s">
        <v>8</v>
      </c>
      <c r="D188" s="50" t="s">
        <v>752</v>
      </c>
      <c r="E188" s="50" t="s">
        <v>435</v>
      </c>
      <c r="F188" s="50" t="s">
        <v>106</v>
      </c>
      <c r="G188" s="50" t="s">
        <v>88</v>
      </c>
      <c r="H188" s="51">
        <v>1</v>
      </c>
      <c r="I188" s="52">
        <f>J188/H188</f>
        <v>99990</v>
      </c>
      <c r="J188" s="52">
        <v>99990</v>
      </c>
      <c r="K188" s="51">
        <v>2</v>
      </c>
      <c r="L188" s="53">
        <f>K188/H188*30</f>
        <v>60</v>
      </c>
    </row>
    <row r="189" spans="1:12" s="2" customFormat="1" ht="13.95" customHeight="1" outlineLevel="2" x14ac:dyDescent="0.2">
      <c r="A189" s="50" t="s">
        <v>290</v>
      </c>
      <c r="B189" s="50" t="s">
        <v>8</v>
      </c>
      <c r="C189" s="50" t="s">
        <v>8</v>
      </c>
      <c r="D189" s="50" t="s">
        <v>753</v>
      </c>
      <c r="E189" s="50" t="s">
        <v>435</v>
      </c>
      <c r="F189" s="50" t="s">
        <v>106</v>
      </c>
      <c r="G189" s="50" t="s">
        <v>86</v>
      </c>
      <c r="H189" s="51">
        <v>1</v>
      </c>
      <c r="I189" s="52">
        <f>J189/H189</f>
        <v>99990</v>
      </c>
      <c r="J189" s="52">
        <v>99990</v>
      </c>
      <c r="K189" s="51">
        <v>11</v>
      </c>
      <c r="L189" s="53">
        <f>K189/H189*30</f>
        <v>330</v>
      </c>
    </row>
    <row r="190" spans="1:12" s="2" customFormat="1" ht="13.95" customHeight="1" outlineLevel="2" x14ac:dyDescent="0.2">
      <c r="A190" s="50" t="s">
        <v>290</v>
      </c>
      <c r="B190" s="50" t="s">
        <v>8</v>
      </c>
      <c r="C190" s="50" t="s">
        <v>8</v>
      </c>
      <c r="D190" s="50" t="s">
        <v>754</v>
      </c>
      <c r="E190" s="50" t="s">
        <v>435</v>
      </c>
      <c r="F190" s="50" t="s">
        <v>106</v>
      </c>
      <c r="G190" s="50" t="s">
        <v>86</v>
      </c>
      <c r="H190" s="51">
        <v>1</v>
      </c>
      <c r="I190" s="52">
        <f>J190/H190</f>
        <v>99990</v>
      </c>
      <c r="J190" s="52">
        <v>99990</v>
      </c>
      <c r="K190" s="51">
        <v>3</v>
      </c>
      <c r="L190" s="53">
        <f>K190/H190*30</f>
        <v>90</v>
      </c>
    </row>
    <row r="191" spans="1:12" s="2" customFormat="1" ht="13.95" customHeight="1" outlineLevel="2" x14ac:dyDescent="0.2">
      <c r="A191" s="50" t="s">
        <v>290</v>
      </c>
      <c r="B191" s="50" t="s">
        <v>8</v>
      </c>
      <c r="C191" s="50" t="s">
        <v>8</v>
      </c>
      <c r="D191" s="50" t="s">
        <v>755</v>
      </c>
      <c r="E191" s="50" t="s">
        <v>435</v>
      </c>
      <c r="F191" s="50" t="s">
        <v>106</v>
      </c>
      <c r="G191" s="50" t="s">
        <v>86</v>
      </c>
      <c r="H191" s="51">
        <v>1</v>
      </c>
      <c r="I191" s="52">
        <f>J191/H191</f>
        <v>99990</v>
      </c>
      <c r="J191" s="52">
        <v>99990</v>
      </c>
      <c r="K191" s="51">
        <v>5</v>
      </c>
      <c r="L191" s="53">
        <f>K191/H191*30</f>
        <v>150</v>
      </c>
    </row>
    <row r="192" spans="1:12" s="2" customFormat="1" ht="13.95" customHeight="1" outlineLevel="2" x14ac:dyDescent="0.2">
      <c r="A192" s="50" t="s">
        <v>290</v>
      </c>
      <c r="B192" s="50" t="s">
        <v>8</v>
      </c>
      <c r="C192" s="50" t="s">
        <v>8</v>
      </c>
      <c r="D192" s="50" t="s">
        <v>756</v>
      </c>
      <c r="E192" s="50" t="s">
        <v>435</v>
      </c>
      <c r="F192" s="50" t="s">
        <v>106</v>
      </c>
      <c r="G192" s="50" t="s">
        <v>86</v>
      </c>
      <c r="H192" s="51">
        <v>1</v>
      </c>
      <c r="I192" s="52">
        <f>J192/H192</f>
        <v>99990</v>
      </c>
      <c r="J192" s="52">
        <v>99990</v>
      </c>
      <c r="K192" s="51">
        <v>8</v>
      </c>
      <c r="L192" s="53">
        <f>K192/H192*30</f>
        <v>240</v>
      </c>
    </row>
    <row r="193" spans="1:12" s="2" customFormat="1" ht="13.95" customHeight="1" outlineLevel="2" x14ac:dyDescent="0.2">
      <c r="A193" s="50" t="s">
        <v>290</v>
      </c>
      <c r="B193" s="50" t="s">
        <v>8</v>
      </c>
      <c r="C193" s="50" t="s">
        <v>8</v>
      </c>
      <c r="D193" s="50" t="s">
        <v>757</v>
      </c>
      <c r="E193" s="50" t="s">
        <v>435</v>
      </c>
      <c r="F193" s="50" t="s">
        <v>106</v>
      </c>
      <c r="G193" s="50" t="s">
        <v>86</v>
      </c>
      <c r="H193" s="51">
        <v>1</v>
      </c>
      <c r="I193" s="52">
        <f>J193/H193</f>
        <v>99990</v>
      </c>
      <c r="J193" s="52">
        <v>99990</v>
      </c>
      <c r="K193" s="51">
        <v>9</v>
      </c>
      <c r="L193" s="53">
        <f>K193/H193*30</f>
        <v>270</v>
      </c>
    </row>
    <row r="194" spans="1:12" s="2" customFormat="1" ht="13.95" customHeight="1" outlineLevel="2" x14ac:dyDescent="0.2">
      <c r="A194" s="50" t="s">
        <v>290</v>
      </c>
      <c r="B194" s="50" t="s">
        <v>8</v>
      </c>
      <c r="C194" s="50" t="s">
        <v>8</v>
      </c>
      <c r="D194" s="50" t="s">
        <v>758</v>
      </c>
      <c r="E194" s="50" t="s">
        <v>435</v>
      </c>
      <c r="F194" s="50" t="s">
        <v>106</v>
      </c>
      <c r="G194" s="50" t="s">
        <v>86</v>
      </c>
      <c r="H194" s="51">
        <v>1</v>
      </c>
      <c r="I194" s="52">
        <f>J194/H194</f>
        <v>99990</v>
      </c>
      <c r="J194" s="52">
        <v>99990</v>
      </c>
      <c r="K194" s="51">
        <v>7</v>
      </c>
      <c r="L194" s="53">
        <f>K194/H194*30</f>
        <v>210</v>
      </c>
    </row>
    <row r="195" spans="1:12" s="2" customFormat="1" ht="13.95" customHeight="1" outlineLevel="2" x14ac:dyDescent="0.2">
      <c r="A195" s="50" t="s">
        <v>70</v>
      </c>
      <c r="B195" s="50" t="s">
        <v>8</v>
      </c>
      <c r="C195" s="50" t="s">
        <v>8</v>
      </c>
      <c r="D195" s="50" t="s">
        <v>872</v>
      </c>
      <c r="E195" s="50" t="s">
        <v>873</v>
      </c>
      <c r="F195" s="50" t="s">
        <v>216</v>
      </c>
      <c r="G195" s="50" t="s">
        <v>86</v>
      </c>
      <c r="H195" s="51">
        <v>1</v>
      </c>
      <c r="I195" s="52">
        <f>J195/H195</f>
        <v>79990</v>
      </c>
      <c r="J195" s="52">
        <v>79990</v>
      </c>
      <c r="K195" s="51">
        <v>7</v>
      </c>
      <c r="L195" s="53">
        <f>K195/H195*30</f>
        <v>210</v>
      </c>
    </row>
    <row r="196" spans="1:12" s="2" customFormat="1" ht="13.95" customHeight="1" outlineLevel="2" x14ac:dyDescent="0.2">
      <c r="A196" s="50" t="s">
        <v>70</v>
      </c>
      <c r="B196" s="50" t="s">
        <v>8</v>
      </c>
      <c r="C196" s="50" t="s">
        <v>8</v>
      </c>
      <c r="D196" s="50" t="s">
        <v>874</v>
      </c>
      <c r="E196" s="50" t="s">
        <v>873</v>
      </c>
      <c r="F196" s="50" t="s">
        <v>216</v>
      </c>
      <c r="G196" s="50" t="s">
        <v>112</v>
      </c>
      <c r="H196" s="51">
        <v>1</v>
      </c>
      <c r="I196" s="52">
        <f>J196/H196</f>
        <v>79990</v>
      </c>
      <c r="J196" s="52">
        <v>79990</v>
      </c>
      <c r="K196" s="51">
        <v>28</v>
      </c>
      <c r="L196" s="53">
        <f>K196/H196*30</f>
        <v>840</v>
      </c>
    </row>
    <row r="197" spans="1:12" s="2" customFormat="1" ht="13.95" customHeight="1" outlineLevel="2" x14ac:dyDescent="0.2">
      <c r="A197" s="50" t="s">
        <v>70</v>
      </c>
      <c r="B197" s="50" t="s">
        <v>8</v>
      </c>
      <c r="C197" s="50" t="s">
        <v>8</v>
      </c>
      <c r="D197" s="50" t="s">
        <v>875</v>
      </c>
      <c r="E197" s="50" t="s">
        <v>873</v>
      </c>
      <c r="F197" s="50" t="s">
        <v>216</v>
      </c>
      <c r="G197" s="50" t="s">
        <v>112</v>
      </c>
      <c r="H197" s="51">
        <v>1</v>
      </c>
      <c r="I197" s="52">
        <f>J197/H197</f>
        <v>79990</v>
      </c>
      <c r="J197" s="52">
        <v>79990</v>
      </c>
      <c r="K197" s="51">
        <v>8</v>
      </c>
      <c r="L197" s="53">
        <f>K197/H197*30</f>
        <v>240</v>
      </c>
    </row>
    <row r="198" spans="1:12" s="2" customFormat="1" ht="13.95" customHeight="1" outlineLevel="2" x14ac:dyDescent="0.2">
      <c r="A198" s="50" t="s">
        <v>70</v>
      </c>
      <c r="B198" s="50" t="s">
        <v>8</v>
      </c>
      <c r="C198" s="50" t="s">
        <v>8</v>
      </c>
      <c r="D198" s="50" t="s">
        <v>876</v>
      </c>
      <c r="E198" s="50" t="s">
        <v>873</v>
      </c>
      <c r="F198" s="50" t="s">
        <v>216</v>
      </c>
      <c r="G198" s="50" t="s">
        <v>112</v>
      </c>
      <c r="H198" s="51">
        <v>1</v>
      </c>
      <c r="I198" s="52">
        <f>J198/H198</f>
        <v>79990</v>
      </c>
      <c r="J198" s="52">
        <v>79990</v>
      </c>
      <c r="K198" s="51">
        <v>22</v>
      </c>
      <c r="L198" s="53">
        <f>K198/H198*30</f>
        <v>660</v>
      </c>
    </row>
    <row r="199" spans="1:12" s="2" customFormat="1" ht="13.95" customHeight="1" outlineLevel="2" x14ac:dyDescent="0.2">
      <c r="A199" s="50" t="s">
        <v>416</v>
      </c>
      <c r="B199" s="50" t="s">
        <v>8</v>
      </c>
      <c r="C199" s="50" t="s">
        <v>8</v>
      </c>
      <c r="D199" s="50" t="s">
        <v>884</v>
      </c>
      <c r="E199" s="50" t="s">
        <v>444</v>
      </c>
      <c r="F199" s="50" t="s">
        <v>73</v>
      </c>
      <c r="G199" s="50" t="s">
        <v>88</v>
      </c>
      <c r="H199" s="51">
        <v>2</v>
      </c>
      <c r="I199" s="52">
        <f>J199/H199</f>
        <v>39990</v>
      </c>
      <c r="J199" s="52">
        <v>79980</v>
      </c>
      <c r="K199" s="51">
        <v>7</v>
      </c>
      <c r="L199" s="53">
        <f>K199/H199*30</f>
        <v>105</v>
      </c>
    </row>
    <row r="200" spans="1:12" s="2" customFormat="1" ht="13.95" customHeight="1" outlineLevel="2" x14ac:dyDescent="0.2">
      <c r="A200" s="50" t="s">
        <v>416</v>
      </c>
      <c r="B200" s="50" t="s">
        <v>8</v>
      </c>
      <c r="C200" s="50" t="s">
        <v>8</v>
      </c>
      <c r="D200" s="50" t="s">
        <v>885</v>
      </c>
      <c r="E200" s="50" t="s">
        <v>444</v>
      </c>
      <c r="F200" s="50" t="s">
        <v>73</v>
      </c>
      <c r="G200" s="50" t="s">
        <v>74</v>
      </c>
      <c r="H200" s="51">
        <v>2</v>
      </c>
      <c r="I200" s="52">
        <f>J200/H200</f>
        <v>39990</v>
      </c>
      <c r="J200" s="52">
        <v>79980</v>
      </c>
      <c r="K200" s="51">
        <v>3</v>
      </c>
      <c r="L200" s="53">
        <f>K200/H200*30</f>
        <v>45</v>
      </c>
    </row>
    <row r="201" spans="1:12" s="2" customFormat="1" ht="13.95" customHeight="1" outlineLevel="2" x14ac:dyDescent="0.2">
      <c r="A201" s="50" t="s">
        <v>416</v>
      </c>
      <c r="B201" s="50" t="s">
        <v>8</v>
      </c>
      <c r="C201" s="50" t="s">
        <v>8</v>
      </c>
      <c r="D201" s="50" t="s">
        <v>886</v>
      </c>
      <c r="E201" s="50" t="s">
        <v>444</v>
      </c>
      <c r="F201" s="50" t="s">
        <v>73</v>
      </c>
      <c r="G201" s="50" t="s">
        <v>84</v>
      </c>
      <c r="H201" s="51">
        <v>2</v>
      </c>
      <c r="I201" s="52">
        <f>J201/H201</f>
        <v>39990</v>
      </c>
      <c r="J201" s="52">
        <v>79980</v>
      </c>
      <c r="K201" s="51">
        <v>5</v>
      </c>
      <c r="L201" s="53">
        <f>K201/H201*30</f>
        <v>75</v>
      </c>
    </row>
    <row r="202" spans="1:12" s="2" customFormat="1" ht="13.95" customHeight="1" outlineLevel="2" x14ac:dyDescent="0.2">
      <c r="A202" s="50" t="s">
        <v>416</v>
      </c>
      <c r="B202" s="50" t="s">
        <v>8</v>
      </c>
      <c r="C202" s="50" t="s">
        <v>8</v>
      </c>
      <c r="D202" s="50" t="s">
        <v>887</v>
      </c>
      <c r="E202" s="50" t="s">
        <v>444</v>
      </c>
      <c r="F202" s="50" t="s">
        <v>73</v>
      </c>
      <c r="G202" s="50" t="s">
        <v>84</v>
      </c>
      <c r="H202" s="51">
        <v>2</v>
      </c>
      <c r="I202" s="52">
        <f>J202/H202</f>
        <v>39990</v>
      </c>
      <c r="J202" s="52">
        <v>79980</v>
      </c>
      <c r="K202" s="51">
        <v>1</v>
      </c>
      <c r="L202" s="53">
        <f>K202/H202*30</f>
        <v>15</v>
      </c>
    </row>
    <row r="203" spans="1:12" s="2" customFormat="1" ht="13.95" customHeight="1" outlineLevel="2" x14ac:dyDescent="0.2">
      <c r="A203" s="50" t="s">
        <v>416</v>
      </c>
      <c r="B203" s="50" t="s">
        <v>8</v>
      </c>
      <c r="C203" s="50" t="s">
        <v>8</v>
      </c>
      <c r="D203" s="50" t="s">
        <v>980</v>
      </c>
      <c r="E203" s="50" t="s">
        <v>981</v>
      </c>
      <c r="F203" s="50" t="s">
        <v>106</v>
      </c>
      <c r="G203" s="50" t="s">
        <v>90</v>
      </c>
      <c r="H203" s="51">
        <v>2</v>
      </c>
      <c r="I203" s="52">
        <f>J203/H203</f>
        <v>29990</v>
      </c>
      <c r="J203" s="52">
        <v>59980</v>
      </c>
      <c r="K203" s="51">
        <v>2</v>
      </c>
      <c r="L203" s="53">
        <f>K203/H203*30</f>
        <v>30</v>
      </c>
    </row>
    <row r="204" spans="1:12" s="2" customFormat="1" ht="13.95" customHeight="1" outlineLevel="2" x14ac:dyDescent="0.2">
      <c r="A204" s="50" t="s">
        <v>416</v>
      </c>
      <c r="B204" s="50" t="s">
        <v>8</v>
      </c>
      <c r="C204" s="50" t="s">
        <v>8</v>
      </c>
      <c r="D204" s="50" t="s">
        <v>982</v>
      </c>
      <c r="E204" s="50" t="s">
        <v>981</v>
      </c>
      <c r="F204" s="50" t="s">
        <v>106</v>
      </c>
      <c r="G204" s="50" t="s">
        <v>90</v>
      </c>
      <c r="H204" s="51">
        <v>2</v>
      </c>
      <c r="I204" s="52">
        <f>J204/H204</f>
        <v>29990</v>
      </c>
      <c r="J204" s="52">
        <v>59980</v>
      </c>
      <c r="K204" s="51">
        <v>0</v>
      </c>
      <c r="L204" s="53">
        <f>K204/H204*30</f>
        <v>0</v>
      </c>
    </row>
    <row r="205" spans="1:12" s="2" customFormat="1" ht="13.95" customHeight="1" outlineLevel="2" x14ac:dyDescent="0.2">
      <c r="A205" s="50" t="s">
        <v>416</v>
      </c>
      <c r="B205" s="50" t="s">
        <v>8</v>
      </c>
      <c r="C205" s="50" t="s">
        <v>8</v>
      </c>
      <c r="D205" s="50" t="s">
        <v>983</v>
      </c>
      <c r="E205" s="50" t="s">
        <v>981</v>
      </c>
      <c r="F205" s="50" t="s">
        <v>106</v>
      </c>
      <c r="G205" s="50" t="s">
        <v>86</v>
      </c>
      <c r="H205" s="51">
        <v>2</v>
      </c>
      <c r="I205" s="52">
        <f>J205/H205</f>
        <v>29990</v>
      </c>
      <c r="J205" s="52">
        <v>59980</v>
      </c>
      <c r="K205" s="51">
        <v>1</v>
      </c>
      <c r="L205" s="53">
        <f>K205/H205*30</f>
        <v>15</v>
      </c>
    </row>
    <row r="206" spans="1:12" s="2" customFormat="1" ht="13.95" customHeight="1" outlineLevel="2" x14ac:dyDescent="0.2">
      <c r="A206" s="50" t="s">
        <v>416</v>
      </c>
      <c r="B206" s="50" t="s">
        <v>8</v>
      </c>
      <c r="C206" s="50" t="s">
        <v>8</v>
      </c>
      <c r="D206" s="50" t="s">
        <v>1011</v>
      </c>
      <c r="E206" s="50" t="s">
        <v>700</v>
      </c>
      <c r="F206" s="50" t="s">
        <v>106</v>
      </c>
      <c r="G206" s="50" t="s">
        <v>88</v>
      </c>
      <c r="H206" s="51">
        <v>1</v>
      </c>
      <c r="I206" s="52">
        <f>J206/H206</f>
        <v>55990</v>
      </c>
      <c r="J206" s="52">
        <v>55990</v>
      </c>
      <c r="K206" s="51">
        <v>1</v>
      </c>
      <c r="L206" s="53">
        <f>K206/H206*30</f>
        <v>30</v>
      </c>
    </row>
    <row r="207" spans="1:12" s="2" customFormat="1" ht="13.95" customHeight="1" outlineLevel="2" x14ac:dyDescent="0.2">
      <c r="A207" s="50" t="s">
        <v>416</v>
      </c>
      <c r="B207" s="50" t="s">
        <v>8</v>
      </c>
      <c r="C207" s="50" t="s">
        <v>8</v>
      </c>
      <c r="D207" s="50" t="s">
        <v>1012</v>
      </c>
      <c r="E207" s="50" t="s">
        <v>700</v>
      </c>
      <c r="F207" s="50" t="s">
        <v>106</v>
      </c>
      <c r="G207" s="50" t="s">
        <v>88</v>
      </c>
      <c r="H207" s="51">
        <v>1</v>
      </c>
      <c r="I207" s="52">
        <f>J207/H207</f>
        <v>55990</v>
      </c>
      <c r="J207" s="52">
        <v>55990</v>
      </c>
      <c r="K207" s="51">
        <v>6</v>
      </c>
      <c r="L207" s="53">
        <f>K207/H207*30</f>
        <v>180</v>
      </c>
    </row>
    <row r="208" spans="1:12" s="2" customFormat="1" ht="13.95" customHeight="1" outlineLevel="2" x14ac:dyDescent="0.2">
      <c r="A208" s="50" t="s">
        <v>416</v>
      </c>
      <c r="B208" s="50" t="s">
        <v>8</v>
      </c>
      <c r="C208" s="50" t="s">
        <v>8</v>
      </c>
      <c r="D208" s="50" t="s">
        <v>1036</v>
      </c>
      <c r="E208" s="50" t="s">
        <v>547</v>
      </c>
      <c r="F208" s="50" t="s">
        <v>365</v>
      </c>
      <c r="G208" s="50" t="s">
        <v>84</v>
      </c>
      <c r="H208" s="51">
        <v>1</v>
      </c>
      <c r="I208" s="52">
        <f>J208/H208</f>
        <v>51990</v>
      </c>
      <c r="J208" s="52">
        <v>51990</v>
      </c>
      <c r="K208" s="51">
        <v>2</v>
      </c>
      <c r="L208" s="53">
        <f>K208/H208*30</f>
        <v>60</v>
      </c>
    </row>
    <row r="209" spans="1:12" s="2" customFormat="1" ht="13.95" customHeight="1" outlineLevel="2" x14ac:dyDescent="0.2">
      <c r="A209" s="50" t="s">
        <v>416</v>
      </c>
      <c r="B209" s="50" t="s">
        <v>8</v>
      </c>
      <c r="C209" s="50" t="s">
        <v>8</v>
      </c>
      <c r="D209" s="50" t="s">
        <v>1037</v>
      </c>
      <c r="E209" s="50" t="s">
        <v>547</v>
      </c>
      <c r="F209" s="50" t="s">
        <v>365</v>
      </c>
      <c r="G209" s="50" t="s">
        <v>84</v>
      </c>
      <c r="H209" s="51">
        <v>1</v>
      </c>
      <c r="I209" s="52">
        <f>J209/H209</f>
        <v>51990</v>
      </c>
      <c r="J209" s="52">
        <v>51990</v>
      </c>
      <c r="K209" s="51">
        <v>2</v>
      </c>
      <c r="L209" s="53">
        <f>K209/H209*30</f>
        <v>60</v>
      </c>
    </row>
    <row r="210" spans="1:12" s="2" customFormat="1" ht="13.95" customHeight="1" outlineLevel="2" x14ac:dyDescent="0.2">
      <c r="A210" s="50" t="s">
        <v>416</v>
      </c>
      <c r="B210" s="50" t="s">
        <v>8</v>
      </c>
      <c r="C210" s="50" t="s">
        <v>8</v>
      </c>
      <c r="D210" s="50" t="s">
        <v>1038</v>
      </c>
      <c r="E210" s="50" t="s">
        <v>547</v>
      </c>
      <c r="F210" s="50" t="s">
        <v>365</v>
      </c>
      <c r="G210" s="50" t="s">
        <v>84</v>
      </c>
      <c r="H210" s="51">
        <v>1</v>
      </c>
      <c r="I210" s="52">
        <f>J210/H210</f>
        <v>51990</v>
      </c>
      <c r="J210" s="52">
        <v>51990</v>
      </c>
      <c r="K210" s="51">
        <v>6</v>
      </c>
      <c r="L210" s="53">
        <f>K210/H210*30</f>
        <v>180</v>
      </c>
    </row>
    <row r="211" spans="1:12" s="2" customFormat="1" ht="13.95" customHeight="1" outlineLevel="2" x14ac:dyDescent="0.2">
      <c r="A211" s="50" t="s">
        <v>416</v>
      </c>
      <c r="B211" s="50" t="s">
        <v>8</v>
      </c>
      <c r="C211" s="50" t="s">
        <v>8</v>
      </c>
      <c r="D211" s="50" t="s">
        <v>1039</v>
      </c>
      <c r="E211" s="50" t="s">
        <v>547</v>
      </c>
      <c r="F211" s="50" t="s">
        <v>365</v>
      </c>
      <c r="G211" s="50" t="s">
        <v>84</v>
      </c>
      <c r="H211" s="51">
        <v>1</v>
      </c>
      <c r="I211" s="52">
        <f>J211/H211</f>
        <v>51990</v>
      </c>
      <c r="J211" s="52">
        <v>51990</v>
      </c>
      <c r="K211" s="51">
        <v>4</v>
      </c>
      <c r="L211" s="53">
        <f>K211/H211*30</f>
        <v>120</v>
      </c>
    </row>
    <row r="212" spans="1:12" s="2" customFormat="1" ht="13.95" customHeight="1" outlineLevel="2" x14ac:dyDescent="0.2">
      <c r="A212" s="50" t="s">
        <v>416</v>
      </c>
      <c r="B212" s="50" t="s">
        <v>8</v>
      </c>
      <c r="C212" s="50" t="s">
        <v>8</v>
      </c>
      <c r="D212" s="50" t="s">
        <v>1040</v>
      </c>
      <c r="E212" s="50" t="s">
        <v>547</v>
      </c>
      <c r="F212" s="50" t="s">
        <v>365</v>
      </c>
      <c r="G212" s="50" t="s">
        <v>84</v>
      </c>
      <c r="H212" s="51">
        <v>1</v>
      </c>
      <c r="I212" s="52">
        <f>J212/H212</f>
        <v>51990</v>
      </c>
      <c r="J212" s="52">
        <v>51990</v>
      </c>
      <c r="K212" s="51">
        <v>2</v>
      </c>
      <c r="L212" s="53">
        <f>K212/H212*30</f>
        <v>60</v>
      </c>
    </row>
    <row r="213" spans="1:12" s="2" customFormat="1" ht="13.95" customHeight="1" outlineLevel="2" x14ac:dyDescent="0.2">
      <c r="A213" s="50" t="s">
        <v>416</v>
      </c>
      <c r="B213" s="50" t="s">
        <v>8</v>
      </c>
      <c r="C213" s="50" t="s">
        <v>8</v>
      </c>
      <c r="D213" s="50" t="s">
        <v>1041</v>
      </c>
      <c r="E213" s="50" t="s">
        <v>418</v>
      </c>
      <c r="F213" s="50" t="s">
        <v>365</v>
      </c>
      <c r="G213" s="50" t="s">
        <v>86</v>
      </c>
      <c r="H213" s="51">
        <v>1</v>
      </c>
      <c r="I213" s="52">
        <f>J213/H213</f>
        <v>51990</v>
      </c>
      <c r="J213" s="52">
        <v>51990</v>
      </c>
      <c r="K213" s="51">
        <v>5</v>
      </c>
      <c r="L213" s="53">
        <f>K213/H213*30</f>
        <v>150</v>
      </c>
    </row>
    <row r="214" spans="1:12" s="2" customFormat="1" ht="13.95" customHeight="1" outlineLevel="2" x14ac:dyDescent="0.2">
      <c r="A214" s="50" t="s">
        <v>416</v>
      </c>
      <c r="B214" s="50" t="s">
        <v>8</v>
      </c>
      <c r="C214" s="50" t="s">
        <v>8</v>
      </c>
      <c r="D214" s="50" t="s">
        <v>1042</v>
      </c>
      <c r="E214" s="50" t="s">
        <v>418</v>
      </c>
      <c r="F214" s="50" t="s">
        <v>365</v>
      </c>
      <c r="G214" s="50" t="s">
        <v>86</v>
      </c>
      <c r="H214" s="51">
        <v>1</v>
      </c>
      <c r="I214" s="52">
        <f>J214/H214</f>
        <v>51990</v>
      </c>
      <c r="J214" s="52">
        <v>51990</v>
      </c>
      <c r="K214" s="51">
        <v>8</v>
      </c>
      <c r="L214" s="53">
        <f>K214/H214*30</f>
        <v>240</v>
      </c>
    </row>
    <row r="215" spans="1:12" s="2" customFormat="1" ht="13.95" customHeight="1" outlineLevel="2" x14ac:dyDescent="0.2">
      <c r="A215" s="50" t="s">
        <v>416</v>
      </c>
      <c r="B215" s="50" t="s">
        <v>8</v>
      </c>
      <c r="C215" s="50" t="s">
        <v>8</v>
      </c>
      <c r="D215" s="50" t="s">
        <v>1043</v>
      </c>
      <c r="E215" s="50" t="s">
        <v>418</v>
      </c>
      <c r="F215" s="50" t="s">
        <v>365</v>
      </c>
      <c r="G215" s="50" t="s">
        <v>86</v>
      </c>
      <c r="H215" s="51">
        <v>1</v>
      </c>
      <c r="I215" s="52">
        <f>J215/H215</f>
        <v>51990</v>
      </c>
      <c r="J215" s="52">
        <v>51990</v>
      </c>
      <c r="K215" s="51">
        <v>15</v>
      </c>
      <c r="L215" s="53">
        <f>K215/H215*30</f>
        <v>450</v>
      </c>
    </row>
    <row r="216" spans="1:12" s="2" customFormat="1" ht="13.95" customHeight="1" outlineLevel="2" x14ac:dyDescent="0.2">
      <c r="A216" s="50" t="s">
        <v>416</v>
      </c>
      <c r="B216" s="50" t="s">
        <v>8</v>
      </c>
      <c r="C216" s="50" t="s">
        <v>8</v>
      </c>
      <c r="D216" s="50" t="s">
        <v>1044</v>
      </c>
      <c r="E216" s="50" t="s">
        <v>418</v>
      </c>
      <c r="F216" s="50" t="s">
        <v>365</v>
      </c>
      <c r="G216" s="50" t="s">
        <v>86</v>
      </c>
      <c r="H216" s="51">
        <v>1</v>
      </c>
      <c r="I216" s="52">
        <f>J216/H216</f>
        <v>51990</v>
      </c>
      <c r="J216" s="52">
        <v>51990</v>
      </c>
      <c r="K216" s="51">
        <v>8</v>
      </c>
      <c r="L216" s="53">
        <f>K216/H216*30</f>
        <v>240</v>
      </c>
    </row>
    <row r="217" spans="1:12" s="2" customFormat="1" ht="13.95" customHeight="1" outlineLevel="2" x14ac:dyDescent="0.2">
      <c r="A217" s="50" t="s">
        <v>416</v>
      </c>
      <c r="B217" s="50" t="s">
        <v>8</v>
      </c>
      <c r="C217" s="50" t="s">
        <v>8</v>
      </c>
      <c r="D217" s="50" t="s">
        <v>1045</v>
      </c>
      <c r="E217" s="50" t="s">
        <v>418</v>
      </c>
      <c r="F217" s="50" t="s">
        <v>365</v>
      </c>
      <c r="G217" s="50" t="s">
        <v>86</v>
      </c>
      <c r="H217" s="51">
        <v>1</v>
      </c>
      <c r="I217" s="52">
        <f>J217/H217</f>
        <v>51990</v>
      </c>
      <c r="J217" s="52">
        <v>51990</v>
      </c>
      <c r="K217" s="51">
        <v>5</v>
      </c>
      <c r="L217" s="53">
        <f>K217/H217*30</f>
        <v>150</v>
      </c>
    </row>
    <row r="218" spans="1:12" s="2" customFormat="1" ht="13.95" customHeight="1" outlineLevel="2" x14ac:dyDescent="0.2">
      <c r="A218" s="50" t="s">
        <v>416</v>
      </c>
      <c r="B218" s="50" t="s">
        <v>8</v>
      </c>
      <c r="C218" s="50" t="s">
        <v>8</v>
      </c>
      <c r="D218" s="50" t="s">
        <v>1046</v>
      </c>
      <c r="E218" s="50" t="s">
        <v>418</v>
      </c>
      <c r="F218" s="50" t="s">
        <v>365</v>
      </c>
      <c r="G218" s="50" t="s">
        <v>86</v>
      </c>
      <c r="H218" s="51">
        <v>1</v>
      </c>
      <c r="I218" s="52">
        <f>J218/H218</f>
        <v>51990</v>
      </c>
      <c r="J218" s="52">
        <v>51990</v>
      </c>
      <c r="K218" s="51">
        <v>6</v>
      </c>
      <c r="L218" s="53">
        <f>K218/H218*30</f>
        <v>180</v>
      </c>
    </row>
    <row r="219" spans="1:12" s="2" customFormat="1" ht="13.95" customHeight="1" outlineLevel="2" x14ac:dyDescent="0.2">
      <c r="A219" s="50" t="s">
        <v>416</v>
      </c>
      <c r="B219" s="50" t="s">
        <v>8</v>
      </c>
      <c r="C219" s="50" t="s">
        <v>8</v>
      </c>
      <c r="D219" s="50" t="s">
        <v>1047</v>
      </c>
      <c r="E219" s="50" t="s">
        <v>418</v>
      </c>
      <c r="F219" s="50" t="s">
        <v>365</v>
      </c>
      <c r="G219" s="50" t="s">
        <v>112</v>
      </c>
      <c r="H219" s="51">
        <v>1</v>
      </c>
      <c r="I219" s="52">
        <f>J219/H219</f>
        <v>51990</v>
      </c>
      <c r="J219" s="52">
        <v>51990</v>
      </c>
      <c r="K219" s="51">
        <v>3</v>
      </c>
      <c r="L219" s="53">
        <f>K219/H219*30</f>
        <v>90</v>
      </c>
    </row>
    <row r="220" spans="1:12" s="2" customFormat="1" ht="13.95" customHeight="1" outlineLevel="2" x14ac:dyDescent="0.2">
      <c r="A220" s="50" t="s">
        <v>416</v>
      </c>
      <c r="B220" s="50" t="s">
        <v>8</v>
      </c>
      <c r="C220" s="50" t="s">
        <v>8</v>
      </c>
      <c r="D220" s="50" t="s">
        <v>1048</v>
      </c>
      <c r="E220" s="50" t="s">
        <v>418</v>
      </c>
      <c r="F220" s="50" t="s">
        <v>365</v>
      </c>
      <c r="G220" s="50" t="s">
        <v>112</v>
      </c>
      <c r="H220" s="51">
        <v>1</v>
      </c>
      <c r="I220" s="52">
        <f>J220/H220</f>
        <v>51990</v>
      </c>
      <c r="J220" s="52">
        <v>51990</v>
      </c>
      <c r="K220" s="51">
        <v>17</v>
      </c>
      <c r="L220" s="53">
        <f>K220/H220*30</f>
        <v>510</v>
      </c>
    </row>
    <row r="221" spans="1:12" s="2" customFormat="1" ht="13.95" customHeight="1" outlineLevel="2" x14ac:dyDescent="0.2">
      <c r="A221" s="50" t="s">
        <v>416</v>
      </c>
      <c r="B221" s="50" t="s">
        <v>8</v>
      </c>
      <c r="C221" s="50" t="s">
        <v>8</v>
      </c>
      <c r="D221" s="50" t="s">
        <v>1049</v>
      </c>
      <c r="E221" s="50" t="s">
        <v>715</v>
      </c>
      <c r="F221" s="50" t="s">
        <v>73</v>
      </c>
      <c r="G221" s="50" t="s">
        <v>86</v>
      </c>
      <c r="H221" s="51">
        <v>1</v>
      </c>
      <c r="I221" s="52">
        <f>J221/H221</f>
        <v>51990</v>
      </c>
      <c r="J221" s="52">
        <v>51990</v>
      </c>
      <c r="K221" s="51">
        <v>6</v>
      </c>
      <c r="L221" s="53">
        <f>K221/H221*30</f>
        <v>180</v>
      </c>
    </row>
    <row r="222" spans="1:12" s="2" customFormat="1" ht="13.95" customHeight="1" outlineLevel="2" x14ac:dyDescent="0.2">
      <c r="A222" s="50" t="s">
        <v>416</v>
      </c>
      <c r="B222" s="50" t="s">
        <v>8</v>
      </c>
      <c r="C222" s="50" t="s">
        <v>8</v>
      </c>
      <c r="D222" s="50" t="s">
        <v>1050</v>
      </c>
      <c r="E222" s="50" t="s">
        <v>715</v>
      </c>
      <c r="F222" s="50" t="s">
        <v>73</v>
      </c>
      <c r="G222" s="50" t="s">
        <v>86</v>
      </c>
      <c r="H222" s="51">
        <v>1</v>
      </c>
      <c r="I222" s="52">
        <f>J222/H222</f>
        <v>51990</v>
      </c>
      <c r="J222" s="52">
        <v>51990</v>
      </c>
      <c r="K222" s="51">
        <v>1</v>
      </c>
      <c r="L222" s="53">
        <f>K222/H222*30</f>
        <v>30</v>
      </c>
    </row>
    <row r="223" spans="1:12" s="2" customFormat="1" ht="13.95" customHeight="1" outlineLevel="2" x14ac:dyDescent="0.2">
      <c r="A223" s="50" t="s">
        <v>416</v>
      </c>
      <c r="B223" s="50" t="s">
        <v>8</v>
      </c>
      <c r="C223" s="50" t="s">
        <v>8</v>
      </c>
      <c r="D223" s="50" t="s">
        <v>1051</v>
      </c>
      <c r="E223" s="50" t="s">
        <v>715</v>
      </c>
      <c r="F223" s="50" t="s">
        <v>73</v>
      </c>
      <c r="G223" s="50" t="s">
        <v>86</v>
      </c>
      <c r="H223" s="51">
        <v>1</v>
      </c>
      <c r="I223" s="52">
        <f>J223/H223</f>
        <v>51990</v>
      </c>
      <c r="J223" s="52">
        <v>51990</v>
      </c>
      <c r="K223" s="51">
        <v>0</v>
      </c>
      <c r="L223" s="53">
        <f>K223/H223*30</f>
        <v>0</v>
      </c>
    </row>
    <row r="224" spans="1:12" s="2" customFormat="1" ht="13.95" customHeight="1" outlineLevel="2" x14ac:dyDescent="0.2">
      <c r="A224" s="50" t="s">
        <v>416</v>
      </c>
      <c r="B224" s="50" t="s">
        <v>8</v>
      </c>
      <c r="C224" s="50" t="s">
        <v>8</v>
      </c>
      <c r="D224" s="50" t="s">
        <v>1052</v>
      </c>
      <c r="E224" s="50" t="s">
        <v>715</v>
      </c>
      <c r="F224" s="50" t="s">
        <v>73</v>
      </c>
      <c r="G224" s="50" t="s">
        <v>112</v>
      </c>
      <c r="H224" s="51">
        <v>1</v>
      </c>
      <c r="I224" s="52">
        <f>J224/H224</f>
        <v>51990</v>
      </c>
      <c r="J224" s="52">
        <v>51990</v>
      </c>
      <c r="K224" s="51">
        <v>0</v>
      </c>
      <c r="L224" s="53">
        <f>K224/H224*30</f>
        <v>0</v>
      </c>
    </row>
    <row r="225" spans="1:12" s="2" customFormat="1" ht="13.95" customHeight="1" outlineLevel="2" x14ac:dyDescent="0.2">
      <c r="A225" s="50" t="s">
        <v>416</v>
      </c>
      <c r="B225" s="50" t="s">
        <v>8</v>
      </c>
      <c r="C225" s="50" t="s">
        <v>8</v>
      </c>
      <c r="D225" s="50" t="s">
        <v>1053</v>
      </c>
      <c r="E225" s="50" t="s">
        <v>715</v>
      </c>
      <c r="F225" s="50" t="s">
        <v>73</v>
      </c>
      <c r="G225" s="50" t="s">
        <v>112</v>
      </c>
      <c r="H225" s="51">
        <v>1</v>
      </c>
      <c r="I225" s="52">
        <f>J225/H225</f>
        <v>51990</v>
      </c>
      <c r="J225" s="52">
        <v>51990</v>
      </c>
      <c r="K225" s="51">
        <v>3</v>
      </c>
      <c r="L225" s="53">
        <f>K225/H225*30</f>
        <v>90</v>
      </c>
    </row>
    <row r="226" spans="1:12" s="2" customFormat="1" ht="13.95" customHeight="1" outlineLevel="2" x14ac:dyDescent="0.2">
      <c r="A226" s="50" t="s">
        <v>416</v>
      </c>
      <c r="B226" s="50" t="s">
        <v>8</v>
      </c>
      <c r="C226" s="50" t="s">
        <v>8</v>
      </c>
      <c r="D226" s="50" t="s">
        <v>1054</v>
      </c>
      <c r="E226" s="50" t="s">
        <v>715</v>
      </c>
      <c r="F226" s="50" t="s">
        <v>73</v>
      </c>
      <c r="G226" s="50" t="s">
        <v>112</v>
      </c>
      <c r="H226" s="51">
        <v>1</v>
      </c>
      <c r="I226" s="52">
        <f>J226/H226</f>
        <v>51990</v>
      </c>
      <c r="J226" s="52">
        <v>51990</v>
      </c>
      <c r="K226" s="51">
        <v>1</v>
      </c>
      <c r="L226" s="53">
        <f>K226/H226*30</f>
        <v>30</v>
      </c>
    </row>
    <row r="227" spans="1:12" s="2" customFormat="1" ht="13.95" customHeight="1" outlineLevel="2" x14ac:dyDescent="0.2">
      <c r="A227" s="50" t="s">
        <v>416</v>
      </c>
      <c r="B227" s="50" t="s">
        <v>8</v>
      </c>
      <c r="C227" s="50" t="s">
        <v>8</v>
      </c>
      <c r="D227" s="50" t="s">
        <v>1055</v>
      </c>
      <c r="E227" s="50" t="s">
        <v>715</v>
      </c>
      <c r="F227" s="50" t="s">
        <v>73</v>
      </c>
      <c r="G227" s="50" t="s">
        <v>112</v>
      </c>
      <c r="H227" s="51">
        <v>1</v>
      </c>
      <c r="I227" s="52">
        <f>J227/H227</f>
        <v>51990</v>
      </c>
      <c r="J227" s="52">
        <v>51990</v>
      </c>
      <c r="K227" s="51">
        <v>3</v>
      </c>
      <c r="L227" s="53">
        <f>K227/H227*30</f>
        <v>90</v>
      </c>
    </row>
    <row r="228" spans="1:12" s="2" customFormat="1" ht="13.95" customHeight="1" outlineLevel="2" x14ac:dyDescent="0.2">
      <c r="A228" s="50" t="s">
        <v>416</v>
      </c>
      <c r="B228" s="50" t="s">
        <v>8</v>
      </c>
      <c r="C228" s="50" t="s">
        <v>8</v>
      </c>
      <c r="D228" s="50" t="s">
        <v>1056</v>
      </c>
      <c r="E228" s="50" t="s">
        <v>718</v>
      </c>
      <c r="F228" s="50" t="s">
        <v>719</v>
      </c>
      <c r="G228" s="50" t="s">
        <v>140</v>
      </c>
      <c r="H228" s="51">
        <v>1</v>
      </c>
      <c r="I228" s="52">
        <f>J228/H228</f>
        <v>51990</v>
      </c>
      <c r="J228" s="52">
        <v>51990</v>
      </c>
      <c r="K228" s="51">
        <v>4</v>
      </c>
      <c r="L228" s="53">
        <f>K228/H228*30</f>
        <v>120</v>
      </c>
    </row>
    <row r="229" spans="1:12" s="2" customFormat="1" ht="13.95" customHeight="1" outlineLevel="2" x14ac:dyDescent="0.2">
      <c r="A229" s="50" t="s">
        <v>416</v>
      </c>
      <c r="B229" s="50" t="s">
        <v>8</v>
      </c>
      <c r="C229" s="50" t="s">
        <v>8</v>
      </c>
      <c r="D229" s="50" t="s">
        <v>1057</v>
      </c>
      <c r="E229" s="50" t="s">
        <v>718</v>
      </c>
      <c r="F229" s="50" t="s">
        <v>719</v>
      </c>
      <c r="G229" s="50" t="s">
        <v>140</v>
      </c>
      <c r="H229" s="51">
        <v>1</v>
      </c>
      <c r="I229" s="52">
        <f>J229/H229</f>
        <v>51990</v>
      </c>
      <c r="J229" s="52">
        <v>51990</v>
      </c>
      <c r="K229" s="51">
        <v>7</v>
      </c>
      <c r="L229" s="53">
        <f>K229/H229*30</f>
        <v>210</v>
      </c>
    </row>
    <row r="230" spans="1:12" s="2" customFormat="1" ht="13.95" customHeight="1" outlineLevel="2" x14ac:dyDescent="0.2">
      <c r="A230" s="50" t="s">
        <v>416</v>
      </c>
      <c r="B230" s="50" t="s">
        <v>8</v>
      </c>
      <c r="C230" s="50" t="s">
        <v>8</v>
      </c>
      <c r="D230" s="50" t="s">
        <v>1058</v>
      </c>
      <c r="E230" s="50" t="s">
        <v>718</v>
      </c>
      <c r="F230" s="50" t="s">
        <v>719</v>
      </c>
      <c r="G230" s="50" t="s">
        <v>140</v>
      </c>
      <c r="H230" s="51">
        <v>1</v>
      </c>
      <c r="I230" s="52">
        <f>J230/H230</f>
        <v>51990</v>
      </c>
      <c r="J230" s="52">
        <v>51990</v>
      </c>
      <c r="K230" s="51">
        <v>0</v>
      </c>
      <c r="L230" s="53">
        <f>K230/H230*30</f>
        <v>0</v>
      </c>
    </row>
    <row r="231" spans="1:12" s="2" customFormat="1" ht="13.95" customHeight="1" outlineLevel="2" x14ac:dyDescent="0.2">
      <c r="A231" s="50" t="s">
        <v>416</v>
      </c>
      <c r="B231" s="50" t="s">
        <v>8</v>
      </c>
      <c r="C231" s="50" t="s">
        <v>8</v>
      </c>
      <c r="D231" s="50" t="s">
        <v>1059</v>
      </c>
      <c r="E231" s="50" t="s">
        <v>718</v>
      </c>
      <c r="F231" s="50" t="s">
        <v>719</v>
      </c>
      <c r="G231" s="50" t="s">
        <v>720</v>
      </c>
      <c r="H231" s="51">
        <v>1</v>
      </c>
      <c r="I231" s="52">
        <f>J231/H231</f>
        <v>51990</v>
      </c>
      <c r="J231" s="52">
        <v>51990</v>
      </c>
      <c r="K231" s="51">
        <v>4</v>
      </c>
      <c r="L231" s="53">
        <f>K231/H231*30</f>
        <v>120</v>
      </c>
    </row>
    <row r="232" spans="1:12" s="2" customFormat="1" ht="13.95" customHeight="1" outlineLevel="2" x14ac:dyDescent="0.2">
      <c r="A232" s="50" t="s">
        <v>416</v>
      </c>
      <c r="B232" s="50" t="s">
        <v>8</v>
      </c>
      <c r="C232" s="50" t="s">
        <v>8</v>
      </c>
      <c r="D232" s="50" t="s">
        <v>1060</v>
      </c>
      <c r="E232" s="50" t="s">
        <v>718</v>
      </c>
      <c r="F232" s="50" t="s">
        <v>719</v>
      </c>
      <c r="G232" s="50" t="s">
        <v>720</v>
      </c>
      <c r="H232" s="51">
        <v>1</v>
      </c>
      <c r="I232" s="52">
        <f>J232/H232</f>
        <v>51990</v>
      </c>
      <c r="J232" s="52">
        <v>51990</v>
      </c>
      <c r="K232" s="51">
        <v>4</v>
      </c>
      <c r="L232" s="53">
        <f>K232/H232*30</f>
        <v>120</v>
      </c>
    </row>
    <row r="233" spans="1:12" s="2" customFormat="1" ht="13.95" customHeight="1" outlineLevel="2" x14ac:dyDescent="0.2">
      <c r="A233" s="50" t="s">
        <v>416</v>
      </c>
      <c r="B233" s="50" t="s">
        <v>8</v>
      </c>
      <c r="C233" s="50" t="s">
        <v>8</v>
      </c>
      <c r="D233" s="50" t="s">
        <v>1061</v>
      </c>
      <c r="E233" s="50" t="s">
        <v>718</v>
      </c>
      <c r="F233" s="50" t="s">
        <v>719</v>
      </c>
      <c r="G233" s="50" t="s">
        <v>330</v>
      </c>
      <c r="H233" s="51">
        <v>1</v>
      </c>
      <c r="I233" s="52">
        <f>J233/H233</f>
        <v>51990</v>
      </c>
      <c r="J233" s="52">
        <v>51990</v>
      </c>
      <c r="K233" s="51">
        <v>6</v>
      </c>
      <c r="L233" s="53">
        <f>K233/H233*30</f>
        <v>180</v>
      </c>
    </row>
    <row r="234" spans="1:12" s="2" customFormat="1" ht="13.95" customHeight="1" outlineLevel="2" x14ac:dyDescent="0.2">
      <c r="A234" s="50" t="s">
        <v>416</v>
      </c>
      <c r="B234" s="50" t="s">
        <v>8</v>
      </c>
      <c r="C234" s="50" t="s">
        <v>8</v>
      </c>
      <c r="D234" s="50" t="s">
        <v>1062</v>
      </c>
      <c r="E234" s="50" t="s">
        <v>551</v>
      </c>
      <c r="F234" s="50" t="s">
        <v>73</v>
      </c>
      <c r="G234" s="50" t="s">
        <v>552</v>
      </c>
      <c r="H234" s="51">
        <v>1</v>
      </c>
      <c r="I234" s="52">
        <f>J234/H234</f>
        <v>51990</v>
      </c>
      <c r="J234" s="52">
        <v>51990</v>
      </c>
      <c r="K234" s="51">
        <v>5</v>
      </c>
      <c r="L234" s="53">
        <f>K234/H234*30</f>
        <v>150</v>
      </c>
    </row>
    <row r="235" spans="1:12" s="2" customFormat="1" ht="13.95" customHeight="1" outlineLevel="2" x14ac:dyDescent="0.2">
      <c r="A235" s="50" t="s">
        <v>416</v>
      </c>
      <c r="B235" s="50" t="s">
        <v>8</v>
      </c>
      <c r="C235" s="50" t="s">
        <v>8</v>
      </c>
      <c r="D235" s="50" t="s">
        <v>1063</v>
      </c>
      <c r="E235" s="50" t="s">
        <v>551</v>
      </c>
      <c r="F235" s="50" t="s">
        <v>73</v>
      </c>
      <c r="G235" s="50" t="s">
        <v>552</v>
      </c>
      <c r="H235" s="51">
        <v>1</v>
      </c>
      <c r="I235" s="52">
        <f>J235/H235</f>
        <v>51990</v>
      </c>
      <c r="J235" s="52">
        <v>51990</v>
      </c>
      <c r="K235" s="51">
        <v>0</v>
      </c>
      <c r="L235" s="53">
        <f>K235/H235*30</f>
        <v>0</v>
      </c>
    </row>
    <row r="236" spans="1:12" s="2" customFormat="1" ht="13.95" customHeight="1" outlineLevel="2" x14ac:dyDescent="0.2">
      <c r="A236" s="50" t="s">
        <v>416</v>
      </c>
      <c r="B236" s="50" t="s">
        <v>8</v>
      </c>
      <c r="C236" s="50" t="s">
        <v>8</v>
      </c>
      <c r="D236" s="50" t="s">
        <v>1064</v>
      </c>
      <c r="E236" s="50" t="s">
        <v>551</v>
      </c>
      <c r="F236" s="50" t="s">
        <v>73</v>
      </c>
      <c r="G236" s="50" t="s">
        <v>552</v>
      </c>
      <c r="H236" s="51">
        <v>1</v>
      </c>
      <c r="I236" s="52">
        <f>J236/H236</f>
        <v>51990</v>
      </c>
      <c r="J236" s="52">
        <v>51990</v>
      </c>
      <c r="K236" s="51">
        <v>8</v>
      </c>
      <c r="L236" s="53">
        <f>K236/H236*30</f>
        <v>240</v>
      </c>
    </row>
    <row r="237" spans="1:12" s="2" customFormat="1" ht="13.95" customHeight="1" outlineLevel="2" x14ac:dyDescent="0.2">
      <c r="A237" s="50" t="s">
        <v>416</v>
      </c>
      <c r="B237" s="50" t="s">
        <v>8</v>
      </c>
      <c r="C237" s="50" t="s">
        <v>8</v>
      </c>
      <c r="D237" s="50" t="s">
        <v>1065</v>
      </c>
      <c r="E237" s="50" t="s">
        <v>551</v>
      </c>
      <c r="F237" s="50" t="s">
        <v>73</v>
      </c>
      <c r="G237" s="50" t="s">
        <v>552</v>
      </c>
      <c r="H237" s="51">
        <v>1</v>
      </c>
      <c r="I237" s="52">
        <f>J237/H237</f>
        <v>51990</v>
      </c>
      <c r="J237" s="52">
        <v>51990</v>
      </c>
      <c r="K237" s="51">
        <v>4</v>
      </c>
      <c r="L237" s="53">
        <f>K237/H237*30</f>
        <v>120</v>
      </c>
    </row>
    <row r="238" spans="1:12" s="2" customFormat="1" ht="13.95" customHeight="1" outlineLevel="2" x14ac:dyDescent="0.2">
      <c r="A238" s="50" t="s">
        <v>416</v>
      </c>
      <c r="B238" s="50" t="s">
        <v>8</v>
      </c>
      <c r="C238" s="50" t="s">
        <v>8</v>
      </c>
      <c r="D238" s="50" t="s">
        <v>1153</v>
      </c>
      <c r="E238" s="50" t="s">
        <v>444</v>
      </c>
      <c r="F238" s="50" t="s">
        <v>73</v>
      </c>
      <c r="G238" s="50" t="s">
        <v>140</v>
      </c>
      <c r="H238" s="51">
        <v>1</v>
      </c>
      <c r="I238" s="52">
        <f>J238/H238</f>
        <v>39990</v>
      </c>
      <c r="J238" s="52">
        <v>39990</v>
      </c>
      <c r="K238" s="51">
        <v>3</v>
      </c>
      <c r="L238" s="53">
        <f>K238/H238*30</f>
        <v>90</v>
      </c>
    </row>
    <row r="239" spans="1:12" s="2" customFormat="1" ht="13.95" customHeight="1" outlineLevel="2" x14ac:dyDescent="0.2">
      <c r="A239" s="50" t="s">
        <v>416</v>
      </c>
      <c r="B239" s="50" t="s">
        <v>8</v>
      </c>
      <c r="C239" s="50" t="s">
        <v>8</v>
      </c>
      <c r="D239" s="50" t="s">
        <v>1154</v>
      </c>
      <c r="E239" s="50" t="s">
        <v>444</v>
      </c>
      <c r="F239" s="50" t="s">
        <v>73</v>
      </c>
      <c r="G239" s="50" t="s">
        <v>86</v>
      </c>
      <c r="H239" s="51">
        <v>1</v>
      </c>
      <c r="I239" s="52">
        <f>J239/H239</f>
        <v>39990</v>
      </c>
      <c r="J239" s="52">
        <v>39990</v>
      </c>
      <c r="K239" s="51">
        <v>9</v>
      </c>
      <c r="L239" s="53">
        <f>K239/H239*30</f>
        <v>270</v>
      </c>
    </row>
    <row r="240" spans="1:12" s="2" customFormat="1" ht="13.95" customHeight="1" outlineLevel="2" x14ac:dyDescent="0.2">
      <c r="A240" s="50" t="s">
        <v>416</v>
      </c>
      <c r="B240" s="50" t="s">
        <v>8</v>
      </c>
      <c r="C240" s="50" t="s">
        <v>8</v>
      </c>
      <c r="D240" s="50" t="s">
        <v>1155</v>
      </c>
      <c r="E240" s="50" t="s">
        <v>444</v>
      </c>
      <c r="F240" s="50" t="s">
        <v>73</v>
      </c>
      <c r="G240" s="50" t="s">
        <v>86</v>
      </c>
      <c r="H240" s="51">
        <v>1</v>
      </c>
      <c r="I240" s="52">
        <f>J240/H240</f>
        <v>39990</v>
      </c>
      <c r="J240" s="52">
        <v>39990</v>
      </c>
      <c r="K240" s="51">
        <v>0</v>
      </c>
      <c r="L240" s="53">
        <f>K240/H240*30</f>
        <v>0</v>
      </c>
    </row>
    <row r="241" spans="1:12" s="2" customFormat="1" ht="13.95" customHeight="1" outlineLevel="2" x14ac:dyDescent="0.2">
      <c r="A241" s="50" t="s">
        <v>416</v>
      </c>
      <c r="B241" s="50" t="s">
        <v>8</v>
      </c>
      <c r="C241" s="50" t="s">
        <v>8</v>
      </c>
      <c r="D241" s="50" t="s">
        <v>1156</v>
      </c>
      <c r="E241" s="50" t="s">
        <v>444</v>
      </c>
      <c r="F241" s="50" t="s">
        <v>73</v>
      </c>
      <c r="G241" s="50" t="s">
        <v>330</v>
      </c>
      <c r="H241" s="51">
        <v>1</v>
      </c>
      <c r="I241" s="52">
        <f>J241/H241</f>
        <v>39990</v>
      </c>
      <c r="J241" s="52">
        <v>39990</v>
      </c>
      <c r="K241" s="51">
        <v>8</v>
      </c>
      <c r="L241" s="53">
        <f>K241/H241*30</f>
        <v>240</v>
      </c>
    </row>
    <row r="242" spans="1:12" s="2" customFormat="1" ht="13.95" customHeight="1" outlineLevel="2" x14ac:dyDescent="0.2">
      <c r="A242" s="50" t="s">
        <v>416</v>
      </c>
      <c r="B242" s="50" t="s">
        <v>8</v>
      </c>
      <c r="C242" s="50" t="s">
        <v>8</v>
      </c>
      <c r="D242" s="50" t="s">
        <v>1157</v>
      </c>
      <c r="E242" s="50" t="s">
        <v>444</v>
      </c>
      <c r="F242" s="50" t="s">
        <v>73</v>
      </c>
      <c r="G242" s="50" t="s">
        <v>330</v>
      </c>
      <c r="H242" s="51">
        <v>1</v>
      </c>
      <c r="I242" s="52">
        <f>J242/H242</f>
        <v>39990</v>
      </c>
      <c r="J242" s="52">
        <v>39990</v>
      </c>
      <c r="K242" s="51">
        <v>6</v>
      </c>
      <c r="L242" s="53">
        <f>K242/H242*30</f>
        <v>180</v>
      </c>
    </row>
    <row r="243" spans="1:12" s="2" customFormat="1" ht="13.95" customHeight="1" outlineLevel="2" x14ac:dyDescent="0.2">
      <c r="A243" s="50" t="s">
        <v>416</v>
      </c>
      <c r="B243" s="50" t="s">
        <v>8</v>
      </c>
      <c r="C243" s="50" t="s">
        <v>8</v>
      </c>
      <c r="D243" s="50" t="s">
        <v>1243</v>
      </c>
      <c r="E243" s="50" t="s">
        <v>981</v>
      </c>
      <c r="F243" s="50" t="s">
        <v>106</v>
      </c>
      <c r="G243" s="50" t="s">
        <v>90</v>
      </c>
      <c r="H243" s="51">
        <v>1</v>
      </c>
      <c r="I243" s="52">
        <f>J243/H243</f>
        <v>29990</v>
      </c>
      <c r="J243" s="52">
        <v>29990</v>
      </c>
      <c r="K243" s="51">
        <v>2</v>
      </c>
      <c r="L243" s="53">
        <f>K243/H243*30</f>
        <v>60</v>
      </c>
    </row>
    <row r="244" spans="1:12" s="2" customFormat="1" ht="13.95" customHeight="1" outlineLevel="2" x14ac:dyDescent="0.2">
      <c r="A244" s="50" t="s">
        <v>416</v>
      </c>
      <c r="B244" s="50" t="s">
        <v>8</v>
      </c>
      <c r="C244" s="50" t="s">
        <v>8</v>
      </c>
      <c r="D244" s="50" t="s">
        <v>1244</v>
      </c>
      <c r="E244" s="50" t="s">
        <v>981</v>
      </c>
      <c r="F244" s="50" t="s">
        <v>106</v>
      </c>
      <c r="G244" s="50" t="s">
        <v>90</v>
      </c>
      <c r="H244" s="51">
        <v>1</v>
      </c>
      <c r="I244" s="52">
        <f>J244/H244</f>
        <v>29990</v>
      </c>
      <c r="J244" s="52">
        <v>29990</v>
      </c>
      <c r="K244" s="51">
        <v>1</v>
      </c>
      <c r="L244" s="53">
        <f>K244/H244*30</f>
        <v>30</v>
      </c>
    </row>
    <row r="245" spans="1:12" s="2" customFormat="1" ht="13.95" customHeight="1" outlineLevel="2" x14ac:dyDescent="0.2">
      <c r="A245" s="50" t="s">
        <v>416</v>
      </c>
      <c r="B245" s="50" t="s">
        <v>8</v>
      </c>
      <c r="C245" s="50" t="s">
        <v>8</v>
      </c>
      <c r="D245" s="50" t="s">
        <v>1245</v>
      </c>
      <c r="E245" s="50" t="s">
        <v>981</v>
      </c>
      <c r="F245" s="50" t="s">
        <v>106</v>
      </c>
      <c r="G245" s="50" t="s">
        <v>86</v>
      </c>
      <c r="H245" s="51">
        <v>1</v>
      </c>
      <c r="I245" s="52">
        <f>J245/H245</f>
        <v>29990</v>
      </c>
      <c r="J245" s="52">
        <v>29990</v>
      </c>
      <c r="K245" s="51">
        <v>0</v>
      </c>
      <c r="L245" s="53">
        <f>K245/H245*30</f>
        <v>0</v>
      </c>
    </row>
    <row r="246" spans="1:12" s="2" customFormat="1" ht="13.95" customHeight="1" outlineLevel="2" x14ac:dyDescent="0.2">
      <c r="A246" s="50" t="s">
        <v>416</v>
      </c>
      <c r="B246" s="50" t="s">
        <v>8</v>
      </c>
      <c r="C246" s="50" t="s">
        <v>8</v>
      </c>
      <c r="D246" s="50" t="s">
        <v>1246</v>
      </c>
      <c r="E246" s="50" t="s">
        <v>981</v>
      </c>
      <c r="F246" s="50" t="s">
        <v>106</v>
      </c>
      <c r="G246" s="50" t="s">
        <v>86</v>
      </c>
      <c r="H246" s="51">
        <v>1</v>
      </c>
      <c r="I246" s="52">
        <f>J246/H246</f>
        <v>29990</v>
      </c>
      <c r="J246" s="52">
        <v>29990</v>
      </c>
      <c r="K246" s="51">
        <v>2</v>
      </c>
      <c r="L246" s="53">
        <f>K246/H246*30</f>
        <v>60</v>
      </c>
    </row>
    <row r="247" spans="1:12" s="2" customFormat="1" ht="13.95" customHeight="1" outlineLevel="2" x14ac:dyDescent="0.2">
      <c r="A247" s="50" t="s">
        <v>416</v>
      </c>
      <c r="B247" s="50" t="s">
        <v>8</v>
      </c>
      <c r="C247" s="50" t="s">
        <v>8</v>
      </c>
      <c r="D247" s="50" t="s">
        <v>1247</v>
      </c>
      <c r="E247" s="50" t="s">
        <v>981</v>
      </c>
      <c r="F247" s="50" t="s">
        <v>106</v>
      </c>
      <c r="G247" s="50" t="s">
        <v>86</v>
      </c>
      <c r="H247" s="51">
        <v>1</v>
      </c>
      <c r="I247" s="52">
        <f>J247/H247</f>
        <v>29990</v>
      </c>
      <c r="J247" s="52">
        <v>29990</v>
      </c>
      <c r="K247" s="51">
        <v>0</v>
      </c>
      <c r="L247" s="53">
        <f>K247/H247*30</f>
        <v>0</v>
      </c>
    </row>
    <row r="248" spans="1:12" s="2" customFormat="1" ht="13.95" customHeight="1" outlineLevel="2" x14ac:dyDescent="0.2">
      <c r="A248" s="50" t="s">
        <v>416</v>
      </c>
      <c r="B248" s="50" t="s">
        <v>8</v>
      </c>
      <c r="C248" s="50" t="s">
        <v>8</v>
      </c>
      <c r="D248" s="50" t="s">
        <v>1248</v>
      </c>
      <c r="E248" s="50" t="s">
        <v>981</v>
      </c>
      <c r="F248" s="50" t="s">
        <v>106</v>
      </c>
      <c r="G248" s="50" t="s">
        <v>86</v>
      </c>
      <c r="H248" s="51">
        <v>1</v>
      </c>
      <c r="I248" s="52">
        <f>J248/H248</f>
        <v>29990</v>
      </c>
      <c r="J248" s="52">
        <v>29990</v>
      </c>
      <c r="K248" s="51">
        <v>0</v>
      </c>
      <c r="L248" s="53">
        <f>K248/H248*30</f>
        <v>0</v>
      </c>
    </row>
    <row r="249" spans="1:12" s="2" customFormat="1" ht="13.95" customHeight="1" outlineLevel="1" x14ac:dyDescent="0.2">
      <c r="A249" s="50"/>
      <c r="B249" s="50"/>
      <c r="C249" s="58" t="s">
        <v>1475</v>
      </c>
      <c r="D249" s="50"/>
      <c r="E249" s="50"/>
      <c r="F249" s="50"/>
      <c r="G249" s="50"/>
      <c r="H249" s="51">
        <f>SUBTOTAL(9,H159:H248)</f>
        <v>133</v>
      </c>
      <c r="I249" s="52"/>
      <c r="J249" s="52">
        <f>SUBTOTAL(9,J159:J248)</f>
        <v>7738670</v>
      </c>
      <c r="K249" s="51"/>
      <c r="L249" s="53"/>
    </row>
    <row r="250" spans="1:12" s="2" customFormat="1" ht="13.95" customHeight="1" outlineLevel="2" x14ac:dyDescent="0.2">
      <c r="A250" s="50" t="s">
        <v>70</v>
      </c>
      <c r="B250" s="50" t="s">
        <v>12</v>
      </c>
      <c r="C250" s="50" t="s">
        <v>17</v>
      </c>
      <c r="D250" s="50" t="s">
        <v>1162</v>
      </c>
      <c r="E250" s="50" t="s">
        <v>540</v>
      </c>
      <c r="F250" s="50" t="s">
        <v>73</v>
      </c>
      <c r="G250" s="50" t="s">
        <v>88</v>
      </c>
      <c r="H250" s="51">
        <v>1</v>
      </c>
      <c r="I250" s="52">
        <f>J250/H250</f>
        <v>39990</v>
      </c>
      <c r="J250" s="52">
        <v>39990</v>
      </c>
      <c r="K250" s="51">
        <v>2</v>
      </c>
      <c r="L250" s="53">
        <f>K250/H250*30</f>
        <v>60</v>
      </c>
    </row>
    <row r="251" spans="1:12" s="2" customFormat="1" ht="13.95" customHeight="1" outlineLevel="1" x14ac:dyDescent="0.2">
      <c r="A251" s="50"/>
      <c r="B251" s="50"/>
      <c r="C251" s="58" t="s">
        <v>1484</v>
      </c>
      <c r="D251" s="50"/>
      <c r="E251" s="50"/>
      <c r="F251" s="50"/>
      <c r="G251" s="50"/>
      <c r="H251" s="51">
        <f>SUBTOTAL(9,H250:H250)</f>
        <v>1</v>
      </c>
      <c r="I251" s="52"/>
      <c r="J251" s="52">
        <f>SUBTOTAL(9,J250:J250)</f>
        <v>39990</v>
      </c>
      <c r="K251" s="51"/>
      <c r="L251" s="53"/>
    </row>
    <row r="252" spans="1:12" s="2" customFormat="1" ht="13.95" customHeight="1" outlineLevel="2" x14ac:dyDescent="0.2">
      <c r="A252" s="50" t="s">
        <v>70</v>
      </c>
      <c r="B252" s="50" t="s">
        <v>12</v>
      </c>
      <c r="C252" s="50" t="s">
        <v>20</v>
      </c>
      <c r="D252" s="50" t="s">
        <v>1081</v>
      </c>
      <c r="E252" s="50" t="s">
        <v>20</v>
      </c>
      <c r="F252" s="50" t="s">
        <v>106</v>
      </c>
      <c r="G252" s="50" t="s">
        <v>74</v>
      </c>
      <c r="H252" s="51">
        <v>3</v>
      </c>
      <c r="I252" s="52">
        <f>J252/H252</f>
        <v>16990</v>
      </c>
      <c r="J252" s="52">
        <v>50970</v>
      </c>
      <c r="K252" s="51">
        <v>9</v>
      </c>
      <c r="L252" s="53">
        <f>K252/H252*30</f>
        <v>90</v>
      </c>
    </row>
    <row r="253" spans="1:12" s="2" customFormat="1" ht="13.95" customHeight="1" outlineLevel="1" x14ac:dyDescent="0.2">
      <c r="A253" s="50"/>
      <c r="B253" s="50"/>
      <c r="C253" s="58" t="s">
        <v>1490</v>
      </c>
      <c r="D253" s="50"/>
      <c r="E253" s="50"/>
      <c r="F253" s="50"/>
      <c r="G253" s="50"/>
      <c r="H253" s="51">
        <f>SUBTOTAL(9,H252:H252)</f>
        <v>3</v>
      </c>
      <c r="I253" s="52"/>
      <c r="J253" s="52">
        <f>SUBTOTAL(9,J252:J252)</f>
        <v>50970</v>
      </c>
      <c r="K253" s="51"/>
      <c r="L253" s="53"/>
    </row>
    <row r="254" spans="1:12" s="2" customFormat="1" ht="13.95" customHeight="1" outlineLevel="2" x14ac:dyDescent="0.2">
      <c r="A254" s="50" t="s">
        <v>70</v>
      </c>
      <c r="B254" s="50" t="s">
        <v>5</v>
      </c>
      <c r="C254" s="50" t="s">
        <v>30</v>
      </c>
      <c r="D254" s="50" t="s">
        <v>91</v>
      </c>
      <c r="E254" s="50" t="s">
        <v>92</v>
      </c>
      <c r="F254" s="50" t="s">
        <v>73</v>
      </c>
      <c r="G254" s="50" t="s">
        <v>86</v>
      </c>
      <c r="H254" s="51">
        <v>19</v>
      </c>
      <c r="I254" s="52">
        <f>J254/H254</f>
        <v>44990</v>
      </c>
      <c r="J254" s="52">
        <v>854810</v>
      </c>
      <c r="K254" s="51">
        <v>51</v>
      </c>
      <c r="L254" s="53">
        <f>K254/H254*30</f>
        <v>80.526315789473685</v>
      </c>
    </row>
    <row r="255" spans="1:12" s="2" customFormat="1" ht="13.95" customHeight="1" outlineLevel="2" x14ac:dyDescent="0.2">
      <c r="A255" s="50" t="s">
        <v>70</v>
      </c>
      <c r="B255" s="50" t="s">
        <v>5</v>
      </c>
      <c r="C255" s="50" t="s">
        <v>30</v>
      </c>
      <c r="D255" s="50" t="s">
        <v>161</v>
      </c>
      <c r="E255" s="50" t="s">
        <v>162</v>
      </c>
      <c r="F255" s="50" t="s">
        <v>106</v>
      </c>
      <c r="G255" s="50" t="s">
        <v>74</v>
      </c>
      <c r="H255" s="51">
        <v>7</v>
      </c>
      <c r="I255" s="52">
        <f>J255/H255</f>
        <v>65990</v>
      </c>
      <c r="J255" s="52">
        <v>461930</v>
      </c>
      <c r="K255" s="51">
        <v>3</v>
      </c>
      <c r="L255" s="53">
        <f>K255/H255*30</f>
        <v>12.857142857142856</v>
      </c>
    </row>
    <row r="256" spans="1:12" s="2" customFormat="1" ht="13.95" customHeight="1" outlineLevel="2" x14ac:dyDescent="0.2">
      <c r="A256" s="50" t="s">
        <v>70</v>
      </c>
      <c r="B256" s="50" t="s">
        <v>5</v>
      </c>
      <c r="C256" s="50" t="s">
        <v>30</v>
      </c>
      <c r="D256" s="50" t="s">
        <v>170</v>
      </c>
      <c r="E256" s="50" t="s">
        <v>171</v>
      </c>
      <c r="F256" s="50" t="s">
        <v>73</v>
      </c>
      <c r="G256" s="50" t="s">
        <v>90</v>
      </c>
      <c r="H256" s="51">
        <v>7</v>
      </c>
      <c r="I256" s="52">
        <f>J256/H256</f>
        <v>61990</v>
      </c>
      <c r="J256" s="52">
        <v>433930</v>
      </c>
      <c r="K256" s="51">
        <v>4</v>
      </c>
      <c r="L256" s="53">
        <f>K256/H256*30</f>
        <v>17.142857142857142</v>
      </c>
    </row>
    <row r="257" spans="1:12" s="2" customFormat="1" ht="13.95" customHeight="1" outlineLevel="2" x14ac:dyDescent="0.2">
      <c r="A257" s="50" t="s">
        <v>70</v>
      </c>
      <c r="B257" s="50" t="s">
        <v>5</v>
      </c>
      <c r="C257" s="50" t="s">
        <v>30</v>
      </c>
      <c r="D257" s="50" t="s">
        <v>251</v>
      </c>
      <c r="E257" s="50" t="s">
        <v>252</v>
      </c>
      <c r="F257" s="50" t="s">
        <v>106</v>
      </c>
      <c r="G257" s="50" t="s">
        <v>86</v>
      </c>
      <c r="H257" s="51">
        <v>6</v>
      </c>
      <c r="I257" s="52">
        <f>J257/H257</f>
        <v>55990</v>
      </c>
      <c r="J257" s="52">
        <v>335940</v>
      </c>
      <c r="K257" s="51">
        <v>4</v>
      </c>
      <c r="L257" s="53">
        <f>K257/H257*30</f>
        <v>20</v>
      </c>
    </row>
    <row r="258" spans="1:12" s="2" customFormat="1" ht="13.95" customHeight="1" outlineLevel="2" x14ac:dyDescent="0.2">
      <c r="A258" s="50" t="s">
        <v>70</v>
      </c>
      <c r="B258" s="50" t="s">
        <v>5</v>
      </c>
      <c r="C258" s="50" t="s">
        <v>30</v>
      </c>
      <c r="D258" s="50" t="s">
        <v>261</v>
      </c>
      <c r="E258" s="50" t="s">
        <v>262</v>
      </c>
      <c r="F258" s="50" t="s">
        <v>177</v>
      </c>
      <c r="G258" s="50" t="s">
        <v>86</v>
      </c>
      <c r="H258" s="51">
        <v>4</v>
      </c>
      <c r="I258" s="52">
        <f>J258/H258</f>
        <v>81990</v>
      </c>
      <c r="J258" s="52">
        <v>327960</v>
      </c>
      <c r="K258" s="51">
        <v>5</v>
      </c>
      <c r="L258" s="53">
        <f>K258/H258*30</f>
        <v>37.5</v>
      </c>
    </row>
    <row r="259" spans="1:12" s="2" customFormat="1" ht="13.95" customHeight="1" outlineLevel="2" x14ac:dyDescent="0.2">
      <c r="A259" s="50" t="s">
        <v>70</v>
      </c>
      <c r="B259" s="50" t="s">
        <v>5</v>
      </c>
      <c r="C259" s="50" t="s">
        <v>30</v>
      </c>
      <c r="D259" s="50" t="s">
        <v>273</v>
      </c>
      <c r="E259" s="50" t="s">
        <v>92</v>
      </c>
      <c r="F259" s="50" t="s">
        <v>73</v>
      </c>
      <c r="G259" s="50" t="s">
        <v>90</v>
      </c>
      <c r="H259" s="51">
        <v>7</v>
      </c>
      <c r="I259" s="52">
        <f>J259/H259</f>
        <v>44990</v>
      </c>
      <c r="J259" s="52">
        <v>314930</v>
      </c>
      <c r="K259" s="51">
        <v>73</v>
      </c>
      <c r="L259" s="53">
        <f>K259/H259*30</f>
        <v>312.85714285714289</v>
      </c>
    </row>
    <row r="260" spans="1:12" s="2" customFormat="1" ht="13.95" customHeight="1" outlineLevel="2" x14ac:dyDescent="0.2">
      <c r="A260" s="50" t="s">
        <v>70</v>
      </c>
      <c r="B260" s="50" t="s">
        <v>5</v>
      </c>
      <c r="C260" s="50" t="s">
        <v>30</v>
      </c>
      <c r="D260" s="50" t="s">
        <v>287</v>
      </c>
      <c r="E260" s="50" t="s">
        <v>288</v>
      </c>
      <c r="F260" s="50" t="s">
        <v>106</v>
      </c>
      <c r="G260" s="50" t="s">
        <v>88</v>
      </c>
      <c r="H260" s="51">
        <v>3</v>
      </c>
      <c r="I260" s="52">
        <f>J260/H260</f>
        <v>99990</v>
      </c>
      <c r="J260" s="52">
        <v>299970</v>
      </c>
      <c r="K260" s="51">
        <v>5</v>
      </c>
      <c r="L260" s="53">
        <f>K260/H260*30</f>
        <v>50</v>
      </c>
    </row>
    <row r="261" spans="1:12" s="2" customFormat="1" ht="13.95" customHeight="1" outlineLevel="2" x14ac:dyDescent="0.2">
      <c r="A261" s="50" t="s">
        <v>70</v>
      </c>
      <c r="B261" s="50" t="s">
        <v>5</v>
      </c>
      <c r="C261" s="50" t="s">
        <v>30</v>
      </c>
      <c r="D261" s="50" t="s">
        <v>289</v>
      </c>
      <c r="E261" s="50" t="s">
        <v>288</v>
      </c>
      <c r="F261" s="50" t="s">
        <v>106</v>
      </c>
      <c r="G261" s="50" t="s">
        <v>74</v>
      </c>
      <c r="H261" s="51">
        <v>3</v>
      </c>
      <c r="I261" s="52">
        <f>J261/H261</f>
        <v>99990</v>
      </c>
      <c r="J261" s="52">
        <v>299970</v>
      </c>
      <c r="K261" s="51">
        <v>7</v>
      </c>
      <c r="L261" s="53">
        <f>K261/H261*30</f>
        <v>70</v>
      </c>
    </row>
    <row r="262" spans="1:12" s="2" customFormat="1" ht="13.95" customHeight="1" outlineLevel="2" x14ac:dyDescent="0.2">
      <c r="A262" s="50" t="s">
        <v>70</v>
      </c>
      <c r="B262" s="50" t="s">
        <v>5</v>
      </c>
      <c r="C262" s="50" t="s">
        <v>30</v>
      </c>
      <c r="D262" s="50" t="s">
        <v>319</v>
      </c>
      <c r="E262" s="50" t="s">
        <v>320</v>
      </c>
      <c r="F262" s="50" t="s">
        <v>73</v>
      </c>
      <c r="G262" s="50" t="s">
        <v>88</v>
      </c>
      <c r="H262" s="51">
        <v>3</v>
      </c>
      <c r="I262" s="52">
        <f>J262/H262</f>
        <v>89990</v>
      </c>
      <c r="J262" s="52">
        <v>269970</v>
      </c>
      <c r="K262" s="51">
        <v>15</v>
      </c>
      <c r="L262" s="53">
        <f>K262/H262*30</f>
        <v>150</v>
      </c>
    </row>
    <row r="263" spans="1:12" s="2" customFormat="1" ht="13.95" customHeight="1" outlineLevel="2" x14ac:dyDescent="0.2">
      <c r="A263" s="50" t="s">
        <v>70</v>
      </c>
      <c r="B263" s="50" t="s">
        <v>5</v>
      </c>
      <c r="C263" s="50" t="s">
        <v>30</v>
      </c>
      <c r="D263" s="50" t="s">
        <v>321</v>
      </c>
      <c r="E263" s="50" t="s">
        <v>322</v>
      </c>
      <c r="F263" s="50" t="s">
        <v>73</v>
      </c>
      <c r="G263" s="50" t="s">
        <v>88</v>
      </c>
      <c r="H263" s="51">
        <v>3</v>
      </c>
      <c r="I263" s="52">
        <f>J263/H263</f>
        <v>89990</v>
      </c>
      <c r="J263" s="52">
        <v>269970</v>
      </c>
      <c r="K263" s="51">
        <v>4</v>
      </c>
      <c r="L263" s="53">
        <f>K263/H263*30</f>
        <v>40</v>
      </c>
    </row>
    <row r="264" spans="1:12" s="2" customFormat="1" ht="13.95" customHeight="1" outlineLevel="2" x14ac:dyDescent="0.2">
      <c r="A264" s="50" t="s">
        <v>70</v>
      </c>
      <c r="B264" s="50" t="s">
        <v>5</v>
      </c>
      <c r="C264" s="50" t="s">
        <v>30</v>
      </c>
      <c r="D264" s="50" t="s">
        <v>323</v>
      </c>
      <c r="E264" s="50" t="s">
        <v>324</v>
      </c>
      <c r="F264" s="50" t="s">
        <v>106</v>
      </c>
      <c r="G264" s="50" t="s">
        <v>74</v>
      </c>
      <c r="H264" s="51">
        <v>3</v>
      </c>
      <c r="I264" s="52">
        <f>J264/H264</f>
        <v>89990</v>
      </c>
      <c r="J264" s="52">
        <v>269970</v>
      </c>
      <c r="K264" s="51">
        <v>12</v>
      </c>
      <c r="L264" s="53">
        <f>K264/H264*30</f>
        <v>120</v>
      </c>
    </row>
    <row r="265" spans="1:12" s="2" customFormat="1" ht="13.95" customHeight="1" outlineLevel="2" x14ac:dyDescent="0.2">
      <c r="A265" s="50" t="s">
        <v>70</v>
      </c>
      <c r="B265" s="50" t="s">
        <v>5</v>
      </c>
      <c r="C265" s="50" t="s">
        <v>30</v>
      </c>
      <c r="D265" s="50" t="s">
        <v>347</v>
      </c>
      <c r="E265" s="50" t="s">
        <v>348</v>
      </c>
      <c r="F265" s="50" t="s">
        <v>73</v>
      </c>
      <c r="G265" s="50" t="s">
        <v>86</v>
      </c>
      <c r="H265" s="51">
        <v>4</v>
      </c>
      <c r="I265" s="52">
        <f>J265/H265</f>
        <v>62990</v>
      </c>
      <c r="J265" s="52">
        <v>251960</v>
      </c>
      <c r="K265" s="51">
        <v>12</v>
      </c>
      <c r="L265" s="53">
        <f>K265/H265*30</f>
        <v>90</v>
      </c>
    </row>
    <row r="266" spans="1:12" s="2" customFormat="1" ht="13.95" customHeight="1" outlineLevel="2" x14ac:dyDescent="0.2">
      <c r="A266" s="50" t="s">
        <v>70</v>
      </c>
      <c r="B266" s="50" t="s">
        <v>5</v>
      </c>
      <c r="C266" s="50" t="s">
        <v>30</v>
      </c>
      <c r="D266" s="50" t="s">
        <v>350</v>
      </c>
      <c r="E266" s="50" t="s">
        <v>262</v>
      </c>
      <c r="F266" s="50" t="s">
        <v>106</v>
      </c>
      <c r="G266" s="50" t="s">
        <v>330</v>
      </c>
      <c r="H266" s="51">
        <v>3</v>
      </c>
      <c r="I266" s="52">
        <f>J266/H266</f>
        <v>81990</v>
      </c>
      <c r="J266" s="52">
        <v>245970</v>
      </c>
      <c r="K266" s="51">
        <v>5</v>
      </c>
      <c r="L266" s="53">
        <f>K266/H266*30</f>
        <v>50</v>
      </c>
    </row>
    <row r="267" spans="1:12" s="2" customFormat="1" ht="13.95" customHeight="1" outlineLevel="2" x14ac:dyDescent="0.2">
      <c r="A267" s="50" t="s">
        <v>70</v>
      </c>
      <c r="B267" s="50" t="s">
        <v>5</v>
      </c>
      <c r="C267" s="50" t="s">
        <v>30</v>
      </c>
      <c r="D267" s="50" t="s">
        <v>394</v>
      </c>
      <c r="E267" s="50" t="s">
        <v>92</v>
      </c>
      <c r="F267" s="50" t="s">
        <v>177</v>
      </c>
      <c r="G267" s="50" t="s">
        <v>86</v>
      </c>
      <c r="H267" s="51">
        <v>5</v>
      </c>
      <c r="I267" s="52">
        <f>J267/H267</f>
        <v>44990</v>
      </c>
      <c r="J267" s="52">
        <v>224950</v>
      </c>
      <c r="K267" s="51">
        <v>52</v>
      </c>
      <c r="L267" s="53">
        <f>K267/H267*30</f>
        <v>312</v>
      </c>
    </row>
    <row r="268" spans="1:12" s="2" customFormat="1" ht="13.95" customHeight="1" outlineLevel="2" x14ac:dyDescent="0.2">
      <c r="A268" s="50" t="s">
        <v>70</v>
      </c>
      <c r="B268" s="50" t="s">
        <v>5</v>
      </c>
      <c r="C268" s="50" t="s">
        <v>30</v>
      </c>
      <c r="D268" s="50" t="s">
        <v>395</v>
      </c>
      <c r="E268" s="50" t="s">
        <v>92</v>
      </c>
      <c r="F268" s="50" t="s">
        <v>106</v>
      </c>
      <c r="G268" s="50" t="s">
        <v>330</v>
      </c>
      <c r="H268" s="51">
        <v>5</v>
      </c>
      <c r="I268" s="52">
        <f>J268/H268</f>
        <v>44990</v>
      </c>
      <c r="J268" s="52">
        <v>224950</v>
      </c>
      <c r="K268" s="51">
        <v>5</v>
      </c>
      <c r="L268" s="53">
        <f>K268/H268*30</f>
        <v>30</v>
      </c>
    </row>
    <row r="269" spans="1:12" s="2" customFormat="1" ht="13.95" customHeight="1" outlineLevel="2" x14ac:dyDescent="0.2">
      <c r="A269" s="50" t="s">
        <v>70</v>
      </c>
      <c r="B269" s="50" t="s">
        <v>5</v>
      </c>
      <c r="C269" s="50" t="s">
        <v>30</v>
      </c>
      <c r="D269" s="50" t="s">
        <v>396</v>
      </c>
      <c r="E269" s="50" t="s">
        <v>397</v>
      </c>
      <c r="F269" s="50" t="s">
        <v>106</v>
      </c>
      <c r="G269" s="50" t="s">
        <v>140</v>
      </c>
      <c r="H269" s="51">
        <v>4</v>
      </c>
      <c r="I269" s="52">
        <f>J269/H269</f>
        <v>55990</v>
      </c>
      <c r="J269" s="52">
        <v>223960</v>
      </c>
      <c r="K269" s="51">
        <v>18</v>
      </c>
      <c r="L269" s="53">
        <f>K269/H269*30</f>
        <v>135</v>
      </c>
    </row>
    <row r="270" spans="1:12" s="2" customFormat="1" ht="13.95" customHeight="1" outlineLevel="2" x14ac:dyDescent="0.2">
      <c r="A270" s="50" t="s">
        <v>70</v>
      </c>
      <c r="B270" s="50" t="s">
        <v>5</v>
      </c>
      <c r="C270" s="50" t="s">
        <v>30</v>
      </c>
      <c r="D270" s="50" t="s">
        <v>398</v>
      </c>
      <c r="E270" s="50" t="s">
        <v>397</v>
      </c>
      <c r="F270" s="50" t="s">
        <v>106</v>
      </c>
      <c r="G270" s="50" t="s">
        <v>112</v>
      </c>
      <c r="H270" s="51">
        <v>4</v>
      </c>
      <c r="I270" s="52">
        <f>J270/H270</f>
        <v>55990</v>
      </c>
      <c r="J270" s="52">
        <v>223960</v>
      </c>
      <c r="K270" s="51">
        <v>14</v>
      </c>
      <c r="L270" s="53">
        <f>K270/H270*30</f>
        <v>105</v>
      </c>
    </row>
    <row r="271" spans="1:12" s="2" customFormat="1" ht="13.95" customHeight="1" outlineLevel="2" x14ac:dyDescent="0.2">
      <c r="A271" s="50" t="s">
        <v>70</v>
      </c>
      <c r="B271" s="50" t="s">
        <v>5</v>
      </c>
      <c r="C271" s="50" t="s">
        <v>30</v>
      </c>
      <c r="D271" s="50" t="s">
        <v>429</v>
      </c>
      <c r="E271" s="50" t="s">
        <v>288</v>
      </c>
      <c r="F271" s="50" t="s">
        <v>168</v>
      </c>
      <c r="G271" s="50" t="s">
        <v>86</v>
      </c>
      <c r="H271" s="51">
        <v>2</v>
      </c>
      <c r="I271" s="52">
        <f>J271/H271</f>
        <v>99990</v>
      </c>
      <c r="J271" s="52">
        <v>199980</v>
      </c>
      <c r="K271" s="51">
        <v>5</v>
      </c>
      <c r="L271" s="53">
        <f>K271/H271*30</f>
        <v>75</v>
      </c>
    </row>
    <row r="272" spans="1:12" s="2" customFormat="1" ht="13.95" customHeight="1" outlineLevel="2" x14ac:dyDescent="0.2">
      <c r="A272" s="50" t="s">
        <v>70</v>
      </c>
      <c r="B272" s="50" t="s">
        <v>5</v>
      </c>
      <c r="C272" s="50" t="s">
        <v>30</v>
      </c>
      <c r="D272" s="50" t="s">
        <v>456</v>
      </c>
      <c r="E272" s="50" t="s">
        <v>457</v>
      </c>
      <c r="F272" s="50" t="s">
        <v>73</v>
      </c>
      <c r="G272" s="50" t="s">
        <v>88</v>
      </c>
      <c r="H272" s="51">
        <v>3</v>
      </c>
      <c r="I272" s="52">
        <f>J272/H272</f>
        <v>64990</v>
      </c>
      <c r="J272" s="52">
        <v>194970</v>
      </c>
      <c r="K272" s="51">
        <v>1</v>
      </c>
      <c r="L272" s="53">
        <f>K272/H272*30</f>
        <v>10</v>
      </c>
    </row>
    <row r="273" spans="1:12" s="2" customFormat="1" ht="13.95" customHeight="1" outlineLevel="2" x14ac:dyDescent="0.2">
      <c r="A273" s="50" t="s">
        <v>70</v>
      </c>
      <c r="B273" s="50" t="s">
        <v>5</v>
      </c>
      <c r="C273" s="50" t="s">
        <v>30</v>
      </c>
      <c r="D273" s="50" t="s">
        <v>458</v>
      </c>
      <c r="E273" s="50" t="s">
        <v>459</v>
      </c>
      <c r="F273" s="50" t="s">
        <v>137</v>
      </c>
      <c r="G273" s="50" t="s">
        <v>88</v>
      </c>
      <c r="H273" s="51">
        <v>2</v>
      </c>
      <c r="I273" s="52">
        <f>J273/H273</f>
        <v>96990</v>
      </c>
      <c r="J273" s="52">
        <v>193980</v>
      </c>
      <c r="K273" s="51">
        <v>7</v>
      </c>
      <c r="L273" s="53">
        <f>K273/H273*30</f>
        <v>105</v>
      </c>
    </row>
    <row r="274" spans="1:12" s="2" customFormat="1" ht="13.95" customHeight="1" outlineLevel="2" x14ac:dyDescent="0.2">
      <c r="A274" s="50" t="s">
        <v>70</v>
      </c>
      <c r="B274" s="50" t="s">
        <v>5</v>
      </c>
      <c r="C274" s="50" t="s">
        <v>30</v>
      </c>
      <c r="D274" s="50" t="s">
        <v>478</v>
      </c>
      <c r="E274" s="50" t="s">
        <v>171</v>
      </c>
      <c r="F274" s="50" t="s">
        <v>106</v>
      </c>
      <c r="G274" s="50" t="s">
        <v>140</v>
      </c>
      <c r="H274" s="51">
        <v>3</v>
      </c>
      <c r="I274" s="52">
        <f>J274/H274</f>
        <v>61990</v>
      </c>
      <c r="J274" s="52">
        <v>185970</v>
      </c>
      <c r="K274" s="51">
        <v>2</v>
      </c>
      <c r="L274" s="53">
        <f>K274/H274*30</f>
        <v>20</v>
      </c>
    </row>
    <row r="275" spans="1:12" s="2" customFormat="1" ht="13.95" customHeight="1" outlineLevel="2" x14ac:dyDescent="0.2">
      <c r="A275" s="50" t="s">
        <v>70</v>
      </c>
      <c r="B275" s="50" t="s">
        <v>5</v>
      </c>
      <c r="C275" s="50" t="s">
        <v>30</v>
      </c>
      <c r="D275" s="50" t="s">
        <v>487</v>
      </c>
      <c r="E275" s="50" t="s">
        <v>320</v>
      </c>
      <c r="F275" s="50" t="s">
        <v>73</v>
      </c>
      <c r="G275" s="50" t="s">
        <v>84</v>
      </c>
      <c r="H275" s="51">
        <v>2</v>
      </c>
      <c r="I275" s="52">
        <f>J275/H275</f>
        <v>89990</v>
      </c>
      <c r="J275" s="52">
        <v>179980</v>
      </c>
      <c r="K275" s="51">
        <v>14</v>
      </c>
      <c r="L275" s="53">
        <f>K275/H275*30</f>
        <v>210</v>
      </c>
    </row>
    <row r="276" spans="1:12" s="2" customFormat="1" ht="13.95" customHeight="1" outlineLevel="2" x14ac:dyDescent="0.2">
      <c r="A276" s="50" t="s">
        <v>70</v>
      </c>
      <c r="B276" s="50" t="s">
        <v>5</v>
      </c>
      <c r="C276" s="50" t="s">
        <v>30</v>
      </c>
      <c r="D276" s="50" t="s">
        <v>488</v>
      </c>
      <c r="E276" s="50" t="s">
        <v>322</v>
      </c>
      <c r="F276" s="50" t="s">
        <v>73</v>
      </c>
      <c r="G276" s="50" t="s">
        <v>97</v>
      </c>
      <c r="H276" s="51">
        <v>2</v>
      </c>
      <c r="I276" s="52">
        <f>J276/H276</f>
        <v>89990</v>
      </c>
      <c r="J276" s="52">
        <v>179980</v>
      </c>
      <c r="K276" s="51">
        <v>7</v>
      </c>
      <c r="L276" s="53">
        <f>K276/H276*30</f>
        <v>105</v>
      </c>
    </row>
    <row r="277" spans="1:12" s="2" customFormat="1" ht="13.95" customHeight="1" outlineLevel="2" x14ac:dyDescent="0.2">
      <c r="A277" s="50" t="s">
        <v>70</v>
      </c>
      <c r="B277" s="50" t="s">
        <v>5</v>
      </c>
      <c r="C277" s="50" t="s">
        <v>30</v>
      </c>
      <c r="D277" s="50" t="s">
        <v>489</v>
      </c>
      <c r="E277" s="50" t="s">
        <v>322</v>
      </c>
      <c r="F277" s="50" t="s">
        <v>73</v>
      </c>
      <c r="G277" s="50" t="s">
        <v>74</v>
      </c>
      <c r="H277" s="51">
        <v>2</v>
      </c>
      <c r="I277" s="52">
        <f>J277/H277</f>
        <v>89990</v>
      </c>
      <c r="J277" s="52">
        <v>179980</v>
      </c>
      <c r="K277" s="51">
        <v>14</v>
      </c>
      <c r="L277" s="53">
        <f>K277/H277*30</f>
        <v>210</v>
      </c>
    </row>
    <row r="278" spans="1:12" s="2" customFormat="1" ht="13.95" customHeight="1" outlineLevel="2" x14ac:dyDescent="0.2">
      <c r="A278" s="50" t="s">
        <v>70</v>
      </c>
      <c r="B278" s="50" t="s">
        <v>5</v>
      </c>
      <c r="C278" s="50" t="s">
        <v>30</v>
      </c>
      <c r="D278" s="50" t="s">
        <v>490</v>
      </c>
      <c r="E278" s="50" t="s">
        <v>322</v>
      </c>
      <c r="F278" s="50" t="s">
        <v>73</v>
      </c>
      <c r="G278" s="50" t="s">
        <v>84</v>
      </c>
      <c r="H278" s="51">
        <v>2</v>
      </c>
      <c r="I278" s="52">
        <f>J278/H278</f>
        <v>89990</v>
      </c>
      <c r="J278" s="52">
        <v>179980</v>
      </c>
      <c r="K278" s="51">
        <v>3</v>
      </c>
      <c r="L278" s="53">
        <f>K278/H278*30</f>
        <v>45</v>
      </c>
    </row>
    <row r="279" spans="1:12" s="2" customFormat="1" ht="13.95" customHeight="1" outlineLevel="2" x14ac:dyDescent="0.2">
      <c r="A279" s="50" t="s">
        <v>70</v>
      </c>
      <c r="B279" s="50" t="s">
        <v>5</v>
      </c>
      <c r="C279" s="50" t="s">
        <v>30</v>
      </c>
      <c r="D279" s="50" t="s">
        <v>491</v>
      </c>
      <c r="E279" s="50" t="s">
        <v>324</v>
      </c>
      <c r="F279" s="50" t="s">
        <v>73</v>
      </c>
      <c r="G279" s="50" t="s">
        <v>88</v>
      </c>
      <c r="H279" s="51">
        <v>2</v>
      </c>
      <c r="I279" s="52">
        <f>J279/H279</f>
        <v>89990</v>
      </c>
      <c r="J279" s="52">
        <v>179980</v>
      </c>
      <c r="K279" s="51">
        <v>3</v>
      </c>
      <c r="L279" s="53">
        <f>K279/H279*30</f>
        <v>45</v>
      </c>
    </row>
    <row r="280" spans="1:12" s="2" customFormat="1" ht="13.95" customHeight="1" outlineLevel="2" x14ac:dyDescent="0.2">
      <c r="A280" s="50" t="s">
        <v>70</v>
      </c>
      <c r="B280" s="50" t="s">
        <v>5</v>
      </c>
      <c r="C280" s="50" t="s">
        <v>30</v>
      </c>
      <c r="D280" s="50" t="s">
        <v>492</v>
      </c>
      <c r="E280" s="50" t="s">
        <v>324</v>
      </c>
      <c r="F280" s="50" t="s">
        <v>106</v>
      </c>
      <c r="G280" s="50" t="s">
        <v>88</v>
      </c>
      <c r="H280" s="51">
        <v>2</v>
      </c>
      <c r="I280" s="52">
        <f>J280/H280</f>
        <v>89990</v>
      </c>
      <c r="J280" s="52">
        <v>179980</v>
      </c>
      <c r="K280" s="51">
        <v>8</v>
      </c>
      <c r="L280" s="53">
        <f>K280/H280*30</f>
        <v>120</v>
      </c>
    </row>
    <row r="281" spans="1:12" s="2" customFormat="1" ht="13.95" customHeight="1" outlineLevel="2" x14ac:dyDescent="0.2">
      <c r="A281" s="50" t="s">
        <v>70</v>
      </c>
      <c r="B281" s="50" t="s">
        <v>5</v>
      </c>
      <c r="C281" s="50" t="s">
        <v>30</v>
      </c>
      <c r="D281" s="50" t="s">
        <v>497</v>
      </c>
      <c r="E281" s="50" t="s">
        <v>92</v>
      </c>
      <c r="F281" s="50" t="s">
        <v>106</v>
      </c>
      <c r="G281" s="50" t="s">
        <v>140</v>
      </c>
      <c r="H281" s="51">
        <v>4</v>
      </c>
      <c r="I281" s="52">
        <f>J281/H281</f>
        <v>44990</v>
      </c>
      <c r="J281" s="52">
        <v>179960</v>
      </c>
      <c r="K281" s="51">
        <v>39</v>
      </c>
      <c r="L281" s="53">
        <f>K281/H281*30</f>
        <v>292.5</v>
      </c>
    </row>
    <row r="282" spans="1:12" s="2" customFormat="1" ht="13.95" customHeight="1" outlineLevel="2" x14ac:dyDescent="0.2">
      <c r="A282" s="50" t="s">
        <v>70</v>
      </c>
      <c r="B282" s="50" t="s">
        <v>5</v>
      </c>
      <c r="C282" s="50" t="s">
        <v>30</v>
      </c>
      <c r="D282" s="50" t="s">
        <v>521</v>
      </c>
      <c r="E282" s="50" t="s">
        <v>262</v>
      </c>
      <c r="F282" s="50" t="s">
        <v>106</v>
      </c>
      <c r="G282" s="50" t="s">
        <v>140</v>
      </c>
      <c r="H282" s="51">
        <v>2</v>
      </c>
      <c r="I282" s="52">
        <f>J282/H282</f>
        <v>81990</v>
      </c>
      <c r="J282" s="52">
        <v>163980</v>
      </c>
      <c r="K282" s="51">
        <v>8</v>
      </c>
      <c r="L282" s="53">
        <f>K282/H282*30</f>
        <v>120</v>
      </c>
    </row>
    <row r="283" spans="1:12" s="2" customFormat="1" ht="13.95" customHeight="1" outlineLevel="2" x14ac:dyDescent="0.2">
      <c r="A283" s="50" t="s">
        <v>70</v>
      </c>
      <c r="B283" s="50" t="s">
        <v>5</v>
      </c>
      <c r="C283" s="50" t="s">
        <v>30</v>
      </c>
      <c r="D283" s="50" t="s">
        <v>522</v>
      </c>
      <c r="E283" s="50" t="s">
        <v>262</v>
      </c>
      <c r="F283" s="50" t="s">
        <v>106</v>
      </c>
      <c r="G283" s="50" t="s">
        <v>90</v>
      </c>
      <c r="H283" s="51">
        <v>2</v>
      </c>
      <c r="I283" s="52">
        <f>J283/H283</f>
        <v>81990</v>
      </c>
      <c r="J283" s="52">
        <v>163980</v>
      </c>
      <c r="K283" s="51">
        <v>0</v>
      </c>
      <c r="L283" s="53">
        <f>K283/H283*30</f>
        <v>0</v>
      </c>
    </row>
    <row r="284" spans="1:12" s="2" customFormat="1" ht="13.95" customHeight="1" outlineLevel="2" x14ac:dyDescent="0.2">
      <c r="A284" s="50" t="s">
        <v>70</v>
      </c>
      <c r="B284" s="50" t="s">
        <v>5</v>
      </c>
      <c r="C284" s="50" t="s">
        <v>30</v>
      </c>
      <c r="D284" s="50" t="s">
        <v>604</v>
      </c>
      <c r="E284" s="50" t="s">
        <v>92</v>
      </c>
      <c r="F284" s="50" t="s">
        <v>223</v>
      </c>
      <c r="G284" s="50" t="s">
        <v>224</v>
      </c>
      <c r="H284" s="51">
        <v>3</v>
      </c>
      <c r="I284" s="52">
        <f>J284/H284</f>
        <v>44990</v>
      </c>
      <c r="J284" s="52">
        <v>134970</v>
      </c>
      <c r="K284" s="51">
        <v>21</v>
      </c>
      <c r="L284" s="53">
        <f>K284/H284*30</f>
        <v>210</v>
      </c>
    </row>
    <row r="285" spans="1:12" s="2" customFormat="1" ht="13.95" customHeight="1" outlineLevel="2" x14ac:dyDescent="0.2">
      <c r="A285" s="50" t="s">
        <v>70</v>
      </c>
      <c r="B285" s="50" t="s">
        <v>5</v>
      </c>
      <c r="C285" s="50" t="s">
        <v>30</v>
      </c>
      <c r="D285" s="50" t="s">
        <v>605</v>
      </c>
      <c r="E285" s="50" t="s">
        <v>92</v>
      </c>
      <c r="F285" s="50" t="s">
        <v>106</v>
      </c>
      <c r="G285" s="50" t="s">
        <v>84</v>
      </c>
      <c r="H285" s="51">
        <v>3</v>
      </c>
      <c r="I285" s="52">
        <f>J285/H285</f>
        <v>44990</v>
      </c>
      <c r="J285" s="52">
        <v>134970</v>
      </c>
      <c r="K285" s="51">
        <v>2</v>
      </c>
      <c r="L285" s="53">
        <f>K285/H285*30</f>
        <v>20</v>
      </c>
    </row>
    <row r="286" spans="1:12" s="2" customFormat="1" ht="13.95" customHeight="1" outlineLevel="2" x14ac:dyDescent="0.2">
      <c r="A286" s="50" t="s">
        <v>70</v>
      </c>
      <c r="B286" s="50" t="s">
        <v>5</v>
      </c>
      <c r="C286" s="50" t="s">
        <v>30</v>
      </c>
      <c r="D286" s="50" t="s">
        <v>615</v>
      </c>
      <c r="E286" s="50" t="s">
        <v>162</v>
      </c>
      <c r="F286" s="50" t="s">
        <v>374</v>
      </c>
      <c r="G286" s="50" t="s">
        <v>330</v>
      </c>
      <c r="H286" s="51">
        <v>2</v>
      </c>
      <c r="I286" s="52">
        <f>J286/H286</f>
        <v>65990</v>
      </c>
      <c r="J286" s="52">
        <v>131980</v>
      </c>
      <c r="K286" s="51">
        <v>7</v>
      </c>
      <c r="L286" s="53">
        <f>K286/H286*30</f>
        <v>105</v>
      </c>
    </row>
    <row r="287" spans="1:12" s="2" customFormat="1" ht="13.95" customHeight="1" outlineLevel="2" x14ac:dyDescent="0.2">
      <c r="A287" s="50" t="s">
        <v>70</v>
      </c>
      <c r="B287" s="50" t="s">
        <v>5</v>
      </c>
      <c r="C287" s="50" t="s">
        <v>30</v>
      </c>
      <c r="D287" s="50" t="s">
        <v>616</v>
      </c>
      <c r="E287" s="50" t="s">
        <v>162</v>
      </c>
      <c r="F287" s="50" t="s">
        <v>106</v>
      </c>
      <c r="G287" s="50" t="s">
        <v>88</v>
      </c>
      <c r="H287" s="51">
        <v>2</v>
      </c>
      <c r="I287" s="52">
        <f>J287/H287</f>
        <v>65990</v>
      </c>
      <c r="J287" s="52">
        <v>131980</v>
      </c>
      <c r="K287" s="51">
        <v>16</v>
      </c>
      <c r="L287" s="53">
        <f>K287/H287*30</f>
        <v>240</v>
      </c>
    </row>
    <row r="288" spans="1:12" s="2" customFormat="1" ht="13.95" customHeight="1" outlineLevel="2" x14ac:dyDescent="0.2">
      <c r="A288" s="50" t="s">
        <v>70</v>
      </c>
      <c r="B288" s="50" t="s">
        <v>5</v>
      </c>
      <c r="C288" s="50" t="s">
        <v>30</v>
      </c>
      <c r="D288" s="50" t="s">
        <v>632</v>
      </c>
      <c r="E288" s="50" t="s">
        <v>348</v>
      </c>
      <c r="F288" s="50" t="s">
        <v>106</v>
      </c>
      <c r="G288" s="50" t="s">
        <v>86</v>
      </c>
      <c r="H288" s="51">
        <v>2</v>
      </c>
      <c r="I288" s="52">
        <f>J288/H288</f>
        <v>62990</v>
      </c>
      <c r="J288" s="52">
        <v>125980</v>
      </c>
      <c r="K288" s="51">
        <v>14</v>
      </c>
      <c r="L288" s="53">
        <f>K288/H288*30</f>
        <v>210</v>
      </c>
    </row>
    <row r="289" spans="1:12" s="2" customFormat="1" ht="13.95" customHeight="1" outlineLevel="2" x14ac:dyDescent="0.2">
      <c r="A289" s="50" t="s">
        <v>70</v>
      </c>
      <c r="B289" s="50" t="s">
        <v>5</v>
      </c>
      <c r="C289" s="50" t="s">
        <v>30</v>
      </c>
      <c r="D289" s="50" t="s">
        <v>633</v>
      </c>
      <c r="E289" s="50" t="s">
        <v>348</v>
      </c>
      <c r="F289" s="50" t="s">
        <v>106</v>
      </c>
      <c r="G289" s="50" t="s">
        <v>330</v>
      </c>
      <c r="H289" s="51">
        <v>2</v>
      </c>
      <c r="I289" s="52">
        <f>J289/H289</f>
        <v>62990</v>
      </c>
      <c r="J289" s="52">
        <v>125980</v>
      </c>
      <c r="K289" s="51">
        <v>3</v>
      </c>
      <c r="L289" s="53">
        <f>K289/H289*30</f>
        <v>45</v>
      </c>
    </row>
    <row r="290" spans="1:12" s="2" customFormat="1" ht="13.95" customHeight="1" outlineLevel="2" x14ac:dyDescent="0.2">
      <c r="A290" s="50" t="s">
        <v>70</v>
      </c>
      <c r="B290" s="50" t="s">
        <v>5</v>
      </c>
      <c r="C290" s="50" t="s">
        <v>30</v>
      </c>
      <c r="D290" s="50" t="s">
        <v>635</v>
      </c>
      <c r="E290" s="50" t="s">
        <v>171</v>
      </c>
      <c r="F290" s="50" t="s">
        <v>73</v>
      </c>
      <c r="G290" s="50" t="s">
        <v>88</v>
      </c>
      <c r="H290" s="51">
        <v>2</v>
      </c>
      <c r="I290" s="52">
        <f>J290/H290</f>
        <v>61990</v>
      </c>
      <c r="J290" s="52">
        <v>123980</v>
      </c>
      <c r="K290" s="51">
        <v>13</v>
      </c>
      <c r="L290" s="53">
        <f>K290/H290*30</f>
        <v>195</v>
      </c>
    </row>
    <row r="291" spans="1:12" s="2" customFormat="1" ht="13.95" customHeight="1" outlineLevel="2" x14ac:dyDescent="0.2">
      <c r="A291" s="50" t="s">
        <v>70</v>
      </c>
      <c r="B291" s="50" t="s">
        <v>5</v>
      </c>
      <c r="C291" s="50" t="s">
        <v>30</v>
      </c>
      <c r="D291" s="50" t="s">
        <v>636</v>
      </c>
      <c r="E291" s="50" t="s">
        <v>171</v>
      </c>
      <c r="F291" s="50" t="s">
        <v>73</v>
      </c>
      <c r="G291" s="50" t="s">
        <v>86</v>
      </c>
      <c r="H291" s="51">
        <v>2</v>
      </c>
      <c r="I291" s="52">
        <f>J291/H291</f>
        <v>61990</v>
      </c>
      <c r="J291" s="52">
        <v>123980</v>
      </c>
      <c r="K291" s="51">
        <v>15</v>
      </c>
      <c r="L291" s="53">
        <f>K291/H291*30</f>
        <v>225</v>
      </c>
    </row>
    <row r="292" spans="1:12" s="2" customFormat="1" ht="13.95" customHeight="1" outlineLevel="2" x14ac:dyDescent="0.2">
      <c r="A292" s="50" t="s">
        <v>70</v>
      </c>
      <c r="B292" s="50" t="s">
        <v>5</v>
      </c>
      <c r="C292" s="50" t="s">
        <v>30</v>
      </c>
      <c r="D292" s="50" t="s">
        <v>637</v>
      </c>
      <c r="E292" s="50" t="s">
        <v>171</v>
      </c>
      <c r="F292" s="50" t="s">
        <v>73</v>
      </c>
      <c r="G292" s="50" t="s">
        <v>84</v>
      </c>
      <c r="H292" s="51">
        <v>2</v>
      </c>
      <c r="I292" s="52">
        <f>J292/H292</f>
        <v>61990</v>
      </c>
      <c r="J292" s="52">
        <v>123980</v>
      </c>
      <c r="K292" s="51">
        <v>8</v>
      </c>
      <c r="L292" s="53">
        <f>K292/H292*30</f>
        <v>120</v>
      </c>
    </row>
    <row r="293" spans="1:12" s="2" customFormat="1" ht="13.95" customHeight="1" outlineLevel="2" x14ac:dyDescent="0.2">
      <c r="A293" s="50" t="s">
        <v>70</v>
      </c>
      <c r="B293" s="50" t="s">
        <v>5</v>
      </c>
      <c r="C293" s="50" t="s">
        <v>30</v>
      </c>
      <c r="D293" s="50" t="s">
        <v>638</v>
      </c>
      <c r="E293" s="50" t="s">
        <v>171</v>
      </c>
      <c r="F293" s="50" t="s">
        <v>106</v>
      </c>
      <c r="G293" s="50" t="s">
        <v>86</v>
      </c>
      <c r="H293" s="51">
        <v>2</v>
      </c>
      <c r="I293" s="52">
        <f>J293/H293</f>
        <v>61990</v>
      </c>
      <c r="J293" s="52">
        <v>123980</v>
      </c>
      <c r="K293" s="51">
        <v>2</v>
      </c>
      <c r="L293" s="53">
        <f>K293/H293*30</f>
        <v>30</v>
      </c>
    </row>
    <row r="294" spans="1:12" s="2" customFormat="1" ht="13.95" customHeight="1" outlineLevel="2" x14ac:dyDescent="0.2">
      <c r="A294" s="50" t="s">
        <v>70</v>
      </c>
      <c r="B294" s="50" t="s">
        <v>5</v>
      </c>
      <c r="C294" s="50" t="s">
        <v>30</v>
      </c>
      <c r="D294" s="50" t="s">
        <v>701</v>
      </c>
      <c r="E294" s="50" t="s">
        <v>397</v>
      </c>
      <c r="F294" s="50" t="s">
        <v>177</v>
      </c>
      <c r="G294" s="50" t="s">
        <v>86</v>
      </c>
      <c r="H294" s="51">
        <v>2</v>
      </c>
      <c r="I294" s="52">
        <f>J294/H294</f>
        <v>55990</v>
      </c>
      <c r="J294" s="52">
        <v>111980</v>
      </c>
      <c r="K294" s="51">
        <v>37</v>
      </c>
      <c r="L294" s="53">
        <f>K294/H294*30</f>
        <v>555</v>
      </c>
    </row>
    <row r="295" spans="1:12" s="2" customFormat="1" ht="13.95" customHeight="1" outlineLevel="2" x14ac:dyDescent="0.2">
      <c r="A295" s="50" t="s">
        <v>70</v>
      </c>
      <c r="B295" s="50" t="s">
        <v>5</v>
      </c>
      <c r="C295" s="50" t="s">
        <v>30</v>
      </c>
      <c r="D295" s="50" t="s">
        <v>736</v>
      </c>
      <c r="E295" s="50" t="s">
        <v>288</v>
      </c>
      <c r="F295" s="50" t="s">
        <v>106</v>
      </c>
      <c r="G295" s="50" t="s">
        <v>86</v>
      </c>
      <c r="H295" s="51">
        <v>1</v>
      </c>
      <c r="I295" s="52">
        <f>J295/H295</f>
        <v>99990</v>
      </c>
      <c r="J295" s="52">
        <v>99990</v>
      </c>
      <c r="K295" s="51">
        <v>12</v>
      </c>
      <c r="L295" s="53">
        <f>K295/H295*30</f>
        <v>360</v>
      </c>
    </row>
    <row r="296" spans="1:12" s="2" customFormat="1" ht="13.95" customHeight="1" outlineLevel="2" x14ac:dyDescent="0.2">
      <c r="A296" s="50" t="s">
        <v>70</v>
      </c>
      <c r="B296" s="50" t="s">
        <v>5</v>
      </c>
      <c r="C296" s="50" t="s">
        <v>30</v>
      </c>
      <c r="D296" s="50" t="s">
        <v>785</v>
      </c>
      <c r="E296" s="50" t="s">
        <v>459</v>
      </c>
      <c r="F296" s="50" t="s">
        <v>73</v>
      </c>
      <c r="G296" s="50" t="s">
        <v>88</v>
      </c>
      <c r="H296" s="51">
        <v>1</v>
      </c>
      <c r="I296" s="52">
        <f>J296/H296</f>
        <v>95990</v>
      </c>
      <c r="J296" s="52">
        <v>95990</v>
      </c>
      <c r="K296" s="51">
        <v>12</v>
      </c>
      <c r="L296" s="53">
        <f>K296/H296*30</f>
        <v>360</v>
      </c>
    </row>
    <row r="297" spans="1:12" s="2" customFormat="1" ht="13.95" customHeight="1" outlineLevel="2" x14ac:dyDescent="0.2">
      <c r="A297" s="50" t="s">
        <v>70</v>
      </c>
      <c r="B297" s="50" t="s">
        <v>5</v>
      </c>
      <c r="C297" s="50" t="s">
        <v>30</v>
      </c>
      <c r="D297" s="50" t="s">
        <v>786</v>
      </c>
      <c r="E297" s="50" t="s">
        <v>459</v>
      </c>
      <c r="F297" s="50" t="s">
        <v>73</v>
      </c>
      <c r="G297" s="50" t="s">
        <v>86</v>
      </c>
      <c r="H297" s="51">
        <v>1</v>
      </c>
      <c r="I297" s="52">
        <f>J297/H297</f>
        <v>95990</v>
      </c>
      <c r="J297" s="52">
        <v>95990</v>
      </c>
      <c r="K297" s="51">
        <v>14</v>
      </c>
      <c r="L297" s="53">
        <f>K297/H297*30</f>
        <v>420</v>
      </c>
    </row>
    <row r="298" spans="1:12" s="2" customFormat="1" ht="13.95" customHeight="1" outlineLevel="2" x14ac:dyDescent="0.2">
      <c r="A298" s="50" t="s">
        <v>70</v>
      </c>
      <c r="B298" s="50" t="s">
        <v>5</v>
      </c>
      <c r="C298" s="50" t="s">
        <v>30</v>
      </c>
      <c r="D298" s="50" t="s">
        <v>787</v>
      </c>
      <c r="E298" s="50" t="s">
        <v>459</v>
      </c>
      <c r="F298" s="50" t="s">
        <v>73</v>
      </c>
      <c r="G298" s="50" t="s">
        <v>74</v>
      </c>
      <c r="H298" s="51">
        <v>1</v>
      </c>
      <c r="I298" s="52">
        <f>J298/H298</f>
        <v>95990</v>
      </c>
      <c r="J298" s="52">
        <v>95990</v>
      </c>
      <c r="K298" s="51">
        <v>11</v>
      </c>
      <c r="L298" s="53">
        <f>K298/H298*30</f>
        <v>330</v>
      </c>
    </row>
    <row r="299" spans="1:12" s="2" customFormat="1" ht="13.95" customHeight="1" outlineLevel="2" x14ac:dyDescent="0.2">
      <c r="A299" s="50" t="s">
        <v>70</v>
      </c>
      <c r="B299" s="50" t="s">
        <v>5</v>
      </c>
      <c r="C299" s="50" t="s">
        <v>30</v>
      </c>
      <c r="D299" s="50" t="s">
        <v>788</v>
      </c>
      <c r="E299" s="50" t="s">
        <v>459</v>
      </c>
      <c r="F299" s="50" t="s">
        <v>106</v>
      </c>
      <c r="G299" s="50" t="s">
        <v>86</v>
      </c>
      <c r="H299" s="51">
        <v>1</v>
      </c>
      <c r="I299" s="52">
        <f>J299/H299</f>
        <v>95990</v>
      </c>
      <c r="J299" s="52">
        <v>95990</v>
      </c>
      <c r="K299" s="51">
        <v>5</v>
      </c>
      <c r="L299" s="53">
        <f>K299/H299*30</f>
        <v>150</v>
      </c>
    </row>
    <row r="300" spans="1:12" s="2" customFormat="1" ht="13.95" customHeight="1" outlineLevel="2" x14ac:dyDescent="0.2">
      <c r="A300" s="50" t="s">
        <v>70</v>
      </c>
      <c r="B300" s="50" t="s">
        <v>5</v>
      </c>
      <c r="C300" s="50" t="s">
        <v>30</v>
      </c>
      <c r="D300" s="50" t="s">
        <v>819</v>
      </c>
      <c r="E300" s="50" t="s">
        <v>320</v>
      </c>
      <c r="F300" s="50" t="s">
        <v>73</v>
      </c>
      <c r="G300" s="50" t="s">
        <v>140</v>
      </c>
      <c r="H300" s="51">
        <v>1</v>
      </c>
      <c r="I300" s="52">
        <f>J300/H300</f>
        <v>89990</v>
      </c>
      <c r="J300" s="52">
        <v>89990</v>
      </c>
      <c r="K300" s="51">
        <v>11</v>
      </c>
      <c r="L300" s="53">
        <f>K300/H300*30</f>
        <v>330</v>
      </c>
    </row>
    <row r="301" spans="1:12" s="2" customFormat="1" ht="13.95" customHeight="1" outlineLevel="2" x14ac:dyDescent="0.2">
      <c r="A301" s="50" t="s">
        <v>70</v>
      </c>
      <c r="B301" s="50" t="s">
        <v>5</v>
      </c>
      <c r="C301" s="50" t="s">
        <v>30</v>
      </c>
      <c r="D301" s="50" t="s">
        <v>820</v>
      </c>
      <c r="E301" s="50" t="s">
        <v>320</v>
      </c>
      <c r="F301" s="50" t="s">
        <v>73</v>
      </c>
      <c r="G301" s="50" t="s">
        <v>86</v>
      </c>
      <c r="H301" s="51">
        <v>1</v>
      </c>
      <c r="I301" s="52">
        <f>J301/H301</f>
        <v>89990</v>
      </c>
      <c r="J301" s="52">
        <v>89990</v>
      </c>
      <c r="K301" s="51">
        <v>13</v>
      </c>
      <c r="L301" s="53">
        <f>K301/H301*30</f>
        <v>390</v>
      </c>
    </row>
    <row r="302" spans="1:12" s="2" customFormat="1" ht="13.95" customHeight="1" outlineLevel="2" x14ac:dyDescent="0.2">
      <c r="A302" s="50" t="s">
        <v>70</v>
      </c>
      <c r="B302" s="50" t="s">
        <v>5</v>
      </c>
      <c r="C302" s="50" t="s">
        <v>30</v>
      </c>
      <c r="D302" s="50" t="s">
        <v>821</v>
      </c>
      <c r="E302" s="50" t="s">
        <v>320</v>
      </c>
      <c r="F302" s="50" t="s">
        <v>73</v>
      </c>
      <c r="G302" s="50" t="s">
        <v>74</v>
      </c>
      <c r="H302" s="51">
        <v>1</v>
      </c>
      <c r="I302" s="52">
        <f>J302/H302</f>
        <v>89990</v>
      </c>
      <c r="J302" s="52">
        <v>89990</v>
      </c>
      <c r="K302" s="51">
        <v>10</v>
      </c>
      <c r="L302" s="53">
        <f>K302/H302*30</f>
        <v>300</v>
      </c>
    </row>
    <row r="303" spans="1:12" s="2" customFormat="1" ht="13.95" customHeight="1" outlineLevel="2" x14ac:dyDescent="0.2">
      <c r="A303" s="50" t="s">
        <v>70</v>
      </c>
      <c r="B303" s="50" t="s">
        <v>5</v>
      </c>
      <c r="C303" s="50" t="s">
        <v>30</v>
      </c>
      <c r="D303" s="50" t="s">
        <v>822</v>
      </c>
      <c r="E303" s="50" t="s">
        <v>322</v>
      </c>
      <c r="F303" s="50" t="s">
        <v>106</v>
      </c>
      <c r="G303" s="50" t="s">
        <v>140</v>
      </c>
      <c r="H303" s="51">
        <v>1</v>
      </c>
      <c r="I303" s="52">
        <f>J303/H303</f>
        <v>89990</v>
      </c>
      <c r="J303" s="52">
        <v>89990</v>
      </c>
      <c r="K303" s="51">
        <v>6</v>
      </c>
      <c r="L303" s="53">
        <f>K303/H303*30</f>
        <v>180</v>
      </c>
    </row>
    <row r="304" spans="1:12" s="2" customFormat="1" ht="13.95" customHeight="1" outlineLevel="2" x14ac:dyDescent="0.2">
      <c r="A304" s="50" t="s">
        <v>70</v>
      </c>
      <c r="B304" s="50" t="s">
        <v>5</v>
      </c>
      <c r="C304" s="50" t="s">
        <v>30</v>
      </c>
      <c r="D304" s="50" t="s">
        <v>823</v>
      </c>
      <c r="E304" s="50" t="s">
        <v>324</v>
      </c>
      <c r="F304" s="50" t="s">
        <v>73</v>
      </c>
      <c r="G304" s="50" t="s">
        <v>86</v>
      </c>
      <c r="H304" s="51">
        <v>1</v>
      </c>
      <c r="I304" s="52">
        <f>J304/H304</f>
        <v>89990</v>
      </c>
      <c r="J304" s="52">
        <v>89990</v>
      </c>
      <c r="K304" s="51">
        <v>7</v>
      </c>
      <c r="L304" s="53">
        <f>K304/H304*30</f>
        <v>210</v>
      </c>
    </row>
    <row r="305" spans="1:12" s="2" customFormat="1" ht="13.95" customHeight="1" outlineLevel="2" x14ac:dyDescent="0.2">
      <c r="A305" s="50" t="s">
        <v>70</v>
      </c>
      <c r="B305" s="50" t="s">
        <v>5</v>
      </c>
      <c r="C305" s="50" t="s">
        <v>30</v>
      </c>
      <c r="D305" s="50" t="s">
        <v>824</v>
      </c>
      <c r="E305" s="50" t="s">
        <v>324</v>
      </c>
      <c r="F305" s="50" t="s">
        <v>73</v>
      </c>
      <c r="G305" s="50" t="s">
        <v>84</v>
      </c>
      <c r="H305" s="51">
        <v>1</v>
      </c>
      <c r="I305" s="52">
        <f>J305/H305</f>
        <v>89990</v>
      </c>
      <c r="J305" s="52">
        <v>89990</v>
      </c>
      <c r="K305" s="51">
        <v>0</v>
      </c>
      <c r="L305" s="53">
        <f>K305/H305*30</f>
        <v>0</v>
      </c>
    </row>
    <row r="306" spans="1:12" s="2" customFormat="1" ht="13.95" customHeight="1" outlineLevel="2" x14ac:dyDescent="0.2">
      <c r="A306" s="50" t="s">
        <v>70</v>
      </c>
      <c r="B306" s="50" t="s">
        <v>5</v>
      </c>
      <c r="C306" s="50" t="s">
        <v>30</v>
      </c>
      <c r="D306" s="50" t="s">
        <v>825</v>
      </c>
      <c r="E306" s="50" t="s">
        <v>324</v>
      </c>
      <c r="F306" s="50" t="s">
        <v>106</v>
      </c>
      <c r="G306" s="50" t="s">
        <v>140</v>
      </c>
      <c r="H306" s="51">
        <v>1</v>
      </c>
      <c r="I306" s="52">
        <f>J306/H306</f>
        <v>89990</v>
      </c>
      <c r="J306" s="52">
        <v>89990</v>
      </c>
      <c r="K306" s="51">
        <v>7</v>
      </c>
      <c r="L306" s="53">
        <f>K306/H306*30</f>
        <v>210</v>
      </c>
    </row>
    <row r="307" spans="1:12" s="2" customFormat="1" ht="13.95" customHeight="1" outlineLevel="2" x14ac:dyDescent="0.2">
      <c r="A307" s="50" t="s">
        <v>70</v>
      </c>
      <c r="B307" s="50" t="s">
        <v>5</v>
      </c>
      <c r="C307" s="50" t="s">
        <v>30</v>
      </c>
      <c r="D307" s="50" t="s">
        <v>826</v>
      </c>
      <c r="E307" s="50" t="s">
        <v>324</v>
      </c>
      <c r="F307" s="50" t="s">
        <v>106</v>
      </c>
      <c r="G307" s="50" t="s">
        <v>86</v>
      </c>
      <c r="H307" s="51">
        <v>1</v>
      </c>
      <c r="I307" s="52">
        <f>J307/H307</f>
        <v>89990</v>
      </c>
      <c r="J307" s="52">
        <v>89990</v>
      </c>
      <c r="K307" s="51">
        <v>17</v>
      </c>
      <c r="L307" s="53">
        <f>K307/H307*30</f>
        <v>510</v>
      </c>
    </row>
    <row r="308" spans="1:12" s="2" customFormat="1" ht="13.95" customHeight="1" outlineLevel="2" x14ac:dyDescent="0.2">
      <c r="A308" s="50" t="s">
        <v>70</v>
      </c>
      <c r="B308" s="50" t="s">
        <v>5</v>
      </c>
      <c r="C308" s="50" t="s">
        <v>30</v>
      </c>
      <c r="D308" s="50" t="s">
        <v>827</v>
      </c>
      <c r="E308" s="50" t="s">
        <v>324</v>
      </c>
      <c r="F308" s="50" t="s">
        <v>106</v>
      </c>
      <c r="G308" s="50" t="s">
        <v>112</v>
      </c>
      <c r="H308" s="51">
        <v>1</v>
      </c>
      <c r="I308" s="52">
        <f>J308/H308</f>
        <v>89990</v>
      </c>
      <c r="J308" s="52">
        <v>89990</v>
      </c>
      <c r="K308" s="51">
        <v>13</v>
      </c>
      <c r="L308" s="53">
        <f>K308/H308*30</f>
        <v>390</v>
      </c>
    </row>
    <row r="309" spans="1:12" s="2" customFormat="1" ht="13.95" customHeight="1" outlineLevel="2" x14ac:dyDescent="0.2">
      <c r="A309" s="50" t="s">
        <v>70</v>
      </c>
      <c r="B309" s="50" t="s">
        <v>5</v>
      </c>
      <c r="C309" s="50" t="s">
        <v>30</v>
      </c>
      <c r="D309" s="50" t="s">
        <v>828</v>
      </c>
      <c r="E309" s="50" t="s">
        <v>324</v>
      </c>
      <c r="F309" s="50"/>
      <c r="G309" s="50"/>
      <c r="H309" s="51">
        <v>1</v>
      </c>
      <c r="I309" s="52">
        <f>J309/H309</f>
        <v>89990</v>
      </c>
      <c r="J309" s="52">
        <v>89990</v>
      </c>
      <c r="K309" s="51">
        <v>6</v>
      </c>
      <c r="L309" s="53">
        <f>K309/H309*30</f>
        <v>180</v>
      </c>
    </row>
    <row r="310" spans="1:12" s="2" customFormat="1" ht="13.95" customHeight="1" outlineLevel="2" x14ac:dyDescent="0.2">
      <c r="A310" s="50" t="s">
        <v>70</v>
      </c>
      <c r="B310" s="50" t="s">
        <v>5</v>
      </c>
      <c r="C310" s="50" t="s">
        <v>30</v>
      </c>
      <c r="D310" s="50" t="s">
        <v>835</v>
      </c>
      <c r="E310" s="50" t="s">
        <v>92</v>
      </c>
      <c r="F310" s="50" t="s">
        <v>106</v>
      </c>
      <c r="G310" s="50" t="s">
        <v>97</v>
      </c>
      <c r="H310" s="51">
        <v>2</v>
      </c>
      <c r="I310" s="52">
        <f>J310/H310</f>
        <v>44990</v>
      </c>
      <c r="J310" s="52">
        <v>89980</v>
      </c>
      <c r="K310" s="51">
        <v>29</v>
      </c>
      <c r="L310" s="53">
        <f>K310/H310*30</f>
        <v>435</v>
      </c>
    </row>
    <row r="311" spans="1:12" s="2" customFormat="1" ht="13.95" customHeight="1" outlineLevel="2" x14ac:dyDescent="0.2">
      <c r="A311" s="50" t="s">
        <v>70</v>
      </c>
      <c r="B311" s="50" t="s">
        <v>5</v>
      </c>
      <c r="C311" s="50" t="s">
        <v>30</v>
      </c>
      <c r="D311" s="50" t="s">
        <v>836</v>
      </c>
      <c r="E311" s="50" t="s">
        <v>92</v>
      </c>
      <c r="F311" s="50" t="s">
        <v>106</v>
      </c>
      <c r="G311" s="50" t="s">
        <v>74</v>
      </c>
      <c r="H311" s="51">
        <v>2</v>
      </c>
      <c r="I311" s="52">
        <f>J311/H311</f>
        <v>44990</v>
      </c>
      <c r="J311" s="52">
        <v>89980</v>
      </c>
      <c r="K311" s="51">
        <v>19</v>
      </c>
      <c r="L311" s="53">
        <f>K311/H311*30</f>
        <v>285</v>
      </c>
    </row>
    <row r="312" spans="1:12" s="2" customFormat="1" ht="13.95" customHeight="1" outlineLevel="2" x14ac:dyDescent="0.2">
      <c r="A312" s="50" t="s">
        <v>70</v>
      </c>
      <c r="B312" s="50" t="s">
        <v>5</v>
      </c>
      <c r="C312" s="50" t="s">
        <v>30</v>
      </c>
      <c r="D312" s="50" t="s">
        <v>863</v>
      </c>
      <c r="E312" s="50" t="s">
        <v>262</v>
      </c>
      <c r="F312" s="50" t="s">
        <v>106</v>
      </c>
      <c r="G312" s="50" t="s">
        <v>112</v>
      </c>
      <c r="H312" s="51">
        <v>1</v>
      </c>
      <c r="I312" s="52">
        <f>J312/H312</f>
        <v>81990</v>
      </c>
      <c r="J312" s="52">
        <v>81990</v>
      </c>
      <c r="K312" s="51">
        <v>11</v>
      </c>
      <c r="L312" s="53">
        <f>K312/H312*30</f>
        <v>330</v>
      </c>
    </row>
    <row r="313" spans="1:12" s="2" customFormat="1" ht="13.95" customHeight="1" outlineLevel="2" x14ac:dyDescent="0.2">
      <c r="A313" s="50" t="s">
        <v>70</v>
      </c>
      <c r="B313" s="50" t="s">
        <v>5</v>
      </c>
      <c r="C313" s="50" t="s">
        <v>30</v>
      </c>
      <c r="D313" s="50" t="s">
        <v>935</v>
      </c>
      <c r="E313" s="50" t="s">
        <v>162</v>
      </c>
      <c r="F313" s="50" t="s">
        <v>106</v>
      </c>
      <c r="G313" s="50" t="s">
        <v>140</v>
      </c>
      <c r="H313" s="51">
        <v>1</v>
      </c>
      <c r="I313" s="52">
        <f>J313/H313</f>
        <v>65990</v>
      </c>
      <c r="J313" s="52">
        <v>65990</v>
      </c>
      <c r="K313" s="51">
        <v>5</v>
      </c>
      <c r="L313" s="53">
        <f>K313/H313*30</f>
        <v>150</v>
      </c>
    </row>
    <row r="314" spans="1:12" s="2" customFormat="1" ht="13.95" customHeight="1" outlineLevel="2" x14ac:dyDescent="0.2">
      <c r="A314" s="50" t="s">
        <v>70</v>
      </c>
      <c r="B314" s="50" t="s">
        <v>5</v>
      </c>
      <c r="C314" s="50" t="s">
        <v>30</v>
      </c>
      <c r="D314" s="50" t="s">
        <v>936</v>
      </c>
      <c r="E314" s="50" t="s">
        <v>162</v>
      </c>
      <c r="F314" s="50" t="s">
        <v>106</v>
      </c>
      <c r="G314" s="50" t="s">
        <v>86</v>
      </c>
      <c r="H314" s="51">
        <v>1</v>
      </c>
      <c r="I314" s="52">
        <f>J314/H314</f>
        <v>65990</v>
      </c>
      <c r="J314" s="52">
        <v>65990</v>
      </c>
      <c r="K314" s="51">
        <v>13</v>
      </c>
      <c r="L314" s="53">
        <f>K314/H314*30</f>
        <v>390</v>
      </c>
    </row>
    <row r="315" spans="1:12" s="2" customFormat="1" ht="13.95" customHeight="1" outlineLevel="2" x14ac:dyDescent="0.2">
      <c r="A315" s="50" t="s">
        <v>70</v>
      </c>
      <c r="B315" s="50" t="s">
        <v>5</v>
      </c>
      <c r="C315" s="50" t="s">
        <v>30</v>
      </c>
      <c r="D315" s="50" t="s">
        <v>937</v>
      </c>
      <c r="E315" s="50" t="s">
        <v>162</v>
      </c>
      <c r="F315" s="50" t="s">
        <v>106</v>
      </c>
      <c r="G315" s="50" t="s">
        <v>112</v>
      </c>
      <c r="H315" s="51">
        <v>1</v>
      </c>
      <c r="I315" s="52">
        <f>J315/H315</f>
        <v>65990</v>
      </c>
      <c r="J315" s="52">
        <v>65990</v>
      </c>
      <c r="K315" s="51">
        <v>8</v>
      </c>
      <c r="L315" s="53">
        <f>K315/H315*30</f>
        <v>240</v>
      </c>
    </row>
    <row r="316" spans="1:12" s="2" customFormat="1" ht="13.95" customHeight="1" outlineLevel="2" x14ac:dyDescent="0.2">
      <c r="A316" s="50" t="s">
        <v>70</v>
      </c>
      <c r="B316" s="50" t="s">
        <v>5</v>
      </c>
      <c r="C316" s="50" t="s">
        <v>30</v>
      </c>
      <c r="D316" s="50" t="s">
        <v>952</v>
      </c>
      <c r="E316" s="50" t="s">
        <v>457</v>
      </c>
      <c r="F316" s="50" t="s">
        <v>73</v>
      </c>
      <c r="G316" s="50" t="s">
        <v>84</v>
      </c>
      <c r="H316" s="51">
        <v>1</v>
      </c>
      <c r="I316" s="52">
        <f>J316/H316</f>
        <v>64990</v>
      </c>
      <c r="J316" s="52">
        <v>64990</v>
      </c>
      <c r="K316" s="51">
        <v>3</v>
      </c>
      <c r="L316" s="53">
        <f>K316/H316*30</f>
        <v>90</v>
      </c>
    </row>
    <row r="317" spans="1:12" s="2" customFormat="1" ht="13.95" customHeight="1" outlineLevel="2" x14ac:dyDescent="0.2">
      <c r="A317" s="50" t="s">
        <v>70</v>
      </c>
      <c r="B317" s="50" t="s">
        <v>5</v>
      </c>
      <c r="C317" s="50" t="s">
        <v>30</v>
      </c>
      <c r="D317" s="50" t="s">
        <v>953</v>
      </c>
      <c r="E317" s="50" t="s">
        <v>457</v>
      </c>
      <c r="F317" s="50" t="s">
        <v>137</v>
      </c>
      <c r="G317" s="50" t="s">
        <v>74</v>
      </c>
      <c r="H317" s="51">
        <v>1</v>
      </c>
      <c r="I317" s="52">
        <f>J317/H317</f>
        <v>64990</v>
      </c>
      <c r="J317" s="52">
        <v>64990</v>
      </c>
      <c r="K317" s="51">
        <v>0</v>
      </c>
      <c r="L317" s="53">
        <f>K317/H317*30</f>
        <v>0</v>
      </c>
    </row>
    <row r="318" spans="1:12" s="2" customFormat="1" ht="13.95" customHeight="1" outlineLevel="2" x14ac:dyDescent="0.2">
      <c r="A318" s="50" t="s">
        <v>70</v>
      </c>
      <c r="B318" s="50" t="s">
        <v>5</v>
      </c>
      <c r="C318" s="50" t="s">
        <v>30</v>
      </c>
      <c r="D318" s="50" t="s">
        <v>962</v>
      </c>
      <c r="E318" s="50" t="s">
        <v>348</v>
      </c>
      <c r="F318" s="50" t="s">
        <v>73</v>
      </c>
      <c r="G318" s="50" t="s">
        <v>88</v>
      </c>
      <c r="H318" s="51">
        <v>1</v>
      </c>
      <c r="I318" s="52">
        <f>J318/H318</f>
        <v>62990</v>
      </c>
      <c r="J318" s="52">
        <v>62990</v>
      </c>
      <c r="K318" s="51">
        <v>10</v>
      </c>
      <c r="L318" s="53">
        <f>K318/H318*30</f>
        <v>300</v>
      </c>
    </row>
    <row r="319" spans="1:12" s="2" customFormat="1" ht="13.95" customHeight="1" outlineLevel="2" x14ac:dyDescent="0.2">
      <c r="A319" s="50" t="s">
        <v>70</v>
      </c>
      <c r="B319" s="50" t="s">
        <v>5</v>
      </c>
      <c r="C319" s="50" t="s">
        <v>30</v>
      </c>
      <c r="D319" s="50" t="s">
        <v>963</v>
      </c>
      <c r="E319" s="50" t="s">
        <v>348</v>
      </c>
      <c r="F319" s="50" t="s">
        <v>73</v>
      </c>
      <c r="G319" s="50" t="s">
        <v>84</v>
      </c>
      <c r="H319" s="51">
        <v>1</v>
      </c>
      <c r="I319" s="52">
        <f>J319/H319</f>
        <v>62990</v>
      </c>
      <c r="J319" s="52">
        <v>62990</v>
      </c>
      <c r="K319" s="51">
        <v>10</v>
      </c>
      <c r="L319" s="53">
        <f>K319/H319*30</f>
        <v>300</v>
      </c>
    </row>
    <row r="320" spans="1:12" s="2" customFormat="1" ht="13.95" customHeight="1" outlineLevel="2" x14ac:dyDescent="0.2">
      <c r="A320" s="50" t="s">
        <v>70</v>
      </c>
      <c r="B320" s="50" t="s">
        <v>5</v>
      </c>
      <c r="C320" s="50" t="s">
        <v>30</v>
      </c>
      <c r="D320" s="50" t="s">
        <v>964</v>
      </c>
      <c r="E320" s="50" t="s">
        <v>348</v>
      </c>
      <c r="F320" s="50" t="s">
        <v>106</v>
      </c>
      <c r="G320" s="50" t="s">
        <v>140</v>
      </c>
      <c r="H320" s="51">
        <v>1</v>
      </c>
      <c r="I320" s="52">
        <f>J320/H320</f>
        <v>62990</v>
      </c>
      <c r="J320" s="52">
        <v>62990</v>
      </c>
      <c r="K320" s="51">
        <v>17</v>
      </c>
      <c r="L320" s="53">
        <f>K320/H320*30</f>
        <v>510</v>
      </c>
    </row>
    <row r="321" spans="1:12" s="2" customFormat="1" ht="13.95" customHeight="1" outlineLevel="2" x14ac:dyDescent="0.2">
      <c r="A321" s="50" t="s">
        <v>70</v>
      </c>
      <c r="B321" s="50" t="s">
        <v>5</v>
      </c>
      <c r="C321" s="50" t="s">
        <v>30</v>
      </c>
      <c r="D321" s="50" t="s">
        <v>965</v>
      </c>
      <c r="E321" s="50" t="s">
        <v>348</v>
      </c>
      <c r="F321" s="50" t="s">
        <v>106</v>
      </c>
      <c r="G321" s="50" t="s">
        <v>112</v>
      </c>
      <c r="H321" s="51">
        <v>1</v>
      </c>
      <c r="I321" s="52">
        <f>J321/H321</f>
        <v>62990</v>
      </c>
      <c r="J321" s="52">
        <v>62990</v>
      </c>
      <c r="K321" s="51">
        <v>20</v>
      </c>
      <c r="L321" s="53">
        <f>K321/H321*30</f>
        <v>600</v>
      </c>
    </row>
    <row r="322" spans="1:12" s="2" customFormat="1" ht="13.95" customHeight="1" outlineLevel="2" x14ac:dyDescent="0.2">
      <c r="A322" s="50" t="s">
        <v>70</v>
      </c>
      <c r="B322" s="50" t="s">
        <v>5</v>
      </c>
      <c r="C322" s="50" t="s">
        <v>30</v>
      </c>
      <c r="D322" s="50" t="s">
        <v>1013</v>
      </c>
      <c r="E322" s="50" t="s">
        <v>397</v>
      </c>
      <c r="F322" s="50" t="s">
        <v>223</v>
      </c>
      <c r="G322" s="50" t="s">
        <v>224</v>
      </c>
      <c r="H322" s="51">
        <v>1</v>
      </c>
      <c r="I322" s="52">
        <f>J322/H322</f>
        <v>55990</v>
      </c>
      <c r="J322" s="52">
        <v>55990</v>
      </c>
      <c r="K322" s="51">
        <v>17</v>
      </c>
      <c r="L322" s="53">
        <f>K322/H322*30</f>
        <v>510</v>
      </c>
    </row>
    <row r="323" spans="1:12" s="2" customFormat="1" ht="13.95" customHeight="1" outlineLevel="2" x14ac:dyDescent="0.2">
      <c r="A323" s="50" t="s">
        <v>70</v>
      </c>
      <c r="B323" s="50" t="s">
        <v>5</v>
      </c>
      <c r="C323" s="50" t="s">
        <v>30</v>
      </c>
      <c r="D323" s="50" t="s">
        <v>1014</v>
      </c>
      <c r="E323" s="50" t="s">
        <v>397</v>
      </c>
      <c r="F323" s="50" t="s">
        <v>168</v>
      </c>
      <c r="G323" s="50" t="s">
        <v>86</v>
      </c>
      <c r="H323" s="51">
        <v>1</v>
      </c>
      <c r="I323" s="52">
        <f>J323/H323</f>
        <v>55990</v>
      </c>
      <c r="J323" s="52">
        <v>55990</v>
      </c>
      <c r="K323" s="51">
        <v>2</v>
      </c>
      <c r="L323" s="53">
        <f>K323/H323*30</f>
        <v>60</v>
      </c>
    </row>
    <row r="324" spans="1:12" s="2" customFormat="1" ht="13.95" customHeight="1" outlineLevel="2" x14ac:dyDescent="0.2">
      <c r="A324" s="50" t="s">
        <v>70</v>
      </c>
      <c r="B324" s="50" t="s">
        <v>5</v>
      </c>
      <c r="C324" s="50" t="s">
        <v>30</v>
      </c>
      <c r="D324" s="50" t="s">
        <v>1015</v>
      </c>
      <c r="E324" s="50" t="s">
        <v>397</v>
      </c>
      <c r="F324" s="50" t="s">
        <v>168</v>
      </c>
      <c r="G324" s="50" t="s">
        <v>112</v>
      </c>
      <c r="H324" s="51">
        <v>1</v>
      </c>
      <c r="I324" s="52">
        <f>J324/H324</f>
        <v>55990</v>
      </c>
      <c r="J324" s="52">
        <v>55990</v>
      </c>
      <c r="K324" s="51">
        <v>4</v>
      </c>
      <c r="L324" s="53">
        <f>K324/H324*30</f>
        <v>120</v>
      </c>
    </row>
    <row r="325" spans="1:12" s="2" customFormat="1" ht="13.95" customHeight="1" outlineLevel="2" x14ac:dyDescent="0.2">
      <c r="A325" s="50" t="s">
        <v>70</v>
      </c>
      <c r="B325" s="50" t="s">
        <v>5</v>
      </c>
      <c r="C325" s="50" t="s">
        <v>30</v>
      </c>
      <c r="D325" s="50" t="s">
        <v>1016</v>
      </c>
      <c r="E325" s="50" t="s">
        <v>1017</v>
      </c>
      <c r="F325" s="50" t="s">
        <v>73</v>
      </c>
      <c r="G325" s="50" t="s">
        <v>86</v>
      </c>
      <c r="H325" s="51">
        <v>1</v>
      </c>
      <c r="I325" s="52">
        <f>J325/H325</f>
        <v>55990</v>
      </c>
      <c r="J325" s="52">
        <v>55990</v>
      </c>
      <c r="K325" s="51">
        <v>11</v>
      </c>
      <c r="L325" s="53">
        <f>K325/H325*30</f>
        <v>330</v>
      </c>
    </row>
    <row r="326" spans="1:12" s="2" customFormat="1" ht="13.95" customHeight="1" outlineLevel="2" x14ac:dyDescent="0.2">
      <c r="A326" s="50" t="s">
        <v>70</v>
      </c>
      <c r="B326" s="50" t="s">
        <v>5</v>
      </c>
      <c r="C326" s="50" t="s">
        <v>30</v>
      </c>
      <c r="D326" s="50" t="s">
        <v>1018</v>
      </c>
      <c r="E326" s="50" t="s">
        <v>1017</v>
      </c>
      <c r="F326" s="50" t="s">
        <v>106</v>
      </c>
      <c r="G326" s="50" t="s">
        <v>88</v>
      </c>
      <c r="H326" s="51">
        <v>1</v>
      </c>
      <c r="I326" s="52">
        <f>J326/H326</f>
        <v>55990</v>
      </c>
      <c r="J326" s="52">
        <v>55990</v>
      </c>
      <c r="K326" s="51">
        <v>3</v>
      </c>
      <c r="L326" s="53">
        <f>K326/H326*30</f>
        <v>90</v>
      </c>
    </row>
    <row r="327" spans="1:12" s="2" customFormat="1" ht="13.95" customHeight="1" outlineLevel="2" x14ac:dyDescent="0.2">
      <c r="A327" s="50" t="s">
        <v>70</v>
      </c>
      <c r="B327" s="50" t="s">
        <v>5</v>
      </c>
      <c r="C327" s="50" t="s">
        <v>30</v>
      </c>
      <c r="D327" s="50" t="s">
        <v>1019</v>
      </c>
      <c r="E327" s="50" t="s">
        <v>1017</v>
      </c>
      <c r="F327" s="50" t="s">
        <v>106</v>
      </c>
      <c r="G327" s="50" t="s">
        <v>86</v>
      </c>
      <c r="H327" s="51">
        <v>1</v>
      </c>
      <c r="I327" s="52">
        <f>J327/H327</f>
        <v>55990</v>
      </c>
      <c r="J327" s="52">
        <v>55990</v>
      </c>
      <c r="K327" s="51">
        <v>10</v>
      </c>
      <c r="L327" s="53">
        <f>K327/H327*30</f>
        <v>300</v>
      </c>
    </row>
    <row r="328" spans="1:12" s="2" customFormat="1" ht="13.95" customHeight="1" outlineLevel="2" x14ac:dyDescent="0.2">
      <c r="A328" s="50" t="s">
        <v>70</v>
      </c>
      <c r="B328" s="50" t="s">
        <v>5</v>
      </c>
      <c r="C328" s="50" t="s">
        <v>30</v>
      </c>
      <c r="D328" s="50" t="s">
        <v>1020</v>
      </c>
      <c r="E328" s="50" t="s">
        <v>1017</v>
      </c>
      <c r="F328" s="50" t="s">
        <v>106</v>
      </c>
      <c r="G328" s="50" t="s">
        <v>74</v>
      </c>
      <c r="H328" s="51">
        <v>1</v>
      </c>
      <c r="I328" s="52">
        <f>J328/H328</f>
        <v>55990</v>
      </c>
      <c r="J328" s="52">
        <v>55990</v>
      </c>
      <c r="K328" s="51">
        <v>6</v>
      </c>
      <c r="L328" s="53">
        <f>K328/H328*30</f>
        <v>180</v>
      </c>
    </row>
    <row r="329" spans="1:12" s="2" customFormat="1" ht="13.95" customHeight="1" outlineLevel="2" x14ac:dyDescent="0.2">
      <c r="A329" s="50" t="s">
        <v>70</v>
      </c>
      <c r="B329" s="50" t="s">
        <v>5</v>
      </c>
      <c r="C329" s="50" t="s">
        <v>30</v>
      </c>
      <c r="D329" s="50" t="s">
        <v>1137</v>
      </c>
      <c r="E329" s="50" t="s">
        <v>92</v>
      </c>
      <c r="F329" s="50" t="s">
        <v>137</v>
      </c>
      <c r="G329" s="50" t="s">
        <v>88</v>
      </c>
      <c r="H329" s="51">
        <v>1</v>
      </c>
      <c r="I329" s="52">
        <f>J329/H329</f>
        <v>45990</v>
      </c>
      <c r="J329" s="52">
        <v>45990</v>
      </c>
      <c r="K329" s="51">
        <v>19</v>
      </c>
      <c r="L329" s="53">
        <f>K329/H329*30</f>
        <v>570</v>
      </c>
    </row>
    <row r="330" spans="1:12" s="2" customFormat="1" ht="13.95" customHeight="1" outlineLevel="2" x14ac:dyDescent="0.2">
      <c r="A330" s="50" t="s">
        <v>70</v>
      </c>
      <c r="B330" s="50" t="s">
        <v>5</v>
      </c>
      <c r="C330" s="50" t="s">
        <v>30</v>
      </c>
      <c r="D330" s="50" t="s">
        <v>1138</v>
      </c>
      <c r="E330" s="50" t="s">
        <v>92</v>
      </c>
      <c r="F330" s="50" t="s">
        <v>137</v>
      </c>
      <c r="G330" s="50" t="s">
        <v>74</v>
      </c>
      <c r="H330" s="51">
        <v>1</v>
      </c>
      <c r="I330" s="52">
        <f>J330/H330</f>
        <v>45990</v>
      </c>
      <c r="J330" s="52">
        <v>45990</v>
      </c>
      <c r="K330" s="51">
        <v>7</v>
      </c>
      <c r="L330" s="53">
        <f>K330/H330*30</f>
        <v>210</v>
      </c>
    </row>
    <row r="331" spans="1:12" s="2" customFormat="1" ht="13.95" customHeight="1" outlineLevel="2" x14ac:dyDescent="0.2">
      <c r="A331" s="50" t="s">
        <v>70</v>
      </c>
      <c r="B331" s="50" t="s">
        <v>5</v>
      </c>
      <c r="C331" s="50" t="s">
        <v>30</v>
      </c>
      <c r="D331" s="50" t="s">
        <v>1139</v>
      </c>
      <c r="E331" s="50" t="s">
        <v>92</v>
      </c>
      <c r="F331" s="50" t="s">
        <v>73</v>
      </c>
      <c r="G331" s="50" t="s">
        <v>140</v>
      </c>
      <c r="H331" s="51">
        <v>1</v>
      </c>
      <c r="I331" s="52">
        <f>J331/H331</f>
        <v>44990</v>
      </c>
      <c r="J331" s="52">
        <v>44990</v>
      </c>
      <c r="K331" s="51">
        <v>6</v>
      </c>
      <c r="L331" s="53">
        <f>K331/H331*30</f>
        <v>180</v>
      </c>
    </row>
    <row r="332" spans="1:12" s="2" customFormat="1" ht="13.95" customHeight="1" outlineLevel="2" x14ac:dyDescent="0.2">
      <c r="A332" s="50" t="s">
        <v>70</v>
      </c>
      <c r="B332" s="50" t="s">
        <v>5</v>
      </c>
      <c r="C332" s="50" t="s">
        <v>30</v>
      </c>
      <c r="D332" s="50" t="s">
        <v>1140</v>
      </c>
      <c r="E332" s="50" t="s">
        <v>92</v>
      </c>
      <c r="F332" s="50" t="s">
        <v>73</v>
      </c>
      <c r="G332" s="50" t="s">
        <v>88</v>
      </c>
      <c r="H332" s="51">
        <v>1</v>
      </c>
      <c r="I332" s="52">
        <f>J332/H332</f>
        <v>44990</v>
      </c>
      <c r="J332" s="52">
        <v>44990</v>
      </c>
      <c r="K332" s="51">
        <v>68</v>
      </c>
      <c r="L332" s="53">
        <f>K332/H332*30</f>
        <v>2040</v>
      </c>
    </row>
    <row r="333" spans="1:12" s="2" customFormat="1" ht="13.95" customHeight="1" outlineLevel="2" x14ac:dyDescent="0.2">
      <c r="A333" s="50" t="s">
        <v>70</v>
      </c>
      <c r="B333" s="50" t="s">
        <v>5</v>
      </c>
      <c r="C333" s="50" t="s">
        <v>30</v>
      </c>
      <c r="D333" s="50" t="s">
        <v>1141</v>
      </c>
      <c r="E333" s="50" t="s">
        <v>92</v>
      </c>
      <c r="F333" s="50" t="s">
        <v>106</v>
      </c>
      <c r="G333" s="50" t="s">
        <v>88</v>
      </c>
      <c r="H333" s="51">
        <v>1</v>
      </c>
      <c r="I333" s="52">
        <f>J333/H333</f>
        <v>44990</v>
      </c>
      <c r="J333" s="52">
        <v>44990</v>
      </c>
      <c r="K333" s="51">
        <v>30</v>
      </c>
      <c r="L333" s="53">
        <f>K333/H333*30</f>
        <v>900</v>
      </c>
    </row>
    <row r="334" spans="1:12" s="2" customFormat="1" ht="13.95" customHeight="1" outlineLevel="2" x14ac:dyDescent="0.2">
      <c r="A334" s="50" t="s">
        <v>70</v>
      </c>
      <c r="B334" s="50" t="s">
        <v>5</v>
      </c>
      <c r="C334" s="50" t="s">
        <v>30</v>
      </c>
      <c r="D334" s="50" t="s">
        <v>1142</v>
      </c>
      <c r="E334" s="50" t="s">
        <v>92</v>
      </c>
      <c r="F334" s="50" t="s">
        <v>106</v>
      </c>
      <c r="G334" s="50" t="s">
        <v>86</v>
      </c>
      <c r="H334" s="51">
        <v>1</v>
      </c>
      <c r="I334" s="52">
        <f>J334/H334</f>
        <v>44990</v>
      </c>
      <c r="J334" s="52">
        <v>44990</v>
      </c>
      <c r="K334" s="51">
        <v>77</v>
      </c>
      <c r="L334" s="53">
        <f>K334/H334*30</f>
        <v>2310</v>
      </c>
    </row>
    <row r="335" spans="1:12" s="2" customFormat="1" ht="13.95" customHeight="1" outlineLevel="1" x14ac:dyDescent="0.2">
      <c r="A335" s="50"/>
      <c r="B335" s="50"/>
      <c r="C335" s="58" t="s">
        <v>1458</v>
      </c>
      <c r="D335" s="50"/>
      <c r="E335" s="50"/>
      <c r="F335" s="50"/>
      <c r="G335" s="50"/>
      <c r="H335" s="51">
        <f>SUBTOTAL(9,H254:H334)</f>
        <v>186</v>
      </c>
      <c r="I335" s="52"/>
      <c r="J335" s="52">
        <f>SUBTOTAL(9,J254:J334)</f>
        <v>12181140</v>
      </c>
      <c r="K335" s="51"/>
      <c r="L335" s="53"/>
    </row>
    <row r="336" spans="1:12" s="2" customFormat="1" ht="13.95" customHeight="1" outlineLevel="2" x14ac:dyDescent="0.2">
      <c r="A336" s="50" t="s">
        <v>70</v>
      </c>
      <c r="B336" s="50" t="s">
        <v>5</v>
      </c>
      <c r="C336" s="50" t="s">
        <v>31</v>
      </c>
      <c r="D336" s="50" t="s">
        <v>709</v>
      </c>
      <c r="E336" s="50" t="s">
        <v>710</v>
      </c>
      <c r="F336" s="50" t="s">
        <v>73</v>
      </c>
      <c r="G336" s="50" t="s">
        <v>140</v>
      </c>
      <c r="H336" s="51">
        <v>3</v>
      </c>
      <c r="I336" s="52">
        <f>J336/H336</f>
        <v>34990</v>
      </c>
      <c r="J336" s="52">
        <v>104970</v>
      </c>
      <c r="K336" s="51">
        <v>10</v>
      </c>
      <c r="L336" s="53">
        <f>K336/H336*30</f>
        <v>100</v>
      </c>
    </row>
    <row r="337" spans="1:12" s="2" customFormat="1" ht="13.95" customHeight="1" outlineLevel="2" x14ac:dyDescent="0.2">
      <c r="A337" s="50" t="s">
        <v>70</v>
      </c>
      <c r="B337" s="50" t="s">
        <v>5</v>
      </c>
      <c r="C337" s="50" t="s">
        <v>31</v>
      </c>
      <c r="D337" s="50" t="s">
        <v>711</v>
      </c>
      <c r="E337" s="50" t="s">
        <v>710</v>
      </c>
      <c r="F337" s="50" t="s">
        <v>73</v>
      </c>
      <c r="G337" s="50" t="s">
        <v>88</v>
      </c>
      <c r="H337" s="51">
        <v>3</v>
      </c>
      <c r="I337" s="52">
        <f>J337/H337</f>
        <v>34990</v>
      </c>
      <c r="J337" s="52">
        <v>104970</v>
      </c>
      <c r="K337" s="51">
        <v>18</v>
      </c>
      <c r="L337" s="53">
        <f>K337/H337*30</f>
        <v>180</v>
      </c>
    </row>
    <row r="338" spans="1:12" s="2" customFormat="1" ht="13.95" customHeight="1" outlineLevel="2" x14ac:dyDescent="0.2">
      <c r="A338" s="50" t="s">
        <v>70</v>
      </c>
      <c r="B338" s="50" t="s">
        <v>5</v>
      </c>
      <c r="C338" s="50" t="s">
        <v>31</v>
      </c>
      <c r="D338" s="50" t="s">
        <v>712</v>
      </c>
      <c r="E338" s="50" t="s">
        <v>710</v>
      </c>
      <c r="F338" s="50" t="s">
        <v>73</v>
      </c>
      <c r="G338" s="50" t="s">
        <v>86</v>
      </c>
      <c r="H338" s="51">
        <v>3</v>
      </c>
      <c r="I338" s="52">
        <f>J338/H338</f>
        <v>34990</v>
      </c>
      <c r="J338" s="52">
        <v>104970</v>
      </c>
      <c r="K338" s="51">
        <v>26</v>
      </c>
      <c r="L338" s="53">
        <f>K338/H338*30</f>
        <v>260</v>
      </c>
    </row>
    <row r="339" spans="1:12" s="2" customFormat="1" ht="13.95" customHeight="1" outlineLevel="2" x14ac:dyDescent="0.2">
      <c r="A339" s="50" t="s">
        <v>70</v>
      </c>
      <c r="B339" s="50" t="s">
        <v>5</v>
      </c>
      <c r="C339" s="50" t="s">
        <v>31</v>
      </c>
      <c r="D339" s="50" t="s">
        <v>800</v>
      </c>
      <c r="E339" s="50" t="s">
        <v>710</v>
      </c>
      <c r="F339" s="50" t="s">
        <v>73</v>
      </c>
      <c r="G339" s="50" t="s">
        <v>97</v>
      </c>
      <c r="H339" s="51">
        <v>3</v>
      </c>
      <c r="I339" s="52">
        <f>J339/H339</f>
        <v>31491</v>
      </c>
      <c r="J339" s="52">
        <v>94473</v>
      </c>
      <c r="K339" s="51">
        <v>12</v>
      </c>
      <c r="L339" s="53">
        <f>K339/H339*30</f>
        <v>120</v>
      </c>
    </row>
    <row r="340" spans="1:12" s="2" customFormat="1" ht="13.95" customHeight="1" outlineLevel="2" x14ac:dyDescent="0.2">
      <c r="A340" s="50" t="s">
        <v>70</v>
      </c>
      <c r="B340" s="50" t="s">
        <v>5</v>
      </c>
      <c r="C340" s="50" t="s">
        <v>31</v>
      </c>
      <c r="D340" s="50" t="s">
        <v>926</v>
      </c>
      <c r="E340" s="50" t="s">
        <v>710</v>
      </c>
      <c r="F340" s="50" t="s">
        <v>73</v>
      </c>
      <c r="G340" s="50" t="s">
        <v>330</v>
      </c>
      <c r="H340" s="51">
        <v>2</v>
      </c>
      <c r="I340" s="52">
        <f>J340/H340</f>
        <v>34990</v>
      </c>
      <c r="J340" s="52">
        <v>69980</v>
      </c>
      <c r="K340" s="51">
        <v>12</v>
      </c>
      <c r="L340" s="53">
        <f>K340/H340*30</f>
        <v>180</v>
      </c>
    </row>
    <row r="341" spans="1:12" s="2" customFormat="1" ht="13.95" customHeight="1" outlineLevel="2" x14ac:dyDescent="0.2">
      <c r="A341" s="50" t="s">
        <v>70</v>
      </c>
      <c r="B341" s="50" t="s">
        <v>5</v>
      </c>
      <c r="C341" s="50" t="s">
        <v>31</v>
      </c>
      <c r="D341" s="50" t="s">
        <v>1220</v>
      </c>
      <c r="E341" s="50" t="s">
        <v>710</v>
      </c>
      <c r="F341" s="50" t="s">
        <v>73</v>
      </c>
      <c r="G341" s="50" t="s">
        <v>74</v>
      </c>
      <c r="H341" s="51">
        <v>1</v>
      </c>
      <c r="I341" s="52">
        <f>J341/H341</f>
        <v>34990</v>
      </c>
      <c r="J341" s="52">
        <v>34990</v>
      </c>
      <c r="K341" s="51">
        <v>16</v>
      </c>
      <c r="L341" s="53">
        <f>K341/H341*30</f>
        <v>480</v>
      </c>
    </row>
    <row r="342" spans="1:12" s="2" customFormat="1" ht="13.95" customHeight="1" outlineLevel="2" x14ac:dyDescent="0.2">
      <c r="A342" s="50" t="s">
        <v>70</v>
      </c>
      <c r="B342" s="50" t="s">
        <v>5</v>
      </c>
      <c r="C342" s="50" t="s">
        <v>31</v>
      </c>
      <c r="D342" s="50" t="s">
        <v>1221</v>
      </c>
      <c r="E342" s="50" t="s">
        <v>710</v>
      </c>
      <c r="F342" s="50" t="s">
        <v>73</v>
      </c>
      <c r="G342" s="50" t="s">
        <v>84</v>
      </c>
      <c r="H342" s="51">
        <v>1</v>
      </c>
      <c r="I342" s="52">
        <f>J342/H342</f>
        <v>34990</v>
      </c>
      <c r="J342" s="52">
        <v>34990</v>
      </c>
      <c r="K342" s="51">
        <v>16</v>
      </c>
      <c r="L342" s="53">
        <f>K342/H342*30</f>
        <v>480</v>
      </c>
    </row>
    <row r="343" spans="1:12" s="2" customFormat="1" ht="13.95" customHeight="1" outlineLevel="2" x14ac:dyDescent="0.2">
      <c r="A343" s="50" t="s">
        <v>70</v>
      </c>
      <c r="B343" s="50" t="s">
        <v>5</v>
      </c>
      <c r="C343" s="50" t="s">
        <v>31</v>
      </c>
      <c r="D343" s="50" t="s">
        <v>1222</v>
      </c>
      <c r="E343" s="50" t="s">
        <v>710</v>
      </c>
      <c r="F343" s="50" t="s">
        <v>155</v>
      </c>
      <c r="G343" s="50" t="s">
        <v>156</v>
      </c>
      <c r="H343" s="51">
        <v>1</v>
      </c>
      <c r="I343" s="52">
        <f>J343/H343</f>
        <v>34990</v>
      </c>
      <c r="J343" s="52">
        <v>34990</v>
      </c>
      <c r="K343" s="51">
        <v>3</v>
      </c>
      <c r="L343" s="53">
        <f>K343/H343*30</f>
        <v>90</v>
      </c>
    </row>
    <row r="344" spans="1:12" s="2" customFormat="1" ht="13.95" customHeight="1" outlineLevel="2" x14ac:dyDescent="0.2">
      <c r="A344" s="50" t="s">
        <v>70</v>
      </c>
      <c r="B344" s="50" t="s">
        <v>5</v>
      </c>
      <c r="C344" s="50" t="s">
        <v>31</v>
      </c>
      <c r="D344" s="50" t="s">
        <v>1223</v>
      </c>
      <c r="E344" s="50" t="s">
        <v>1224</v>
      </c>
      <c r="F344" s="50" t="s">
        <v>73</v>
      </c>
      <c r="G344" s="50" t="s">
        <v>86</v>
      </c>
      <c r="H344" s="51">
        <v>1</v>
      </c>
      <c r="I344" s="52">
        <f>J344/H344</f>
        <v>34990</v>
      </c>
      <c r="J344" s="52">
        <v>34990</v>
      </c>
      <c r="K344" s="51">
        <v>12</v>
      </c>
      <c r="L344" s="53">
        <f>K344/H344*30</f>
        <v>360</v>
      </c>
    </row>
    <row r="345" spans="1:12" s="2" customFormat="1" ht="13.95" customHeight="1" outlineLevel="1" x14ac:dyDescent="0.2">
      <c r="A345" s="50"/>
      <c r="B345" s="50"/>
      <c r="C345" s="58" t="s">
        <v>1489</v>
      </c>
      <c r="D345" s="50"/>
      <c r="E345" s="50"/>
      <c r="F345" s="50"/>
      <c r="G345" s="50"/>
      <c r="H345" s="51">
        <f>SUBTOTAL(9,H336:H344)</f>
        <v>18</v>
      </c>
      <c r="I345" s="52"/>
      <c r="J345" s="52">
        <f>SUBTOTAL(9,J336:J344)</f>
        <v>619323</v>
      </c>
      <c r="K345" s="51"/>
      <c r="L345" s="53"/>
    </row>
    <row r="346" spans="1:12" s="2" customFormat="1" ht="13.95" customHeight="1" outlineLevel="2" x14ac:dyDescent="0.2">
      <c r="A346" s="50" t="s">
        <v>70</v>
      </c>
      <c r="B346" s="50" t="s">
        <v>5</v>
      </c>
      <c r="C346" s="50" t="s">
        <v>32</v>
      </c>
      <c r="D346" s="50" t="s">
        <v>375</v>
      </c>
      <c r="E346" s="50" t="s">
        <v>376</v>
      </c>
      <c r="F346" s="50" t="s">
        <v>223</v>
      </c>
      <c r="G346" s="50" t="s">
        <v>224</v>
      </c>
      <c r="H346" s="51">
        <v>2</v>
      </c>
      <c r="I346" s="52">
        <f>J346/H346</f>
        <v>116990</v>
      </c>
      <c r="J346" s="52">
        <v>233980</v>
      </c>
      <c r="K346" s="51">
        <v>6</v>
      </c>
      <c r="L346" s="53">
        <f>K346/H346*30</f>
        <v>90</v>
      </c>
    </row>
    <row r="347" spans="1:12" s="2" customFormat="1" ht="13.95" customHeight="1" outlineLevel="2" x14ac:dyDescent="0.2">
      <c r="A347" s="50" t="s">
        <v>70</v>
      </c>
      <c r="B347" s="50" t="s">
        <v>5</v>
      </c>
      <c r="C347" s="50" t="s">
        <v>32</v>
      </c>
      <c r="D347" s="50" t="s">
        <v>449</v>
      </c>
      <c r="E347" s="50" t="s">
        <v>450</v>
      </c>
      <c r="F347" s="50" t="s">
        <v>223</v>
      </c>
      <c r="G347" s="50" t="s">
        <v>86</v>
      </c>
      <c r="H347" s="51">
        <v>3</v>
      </c>
      <c r="I347" s="52">
        <f>J347/H347</f>
        <v>65990</v>
      </c>
      <c r="J347" s="52">
        <v>197970</v>
      </c>
      <c r="K347" s="51">
        <v>1</v>
      </c>
      <c r="L347" s="53">
        <f>K347/H347*30</f>
        <v>10</v>
      </c>
    </row>
    <row r="348" spans="1:12" s="2" customFormat="1" ht="13.95" customHeight="1" outlineLevel="2" x14ac:dyDescent="0.2">
      <c r="A348" s="50" t="s">
        <v>70</v>
      </c>
      <c r="B348" s="50" t="s">
        <v>5</v>
      </c>
      <c r="C348" s="50" t="s">
        <v>32</v>
      </c>
      <c r="D348" s="50" t="s">
        <v>916</v>
      </c>
      <c r="E348" s="50" t="s">
        <v>917</v>
      </c>
      <c r="F348" s="50" t="s">
        <v>223</v>
      </c>
      <c r="G348" s="50" t="s">
        <v>224</v>
      </c>
      <c r="H348" s="51">
        <v>2</v>
      </c>
      <c r="I348" s="52">
        <f>J348/H348</f>
        <v>36990</v>
      </c>
      <c r="J348" s="52">
        <v>73980</v>
      </c>
      <c r="K348" s="51">
        <v>8</v>
      </c>
      <c r="L348" s="53">
        <f>K348/H348*30</f>
        <v>120</v>
      </c>
    </row>
    <row r="349" spans="1:12" s="2" customFormat="1" ht="13.95" customHeight="1" outlineLevel="1" x14ac:dyDescent="0.2">
      <c r="A349" s="50"/>
      <c r="B349" s="50"/>
      <c r="C349" s="58" t="s">
        <v>1479</v>
      </c>
      <c r="D349" s="50"/>
      <c r="E349" s="50"/>
      <c r="F349" s="50"/>
      <c r="G349" s="50"/>
      <c r="H349" s="51">
        <f>SUBTOTAL(9,H346:H348)</f>
        <v>7</v>
      </c>
      <c r="I349" s="52"/>
      <c r="J349" s="52">
        <f>SUBTOTAL(9,J346:J348)</f>
        <v>505930</v>
      </c>
      <c r="K349" s="51"/>
      <c r="L349" s="53"/>
    </row>
    <row r="350" spans="1:12" s="2" customFormat="1" ht="13.95" customHeight="1" outlineLevel="2" x14ac:dyDescent="0.2">
      <c r="A350" s="50" t="s">
        <v>70</v>
      </c>
      <c r="B350" s="50" t="s">
        <v>5</v>
      </c>
      <c r="C350" s="50" t="s">
        <v>33</v>
      </c>
      <c r="D350" s="50" t="s">
        <v>119</v>
      </c>
      <c r="E350" s="50" t="s">
        <v>120</v>
      </c>
      <c r="F350" s="50" t="s">
        <v>73</v>
      </c>
      <c r="G350" s="50" t="s">
        <v>74</v>
      </c>
      <c r="H350" s="51">
        <v>9</v>
      </c>
      <c r="I350" s="52">
        <f>J350/H350</f>
        <v>65990</v>
      </c>
      <c r="J350" s="52">
        <v>593910</v>
      </c>
      <c r="K350" s="51">
        <v>2</v>
      </c>
      <c r="L350" s="53">
        <f>K350/H350*30</f>
        <v>6.6666666666666661</v>
      </c>
    </row>
    <row r="351" spans="1:12" s="2" customFormat="1" ht="13.95" customHeight="1" outlineLevel="2" x14ac:dyDescent="0.2">
      <c r="A351" s="50" t="s">
        <v>70</v>
      </c>
      <c r="B351" s="50" t="s">
        <v>5</v>
      </c>
      <c r="C351" s="50" t="s">
        <v>33</v>
      </c>
      <c r="D351" s="50" t="s">
        <v>331</v>
      </c>
      <c r="E351" s="50" t="s">
        <v>120</v>
      </c>
      <c r="F351" s="50" t="s">
        <v>73</v>
      </c>
      <c r="G351" s="50" t="s">
        <v>97</v>
      </c>
      <c r="H351" s="51">
        <v>4</v>
      </c>
      <c r="I351" s="52">
        <f>J351/H351</f>
        <v>65990</v>
      </c>
      <c r="J351" s="52">
        <v>263960</v>
      </c>
      <c r="K351" s="51">
        <v>13</v>
      </c>
      <c r="L351" s="53">
        <f>K351/H351*30</f>
        <v>97.5</v>
      </c>
    </row>
    <row r="352" spans="1:12" s="2" customFormat="1" ht="13.95" customHeight="1" outlineLevel="2" x14ac:dyDescent="0.2">
      <c r="A352" s="50" t="s">
        <v>70</v>
      </c>
      <c r="B352" s="50" t="s">
        <v>5</v>
      </c>
      <c r="C352" s="50" t="s">
        <v>33</v>
      </c>
      <c r="D352" s="50" t="s">
        <v>332</v>
      </c>
      <c r="E352" s="50" t="s">
        <v>333</v>
      </c>
      <c r="F352" s="50" t="s">
        <v>73</v>
      </c>
      <c r="G352" s="50" t="s">
        <v>88</v>
      </c>
      <c r="H352" s="51">
        <v>11</v>
      </c>
      <c r="I352" s="52">
        <f>J352/H352</f>
        <v>23990</v>
      </c>
      <c r="J352" s="52">
        <v>263890</v>
      </c>
      <c r="K352" s="51">
        <v>27</v>
      </c>
      <c r="L352" s="53">
        <f>K352/H352*30</f>
        <v>73.63636363636364</v>
      </c>
    </row>
    <row r="353" spans="1:12" s="2" customFormat="1" ht="13.95" customHeight="1" outlineLevel="2" x14ac:dyDescent="0.2">
      <c r="A353" s="50" t="s">
        <v>70</v>
      </c>
      <c r="B353" s="50" t="s">
        <v>5</v>
      </c>
      <c r="C353" s="50" t="s">
        <v>33</v>
      </c>
      <c r="D353" s="50" t="s">
        <v>408</v>
      </c>
      <c r="E353" s="50" t="s">
        <v>409</v>
      </c>
      <c r="F353" s="50" t="s">
        <v>106</v>
      </c>
      <c r="G353" s="50" t="s">
        <v>74</v>
      </c>
      <c r="H353" s="51">
        <v>5</v>
      </c>
      <c r="I353" s="52">
        <f>J353/H353</f>
        <v>42290.6</v>
      </c>
      <c r="J353" s="52">
        <v>211453</v>
      </c>
      <c r="K353" s="51">
        <v>18</v>
      </c>
      <c r="L353" s="53">
        <f>K353/H353*30</f>
        <v>108</v>
      </c>
    </row>
    <row r="354" spans="1:12" s="2" customFormat="1" ht="13.95" customHeight="1" outlineLevel="2" x14ac:dyDescent="0.2">
      <c r="A354" s="50" t="s">
        <v>70</v>
      </c>
      <c r="B354" s="50" t="s">
        <v>5</v>
      </c>
      <c r="C354" s="50" t="s">
        <v>33</v>
      </c>
      <c r="D354" s="50" t="s">
        <v>451</v>
      </c>
      <c r="E354" s="50" t="s">
        <v>120</v>
      </c>
      <c r="F354" s="50" t="s">
        <v>106</v>
      </c>
      <c r="G354" s="50" t="s">
        <v>88</v>
      </c>
      <c r="H354" s="51">
        <v>3</v>
      </c>
      <c r="I354" s="52">
        <f>J354/H354</f>
        <v>65990</v>
      </c>
      <c r="J354" s="52">
        <v>197970</v>
      </c>
      <c r="K354" s="51">
        <v>14</v>
      </c>
      <c r="L354" s="53">
        <f>K354/H354*30</f>
        <v>140</v>
      </c>
    </row>
    <row r="355" spans="1:12" s="2" customFormat="1" ht="13.95" customHeight="1" outlineLevel="2" x14ac:dyDescent="0.2">
      <c r="A355" s="50" t="s">
        <v>70</v>
      </c>
      <c r="B355" s="50" t="s">
        <v>5</v>
      </c>
      <c r="C355" s="50" t="s">
        <v>33</v>
      </c>
      <c r="D355" s="50" t="s">
        <v>563</v>
      </c>
      <c r="E355" s="50" t="s">
        <v>564</v>
      </c>
      <c r="F355" s="50" t="s">
        <v>137</v>
      </c>
      <c r="G355" s="50" t="s">
        <v>74</v>
      </c>
      <c r="H355" s="51">
        <v>3</v>
      </c>
      <c r="I355" s="52">
        <f>J355/H355</f>
        <v>49990</v>
      </c>
      <c r="J355" s="52">
        <v>149970</v>
      </c>
      <c r="K355" s="51">
        <v>9</v>
      </c>
      <c r="L355" s="53">
        <f>K355/H355*30</f>
        <v>90</v>
      </c>
    </row>
    <row r="356" spans="1:12" s="2" customFormat="1" ht="13.95" customHeight="1" outlineLevel="2" x14ac:dyDescent="0.2">
      <c r="A356" s="50" t="s">
        <v>70</v>
      </c>
      <c r="B356" s="50" t="s">
        <v>5</v>
      </c>
      <c r="C356" s="50" t="s">
        <v>33</v>
      </c>
      <c r="D356" s="50" t="s">
        <v>606</v>
      </c>
      <c r="E356" s="50" t="s">
        <v>409</v>
      </c>
      <c r="F356" s="50" t="s">
        <v>106</v>
      </c>
      <c r="G356" s="50" t="s">
        <v>84</v>
      </c>
      <c r="H356" s="51">
        <v>3</v>
      </c>
      <c r="I356" s="52">
        <f>J356/H356</f>
        <v>44990</v>
      </c>
      <c r="J356" s="52">
        <v>134970</v>
      </c>
      <c r="K356" s="51">
        <v>10</v>
      </c>
      <c r="L356" s="53">
        <f>K356/H356*30</f>
        <v>100</v>
      </c>
    </row>
    <row r="357" spans="1:12" s="2" customFormat="1" ht="13.95" customHeight="1" outlineLevel="2" x14ac:dyDescent="0.2">
      <c r="A357" s="50" t="s">
        <v>70</v>
      </c>
      <c r="B357" s="50" t="s">
        <v>5</v>
      </c>
      <c r="C357" s="50" t="s">
        <v>33</v>
      </c>
      <c r="D357" s="50" t="s">
        <v>634</v>
      </c>
      <c r="E357" s="50" t="s">
        <v>333</v>
      </c>
      <c r="F357" s="50" t="s">
        <v>137</v>
      </c>
      <c r="G357" s="50" t="s">
        <v>88</v>
      </c>
      <c r="H357" s="51">
        <v>5</v>
      </c>
      <c r="I357" s="52">
        <f>J357/H357</f>
        <v>24990</v>
      </c>
      <c r="J357" s="52">
        <v>124950</v>
      </c>
      <c r="K357" s="51">
        <v>8</v>
      </c>
      <c r="L357" s="53">
        <f>K357/H357*30</f>
        <v>48</v>
      </c>
    </row>
    <row r="358" spans="1:12" s="2" customFormat="1" ht="13.95" customHeight="1" outlineLevel="2" x14ac:dyDescent="0.2">
      <c r="A358" s="50" t="s">
        <v>70</v>
      </c>
      <c r="B358" s="50" t="s">
        <v>5</v>
      </c>
      <c r="C358" s="50" t="s">
        <v>33</v>
      </c>
      <c r="D358" s="50" t="s">
        <v>677</v>
      </c>
      <c r="E358" s="50" t="s">
        <v>333</v>
      </c>
      <c r="F358" s="50" t="s">
        <v>73</v>
      </c>
      <c r="G358" s="50" t="s">
        <v>97</v>
      </c>
      <c r="H358" s="51">
        <v>5</v>
      </c>
      <c r="I358" s="52">
        <f>J358/H358</f>
        <v>23990</v>
      </c>
      <c r="J358" s="52">
        <v>119950</v>
      </c>
      <c r="K358" s="51">
        <v>28</v>
      </c>
      <c r="L358" s="53">
        <f>K358/H358*30</f>
        <v>168</v>
      </c>
    </row>
    <row r="359" spans="1:12" s="2" customFormat="1" ht="13.95" customHeight="1" outlineLevel="2" x14ac:dyDescent="0.2">
      <c r="A359" s="50" t="s">
        <v>70</v>
      </c>
      <c r="B359" s="50" t="s">
        <v>5</v>
      </c>
      <c r="C359" s="50" t="s">
        <v>33</v>
      </c>
      <c r="D359" s="50" t="s">
        <v>678</v>
      </c>
      <c r="E359" s="50" t="s">
        <v>333</v>
      </c>
      <c r="F359" s="50" t="s">
        <v>73</v>
      </c>
      <c r="G359" s="50" t="s">
        <v>74</v>
      </c>
      <c r="H359" s="51">
        <v>5</v>
      </c>
      <c r="I359" s="52">
        <f>J359/H359</f>
        <v>23990</v>
      </c>
      <c r="J359" s="52">
        <v>119950</v>
      </c>
      <c r="K359" s="51">
        <v>29</v>
      </c>
      <c r="L359" s="53">
        <f>K359/H359*30</f>
        <v>174</v>
      </c>
    </row>
    <row r="360" spans="1:12" s="2" customFormat="1" ht="13.95" customHeight="1" outlineLevel="2" x14ac:dyDescent="0.2">
      <c r="A360" s="50" t="s">
        <v>70</v>
      </c>
      <c r="B360" s="50" t="s">
        <v>5</v>
      </c>
      <c r="C360" s="50" t="s">
        <v>33</v>
      </c>
      <c r="D360" s="50" t="s">
        <v>837</v>
      </c>
      <c r="E360" s="50" t="s">
        <v>409</v>
      </c>
      <c r="F360" s="50" t="s">
        <v>106</v>
      </c>
      <c r="G360" s="50" t="s">
        <v>88</v>
      </c>
      <c r="H360" s="51">
        <v>2</v>
      </c>
      <c r="I360" s="52">
        <f>J360/H360</f>
        <v>44990</v>
      </c>
      <c r="J360" s="52">
        <v>89980</v>
      </c>
      <c r="K360" s="51">
        <v>14</v>
      </c>
      <c r="L360" s="53">
        <f>K360/H360*30</f>
        <v>210</v>
      </c>
    </row>
    <row r="361" spans="1:12" s="2" customFormat="1" ht="13.95" customHeight="1" outlineLevel="2" x14ac:dyDescent="0.2">
      <c r="A361" s="50" t="s">
        <v>70</v>
      </c>
      <c r="B361" s="50" t="s">
        <v>5</v>
      </c>
      <c r="C361" s="50" t="s">
        <v>33</v>
      </c>
      <c r="D361" s="50" t="s">
        <v>856</v>
      </c>
      <c r="E361" s="50" t="s">
        <v>857</v>
      </c>
      <c r="F361" s="50" t="s">
        <v>106</v>
      </c>
      <c r="G361" s="50" t="s">
        <v>74</v>
      </c>
      <c r="H361" s="51">
        <v>6</v>
      </c>
      <c r="I361" s="52">
        <f>J361/H361</f>
        <v>14990</v>
      </c>
      <c r="J361" s="52">
        <v>89940</v>
      </c>
      <c r="K361" s="51">
        <v>16</v>
      </c>
      <c r="L361" s="53">
        <f>K361/H361*30</f>
        <v>80</v>
      </c>
    </row>
    <row r="362" spans="1:12" s="2" customFormat="1" ht="13.95" customHeight="1" outlineLevel="2" x14ac:dyDescent="0.2">
      <c r="A362" s="50" t="s">
        <v>70</v>
      </c>
      <c r="B362" s="50" t="s">
        <v>5</v>
      </c>
      <c r="C362" s="50" t="s">
        <v>33</v>
      </c>
      <c r="D362" s="50" t="s">
        <v>915</v>
      </c>
      <c r="E362" s="50" t="s">
        <v>333</v>
      </c>
      <c r="F362" s="50" t="s">
        <v>137</v>
      </c>
      <c r="G362" s="50" t="s">
        <v>74</v>
      </c>
      <c r="H362" s="51">
        <v>3</v>
      </c>
      <c r="I362" s="52">
        <f>J362/H362</f>
        <v>24990</v>
      </c>
      <c r="J362" s="52">
        <v>74970</v>
      </c>
      <c r="K362" s="51">
        <v>13</v>
      </c>
      <c r="L362" s="53">
        <f>K362/H362*30</f>
        <v>130</v>
      </c>
    </row>
    <row r="363" spans="1:12" s="2" customFormat="1" ht="13.95" customHeight="1" outlineLevel="2" x14ac:dyDescent="0.2">
      <c r="A363" s="50" t="s">
        <v>70</v>
      </c>
      <c r="B363" s="50" t="s">
        <v>5</v>
      </c>
      <c r="C363" s="50" t="s">
        <v>33</v>
      </c>
      <c r="D363" s="50" t="s">
        <v>919</v>
      </c>
      <c r="E363" s="50" t="s">
        <v>333</v>
      </c>
      <c r="F363" s="50" t="s">
        <v>374</v>
      </c>
      <c r="G363" s="50" t="s">
        <v>330</v>
      </c>
      <c r="H363" s="51">
        <v>3</v>
      </c>
      <c r="I363" s="52">
        <f>J363/H363</f>
        <v>23990</v>
      </c>
      <c r="J363" s="52">
        <v>71970</v>
      </c>
      <c r="K363" s="51">
        <v>27</v>
      </c>
      <c r="L363" s="53">
        <f>K363/H363*30</f>
        <v>270</v>
      </c>
    </row>
    <row r="364" spans="1:12" s="2" customFormat="1" ht="13.95" customHeight="1" outlineLevel="2" x14ac:dyDescent="0.2">
      <c r="A364" s="50" t="s">
        <v>70</v>
      </c>
      <c r="B364" s="50" t="s">
        <v>5</v>
      </c>
      <c r="C364" s="50" t="s">
        <v>33</v>
      </c>
      <c r="D364" s="50" t="s">
        <v>938</v>
      </c>
      <c r="E364" s="50" t="s">
        <v>120</v>
      </c>
      <c r="F364" s="50" t="s">
        <v>73</v>
      </c>
      <c r="G364" s="50" t="s">
        <v>86</v>
      </c>
      <c r="H364" s="51">
        <v>1</v>
      </c>
      <c r="I364" s="52">
        <f>J364/H364</f>
        <v>65990</v>
      </c>
      <c r="J364" s="52">
        <v>65990</v>
      </c>
      <c r="K364" s="51">
        <v>18</v>
      </c>
      <c r="L364" s="53">
        <f>K364/H364*30</f>
        <v>540</v>
      </c>
    </row>
    <row r="365" spans="1:12" s="2" customFormat="1" ht="13.95" customHeight="1" outlineLevel="2" x14ac:dyDescent="0.2">
      <c r="A365" s="50" t="s">
        <v>70</v>
      </c>
      <c r="B365" s="50" t="s">
        <v>5</v>
      </c>
      <c r="C365" s="50" t="s">
        <v>33</v>
      </c>
      <c r="D365" s="50" t="s">
        <v>1001</v>
      </c>
      <c r="E365" s="50" t="s">
        <v>857</v>
      </c>
      <c r="F365" s="50" t="s">
        <v>177</v>
      </c>
      <c r="G365" s="50" t="s">
        <v>86</v>
      </c>
      <c r="H365" s="51">
        <v>4</v>
      </c>
      <c r="I365" s="52">
        <f>J365/H365</f>
        <v>14990</v>
      </c>
      <c r="J365" s="52">
        <v>59960</v>
      </c>
      <c r="K365" s="51">
        <v>60</v>
      </c>
      <c r="L365" s="53">
        <f>K365/H365*30</f>
        <v>450</v>
      </c>
    </row>
    <row r="366" spans="1:12" s="2" customFormat="1" ht="13.95" customHeight="1" outlineLevel="2" x14ac:dyDescent="0.2">
      <c r="A366" s="50" t="s">
        <v>70</v>
      </c>
      <c r="B366" s="50" t="s">
        <v>5</v>
      </c>
      <c r="C366" s="50" t="s">
        <v>33</v>
      </c>
      <c r="D366" s="50" t="s">
        <v>1130</v>
      </c>
      <c r="E366" s="50" t="s">
        <v>333</v>
      </c>
      <c r="F366" s="50" t="s">
        <v>1131</v>
      </c>
      <c r="G366" s="50" t="s">
        <v>1132</v>
      </c>
      <c r="H366" s="51">
        <v>2</v>
      </c>
      <c r="I366" s="52">
        <f>J366/H366</f>
        <v>23990</v>
      </c>
      <c r="J366" s="52">
        <v>47980</v>
      </c>
      <c r="K366" s="51">
        <v>1</v>
      </c>
      <c r="L366" s="53">
        <f>K366/H366*30</f>
        <v>15</v>
      </c>
    </row>
    <row r="367" spans="1:12" s="2" customFormat="1" ht="13.95" customHeight="1" outlineLevel="2" x14ac:dyDescent="0.2">
      <c r="A367" s="50" t="s">
        <v>70</v>
      </c>
      <c r="B367" s="50" t="s">
        <v>5</v>
      </c>
      <c r="C367" s="50" t="s">
        <v>33</v>
      </c>
      <c r="D367" s="50" t="s">
        <v>1143</v>
      </c>
      <c r="E367" s="50" t="s">
        <v>409</v>
      </c>
      <c r="F367" s="50" t="s">
        <v>106</v>
      </c>
      <c r="G367" s="50" t="s">
        <v>86</v>
      </c>
      <c r="H367" s="51">
        <v>1</v>
      </c>
      <c r="I367" s="52">
        <f>J367/H367</f>
        <v>44990</v>
      </c>
      <c r="J367" s="52">
        <v>44990</v>
      </c>
      <c r="K367" s="51">
        <v>15</v>
      </c>
      <c r="L367" s="53">
        <f>K367/H367*30</f>
        <v>450</v>
      </c>
    </row>
    <row r="368" spans="1:12" s="2" customFormat="1" ht="13.95" customHeight="1" outlineLevel="2" x14ac:dyDescent="0.2">
      <c r="A368" s="50" t="s">
        <v>70</v>
      </c>
      <c r="B368" s="50" t="s">
        <v>5</v>
      </c>
      <c r="C368" s="50" t="s">
        <v>33</v>
      </c>
      <c r="D368" s="50" t="s">
        <v>1144</v>
      </c>
      <c r="E368" s="50" t="s">
        <v>409</v>
      </c>
      <c r="F368" s="50"/>
      <c r="G368" s="50"/>
      <c r="H368" s="51">
        <v>1</v>
      </c>
      <c r="I368" s="52">
        <f>J368/H368</f>
        <v>44990</v>
      </c>
      <c r="J368" s="52">
        <v>44990</v>
      </c>
      <c r="K368" s="51">
        <v>12</v>
      </c>
      <c r="L368" s="53">
        <f>K368/H368*30</f>
        <v>360</v>
      </c>
    </row>
    <row r="369" spans="1:12" s="2" customFormat="1" ht="13.95" customHeight="1" outlineLevel="2" x14ac:dyDescent="0.2">
      <c r="A369" s="50" t="s">
        <v>70</v>
      </c>
      <c r="B369" s="50" t="s">
        <v>5</v>
      </c>
      <c r="C369" s="50" t="s">
        <v>33</v>
      </c>
      <c r="D369" s="50" t="s">
        <v>1145</v>
      </c>
      <c r="E369" s="50" t="s">
        <v>857</v>
      </c>
      <c r="F369" s="50" t="s">
        <v>137</v>
      </c>
      <c r="G369" s="50" t="s">
        <v>74</v>
      </c>
      <c r="H369" s="51">
        <v>3</v>
      </c>
      <c r="I369" s="52">
        <f>J369/H369</f>
        <v>14990</v>
      </c>
      <c r="J369" s="52">
        <v>44970</v>
      </c>
      <c r="K369" s="51">
        <v>19</v>
      </c>
      <c r="L369" s="53">
        <f>K369/H369*30</f>
        <v>190</v>
      </c>
    </row>
    <row r="370" spans="1:12" s="2" customFormat="1" ht="13.95" customHeight="1" outlineLevel="2" x14ac:dyDescent="0.2">
      <c r="A370" s="50" t="s">
        <v>70</v>
      </c>
      <c r="B370" s="50" t="s">
        <v>5</v>
      </c>
      <c r="C370" s="50" t="s">
        <v>33</v>
      </c>
      <c r="D370" s="50" t="s">
        <v>1282</v>
      </c>
      <c r="E370" s="50" t="s">
        <v>857</v>
      </c>
      <c r="F370" s="50" t="s">
        <v>73</v>
      </c>
      <c r="G370" s="50" t="s">
        <v>943</v>
      </c>
      <c r="H370" s="51">
        <v>2</v>
      </c>
      <c r="I370" s="52">
        <f>J370/H370</f>
        <v>14990</v>
      </c>
      <c r="J370" s="52">
        <v>29980</v>
      </c>
      <c r="K370" s="51">
        <v>10</v>
      </c>
      <c r="L370" s="53">
        <f>K370/H370*30</f>
        <v>150</v>
      </c>
    </row>
    <row r="371" spans="1:12" s="2" customFormat="1" ht="13.95" customHeight="1" outlineLevel="2" x14ac:dyDescent="0.2">
      <c r="A371" s="50" t="s">
        <v>70</v>
      </c>
      <c r="B371" s="50" t="s">
        <v>5</v>
      </c>
      <c r="C371" s="50" t="s">
        <v>33</v>
      </c>
      <c r="D371" s="50" t="s">
        <v>1283</v>
      </c>
      <c r="E371" s="50" t="s">
        <v>857</v>
      </c>
      <c r="F371" s="50" t="s">
        <v>137</v>
      </c>
      <c r="G371" s="50" t="s">
        <v>86</v>
      </c>
      <c r="H371" s="51">
        <v>2</v>
      </c>
      <c r="I371" s="52">
        <f>J371/H371</f>
        <v>14990</v>
      </c>
      <c r="J371" s="52">
        <v>29980</v>
      </c>
      <c r="K371" s="51">
        <v>47</v>
      </c>
      <c r="L371" s="53">
        <f>K371/H371*30</f>
        <v>705</v>
      </c>
    </row>
    <row r="372" spans="1:12" s="2" customFormat="1" ht="13.95" customHeight="1" outlineLevel="2" x14ac:dyDescent="0.2">
      <c r="A372" s="50" t="s">
        <v>70</v>
      </c>
      <c r="B372" s="50" t="s">
        <v>5</v>
      </c>
      <c r="C372" s="50" t="s">
        <v>33</v>
      </c>
      <c r="D372" s="50" t="s">
        <v>1284</v>
      </c>
      <c r="E372" s="50" t="s">
        <v>857</v>
      </c>
      <c r="F372" s="50" t="s">
        <v>106</v>
      </c>
      <c r="G372" s="50" t="s">
        <v>97</v>
      </c>
      <c r="H372" s="51">
        <v>2</v>
      </c>
      <c r="I372" s="52">
        <f>J372/H372</f>
        <v>14990</v>
      </c>
      <c r="J372" s="52">
        <v>29980</v>
      </c>
      <c r="K372" s="51">
        <v>21</v>
      </c>
      <c r="L372" s="53">
        <f>K372/H372*30</f>
        <v>315</v>
      </c>
    </row>
    <row r="373" spans="1:12" s="2" customFormat="1" ht="13.95" customHeight="1" outlineLevel="2" x14ac:dyDescent="0.2">
      <c r="A373" s="50" t="s">
        <v>70</v>
      </c>
      <c r="B373" s="50" t="s">
        <v>5</v>
      </c>
      <c r="C373" s="50" t="s">
        <v>33</v>
      </c>
      <c r="D373" s="50" t="s">
        <v>1285</v>
      </c>
      <c r="E373" s="50" t="s">
        <v>857</v>
      </c>
      <c r="F373" s="50" t="s">
        <v>106</v>
      </c>
      <c r="G373" s="50" t="s">
        <v>112</v>
      </c>
      <c r="H373" s="51">
        <v>2</v>
      </c>
      <c r="I373" s="52">
        <f>J373/H373</f>
        <v>14990</v>
      </c>
      <c r="J373" s="52">
        <v>29980</v>
      </c>
      <c r="K373" s="51">
        <v>27</v>
      </c>
      <c r="L373" s="53">
        <f>K373/H373*30</f>
        <v>405</v>
      </c>
    </row>
    <row r="374" spans="1:12" s="2" customFormat="1" ht="13.95" customHeight="1" outlineLevel="2" x14ac:dyDescent="0.2">
      <c r="A374" s="50" t="s">
        <v>70</v>
      </c>
      <c r="B374" s="50" t="s">
        <v>5</v>
      </c>
      <c r="C374" s="50" t="s">
        <v>33</v>
      </c>
      <c r="D374" s="50" t="s">
        <v>1310</v>
      </c>
      <c r="E374" s="50" t="s">
        <v>333</v>
      </c>
      <c r="F374" s="50" t="s">
        <v>137</v>
      </c>
      <c r="G374" s="50" t="s">
        <v>86</v>
      </c>
      <c r="H374" s="51">
        <v>1</v>
      </c>
      <c r="I374" s="52">
        <f>J374/H374</f>
        <v>24990</v>
      </c>
      <c r="J374" s="52">
        <v>24990</v>
      </c>
      <c r="K374" s="51">
        <v>29</v>
      </c>
      <c r="L374" s="53">
        <f>K374/H374*30</f>
        <v>870</v>
      </c>
    </row>
    <row r="375" spans="1:12" s="2" customFormat="1" ht="13.95" customHeight="1" outlineLevel="2" x14ac:dyDescent="0.2">
      <c r="A375" s="50" t="s">
        <v>70</v>
      </c>
      <c r="B375" s="50" t="s">
        <v>5</v>
      </c>
      <c r="C375" s="50" t="s">
        <v>33</v>
      </c>
      <c r="D375" s="50" t="s">
        <v>1315</v>
      </c>
      <c r="E375" s="50" t="s">
        <v>333</v>
      </c>
      <c r="F375" s="50" t="s">
        <v>73</v>
      </c>
      <c r="G375" s="50" t="s">
        <v>86</v>
      </c>
      <c r="H375" s="51">
        <v>1</v>
      </c>
      <c r="I375" s="52">
        <f>J375/H375</f>
        <v>23990</v>
      </c>
      <c r="J375" s="52">
        <v>23990</v>
      </c>
      <c r="K375" s="51">
        <v>44</v>
      </c>
      <c r="L375" s="53">
        <f>K375/H375*30</f>
        <v>1320</v>
      </c>
    </row>
    <row r="376" spans="1:12" s="2" customFormat="1" ht="13.95" customHeight="1" outlineLevel="2" x14ac:dyDescent="0.2">
      <c r="A376" s="50" t="s">
        <v>70</v>
      </c>
      <c r="B376" s="50" t="s">
        <v>5</v>
      </c>
      <c r="C376" s="50" t="s">
        <v>33</v>
      </c>
      <c r="D376" s="50" t="s">
        <v>1316</v>
      </c>
      <c r="E376" s="50" t="s">
        <v>333</v>
      </c>
      <c r="F376" s="50" t="s">
        <v>106</v>
      </c>
      <c r="G376" s="50" t="s">
        <v>88</v>
      </c>
      <c r="H376" s="51">
        <v>1</v>
      </c>
      <c r="I376" s="52">
        <f>J376/H376</f>
        <v>23990</v>
      </c>
      <c r="J376" s="52">
        <v>23990</v>
      </c>
      <c r="K376" s="51">
        <v>0</v>
      </c>
      <c r="L376" s="53">
        <f>K376/H376*30</f>
        <v>0</v>
      </c>
    </row>
    <row r="377" spans="1:12" s="2" customFormat="1" ht="13.95" customHeight="1" outlineLevel="2" x14ac:dyDescent="0.2">
      <c r="A377" s="50" t="s">
        <v>70</v>
      </c>
      <c r="B377" s="50" t="s">
        <v>5</v>
      </c>
      <c r="C377" s="50" t="s">
        <v>33</v>
      </c>
      <c r="D377" s="50" t="s">
        <v>1317</v>
      </c>
      <c r="E377" s="50" t="s">
        <v>333</v>
      </c>
      <c r="F377" s="50" t="s">
        <v>106</v>
      </c>
      <c r="G377" s="50" t="s">
        <v>86</v>
      </c>
      <c r="H377" s="51">
        <v>1</v>
      </c>
      <c r="I377" s="52">
        <f>J377/H377</f>
        <v>23990</v>
      </c>
      <c r="J377" s="52">
        <v>23990</v>
      </c>
      <c r="K377" s="51">
        <v>5</v>
      </c>
      <c r="L377" s="53">
        <f>K377/H377*30</f>
        <v>150</v>
      </c>
    </row>
    <row r="378" spans="1:12" s="2" customFormat="1" ht="13.95" customHeight="1" outlineLevel="2" x14ac:dyDescent="0.2">
      <c r="A378" s="50" t="s">
        <v>70</v>
      </c>
      <c r="B378" s="50" t="s">
        <v>5</v>
      </c>
      <c r="C378" s="50" t="s">
        <v>33</v>
      </c>
      <c r="D378" s="50" t="s">
        <v>1318</v>
      </c>
      <c r="E378" s="50" t="s">
        <v>333</v>
      </c>
      <c r="F378" s="50" t="s">
        <v>106</v>
      </c>
      <c r="G378" s="50" t="s">
        <v>74</v>
      </c>
      <c r="H378" s="51">
        <v>1</v>
      </c>
      <c r="I378" s="52">
        <f>J378/H378</f>
        <v>23990</v>
      </c>
      <c r="J378" s="52">
        <v>23990</v>
      </c>
      <c r="K378" s="51">
        <v>2</v>
      </c>
      <c r="L378" s="53">
        <f>K378/H378*30</f>
        <v>60</v>
      </c>
    </row>
    <row r="379" spans="1:12" s="2" customFormat="1" ht="13.95" customHeight="1" outlineLevel="2" x14ac:dyDescent="0.2">
      <c r="A379" s="50" t="s">
        <v>70</v>
      </c>
      <c r="B379" s="50" t="s">
        <v>5</v>
      </c>
      <c r="C379" s="50" t="s">
        <v>33</v>
      </c>
      <c r="D379" s="50" t="s">
        <v>1319</v>
      </c>
      <c r="E379" s="50" t="s">
        <v>333</v>
      </c>
      <c r="F379" s="50" t="s">
        <v>155</v>
      </c>
      <c r="G379" s="50" t="s">
        <v>512</v>
      </c>
      <c r="H379" s="51">
        <v>1</v>
      </c>
      <c r="I379" s="52">
        <f>J379/H379</f>
        <v>23990</v>
      </c>
      <c r="J379" s="52">
        <v>23990</v>
      </c>
      <c r="K379" s="51">
        <v>5</v>
      </c>
      <c r="L379" s="53">
        <f>K379/H379*30</f>
        <v>150</v>
      </c>
    </row>
    <row r="380" spans="1:12" s="2" customFormat="1" ht="13.95" customHeight="1" outlineLevel="2" x14ac:dyDescent="0.2">
      <c r="A380" s="50" t="s">
        <v>70</v>
      </c>
      <c r="B380" s="50" t="s">
        <v>5</v>
      </c>
      <c r="C380" s="50" t="s">
        <v>33</v>
      </c>
      <c r="D380" s="50" t="s">
        <v>1320</v>
      </c>
      <c r="E380" s="50" t="s">
        <v>333</v>
      </c>
      <c r="F380" s="50" t="s">
        <v>155</v>
      </c>
      <c r="G380" s="50" t="s">
        <v>1287</v>
      </c>
      <c r="H380" s="51">
        <v>1</v>
      </c>
      <c r="I380" s="52">
        <f>J380/H380</f>
        <v>23990</v>
      </c>
      <c r="J380" s="52">
        <v>23990</v>
      </c>
      <c r="K380" s="51">
        <v>0</v>
      </c>
      <c r="L380" s="53">
        <f>K380/H380*30</f>
        <v>0</v>
      </c>
    </row>
    <row r="381" spans="1:12" s="2" customFormat="1" ht="13.95" customHeight="1" outlineLevel="2" x14ac:dyDescent="0.2">
      <c r="A381" s="50" t="s">
        <v>70</v>
      </c>
      <c r="B381" s="50" t="s">
        <v>5</v>
      </c>
      <c r="C381" s="50" t="s">
        <v>33</v>
      </c>
      <c r="D381" s="50" t="s">
        <v>1321</v>
      </c>
      <c r="E381" s="50" t="s">
        <v>333</v>
      </c>
      <c r="F381" s="50" t="s">
        <v>155</v>
      </c>
      <c r="G381" s="50" t="s">
        <v>156</v>
      </c>
      <c r="H381" s="51">
        <v>1</v>
      </c>
      <c r="I381" s="52">
        <f>J381/H381</f>
        <v>23990</v>
      </c>
      <c r="J381" s="52">
        <v>23990</v>
      </c>
      <c r="K381" s="51">
        <v>13</v>
      </c>
      <c r="L381" s="53">
        <f>K381/H381*30</f>
        <v>390</v>
      </c>
    </row>
    <row r="382" spans="1:12" s="2" customFormat="1" ht="13.95" customHeight="1" outlineLevel="2" x14ac:dyDescent="0.2">
      <c r="A382" s="50" t="s">
        <v>70</v>
      </c>
      <c r="B382" s="50" t="s">
        <v>5</v>
      </c>
      <c r="C382" s="50" t="s">
        <v>33</v>
      </c>
      <c r="D382" s="50" t="s">
        <v>1394</v>
      </c>
      <c r="E382" s="50" t="s">
        <v>857</v>
      </c>
      <c r="F382" s="50" t="s">
        <v>137</v>
      </c>
      <c r="G382" s="50" t="s">
        <v>88</v>
      </c>
      <c r="H382" s="51">
        <v>1</v>
      </c>
      <c r="I382" s="52">
        <f>J382/H382</f>
        <v>14990</v>
      </c>
      <c r="J382" s="52">
        <v>14990</v>
      </c>
      <c r="K382" s="51">
        <v>49</v>
      </c>
      <c r="L382" s="53">
        <f>K382/H382*30</f>
        <v>1470</v>
      </c>
    </row>
    <row r="383" spans="1:12" s="2" customFormat="1" ht="13.95" customHeight="1" outlineLevel="2" x14ac:dyDescent="0.2">
      <c r="A383" s="50" t="s">
        <v>70</v>
      </c>
      <c r="B383" s="50" t="s">
        <v>5</v>
      </c>
      <c r="C383" s="50" t="s">
        <v>33</v>
      </c>
      <c r="D383" s="50" t="s">
        <v>1395</v>
      </c>
      <c r="E383" s="50" t="s">
        <v>857</v>
      </c>
      <c r="F383" s="50" t="s">
        <v>106</v>
      </c>
      <c r="G383" s="50" t="s">
        <v>88</v>
      </c>
      <c r="H383" s="51">
        <v>1</v>
      </c>
      <c r="I383" s="52">
        <f>J383/H383</f>
        <v>14990</v>
      </c>
      <c r="J383" s="52">
        <v>14990</v>
      </c>
      <c r="K383" s="51">
        <v>51</v>
      </c>
      <c r="L383" s="53">
        <f>K383/H383*30</f>
        <v>1530</v>
      </c>
    </row>
    <row r="384" spans="1:12" s="2" customFormat="1" ht="13.95" customHeight="1" outlineLevel="1" x14ac:dyDescent="0.2">
      <c r="A384" s="50"/>
      <c r="B384" s="50"/>
      <c r="C384" s="58" t="s">
        <v>1461</v>
      </c>
      <c r="D384" s="50"/>
      <c r="E384" s="50"/>
      <c r="F384" s="50"/>
      <c r="G384" s="50"/>
      <c r="H384" s="51">
        <f>SUBTOTAL(9,H350:H383)</f>
        <v>97</v>
      </c>
      <c r="I384" s="52"/>
      <c r="J384" s="52">
        <f>SUBTOTAL(9,J350:J383)</f>
        <v>3159533</v>
      </c>
      <c r="K384" s="51"/>
      <c r="L384" s="53"/>
    </row>
    <row r="385" spans="1:12" s="2" customFormat="1" ht="13.95" customHeight="1" outlineLevel="2" x14ac:dyDescent="0.2">
      <c r="A385" s="50" t="s">
        <v>70</v>
      </c>
      <c r="B385" s="50" t="s">
        <v>5</v>
      </c>
      <c r="C385" s="50" t="s">
        <v>34</v>
      </c>
      <c r="D385" s="50" t="s">
        <v>211</v>
      </c>
      <c r="E385" s="50" t="s">
        <v>212</v>
      </c>
      <c r="F385" s="50" t="s">
        <v>137</v>
      </c>
      <c r="G385" s="50" t="s">
        <v>74</v>
      </c>
      <c r="H385" s="51">
        <v>6</v>
      </c>
      <c r="I385" s="52">
        <f>J385/H385</f>
        <v>64990</v>
      </c>
      <c r="J385" s="52">
        <v>389940</v>
      </c>
      <c r="K385" s="51">
        <v>4</v>
      </c>
      <c r="L385" s="53">
        <f>K385/H385*30</f>
        <v>20</v>
      </c>
    </row>
    <row r="386" spans="1:12" s="2" customFormat="1" ht="13.95" customHeight="1" outlineLevel="2" x14ac:dyDescent="0.2">
      <c r="A386" s="50" t="s">
        <v>70</v>
      </c>
      <c r="B386" s="50" t="s">
        <v>5</v>
      </c>
      <c r="C386" s="50" t="s">
        <v>34</v>
      </c>
      <c r="D386" s="50" t="s">
        <v>219</v>
      </c>
      <c r="E386" s="50" t="s">
        <v>220</v>
      </c>
      <c r="F386" s="50" t="s">
        <v>73</v>
      </c>
      <c r="G386" s="50" t="s">
        <v>88</v>
      </c>
      <c r="H386" s="51">
        <v>4</v>
      </c>
      <c r="I386" s="52">
        <f>J386/H386</f>
        <v>94990</v>
      </c>
      <c r="J386" s="52">
        <v>379960</v>
      </c>
      <c r="K386" s="51">
        <v>13</v>
      </c>
      <c r="L386" s="53">
        <f>K386/H386*30</f>
        <v>97.5</v>
      </c>
    </row>
    <row r="387" spans="1:12" s="2" customFormat="1" ht="13.95" customHeight="1" outlineLevel="2" x14ac:dyDescent="0.2">
      <c r="A387" s="50" t="s">
        <v>70</v>
      </c>
      <c r="B387" s="50" t="s">
        <v>5</v>
      </c>
      <c r="C387" s="50" t="s">
        <v>34</v>
      </c>
      <c r="D387" s="50" t="s">
        <v>221</v>
      </c>
      <c r="E387" s="50" t="s">
        <v>220</v>
      </c>
      <c r="F387" s="50" t="s">
        <v>73</v>
      </c>
      <c r="G387" s="50" t="s">
        <v>84</v>
      </c>
      <c r="H387" s="51">
        <v>4</v>
      </c>
      <c r="I387" s="52">
        <f>J387/H387</f>
        <v>94990</v>
      </c>
      <c r="J387" s="52">
        <v>379960</v>
      </c>
      <c r="K387" s="51">
        <v>10</v>
      </c>
      <c r="L387" s="53">
        <f>K387/H387*30</f>
        <v>75</v>
      </c>
    </row>
    <row r="388" spans="1:12" s="2" customFormat="1" ht="13.95" customHeight="1" outlineLevel="2" x14ac:dyDescent="0.2">
      <c r="A388" s="50" t="s">
        <v>70</v>
      </c>
      <c r="B388" s="50" t="s">
        <v>5</v>
      </c>
      <c r="C388" s="50" t="s">
        <v>34</v>
      </c>
      <c r="D388" s="50" t="s">
        <v>222</v>
      </c>
      <c r="E388" s="50" t="s">
        <v>220</v>
      </c>
      <c r="F388" s="50" t="s">
        <v>223</v>
      </c>
      <c r="G388" s="50" t="s">
        <v>224</v>
      </c>
      <c r="H388" s="51">
        <v>4</v>
      </c>
      <c r="I388" s="52">
        <f>J388/H388</f>
        <v>94990</v>
      </c>
      <c r="J388" s="52">
        <v>379960</v>
      </c>
      <c r="K388" s="51">
        <v>8</v>
      </c>
      <c r="L388" s="53">
        <f>K388/H388*30</f>
        <v>60</v>
      </c>
    </row>
    <row r="389" spans="1:12" s="2" customFormat="1" ht="13.95" customHeight="1" outlineLevel="2" x14ac:dyDescent="0.2">
      <c r="A389" s="50" t="s">
        <v>70</v>
      </c>
      <c r="B389" s="50" t="s">
        <v>5</v>
      </c>
      <c r="C389" s="50" t="s">
        <v>34</v>
      </c>
      <c r="D389" s="50" t="s">
        <v>337</v>
      </c>
      <c r="E389" s="50" t="s">
        <v>338</v>
      </c>
      <c r="F389" s="50" t="s">
        <v>73</v>
      </c>
      <c r="G389" s="50" t="s">
        <v>84</v>
      </c>
      <c r="H389" s="51">
        <v>5</v>
      </c>
      <c r="I389" s="52">
        <f>J389/H389</f>
        <v>51990</v>
      </c>
      <c r="J389" s="52">
        <v>259950</v>
      </c>
      <c r="K389" s="51">
        <v>7</v>
      </c>
      <c r="L389" s="53">
        <f>K389/H389*30</f>
        <v>42</v>
      </c>
    </row>
    <row r="390" spans="1:12" s="2" customFormat="1" ht="13.95" customHeight="1" outlineLevel="2" x14ac:dyDescent="0.2">
      <c r="A390" s="50" t="s">
        <v>70</v>
      </c>
      <c r="B390" s="50" t="s">
        <v>5</v>
      </c>
      <c r="C390" s="50" t="s">
        <v>34</v>
      </c>
      <c r="D390" s="50" t="s">
        <v>345</v>
      </c>
      <c r="E390" s="50" t="s">
        <v>346</v>
      </c>
      <c r="F390" s="50" t="s">
        <v>73</v>
      </c>
      <c r="G390" s="50" t="s">
        <v>90</v>
      </c>
      <c r="H390" s="51">
        <v>2</v>
      </c>
      <c r="I390" s="52">
        <f>J390/H390</f>
        <v>125990</v>
      </c>
      <c r="J390" s="52">
        <v>251980</v>
      </c>
      <c r="K390" s="51">
        <v>5</v>
      </c>
      <c r="L390" s="53">
        <f>K390/H390*30</f>
        <v>75</v>
      </c>
    </row>
    <row r="391" spans="1:12" s="2" customFormat="1" ht="13.95" customHeight="1" outlineLevel="2" x14ac:dyDescent="0.2">
      <c r="A391" s="50" t="s">
        <v>70</v>
      </c>
      <c r="B391" s="50" t="s">
        <v>5</v>
      </c>
      <c r="C391" s="50" t="s">
        <v>34</v>
      </c>
      <c r="D391" s="50" t="s">
        <v>430</v>
      </c>
      <c r="E391" s="50" t="s">
        <v>431</v>
      </c>
      <c r="F391" s="50" t="s">
        <v>73</v>
      </c>
      <c r="G391" s="50" t="s">
        <v>86</v>
      </c>
      <c r="H391" s="51">
        <v>2</v>
      </c>
      <c r="I391" s="52">
        <f>J391/H391</f>
        <v>99990</v>
      </c>
      <c r="J391" s="52">
        <v>199980</v>
      </c>
      <c r="K391" s="51">
        <v>9</v>
      </c>
      <c r="L391" s="53">
        <f>K391/H391*30</f>
        <v>135</v>
      </c>
    </row>
    <row r="392" spans="1:12" s="2" customFormat="1" ht="13.95" customHeight="1" outlineLevel="2" x14ac:dyDescent="0.2">
      <c r="A392" s="50" t="s">
        <v>70</v>
      </c>
      <c r="B392" s="50" t="s">
        <v>5</v>
      </c>
      <c r="C392" s="50" t="s">
        <v>34</v>
      </c>
      <c r="D392" s="50" t="s">
        <v>469</v>
      </c>
      <c r="E392" s="50" t="s">
        <v>470</v>
      </c>
      <c r="F392" s="50" t="s">
        <v>73</v>
      </c>
      <c r="G392" s="50" t="s">
        <v>86</v>
      </c>
      <c r="H392" s="51">
        <v>2</v>
      </c>
      <c r="I392" s="52">
        <f>J392/H392</f>
        <v>94990</v>
      </c>
      <c r="J392" s="52">
        <v>189980</v>
      </c>
      <c r="K392" s="51">
        <v>19</v>
      </c>
      <c r="L392" s="53">
        <f>K392/H392*30</f>
        <v>285</v>
      </c>
    </row>
    <row r="393" spans="1:12" s="2" customFormat="1" ht="13.95" customHeight="1" outlineLevel="2" x14ac:dyDescent="0.2">
      <c r="A393" s="50" t="s">
        <v>70</v>
      </c>
      <c r="B393" s="50" t="s">
        <v>5</v>
      </c>
      <c r="C393" s="50" t="s">
        <v>34</v>
      </c>
      <c r="D393" s="50" t="s">
        <v>629</v>
      </c>
      <c r="E393" s="50" t="s">
        <v>346</v>
      </c>
      <c r="F393" s="50" t="s">
        <v>73</v>
      </c>
      <c r="G393" s="50" t="s">
        <v>88</v>
      </c>
      <c r="H393" s="51">
        <v>1</v>
      </c>
      <c r="I393" s="52">
        <f>J393/H393</f>
        <v>125990</v>
      </c>
      <c r="J393" s="52">
        <v>125990</v>
      </c>
      <c r="K393" s="51">
        <v>5</v>
      </c>
      <c r="L393" s="53">
        <f>K393/H393*30</f>
        <v>150</v>
      </c>
    </row>
    <row r="394" spans="1:12" s="2" customFormat="1" ht="13.95" customHeight="1" outlineLevel="2" x14ac:dyDescent="0.2">
      <c r="A394" s="50" t="s">
        <v>70</v>
      </c>
      <c r="B394" s="50" t="s">
        <v>5</v>
      </c>
      <c r="C394" s="50" t="s">
        <v>34</v>
      </c>
      <c r="D394" s="50" t="s">
        <v>630</v>
      </c>
      <c r="E394" s="50" t="s">
        <v>346</v>
      </c>
      <c r="F394" s="50" t="s">
        <v>73</v>
      </c>
      <c r="G394" s="50" t="s">
        <v>86</v>
      </c>
      <c r="H394" s="51">
        <v>1</v>
      </c>
      <c r="I394" s="52">
        <f>J394/H394</f>
        <v>125990</v>
      </c>
      <c r="J394" s="52">
        <v>125990</v>
      </c>
      <c r="K394" s="51">
        <v>5</v>
      </c>
      <c r="L394" s="53">
        <f>K394/H394*30</f>
        <v>150</v>
      </c>
    </row>
    <row r="395" spans="1:12" s="2" customFormat="1" ht="13.95" customHeight="1" outlineLevel="2" x14ac:dyDescent="0.2">
      <c r="A395" s="50" t="s">
        <v>70</v>
      </c>
      <c r="B395" s="50" t="s">
        <v>5</v>
      </c>
      <c r="C395" s="50" t="s">
        <v>34</v>
      </c>
      <c r="D395" s="50" t="s">
        <v>631</v>
      </c>
      <c r="E395" s="50" t="s">
        <v>346</v>
      </c>
      <c r="F395" s="50" t="s">
        <v>73</v>
      </c>
      <c r="G395" s="50" t="s">
        <v>84</v>
      </c>
      <c r="H395" s="51">
        <v>1</v>
      </c>
      <c r="I395" s="52">
        <f>J395/H395</f>
        <v>125990</v>
      </c>
      <c r="J395" s="52">
        <v>125990</v>
      </c>
      <c r="K395" s="51">
        <v>6</v>
      </c>
      <c r="L395" s="53">
        <f>K395/H395*30</f>
        <v>180</v>
      </c>
    </row>
    <row r="396" spans="1:12" s="2" customFormat="1" ht="13.95" customHeight="1" outlineLevel="2" x14ac:dyDescent="0.2">
      <c r="A396" s="50" t="s">
        <v>70</v>
      </c>
      <c r="B396" s="50" t="s">
        <v>5</v>
      </c>
      <c r="C396" s="50" t="s">
        <v>34</v>
      </c>
      <c r="D396" s="50" t="s">
        <v>657</v>
      </c>
      <c r="E396" s="50" t="s">
        <v>658</v>
      </c>
      <c r="F396" s="50" t="s">
        <v>137</v>
      </c>
      <c r="G396" s="50" t="s">
        <v>88</v>
      </c>
      <c r="H396" s="51">
        <v>2</v>
      </c>
      <c r="I396" s="52">
        <f>J396/H396</f>
        <v>59990</v>
      </c>
      <c r="J396" s="52">
        <v>119980</v>
      </c>
      <c r="K396" s="51">
        <v>17</v>
      </c>
      <c r="L396" s="53">
        <f>K396/H396*30</f>
        <v>255</v>
      </c>
    </row>
    <row r="397" spans="1:12" s="2" customFormat="1" ht="13.95" customHeight="1" outlineLevel="2" x14ac:dyDescent="0.2">
      <c r="A397" s="50" t="s">
        <v>70</v>
      </c>
      <c r="B397" s="50" t="s">
        <v>5</v>
      </c>
      <c r="C397" s="50" t="s">
        <v>34</v>
      </c>
      <c r="D397" s="50" t="s">
        <v>659</v>
      </c>
      <c r="E397" s="50" t="s">
        <v>658</v>
      </c>
      <c r="F397" s="50" t="s">
        <v>137</v>
      </c>
      <c r="G397" s="50" t="s">
        <v>74</v>
      </c>
      <c r="H397" s="51">
        <v>2</v>
      </c>
      <c r="I397" s="52">
        <f>J397/H397</f>
        <v>59990</v>
      </c>
      <c r="J397" s="52">
        <v>119980</v>
      </c>
      <c r="K397" s="51">
        <v>12</v>
      </c>
      <c r="L397" s="53">
        <f>K397/H397*30</f>
        <v>180</v>
      </c>
    </row>
    <row r="398" spans="1:12" s="2" customFormat="1" ht="13.95" customHeight="1" outlineLevel="2" x14ac:dyDescent="0.2">
      <c r="A398" s="50" t="s">
        <v>70</v>
      </c>
      <c r="B398" s="50" t="s">
        <v>5</v>
      </c>
      <c r="C398" s="50" t="s">
        <v>34</v>
      </c>
      <c r="D398" s="50" t="s">
        <v>723</v>
      </c>
      <c r="E398" s="50" t="s">
        <v>724</v>
      </c>
      <c r="F398" s="50" t="s">
        <v>73</v>
      </c>
      <c r="G398" s="50" t="s">
        <v>140</v>
      </c>
      <c r="H398" s="51">
        <v>2</v>
      </c>
      <c r="I398" s="52">
        <f>J398/H398</f>
        <v>51990</v>
      </c>
      <c r="J398" s="52">
        <v>103980</v>
      </c>
      <c r="K398" s="51">
        <v>5</v>
      </c>
      <c r="L398" s="53">
        <f>K398/H398*30</f>
        <v>75</v>
      </c>
    </row>
    <row r="399" spans="1:12" s="2" customFormat="1" ht="13.95" customHeight="1" outlineLevel="2" x14ac:dyDescent="0.2">
      <c r="A399" s="50" t="s">
        <v>70</v>
      </c>
      <c r="B399" s="50" t="s">
        <v>5</v>
      </c>
      <c r="C399" s="50" t="s">
        <v>34</v>
      </c>
      <c r="D399" s="50" t="s">
        <v>737</v>
      </c>
      <c r="E399" s="50" t="s">
        <v>738</v>
      </c>
      <c r="F399" s="50" t="s">
        <v>73</v>
      </c>
      <c r="G399" s="50" t="s">
        <v>140</v>
      </c>
      <c r="H399" s="51">
        <v>1</v>
      </c>
      <c r="I399" s="52">
        <f>J399/H399</f>
        <v>99990</v>
      </c>
      <c r="J399" s="52">
        <v>99990</v>
      </c>
      <c r="K399" s="51">
        <v>3</v>
      </c>
      <c r="L399" s="53">
        <f>K399/H399*30</f>
        <v>90</v>
      </c>
    </row>
    <row r="400" spans="1:12" s="2" customFormat="1" ht="13.95" customHeight="1" outlineLevel="2" x14ac:dyDescent="0.2">
      <c r="A400" s="50" t="s">
        <v>70</v>
      </c>
      <c r="B400" s="50" t="s">
        <v>5</v>
      </c>
      <c r="C400" s="50" t="s">
        <v>34</v>
      </c>
      <c r="D400" s="50" t="s">
        <v>739</v>
      </c>
      <c r="E400" s="50" t="s">
        <v>738</v>
      </c>
      <c r="F400" s="50" t="s">
        <v>73</v>
      </c>
      <c r="G400" s="50" t="s">
        <v>88</v>
      </c>
      <c r="H400" s="51">
        <v>1</v>
      </c>
      <c r="I400" s="52">
        <f>J400/H400</f>
        <v>99990</v>
      </c>
      <c r="J400" s="52">
        <v>99990</v>
      </c>
      <c r="K400" s="51">
        <v>22</v>
      </c>
      <c r="L400" s="53">
        <f>K400/H400*30</f>
        <v>660</v>
      </c>
    </row>
    <row r="401" spans="1:12" s="2" customFormat="1" ht="13.95" customHeight="1" outlineLevel="2" x14ac:dyDescent="0.2">
      <c r="A401" s="50" t="s">
        <v>70</v>
      </c>
      <c r="B401" s="50" t="s">
        <v>5</v>
      </c>
      <c r="C401" s="50" t="s">
        <v>34</v>
      </c>
      <c r="D401" s="50" t="s">
        <v>740</v>
      </c>
      <c r="E401" s="50" t="s">
        <v>738</v>
      </c>
      <c r="F401" s="50" t="s">
        <v>73</v>
      </c>
      <c r="G401" s="50" t="s">
        <v>86</v>
      </c>
      <c r="H401" s="51">
        <v>1</v>
      </c>
      <c r="I401" s="52">
        <f>J401/H401</f>
        <v>99990</v>
      </c>
      <c r="J401" s="52">
        <v>99990</v>
      </c>
      <c r="K401" s="51">
        <v>28</v>
      </c>
      <c r="L401" s="53">
        <f>K401/H401*30</f>
        <v>840</v>
      </c>
    </row>
    <row r="402" spans="1:12" s="2" customFormat="1" ht="13.95" customHeight="1" outlineLevel="2" x14ac:dyDescent="0.2">
      <c r="A402" s="50" t="s">
        <v>70</v>
      </c>
      <c r="B402" s="50" t="s">
        <v>5</v>
      </c>
      <c r="C402" s="50" t="s">
        <v>34</v>
      </c>
      <c r="D402" s="50" t="s">
        <v>954</v>
      </c>
      <c r="E402" s="50" t="s">
        <v>212</v>
      </c>
      <c r="F402" s="50" t="s">
        <v>73</v>
      </c>
      <c r="G402" s="50" t="s">
        <v>86</v>
      </c>
      <c r="H402" s="51">
        <v>1</v>
      </c>
      <c r="I402" s="52">
        <f>J402/H402</f>
        <v>64990</v>
      </c>
      <c r="J402" s="52">
        <v>64990</v>
      </c>
      <c r="K402" s="51">
        <v>8</v>
      </c>
      <c r="L402" s="53">
        <f>K402/H402*30</f>
        <v>240</v>
      </c>
    </row>
    <row r="403" spans="1:12" s="2" customFormat="1" ht="13.95" customHeight="1" outlineLevel="2" x14ac:dyDescent="0.2">
      <c r="A403" s="50" t="s">
        <v>70</v>
      </c>
      <c r="B403" s="50" t="s">
        <v>5</v>
      </c>
      <c r="C403" s="50" t="s">
        <v>34</v>
      </c>
      <c r="D403" s="50" t="s">
        <v>955</v>
      </c>
      <c r="E403" s="50" t="s">
        <v>212</v>
      </c>
      <c r="F403" s="50" t="s">
        <v>73</v>
      </c>
      <c r="G403" s="50" t="s">
        <v>74</v>
      </c>
      <c r="H403" s="51">
        <v>1</v>
      </c>
      <c r="I403" s="52">
        <f>J403/H403</f>
        <v>64990</v>
      </c>
      <c r="J403" s="52">
        <v>64990</v>
      </c>
      <c r="K403" s="51">
        <v>6</v>
      </c>
      <c r="L403" s="53">
        <f>K403/H403*30</f>
        <v>180</v>
      </c>
    </row>
    <row r="404" spans="1:12" s="2" customFormat="1" ht="13.95" customHeight="1" outlineLevel="2" x14ac:dyDescent="0.2">
      <c r="A404" s="50" t="s">
        <v>70</v>
      </c>
      <c r="B404" s="50" t="s">
        <v>5</v>
      </c>
      <c r="C404" s="50" t="s">
        <v>34</v>
      </c>
      <c r="D404" s="50" t="s">
        <v>956</v>
      </c>
      <c r="E404" s="50" t="s">
        <v>212</v>
      </c>
      <c r="F404" s="50" t="s">
        <v>137</v>
      </c>
      <c r="G404" s="50" t="s">
        <v>88</v>
      </c>
      <c r="H404" s="51">
        <v>1</v>
      </c>
      <c r="I404" s="52">
        <f>J404/H404</f>
        <v>64990</v>
      </c>
      <c r="J404" s="52">
        <v>64990</v>
      </c>
      <c r="K404" s="51">
        <v>4</v>
      </c>
      <c r="L404" s="53">
        <f>K404/H404*30</f>
        <v>120</v>
      </c>
    </row>
    <row r="405" spans="1:12" s="2" customFormat="1" ht="13.95" customHeight="1" outlineLevel="2" x14ac:dyDescent="0.2">
      <c r="A405" s="50" t="s">
        <v>70</v>
      </c>
      <c r="B405" s="50" t="s">
        <v>5</v>
      </c>
      <c r="C405" s="50" t="s">
        <v>34</v>
      </c>
      <c r="D405" s="50" t="s">
        <v>971</v>
      </c>
      <c r="E405" s="50" t="s">
        <v>658</v>
      </c>
      <c r="F405" s="50" t="s">
        <v>73</v>
      </c>
      <c r="G405" s="50" t="s">
        <v>97</v>
      </c>
      <c r="H405" s="51">
        <v>1</v>
      </c>
      <c r="I405" s="52">
        <f>J405/H405</f>
        <v>59990</v>
      </c>
      <c r="J405" s="52">
        <v>59990</v>
      </c>
      <c r="K405" s="51">
        <v>8</v>
      </c>
      <c r="L405" s="53">
        <f>K405/H405*30</f>
        <v>240</v>
      </c>
    </row>
    <row r="406" spans="1:12" s="2" customFormat="1" ht="13.95" customHeight="1" outlineLevel="2" x14ac:dyDescent="0.2">
      <c r="A406" s="50" t="s">
        <v>70</v>
      </c>
      <c r="B406" s="50" t="s">
        <v>5</v>
      </c>
      <c r="C406" s="50" t="s">
        <v>34</v>
      </c>
      <c r="D406" s="50" t="s">
        <v>1066</v>
      </c>
      <c r="E406" s="50" t="s">
        <v>338</v>
      </c>
      <c r="F406" s="50" t="s">
        <v>73</v>
      </c>
      <c r="G406" s="50" t="s">
        <v>88</v>
      </c>
      <c r="H406" s="51">
        <v>1</v>
      </c>
      <c r="I406" s="52">
        <f>J406/H406</f>
        <v>51990</v>
      </c>
      <c r="J406" s="52">
        <v>51990</v>
      </c>
      <c r="K406" s="51">
        <v>10</v>
      </c>
      <c r="L406" s="53">
        <f>K406/H406*30</f>
        <v>300</v>
      </c>
    </row>
    <row r="407" spans="1:12" s="2" customFormat="1" ht="13.95" customHeight="1" outlineLevel="2" x14ac:dyDescent="0.2">
      <c r="A407" s="50" t="s">
        <v>70</v>
      </c>
      <c r="B407" s="50" t="s">
        <v>5</v>
      </c>
      <c r="C407" s="50" t="s">
        <v>34</v>
      </c>
      <c r="D407" s="50" t="s">
        <v>1067</v>
      </c>
      <c r="E407" s="50" t="s">
        <v>338</v>
      </c>
      <c r="F407" s="50" t="s">
        <v>73</v>
      </c>
      <c r="G407" s="50" t="s">
        <v>90</v>
      </c>
      <c r="H407" s="51">
        <v>1</v>
      </c>
      <c r="I407" s="52">
        <f>J407/H407</f>
        <v>51990</v>
      </c>
      <c r="J407" s="52">
        <v>51990</v>
      </c>
      <c r="K407" s="51">
        <v>10</v>
      </c>
      <c r="L407" s="53">
        <f>K407/H407*30</f>
        <v>300</v>
      </c>
    </row>
    <row r="408" spans="1:12" s="2" customFormat="1" ht="13.95" customHeight="1" outlineLevel="2" x14ac:dyDescent="0.2">
      <c r="A408" s="50" t="s">
        <v>70</v>
      </c>
      <c r="B408" s="50" t="s">
        <v>5</v>
      </c>
      <c r="C408" s="50" t="s">
        <v>34</v>
      </c>
      <c r="D408" s="50" t="s">
        <v>1068</v>
      </c>
      <c r="E408" s="50" t="s">
        <v>338</v>
      </c>
      <c r="F408" s="50" t="s">
        <v>73</v>
      </c>
      <c r="G408" s="50" t="s">
        <v>74</v>
      </c>
      <c r="H408" s="51">
        <v>1</v>
      </c>
      <c r="I408" s="52">
        <f>J408/H408</f>
        <v>51990</v>
      </c>
      <c r="J408" s="52">
        <v>51990</v>
      </c>
      <c r="K408" s="51">
        <v>12</v>
      </c>
      <c r="L408" s="53">
        <f>K408/H408*30</f>
        <v>360</v>
      </c>
    </row>
    <row r="409" spans="1:12" s="2" customFormat="1" ht="13.95" customHeight="1" outlineLevel="2" x14ac:dyDescent="0.2">
      <c r="A409" s="50" t="s">
        <v>70</v>
      </c>
      <c r="B409" s="50" t="s">
        <v>5</v>
      </c>
      <c r="C409" s="50" t="s">
        <v>34</v>
      </c>
      <c r="D409" s="50" t="s">
        <v>1069</v>
      </c>
      <c r="E409" s="50" t="s">
        <v>338</v>
      </c>
      <c r="F409" s="50" t="s">
        <v>177</v>
      </c>
      <c r="G409" s="50" t="s">
        <v>86</v>
      </c>
      <c r="H409" s="51">
        <v>1</v>
      </c>
      <c r="I409" s="52">
        <f>J409/H409</f>
        <v>51990</v>
      </c>
      <c r="J409" s="52">
        <v>51990</v>
      </c>
      <c r="K409" s="51">
        <v>6</v>
      </c>
      <c r="L409" s="53">
        <f>K409/H409*30</f>
        <v>180</v>
      </c>
    </row>
    <row r="410" spans="1:12" s="2" customFormat="1" ht="13.95" customHeight="1" outlineLevel="2" x14ac:dyDescent="0.2">
      <c r="A410" s="50" t="s">
        <v>70</v>
      </c>
      <c r="B410" s="50" t="s">
        <v>5</v>
      </c>
      <c r="C410" s="50" t="s">
        <v>34</v>
      </c>
      <c r="D410" s="50" t="s">
        <v>1070</v>
      </c>
      <c r="E410" s="50" t="s">
        <v>338</v>
      </c>
      <c r="F410" s="50"/>
      <c r="G410" s="50"/>
      <c r="H410" s="51">
        <v>1</v>
      </c>
      <c r="I410" s="52">
        <f>J410/H410</f>
        <v>51990</v>
      </c>
      <c r="J410" s="52">
        <v>51990</v>
      </c>
      <c r="K410" s="51">
        <v>12</v>
      </c>
      <c r="L410" s="53">
        <f>K410/H410*30</f>
        <v>360</v>
      </c>
    </row>
    <row r="411" spans="1:12" s="2" customFormat="1" ht="13.95" customHeight="1" outlineLevel="2" x14ac:dyDescent="0.2">
      <c r="A411" s="50" t="s">
        <v>70</v>
      </c>
      <c r="B411" s="50" t="s">
        <v>5</v>
      </c>
      <c r="C411" s="50" t="s">
        <v>34</v>
      </c>
      <c r="D411" s="50" t="s">
        <v>1071</v>
      </c>
      <c r="E411" s="50" t="s">
        <v>724</v>
      </c>
      <c r="F411" s="50" t="s">
        <v>73</v>
      </c>
      <c r="G411" s="50" t="s">
        <v>88</v>
      </c>
      <c r="H411" s="51">
        <v>1</v>
      </c>
      <c r="I411" s="52">
        <f>J411/H411</f>
        <v>51990</v>
      </c>
      <c r="J411" s="52">
        <v>51990</v>
      </c>
      <c r="K411" s="51">
        <v>12</v>
      </c>
      <c r="L411" s="53">
        <f>K411/H411*30</f>
        <v>360</v>
      </c>
    </row>
    <row r="412" spans="1:12" s="2" customFormat="1" ht="13.95" customHeight="1" outlineLevel="1" x14ac:dyDescent="0.2">
      <c r="A412" s="50"/>
      <c r="B412" s="50"/>
      <c r="C412" s="58" t="s">
        <v>1466</v>
      </c>
      <c r="D412" s="50"/>
      <c r="E412" s="50"/>
      <c r="F412" s="50"/>
      <c r="G412" s="50"/>
      <c r="H412" s="51">
        <f>SUBTOTAL(9,H385:H411)</f>
        <v>51</v>
      </c>
      <c r="I412" s="52"/>
      <c r="J412" s="52">
        <f>SUBTOTAL(9,J385:J411)</f>
        <v>4020490</v>
      </c>
      <c r="K412" s="51"/>
      <c r="L412" s="53"/>
    </row>
    <row r="413" spans="1:12" s="2" customFormat="1" ht="13.95" customHeight="1" outlineLevel="2" x14ac:dyDescent="0.2">
      <c r="A413" s="50" t="s">
        <v>70</v>
      </c>
      <c r="B413" s="50" t="s">
        <v>5</v>
      </c>
      <c r="C413" s="50" t="s">
        <v>35</v>
      </c>
      <c r="D413" s="50" t="s">
        <v>927</v>
      </c>
      <c r="E413" s="50" t="s">
        <v>35</v>
      </c>
      <c r="F413" s="50" t="s">
        <v>223</v>
      </c>
      <c r="G413" s="50" t="s">
        <v>224</v>
      </c>
      <c r="H413" s="51">
        <v>2</v>
      </c>
      <c r="I413" s="52">
        <f>J413/H413</f>
        <v>34990</v>
      </c>
      <c r="J413" s="52">
        <v>69980</v>
      </c>
      <c r="K413" s="51">
        <v>0</v>
      </c>
      <c r="L413" s="53">
        <f>K413/H413*30</f>
        <v>0</v>
      </c>
    </row>
    <row r="414" spans="1:12" s="2" customFormat="1" ht="13.95" customHeight="1" outlineLevel="1" x14ac:dyDescent="0.2">
      <c r="A414" s="50"/>
      <c r="B414" s="50"/>
      <c r="C414" s="58" t="s">
        <v>1498</v>
      </c>
      <c r="D414" s="50"/>
      <c r="E414" s="50"/>
      <c r="F414" s="50"/>
      <c r="G414" s="50"/>
      <c r="H414" s="51">
        <f>SUBTOTAL(9,H413:H413)</f>
        <v>2</v>
      </c>
      <c r="I414" s="52"/>
      <c r="J414" s="52">
        <f>SUBTOTAL(9,J413:J413)</f>
        <v>69980</v>
      </c>
      <c r="K414" s="51"/>
      <c r="L414" s="53"/>
    </row>
    <row r="415" spans="1:12" s="2" customFormat="1" ht="13.95" customHeight="1" outlineLevel="2" x14ac:dyDescent="0.2">
      <c r="A415" s="50" t="s">
        <v>70</v>
      </c>
      <c r="B415" s="50" t="s">
        <v>5</v>
      </c>
      <c r="C415" s="50" t="s">
        <v>36</v>
      </c>
      <c r="D415" s="50" t="s">
        <v>891</v>
      </c>
      <c r="E415" s="50" t="s">
        <v>892</v>
      </c>
      <c r="F415" s="50" t="s">
        <v>73</v>
      </c>
      <c r="G415" s="50" t="s">
        <v>74</v>
      </c>
      <c r="H415" s="51">
        <v>2</v>
      </c>
      <c r="I415" s="52">
        <f>J415/H415</f>
        <v>39990</v>
      </c>
      <c r="J415" s="52">
        <v>79980</v>
      </c>
      <c r="K415" s="51">
        <v>7</v>
      </c>
      <c r="L415" s="53">
        <f>K415/H415*30</f>
        <v>105</v>
      </c>
    </row>
    <row r="416" spans="1:12" s="2" customFormat="1" ht="13.95" customHeight="1" outlineLevel="2" x14ac:dyDescent="0.2">
      <c r="A416" s="50" t="s">
        <v>70</v>
      </c>
      <c r="B416" s="50" t="s">
        <v>5</v>
      </c>
      <c r="C416" s="50" t="s">
        <v>36</v>
      </c>
      <c r="D416" s="50" t="s">
        <v>1163</v>
      </c>
      <c r="E416" s="50" t="s">
        <v>892</v>
      </c>
      <c r="F416" s="50" t="s">
        <v>73</v>
      </c>
      <c r="G416" s="50" t="s">
        <v>88</v>
      </c>
      <c r="H416" s="51">
        <v>1</v>
      </c>
      <c r="I416" s="52">
        <f>J416/H416</f>
        <v>39990</v>
      </c>
      <c r="J416" s="52">
        <v>39990</v>
      </c>
      <c r="K416" s="51">
        <v>1</v>
      </c>
      <c r="L416" s="53">
        <f>K416/H416*30</f>
        <v>30</v>
      </c>
    </row>
    <row r="417" spans="1:12" s="2" customFormat="1" ht="13.95" customHeight="1" outlineLevel="1" x14ac:dyDescent="0.2">
      <c r="A417" s="50"/>
      <c r="B417" s="50"/>
      <c r="C417" s="58" t="s">
        <v>1494</v>
      </c>
      <c r="D417" s="50"/>
      <c r="E417" s="50"/>
      <c r="F417" s="50"/>
      <c r="G417" s="50"/>
      <c r="H417" s="51">
        <f>SUBTOTAL(9,H415:H416)</f>
        <v>3</v>
      </c>
      <c r="I417" s="52"/>
      <c r="J417" s="52">
        <f>SUBTOTAL(9,J415:J416)</f>
        <v>119970</v>
      </c>
      <c r="K417" s="51"/>
      <c r="L417" s="53"/>
    </row>
    <row r="418" spans="1:12" s="2" customFormat="1" ht="13.95" customHeight="1" outlineLevel="2" x14ac:dyDescent="0.2">
      <c r="A418" s="50" t="s">
        <v>70</v>
      </c>
      <c r="B418" s="50" t="s">
        <v>5</v>
      </c>
      <c r="C418" s="50" t="s">
        <v>37</v>
      </c>
      <c r="D418" s="50" t="s">
        <v>1201</v>
      </c>
      <c r="E418" s="50" t="s">
        <v>1202</v>
      </c>
      <c r="F418" s="50" t="s">
        <v>223</v>
      </c>
      <c r="G418" s="50" t="s">
        <v>224</v>
      </c>
      <c r="H418" s="51">
        <v>8</v>
      </c>
      <c r="I418" s="52">
        <f>J418/H418</f>
        <v>4990</v>
      </c>
      <c r="J418" s="52">
        <v>39920</v>
      </c>
      <c r="K418" s="51">
        <v>28</v>
      </c>
      <c r="L418" s="53">
        <f>K418/H418*30</f>
        <v>105</v>
      </c>
    </row>
    <row r="419" spans="1:12" s="2" customFormat="1" ht="13.95" customHeight="1" outlineLevel="2" x14ac:dyDescent="0.2">
      <c r="A419" s="50" t="s">
        <v>70</v>
      </c>
      <c r="B419" s="50" t="s">
        <v>5</v>
      </c>
      <c r="C419" s="50" t="s">
        <v>37</v>
      </c>
      <c r="D419" s="50" t="s">
        <v>1203</v>
      </c>
      <c r="E419" s="50" t="s">
        <v>1202</v>
      </c>
      <c r="F419" s="50" t="s">
        <v>374</v>
      </c>
      <c r="G419" s="50" t="s">
        <v>86</v>
      </c>
      <c r="H419" s="51">
        <v>8</v>
      </c>
      <c r="I419" s="52">
        <f>J419/H419</f>
        <v>4990</v>
      </c>
      <c r="J419" s="52">
        <v>39920</v>
      </c>
      <c r="K419" s="51">
        <v>18</v>
      </c>
      <c r="L419" s="53">
        <f>K419/H419*30</f>
        <v>67.5</v>
      </c>
    </row>
    <row r="420" spans="1:12" s="2" customFormat="1" ht="13.95" customHeight="1" outlineLevel="2" x14ac:dyDescent="0.2">
      <c r="A420" s="50" t="s">
        <v>70</v>
      </c>
      <c r="B420" s="50" t="s">
        <v>5</v>
      </c>
      <c r="C420" s="50" t="s">
        <v>37</v>
      </c>
      <c r="D420" s="50" t="s">
        <v>1218</v>
      </c>
      <c r="E420" s="50" t="s">
        <v>1219</v>
      </c>
      <c r="F420" s="50" t="s">
        <v>216</v>
      </c>
      <c r="G420" s="50" t="s">
        <v>112</v>
      </c>
      <c r="H420" s="51">
        <v>6</v>
      </c>
      <c r="I420" s="52">
        <f>J420/H420</f>
        <v>5990</v>
      </c>
      <c r="J420" s="52">
        <v>35940</v>
      </c>
      <c r="K420" s="51">
        <v>14</v>
      </c>
      <c r="L420" s="53">
        <f>K420/H420*30</f>
        <v>70</v>
      </c>
    </row>
    <row r="421" spans="1:12" s="2" customFormat="1" ht="13.95" customHeight="1" outlineLevel="2" x14ac:dyDescent="0.2">
      <c r="A421" s="50" t="s">
        <v>70</v>
      </c>
      <c r="B421" s="50" t="s">
        <v>5</v>
      </c>
      <c r="C421" s="50" t="s">
        <v>37</v>
      </c>
      <c r="D421" s="50" t="s">
        <v>1327</v>
      </c>
      <c r="E421" s="50" t="s">
        <v>1328</v>
      </c>
      <c r="F421" s="50" t="s">
        <v>223</v>
      </c>
      <c r="G421" s="50" t="s">
        <v>224</v>
      </c>
      <c r="H421" s="51">
        <v>3</v>
      </c>
      <c r="I421" s="52">
        <f>J421/H421</f>
        <v>7990</v>
      </c>
      <c r="J421" s="52">
        <v>23970</v>
      </c>
      <c r="K421" s="51">
        <v>20</v>
      </c>
      <c r="L421" s="53">
        <f>K421/H421*30</f>
        <v>200</v>
      </c>
    </row>
    <row r="422" spans="1:12" s="2" customFormat="1" ht="13.95" customHeight="1" outlineLevel="2" x14ac:dyDescent="0.2">
      <c r="A422" s="50" t="s">
        <v>70</v>
      </c>
      <c r="B422" s="50" t="s">
        <v>5</v>
      </c>
      <c r="C422" s="50" t="s">
        <v>37</v>
      </c>
      <c r="D422" s="50" t="s">
        <v>1361</v>
      </c>
      <c r="E422" s="50" t="s">
        <v>1202</v>
      </c>
      <c r="F422" s="50" t="s">
        <v>155</v>
      </c>
      <c r="G422" s="50" t="s">
        <v>156</v>
      </c>
      <c r="H422" s="51">
        <v>4</v>
      </c>
      <c r="I422" s="52">
        <f>J422/H422</f>
        <v>4990</v>
      </c>
      <c r="J422" s="52">
        <v>19960</v>
      </c>
      <c r="K422" s="51">
        <v>-2</v>
      </c>
      <c r="L422" s="53">
        <f>K422/H422*30</f>
        <v>-15</v>
      </c>
    </row>
    <row r="423" spans="1:12" s="2" customFormat="1" ht="13.95" customHeight="1" outlineLevel="2" x14ac:dyDescent="0.2">
      <c r="A423" s="50" t="s">
        <v>70</v>
      </c>
      <c r="B423" s="50" t="s">
        <v>5</v>
      </c>
      <c r="C423" s="50" t="s">
        <v>37</v>
      </c>
      <c r="D423" s="50" t="s">
        <v>1420</v>
      </c>
      <c r="E423" s="50" t="s">
        <v>1219</v>
      </c>
      <c r="F423" s="50" t="s">
        <v>374</v>
      </c>
      <c r="G423" s="50" t="s">
        <v>86</v>
      </c>
      <c r="H423" s="51">
        <v>2</v>
      </c>
      <c r="I423" s="52">
        <f>J423/H423</f>
        <v>5990</v>
      </c>
      <c r="J423" s="52">
        <v>11980</v>
      </c>
      <c r="K423" s="51">
        <v>30</v>
      </c>
      <c r="L423" s="53">
        <f>K423/H423*30</f>
        <v>450</v>
      </c>
    </row>
    <row r="424" spans="1:12" s="2" customFormat="1" ht="13.95" customHeight="1" outlineLevel="2" x14ac:dyDescent="0.2">
      <c r="A424" s="50" t="s">
        <v>70</v>
      </c>
      <c r="B424" s="50" t="s">
        <v>5</v>
      </c>
      <c r="C424" s="50" t="s">
        <v>37</v>
      </c>
      <c r="D424" s="50" t="s">
        <v>1421</v>
      </c>
      <c r="E424" s="50" t="s">
        <v>1219</v>
      </c>
      <c r="F424" s="50" t="s">
        <v>216</v>
      </c>
      <c r="G424" s="50" t="s">
        <v>414</v>
      </c>
      <c r="H424" s="51">
        <v>2</v>
      </c>
      <c r="I424" s="52">
        <f>J424/H424</f>
        <v>5990</v>
      </c>
      <c r="J424" s="52">
        <v>11980</v>
      </c>
      <c r="K424" s="51">
        <v>16</v>
      </c>
      <c r="L424" s="53">
        <f>K424/H424*30</f>
        <v>240</v>
      </c>
    </row>
    <row r="425" spans="1:12" s="2" customFormat="1" ht="13.95" customHeight="1" outlineLevel="2" x14ac:dyDescent="0.2">
      <c r="A425" s="50" t="s">
        <v>70</v>
      </c>
      <c r="B425" s="50" t="s">
        <v>5</v>
      </c>
      <c r="C425" s="50" t="s">
        <v>37</v>
      </c>
      <c r="D425" s="50" t="s">
        <v>1424</v>
      </c>
      <c r="E425" s="50" t="s">
        <v>1328</v>
      </c>
      <c r="F425" s="50" t="s">
        <v>216</v>
      </c>
      <c r="G425" s="50" t="s">
        <v>90</v>
      </c>
      <c r="H425" s="51">
        <v>1</v>
      </c>
      <c r="I425" s="52">
        <f>J425/H425</f>
        <v>7990</v>
      </c>
      <c r="J425" s="52">
        <v>7990</v>
      </c>
      <c r="K425" s="51">
        <v>9</v>
      </c>
      <c r="L425" s="53">
        <f>K425/H425*30</f>
        <v>270</v>
      </c>
    </row>
    <row r="426" spans="1:12" s="2" customFormat="1" ht="13.95" customHeight="1" outlineLevel="2" x14ac:dyDescent="0.2">
      <c r="A426" s="50" t="s">
        <v>70</v>
      </c>
      <c r="B426" s="50" t="s">
        <v>5</v>
      </c>
      <c r="C426" s="50" t="s">
        <v>37</v>
      </c>
      <c r="D426" s="50" t="s">
        <v>1425</v>
      </c>
      <c r="E426" s="50" t="s">
        <v>1328</v>
      </c>
      <c r="F426" s="50" t="s">
        <v>216</v>
      </c>
      <c r="G426" s="50" t="s">
        <v>1371</v>
      </c>
      <c r="H426" s="51">
        <v>1</v>
      </c>
      <c r="I426" s="52">
        <f>J426/H426</f>
        <v>7990</v>
      </c>
      <c r="J426" s="52">
        <v>7990</v>
      </c>
      <c r="K426" s="51">
        <v>10</v>
      </c>
      <c r="L426" s="53">
        <f>K426/H426*30</f>
        <v>300</v>
      </c>
    </row>
    <row r="427" spans="1:12" s="2" customFormat="1" ht="13.95" customHeight="1" outlineLevel="2" x14ac:dyDescent="0.2">
      <c r="A427" s="50" t="s">
        <v>70</v>
      </c>
      <c r="B427" s="50" t="s">
        <v>5</v>
      </c>
      <c r="C427" s="50" t="s">
        <v>37</v>
      </c>
      <c r="D427" s="50" t="s">
        <v>1426</v>
      </c>
      <c r="E427" s="50" t="s">
        <v>1328</v>
      </c>
      <c r="F427" s="50" t="s">
        <v>216</v>
      </c>
      <c r="G427" s="50" t="s">
        <v>86</v>
      </c>
      <c r="H427" s="51">
        <v>1</v>
      </c>
      <c r="I427" s="52">
        <f>J427/H427</f>
        <v>7990</v>
      </c>
      <c r="J427" s="52">
        <v>7990</v>
      </c>
      <c r="K427" s="51">
        <v>12</v>
      </c>
      <c r="L427" s="53">
        <f>K427/H427*30</f>
        <v>360</v>
      </c>
    </row>
    <row r="428" spans="1:12" s="2" customFormat="1" ht="13.95" customHeight="1" outlineLevel="2" x14ac:dyDescent="0.2">
      <c r="A428" s="50" t="s">
        <v>70</v>
      </c>
      <c r="B428" s="50" t="s">
        <v>5</v>
      </c>
      <c r="C428" s="50" t="s">
        <v>37</v>
      </c>
      <c r="D428" s="50" t="s">
        <v>1427</v>
      </c>
      <c r="E428" s="50" t="s">
        <v>1328</v>
      </c>
      <c r="F428" s="50" t="s">
        <v>155</v>
      </c>
      <c r="G428" s="50" t="s">
        <v>1287</v>
      </c>
      <c r="H428" s="51">
        <v>1</v>
      </c>
      <c r="I428" s="52">
        <f>J428/H428</f>
        <v>7990</v>
      </c>
      <c r="J428" s="52">
        <v>7990</v>
      </c>
      <c r="K428" s="51">
        <v>0</v>
      </c>
      <c r="L428" s="53">
        <f>K428/H428*30</f>
        <v>0</v>
      </c>
    </row>
    <row r="429" spans="1:12" s="2" customFormat="1" ht="13.95" customHeight="1" outlineLevel="2" x14ac:dyDescent="0.2">
      <c r="A429" s="50" t="s">
        <v>70</v>
      </c>
      <c r="B429" s="50" t="s">
        <v>5</v>
      </c>
      <c r="C429" s="50" t="s">
        <v>37</v>
      </c>
      <c r="D429" s="50" t="s">
        <v>1436</v>
      </c>
      <c r="E429" s="50" t="s">
        <v>1219</v>
      </c>
      <c r="F429" s="50" t="s">
        <v>216</v>
      </c>
      <c r="G429" s="50" t="s">
        <v>90</v>
      </c>
      <c r="H429" s="51">
        <v>1</v>
      </c>
      <c r="I429" s="52">
        <f>J429/H429</f>
        <v>5990</v>
      </c>
      <c r="J429" s="52">
        <v>5990</v>
      </c>
      <c r="K429" s="51">
        <v>15</v>
      </c>
      <c r="L429" s="53">
        <f>K429/H429*30</f>
        <v>450</v>
      </c>
    </row>
    <row r="430" spans="1:12" s="2" customFormat="1" ht="13.95" customHeight="1" outlineLevel="2" x14ac:dyDescent="0.2">
      <c r="A430" s="50" t="s">
        <v>70</v>
      </c>
      <c r="B430" s="50" t="s">
        <v>5</v>
      </c>
      <c r="C430" s="50" t="s">
        <v>37</v>
      </c>
      <c r="D430" s="50" t="s">
        <v>1437</v>
      </c>
      <c r="E430" s="50" t="s">
        <v>1219</v>
      </c>
      <c r="F430" s="50" t="s">
        <v>216</v>
      </c>
      <c r="G430" s="50" t="s">
        <v>1371</v>
      </c>
      <c r="H430" s="51">
        <v>1</v>
      </c>
      <c r="I430" s="52">
        <f>J430/H430</f>
        <v>5990</v>
      </c>
      <c r="J430" s="52">
        <v>5990</v>
      </c>
      <c r="K430" s="51">
        <v>19</v>
      </c>
      <c r="L430" s="53">
        <f>K430/H430*30</f>
        <v>570</v>
      </c>
    </row>
    <row r="431" spans="1:12" s="2" customFormat="1" ht="13.95" customHeight="1" outlineLevel="2" x14ac:dyDescent="0.2">
      <c r="A431" s="50" t="s">
        <v>70</v>
      </c>
      <c r="B431" s="50" t="s">
        <v>5</v>
      </c>
      <c r="C431" s="50" t="s">
        <v>37</v>
      </c>
      <c r="D431" s="50" t="s">
        <v>1439</v>
      </c>
      <c r="E431" s="50" t="s">
        <v>1202</v>
      </c>
      <c r="F431" s="50" t="s">
        <v>216</v>
      </c>
      <c r="G431" s="50" t="s">
        <v>90</v>
      </c>
      <c r="H431" s="51">
        <v>1</v>
      </c>
      <c r="I431" s="52">
        <f>J431/H431</f>
        <v>4990</v>
      </c>
      <c r="J431" s="52">
        <v>4990</v>
      </c>
      <c r="K431" s="51">
        <v>1</v>
      </c>
      <c r="L431" s="53">
        <f>K431/H431*30</f>
        <v>30</v>
      </c>
    </row>
    <row r="432" spans="1:12" s="2" customFormat="1" ht="13.95" customHeight="1" outlineLevel="2" x14ac:dyDescent="0.2">
      <c r="A432" s="50" t="s">
        <v>70</v>
      </c>
      <c r="B432" s="50" t="s">
        <v>5</v>
      </c>
      <c r="C432" s="50" t="s">
        <v>37</v>
      </c>
      <c r="D432" s="50" t="s">
        <v>1440</v>
      </c>
      <c r="E432" s="50" t="s">
        <v>1202</v>
      </c>
      <c r="F432" s="50" t="s">
        <v>216</v>
      </c>
      <c r="G432" s="50" t="s">
        <v>414</v>
      </c>
      <c r="H432" s="51">
        <v>1</v>
      </c>
      <c r="I432" s="52">
        <f>J432/H432</f>
        <v>4990</v>
      </c>
      <c r="J432" s="52">
        <v>4990</v>
      </c>
      <c r="K432" s="51">
        <v>14</v>
      </c>
      <c r="L432" s="53">
        <f>K432/H432*30</f>
        <v>420</v>
      </c>
    </row>
    <row r="433" spans="1:12" s="2" customFormat="1" ht="13.95" customHeight="1" outlineLevel="2" x14ac:dyDescent="0.2">
      <c r="A433" s="50" t="s">
        <v>70</v>
      </c>
      <c r="B433" s="50" t="s">
        <v>5</v>
      </c>
      <c r="C433" s="50" t="s">
        <v>37</v>
      </c>
      <c r="D433" s="50" t="s">
        <v>1441</v>
      </c>
      <c r="E433" s="50" t="s">
        <v>1202</v>
      </c>
      <c r="F433" s="50" t="s">
        <v>216</v>
      </c>
      <c r="G433" s="50" t="s">
        <v>86</v>
      </c>
      <c r="H433" s="51">
        <v>1</v>
      </c>
      <c r="I433" s="52">
        <f>J433/H433</f>
        <v>4990</v>
      </c>
      <c r="J433" s="52">
        <v>4990</v>
      </c>
      <c r="K433" s="51">
        <v>0</v>
      </c>
      <c r="L433" s="53">
        <f>K433/H433*30</f>
        <v>0</v>
      </c>
    </row>
    <row r="434" spans="1:12" s="2" customFormat="1" ht="13.95" customHeight="1" outlineLevel="1" x14ac:dyDescent="0.2">
      <c r="A434" s="50"/>
      <c r="B434" s="50"/>
      <c r="C434" s="58" t="s">
        <v>1504</v>
      </c>
      <c r="D434" s="50"/>
      <c r="E434" s="50"/>
      <c r="F434" s="50"/>
      <c r="G434" s="50"/>
      <c r="H434" s="51">
        <f>SUBTOTAL(9,H418:H433)</f>
        <v>42</v>
      </c>
      <c r="I434" s="52"/>
      <c r="J434" s="52">
        <f>SUBTOTAL(9,J418:J433)</f>
        <v>242580</v>
      </c>
      <c r="K434" s="51"/>
      <c r="L434" s="53"/>
    </row>
    <row r="435" spans="1:12" s="2" customFormat="1" ht="13.95" customHeight="1" outlineLevel="2" x14ac:dyDescent="0.2">
      <c r="A435" s="50" t="s">
        <v>70</v>
      </c>
      <c r="B435" s="50" t="s">
        <v>5</v>
      </c>
      <c r="C435" s="50" t="s">
        <v>38</v>
      </c>
      <c r="D435" s="50" t="s">
        <v>1355</v>
      </c>
      <c r="E435" s="50" t="s">
        <v>1356</v>
      </c>
      <c r="F435" s="50" t="s">
        <v>223</v>
      </c>
      <c r="G435" s="50" t="s">
        <v>224</v>
      </c>
      <c r="H435" s="51">
        <v>1</v>
      </c>
      <c r="I435" s="52">
        <f>J435/H435</f>
        <v>19990</v>
      </c>
      <c r="J435" s="52">
        <v>19990</v>
      </c>
      <c r="K435" s="51">
        <v>21</v>
      </c>
      <c r="L435" s="53">
        <f>K435/H435*30</f>
        <v>630</v>
      </c>
    </row>
    <row r="436" spans="1:12" s="2" customFormat="1" ht="13.95" customHeight="1" outlineLevel="2" x14ac:dyDescent="0.2">
      <c r="A436" s="50" t="s">
        <v>70</v>
      </c>
      <c r="B436" s="50" t="s">
        <v>5</v>
      </c>
      <c r="C436" s="50" t="s">
        <v>38</v>
      </c>
      <c r="D436" s="50" t="s">
        <v>1357</v>
      </c>
      <c r="E436" s="50" t="s">
        <v>1356</v>
      </c>
      <c r="F436" s="50" t="s">
        <v>374</v>
      </c>
      <c r="G436" s="50" t="s">
        <v>86</v>
      </c>
      <c r="H436" s="51">
        <v>1</v>
      </c>
      <c r="I436" s="52">
        <f>J436/H436</f>
        <v>19990</v>
      </c>
      <c r="J436" s="52">
        <v>19990</v>
      </c>
      <c r="K436" s="51">
        <v>15</v>
      </c>
      <c r="L436" s="53">
        <f>K436/H436*30</f>
        <v>450</v>
      </c>
    </row>
    <row r="437" spans="1:12" s="2" customFormat="1" ht="13.95" customHeight="1" outlineLevel="2" x14ac:dyDescent="0.2">
      <c r="A437" s="50" t="s">
        <v>70</v>
      </c>
      <c r="B437" s="50" t="s">
        <v>5</v>
      </c>
      <c r="C437" s="50" t="s">
        <v>38</v>
      </c>
      <c r="D437" s="50" t="s">
        <v>1358</v>
      </c>
      <c r="E437" s="50" t="s">
        <v>1356</v>
      </c>
      <c r="F437" s="50" t="s">
        <v>374</v>
      </c>
      <c r="G437" s="50" t="s">
        <v>84</v>
      </c>
      <c r="H437" s="51">
        <v>1</v>
      </c>
      <c r="I437" s="52">
        <f>J437/H437</f>
        <v>19990</v>
      </c>
      <c r="J437" s="52">
        <v>19990</v>
      </c>
      <c r="K437" s="51">
        <v>14</v>
      </c>
      <c r="L437" s="53">
        <f>K437/H437*30</f>
        <v>420</v>
      </c>
    </row>
    <row r="438" spans="1:12" s="2" customFormat="1" ht="13.95" customHeight="1" outlineLevel="1" x14ac:dyDescent="0.2">
      <c r="A438" s="50"/>
      <c r="B438" s="50"/>
      <c r="C438" s="58" t="s">
        <v>1507</v>
      </c>
      <c r="D438" s="50"/>
      <c r="E438" s="50"/>
      <c r="F438" s="50"/>
      <c r="G438" s="50"/>
      <c r="H438" s="51">
        <f>SUBTOTAL(9,H435:H437)</f>
        <v>3</v>
      </c>
      <c r="I438" s="52"/>
      <c r="J438" s="52">
        <f>SUBTOTAL(9,J435:J437)</f>
        <v>59970</v>
      </c>
      <c r="K438" s="51"/>
      <c r="L438" s="53"/>
    </row>
    <row r="439" spans="1:12" s="2" customFormat="1" ht="13.95" customHeight="1" outlineLevel="2" x14ac:dyDescent="0.2">
      <c r="A439" s="50" t="s">
        <v>70</v>
      </c>
      <c r="B439" s="50" t="s">
        <v>5</v>
      </c>
      <c r="C439" s="50" t="s">
        <v>39</v>
      </c>
      <c r="D439" s="50" t="s">
        <v>1072</v>
      </c>
      <c r="E439" s="50" t="s">
        <v>1073</v>
      </c>
      <c r="F439" s="50" t="s">
        <v>73</v>
      </c>
      <c r="G439" s="50" t="s">
        <v>88</v>
      </c>
      <c r="H439" s="51">
        <v>4</v>
      </c>
      <c r="I439" s="52">
        <f>J439/H439</f>
        <v>12990</v>
      </c>
      <c r="J439" s="52">
        <v>51960</v>
      </c>
      <c r="K439" s="51">
        <v>13</v>
      </c>
      <c r="L439" s="53">
        <f>K439/H439*30</f>
        <v>97.5</v>
      </c>
    </row>
    <row r="440" spans="1:12" s="2" customFormat="1" ht="13.95" customHeight="1" outlineLevel="2" x14ac:dyDescent="0.2">
      <c r="A440" s="50" t="s">
        <v>70</v>
      </c>
      <c r="B440" s="50" t="s">
        <v>5</v>
      </c>
      <c r="C440" s="50" t="s">
        <v>39</v>
      </c>
      <c r="D440" s="50" t="s">
        <v>1299</v>
      </c>
      <c r="E440" s="50" t="s">
        <v>1073</v>
      </c>
      <c r="F440" s="50" t="s">
        <v>73</v>
      </c>
      <c r="G440" s="50" t="s">
        <v>90</v>
      </c>
      <c r="H440" s="51">
        <v>2</v>
      </c>
      <c r="I440" s="52">
        <f>J440/H440</f>
        <v>12990</v>
      </c>
      <c r="J440" s="52">
        <v>25980</v>
      </c>
      <c r="K440" s="51">
        <v>15</v>
      </c>
      <c r="L440" s="53">
        <f>K440/H440*30</f>
        <v>225</v>
      </c>
    </row>
    <row r="441" spans="1:12" s="2" customFormat="1" ht="13.95" customHeight="1" outlineLevel="2" x14ac:dyDescent="0.2">
      <c r="A441" s="50" t="s">
        <v>70</v>
      </c>
      <c r="B441" s="50" t="s">
        <v>5</v>
      </c>
      <c r="C441" s="50" t="s">
        <v>39</v>
      </c>
      <c r="D441" s="50" t="s">
        <v>1300</v>
      </c>
      <c r="E441" s="50" t="s">
        <v>1073</v>
      </c>
      <c r="F441" s="50" t="s">
        <v>223</v>
      </c>
      <c r="G441" s="50" t="s">
        <v>224</v>
      </c>
      <c r="H441" s="51">
        <v>2</v>
      </c>
      <c r="I441" s="52">
        <f>J441/H441</f>
        <v>12990</v>
      </c>
      <c r="J441" s="52">
        <v>25980</v>
      </c>
      <c r="K441" s="51">
        <v>22</v>
      </c>
      <c r="L441" s="53">
        <f>K441/H441*30</f>
        <v>330</v>
      </c>
    </row>
    <row r="442" spans="1:12" s="2" customFormat="1" ht="13.95" customHeight="1" outlineLevel="2" x14ac:dyDescent="0.2">
      <c r="A442" s="50" t="s">
        <v>70</v>
      </c>
      <c r="B442" s="50" t="s">
        <v>5</v>
      </c>
      <c r="C442" s="50" t="s">
        <v>39</v>
      </c>
      <c r="D442" s="50" t="s">
        <v>1407</v>
      </c>
      <c r="E442" s="50" t="s">
        <v>1073</v>
      </c>
      <c r="F442" s="50" t="s">
        <v>73</v>
      </c>
      <c r="G442" s="50" t="s">
        <v>97</v>
      </c>
      <c r="H442" s="51">
        <v>1</v>
      </c>
      <c r="I442" s="52">
        <f>J442/H442</f>
        <v>12990</v>
      </c>
      <c r="J442" s="52">
        <v>12990</v>
      </c>
      <c r="K442" s="51">
        <v>0</v>
      </c>
      <c r="L442" s="53">
        <f>K442/H442*30</f>
        <v>0</v>
      </c>
    </row>
    <row r="443" spans="1:12" s="2" customFormat="1" ht="13.95" customHeight="1" outlineLevel="2" x14ac:dyDescent="0.2">
      <c r="A443" s="50" t="s">
        <v>70</v>
      </c>
      <c r="B443" s="50" t="s">
        <v>5</v>
      </c>
      <c r="C443" s="50" t="s">
        <v>39</v>
      </c>
      <c r="D443" s="50" t="s">
        <v>1408</v>
      </c>
      <c r="E443" s="50" t="s">
        <v>1073</v>
      </c>
      <c r="F443" s="50" t="s">
        <v>73</v>
      </c>
      <c r="G443" s="50" t="s">
        <v>74</v>
      </c>
      <c r="H443" s="51">
        <v>1</v>
      </c>
      <c r="I443" s="52">
        <f>J443/H443</f>
        <v>12990</v>
      </c>
      <c r="J443" s="52">
        <v>12990</v>
      </c>
      <c r="K443" s="51">
        <v>16</v>
      </c>
      <c r="L443" s="53">
        <f>K443/H443*30</f>
        <v>480</v>
      </c>
    </row>
    <row r="444" spans="1:12" s="2" customFormat="1" ht="13.95" customHeight="1" outlineLevel="2" x14ac:dyDescent="0.2">
      <c r="A444" s="50" t="s">
        <v>70</v>
      </c>
      <c r="B444" s="50" t="s">
        <v>5</v>
      </c>
      <c r="C444" s="50" t="s">
        <v>39</v>
      </c>
      <c r="D444" s="50" t="s">
        <v>1409</v>
      </c>
      <c r="E444" s="50" t="s">
        <v>1073</v>
      </c>
      <c r="F444" s="50" t="s">
        <v>216</v>
      </c>
      <c r="G444" s="50" t="s">
        <v>90</v>
      </c>
      <c r="H444" s="51">
        <v>1</v>
      </c>
      <c r="I444" s="52">
        <f>J444/H444</f>
        <v>12990</v>
      </c>
      <c r="J444" s="52">
        <v>12990</v>
      </c>
      <c r="K444" s="51">
        <v>5</v>
      </c>
      <c r="L444" s="53">
        <f>K444/H444*30</f>
        <v>150</v>
      </c>
    </row>
    <row r="445" spans="1:12" s="2" customFormat="1" ht="13.95" customHeight="1" outlineLevel="1" x14ac:dyDescent="0.2">
      <c r="A445" s="50"/>
      <c r="B445" s="50"/>
      <c r="C445" s="58" t="s">
        <v>1502</v>
      </c>
      <c r="D445" s="50"/>
      <c r="E445" s="50"/>
      <c r="F445" s="50"/>
      <c r="G445" s="50"/>
      <c r="H445" s="51">
        <f>SUBTOTAL(9,H439:H444)</f>
        <v>11</v>
      </c>
      <c r="I445" s="52"/>
      <c r="J445" s="52">
        <f>SUBTOTAL(9,J439:J444)</f>
        <v>142890</v>
      </c>
      <c r="K445" s="51"/>
      <c r="L445" s="53"/>
    </row>
    <row r="446" spans="1:12" s="2" customFormat="1" ht="13.95" customHeight="1" outlineLevel="2" x14ac:dyDescent="0.2">
      <c r="A446" s="50" t="s">
        <v>70</v>
      </c>
      <c r="B446" s="50" t="s">
        <v>5</v>
      </c>
      <c r="C446" s="50" t="s">
        <v>40</v>
      </c>
      <c r="D446" s="50" t="s">
        <v>339</v>
      </c>
      <c r="E446" s="50" t="s">
        <v>340</v>
      </c>
      <c r="F446" s="50" t="s">
        <v>106</v>
      </c>
      <c r="G446" s="50" t="s">
        <v>330</v>
      </c>
      <c r="H446" s="51">
        <v>20</v>
      </c>
      <c r="I446" s="52">
        <f>J446/H446</f>
        <v>12990</v>
      </c>
      <c r="J446" s="52">
        <v>259800</v>
      </c>
      <c r="K446" s="51">
        <v>25</v>
      </c>
      <c r="L446" s="53">
        <f>K446/H446*30</f>
        <v>37.5</v>
      </c>
    </row>
    <row r="447" spans="1:12" s="2" customFormat="1" ht="13.95" customHeight="1" outlineLevel="2" x14ac:dyDescent="0.2">
      <c r="A447" s="50" t="s">
        <v>70</v>
      </c>
      <c r="B447" s="50" t="s">
        <v>5</v>
      </c>
      <c r="C447" s="50" t="s">
        <v>40</v>
      </c>
      <c r="D447" s="50" t="s">
        <v>523</v>
      </c>
      <c r="E447" s="50" t="s">
        <v>524</v>
      </c>
      <c r="F447" s="50" t="s">
        <v>137</v>
      </c>
      <c r="G447" s="50" t="s">
        <v>88</v>
      </c>
      <c r="H447" s="51">
        <v>6</v>
      </c>
      <c r="I447" s="52">
        <f>J447/H447</f>
        <v>26990</v>
      </c>
      <c r="J447" s="52">
        <v>161940</v>
      </c>
      <c r="K447" s="51">
        <v>15</v>
      </c>
      <c r="L447" s="53">
        <f>K447/H447*30</f>
        <v>75</v>
      </c>
    </row>
    <row r="448" spans="1:12" s="2" customFormat="1" ht="13.95" customHeight="1" outlineLevel="2" x14ac:dyDescent="0.2">
      <c r="A448" s="50" t="s">
        <v>70</v>
      </c>
      <c r="B448" s="50" t="s">
        <v>5</v>
      </c>
      <c r="C448" s="50" t="s">
        <v>40</v>
      </c>
      <c r="D448" s="50" t="s">
        <v>525</v>
      </c>
      <c r="E448" s="50" t="s">
        <v>524</v>
      </c>
      <c r="F448" s="50" t="s">
        <v>137</v>
      </c>
      <c r="G448" s="50" t="s">
        <v>74</v>
      </c>
      <c r="H448" s="51">
        <v>6</v>
      </c>
      <c r="I448" s="52">
        <f>J448/H448</f>
        <v>26990</v>
      </c>
      <c r="J448" s="52">
        <v>161940</v>
      </c>
      <c r="K448" s="51">
        <v>25</v>
      </c>
      <c r="L448" s="53">
        <f>K448/H448*30</f>
        <v>125.00000000000001</v>
      </c>
    </row>
    <row r="449" spans="1:12" s="2" customFormat="1" ht="13.95" customHeight="1" outlineLevel="2" x14ac:dyDescent="0.2">
      <c r="A449" s="50" t="s">
        <v>70</v>
      </c>
      <c r="B449" s="50" t="s">
        <v>5</v>
      </c>
      <c r="C449" s="50" t="s">
        <v>40</v>
      </c>
      <c r="D449" s="50" t="s">
        <v>607</v>
      </c>
      <c r="E449" s="50" t="s">
        <v>524</v>
      </c>
      <c r="F449" s="50" t="s">
        <v>137</v>
      </c>
      <c r="G449" s="50" t="s">
        <v>140</v>
      </c>
      <c r="H449" s="51">
        <v>5</v>
      </c>
      <c r="I449" s="52">
        <f>J449/H449</f>
        <v>26990</v>
      </c>
      <c r="J449" s="52">
        <v>134950</v>
      </c>
      <c r="K449" s="51">
        <v>5</v>
      </c>
      <c r="L449" s="53">
        <f>K449/H449*30</f>
        <v>30</v>
      </c>
    </row>
    <row r="450" spans="1:12" s="2" customFormat="1" ht="13.95" customHeight="1" outlineLevel="2" x14ac:dyDescent="0.2">
      <c r="A450" s="50" t="s">
        <v>70</v>
      </c>
      <c r="B450" s="50" t="s">
        <v>5</v>
      </c>
      <c r="C450" s="50" t="s">
        <v>40</v>
      </c>
      <c r="D450" s="50" t="s">
        <v>620</v>
      </c>
      <c r="E450" s="50" t="s">
        <v>340</v>
      </c>
      <c r="F450" s="50" t="s">
        <v>106</v>
      </c>
      <c r="G450" s="50" t="s">
        <v>97</v>
      </c>
      <c r="H450" s="51">
        <v>10</v>
      </c>
      <c r="I450" s="52">
        <f>J450/H450</f>
        <v>12990</v>
      </c>
      <c r="J450" s="52">
        <v>129900</v>
      </c>
      <c r="K450" s="51">
        <v>30</v>
      </c>
      <c r="L450" s="53">
        <f>K450/H450*30</f>
        <v>90</v>
      </c>
    </row>
    <row r="451" spans="1:12" s="2" customFormat="1" ht="13.95" customHeight="1" outlineLevel="2" x14ac:dyDescent="0.2">
      <c r="A451" s="50" t="s">
        <v>70</v>
      </c>
      <c r="B451" s="50" t="s">
        <v>5</v>
      </c>
      <c r="C451" s="50" t="s">
        <v>40</v>
      </c>
      <c r="D451" s="50" t="s">
        <v>621</v>
      </c>
      <c r="E451" s="50" t="s">
        <v>340</v>
      </c>
      <c r="F451" s="50" t="s">
        <v>106</v>
      </c>
      <c r="G451" s="50" t="s">
        <v>74</v>
      </c>
      <c r="H451" s="51">
        <v>10</v>
      </c>
      <c r="I451" s="52">
        <f>J451/H451</f>
        <v>12990</v>
      </c>
      <c r="J451" s="52">
        <v>129900</v>
      </c>
      <c r="K451" s="51">
        <v>27</v>
      </c>
      <c r="L451" s="53">
        <f>K451/H451*30</f>
        <v>81</v>
      </c>
    </row>
    <row r="452" spans="1:12" s="2" customFormat="1" ht="13.95" customHeight="1" outlineLevel="2" x14ac:dyDescent="0.2">
      <c r="A452" s="50" t="s">
        <v>70</v>
      </c>
      <c r="B452" s="50" t="s">
        <v>5</v>
      </c>
      <c r="C452" s="50" t="s">
        <v>40</v>
      </c>
      <c r="D452" s="50" t="s">
        <v>622</v>
      </c>
      <c r="E452" s="50" t="s">
        <v>340</v>
      </c>
      <c r="F452" s="50" t="s">
        <v>106</v>
      </c>
      <c r="G452" s="50" t="s">
        <v>112</v>
      </c>
      <c r="H452" s="51">
        <v>10</v>
      </c>
      <c r="I452" s="52">
        <f>J452/H452</f>
        <v>12990</v>
      </c>
      <c r="J452" s="52">
        <v>129900</v>
      </c>
      <c r="K452" s="51">
        <v>20</v>
      </c>
      <c r="L452" s="53">
        <f>K452/H452*30</f>
        <v>60</v>
      </c>
    </row>
    <row r="453" spans="1:12" s="2" customFormat="1" ht="13.95" customHeight="1" outlineLevel="2" x14ac:dyDescent="0.2">
      <c r="A453" s="50" t="s">
        <v>70</v>
      </c>
      <c r="B453" s="50" t="s">
        <v>5</v>
      </c>
      <c r="C453" s="50" t="s">
        <v>40</v>
      </c>
      <c r="D453" s="50" t="s">
        <v>685</v>
      </c>
      <c r="E453" s="50" t="s">
        <v>340</v>
      </c>
      <c r="F453" s="50" t="s">
        <v>73</v>
      </c>
      <c r="G453" s="50" t="s">
        <v>88</v>
      </c>
      <c r="H453" s="51">
        <v>9</v>
      </c>
      <c r="I453" s="52">
        <f>J453/H453</f>
        <v>12990</v>
      </c>
      <c r="J453" s="52">
        <v>116910</v>
      </c>
      <c r="K453" s="51">
        <v>13</v>
      </c>
      <c r="L453" s="53">
        <f>K453/H453*30</f>
        <v>43.333333333333336</v>
      </c>
    </row>
    <row r="454" spans="1:12" s="2" customFormat="1" ht="13.95" customHeight="1" outlineLevel="2" x14ac:dyDescent="0.2">
      <c r="A454" s="50" t="s">
        <v>70</v>
      </c>
      <c r="B454" s="50" t="s">
        <v>5</v>
      </c>
      <c r="C454" s="50" t="s">
        <v>40</v>
      </c>
      <c r="D454" s="50" t="s">
        <v>707</v>
      </c>
      <c r="E454" s="50" t="s">
        <v>708</v>
      </c>
      <c r="F454" s="50" t="s">
        <v>73</v>
      </c>
      <c r="G454" s="50" t="s">
        <v>74</v>
      </c>
      <c r="H454" s="51">
        <v>6</v>
      </c>
      <c r="I454" s="52">
        <f>J454/H454</f>
        <v>17990</v>
      </c>
      <c r="J454" s="52">
        <v>107940</v>
      </c>
      <c r="K454" s="51">
        <v>30</v>
      </c>
      <c r="L454" s="53">
        <f>K454/H454*30</f>
        <v>150</v>
      </c>
    </row>
    <row r="455" spans="1:12" s="2" customFormat="1" ht="13.95" customHeight="1" outlineLevel="2" x14ac:dyDescent="0.2">
      <c r="A455" s="50" t="s">
        <v>70</v>
      </c>
      <c r="B455" s="50" t="s">
        <v>5</v>
      </c>
      <c r="C455" s="50" t="s">
        <v>40</v>
      </c>
      <c r="D455" s="50" t="s">
        <v>725</v>
      </c>
      <c r="E455" s="50" t="s">
        <v>340</v>
      </c>
      <c r="F455" s="50" t="s">
        <v>73</v>
      </c>
      <c r="G455" s="50" t="s">
        <v>86</v>
      </c>
      <c r="H455" s="51">
        <v>8</v>
      </c>
      <c r="I455" s="52">
        <f>J455/H455</f>
        <v>12990</v>
      </c>
      <c r="J455" s="52">
        <v>103920</v>
      </c>
      <c r="K455" s="51">
        <v>45</v>
      </c>
      <c r="L455" s="53">
        <f>K455/H455*30</f>
        <v>168.75</v>
      </c>
    </row>
    <row r="456" spans="1:12" s="2" customFormat="1" ht="13.95" customHeight="1" outlineLevel="2" x14ac:dyDescent="0.2">
      <c r="A456" s="50" t="s">
        <v>70</v>
      </c>
      <c r="B456" s="50" t="s">
        <v>5</v>
      </c>
      <c r="C456" s="50" t="s">
        <v>40</v>
      </c>
      <c r="D456" s="50" t="s">
        <v>726</v>
      </c>
      <c r="E456" s="50" t="s">
        <v>340</v>
      </c>
      <c r="F456" s="50" t="s">
        <v>106</v>
      </c>
      <c r="G456" s="50" t="s">
        <v>140</v>
      </c>
      <c r="H456" s="51">
        <v>8</v>
      </c>
      <c r="I456" s="52">
        <f>J456/H456</f>
        <v>12990</v>
      </c>
      <c r="J456" s="52">
        <v>103920</v>
      </c>
      <c r="K456" s="51">
        <v>9</v>
      </c>
      <c r="L456" s="53">
        <f>K456/H456*30</f>
        <v>33.75</v>
      </c>
    </row>
    <row r="457" spans="1:12" s="2" customFormat="1" ht="13.95" customHeight="1" outlineLevel="2" x14ac:dyDescent="0.2">
      <c r="A457" s="50" t="s">
        <v>70</v>
      </c>
      <c r="B457" s="50" t="s">
        <v>5</v>
      </c>
      <c r="C457" s="50" t="s">
        <v>40</v>
      </c>
      <c r="D457" s="50" t="s">
        <v>727</v>
      </c>
      <c r="E457" s="50" t="s">
        <v>340</v>
      </c>
      <c r="F457" s="50" t="s">
        <v>106</v>
      </c>
      <c r="G457" s="50" t="s">
        <v>86</v>
      </c>
      <c r="H457" s="51">
        <v>8</v>
      </c>
      <c r="I457" s="52">
        <f>J457/H457</f>
        <v>12990</v>
      </c>
      <c r="J457" s="52">
        <v>103920</v>
      </c>
      <c r="K457" s="51">
        <v>29</v>
      </c>
      <c r="L457" s="53">
        <f>K457/H457*30</f>
        <v>108.75</v>
      </c>
    </row>
    <row r="458" spans="1:12" s="2" customFormat="1" ht="13.95" customHeight="1" outlineLevel="2" x14ac:dyDescent="0.2">
      <c r="A458" s="50" t="s">
        <v>70</v>
      </c>
      <c r="B458" s="50" t="s">
        <v>5</v>
      </c>
      <c r="C458" s="50" t="s">
        <v>40</v>
      </c>
      <c r="D458" s="50" t="s">
        <v>867</v>
      </c>
      <c r="E458" s="50" t="s">
        <v>524</v>
      </c>
      <c r="F458" s="50" t="s">
        <v>137</v>
      </c>
      <c r="G458" s="50" t="s">
        <v>86</v>
      </c>
      <c r="H458" s="51">
        <v>3</v>
      </c>
      <c r="I458" s="52">
        <f>J458/H458</f>
        <v>26990</v>
      </c>
      <c r="J458" s="52">
        <v>80970</v>
      </c>
      <c r="K458" s="51">
        <v>18</v>
      </c>
      <c r="L458" s="53">
        <f>K458/H458*30</f>
        <v>180</v>
      </c>
    </row>
    <row r="459" spans="1:12" s="2" customFormat="1" ht="13.95" customHeight="1" outlineLevel="2" x14ac:dyDescent="0.2">
      <c r="A459" s="50" t="s">
        <v>70</v>
      </c>
      <c r="B459" s="50" t="s">
        <v>5</v>
      </c>
      <c r="C459" s="50" t="s">
        <v>40</v>
      </c>
      <c r="D459" s="50" t="s">
        <v>920</v>
      </c>
      <c r="E459" s="50" t="s">
        <v>708</v>
      </c>
      <c r="F459" s="50" t="s">
        <v>73</v>
      </c>
      <c r="G459" s="50" t="s">
        <v>88</v>
      </c>
      <c r="H459" s="51">
        <v>4</v>
      </c>
      <c r="I459" s="52">
        <f>J459/H459</f>
        <v>17990</v>
      </c>
      <c r="J459" s="52">
        <v>71960</v>
      </c>
      <c r="K459" s="51">
        <v>25</v>
      </c>
      <c r="L459" s="53">
        <f>K459/H459*30</f>
        <v>187.5</v>
      </c>
    </row>
    <row r="460" spans="1:12" s="2" customFormat="1" ht="13.95" customHeight="1" outlineLevel="2" x14ac:dyDescent="0.2">
      <c r="A460" s="50" t="s">
        <v>70</v>
      </c>
      <c r="B460" s="50" t="s">
        <v>5</v>
      </c>
      <c r="C460" s="50" t="s">
        <v>40</v>
      </c>
      <c r="D460" s="50" t="s">
        <v>932</v>
      </c>
      <c r="E460" s="50" t="s">
        <v>933</v>
      </c>
      <c r="F460" s="50" t="s">
        <v>137</v>
      </c>
      <c r="G460" s="50" t="s">
        <v>140</v>
      </c>
      <c r="H460" s="51">
        <v>5</v>
      </c>
      <c r="I460" s="52">
        <f>J460/H460</f>
        <v>13990</v>
      </c>
      <c r="J460" s="52">
        <v>69950</v>
      </c>
      <c r="K460" s="51">
        <v>33</v>
      </c>
      <c r="L460" s="53">
        <f>K460/H460*30</f>
        <v>198</v>
      </c>
    </row>
    <row r="461" spans="1:12" s="2" customFormat="1" ht="13.95" customHeight="1" outlineLevel="2" x14ac:dyDescent="0.2">
      <c r="A461" s="50" t="s">
        <v>70</v>
      </c>
      <c r="B461" s="50" t="s">
        <v>5</v>
      </c>
      <c r="C461" s="50" t="s">
        <v>40</v>
      </c>
      <c r="D461" s="50" t="s">
        <v>945</v>
      </c>
      <c r="E461" s="50" t="s">
        <v>946</v>
      </c>
      <c r="F461" s="50" t="s">
        <v>73</v>
      </c>
      <c r="G461" s="50" t="s">
        <v>86</v>
      </c>
      <c r="H461" s="51">
        <v>2</v>
      </c>
      <c r="I461" s="52">
        <f>J461/H461</f>
        <v>32990</v>
      </c>
      <c r="J461" s="52">
        <v>65980</v>
      </c>
      <c r="K461" s="51">
        <v>56</v>
      </c>
      <c r="L461" s="53">
        <f>K461/H461*30</f>
        <v>840</v>
      </c>
    </row>
    <row r="462" spans="1:12" s="2" customFormat="1" ht="13.95" customHeight="1" outlineLevel="2" x14ac:dyDescent="0.2">
      <c r="A462" s="50" t="s">
        <v>70</v>
      </c>
      <c r="B462" s="50" t="s">
        <v>5</v>
      </c>
      <c r="C462" s="50" t="s">
        <v>40</v>
      </c>
      <c r="D462" s="50" t="s">
        <v>947</v>
      </c>
      <c r="E462" s="50" t="s">
        <v>946</v>
      </c>
      <c r="F462" s="50" t="s">
        <v>73</v>
      </c>
      <c r="G462" s="50" t="s">
        <v>74</v>
      </c>
      <c r="H462" s="51">
        <v>2</v>
      </c>
      <c r="I462" s="52">
        <f>J462/H462</f>
        <v>32990</v>
      </c>
      <c r="J462" s="52">
        <v>65980</v>
      </c>
      <c r="K462" s="51">
        <v>25</v>
      </c>
      <c r="L462" s="53">
        <f>K462/H462*30</f>
        <v>375</v>
      </c>
    </row>
    <row r="463" spans="1:12" s="2" customFormat="1" ht="13.95" customHeight="1" outlineLevel="2" x14ac:dyDescent="0.2">
      <c r="A463" s="50" t="s">
        <v>70</v>
      </c>
      <c r="B463" s="50" t="s">
        <v>5</v>
      </c>
      <c r="C463" s="50" t="s">
        <v>40</v>
      </c>
      <c r="D463" s="50" t="s">
        <v>948</v>
      </c>
      <c r="E463" s="50" t="s">
        <v>946</v>
      </c>
      <c r="F463" s="50" t="s">
        <v>73</v>
      </c>
      <c r="G463" s="50" t="s">
        <v>84</v>
      </c>
      <c r="H463" s="51">
        <v>2</v>
      </c>
      <c r="I463" s="52">
        <f>J463/H463</f>
        <v>32990</v>
      </c>
      <c r="J463" s="52">
        <v>65980</v>
      </c>
      <c r="K463" s="51">
        <v>21</v>
      </c>
      <c r="L463" s="53">
        <f>K463/H463*30</f>
        <v>315</v>
      </c>
    </row>
    <row r="464" spans="1:12" s="2" customFormat="1" ht="13.95" customHeight="1" outlineLevel="2" x14ac:dyDescent="0.2">
      <c r="A464" s="50" t="s">
        <v>70</v>
      </c>
      <c r="B464" s="50" t="s">
        <v>5</v>
      </c>
      <c r="C464" s="50" t="s">
        <v>40</v>
      </c>
      <c r="D464" s="50" t="s">
        <v>949</v>
      </c>
      <c r="E464" s="50" t="s">
        <v>946</v>
      </c>
      <c r="F464" s="50" t="s">
        <v>137</v>
      </c>
      <c r="G464" s="50" t="s">
        <v>140</v>
      </c>
      <c r="H464" s="51">
        <v>2</v>
      </c>
      <c r="I464" s="52">
        <f>J464/H464</f>
        <v>32990</v>
      </c>
      <c r="J464" s="52">
        <v>65980</v>
      </c>
      <c r="K464" s="51">
        <v>18</v>
      </c>
      <c r="L464" s="53">
        <f>K464/H464*30</f>
        <v>270</v>
      </c>
    </row>
    <row r="465" spans="1:12" s="2" customFormat="1" ht="13.95" customHeight="1" outlineLevel="2" x14ac:dyDescent="0.2">
      <c r="A465" s="50" t="s">
        <v>70</v>
      </c>
      <c r="B465" s="50" t="s">
        <v>5</v>
      </c>
      <c r="C465" s="50" t="s">
        <v>40</v>
      </c>
      <c r="D465" s="50" t="s">
        <v>950</v>
      </c>
      <c r="E465" s="50" t="s">
        <v>946</v>
      </c>
      <c r="F465" s="50" t="s">
        <v>137</v>
      </c>
      <c r="G465" s="50" t="s">
        <v>88</v>
      </c>
      <c r="H465" s="51">
        <v>2</v>
      </c>
      <c r="I465" s="52">
        <f>J465/H465</f>
        <v>32990</v>
      </c>
      <c r="J465" s="52">
        <v>65980</v>
      </c>
      <c r="K465" s="51">
        <v>28</v>
      </c>
      <c r="L465" s="53">
        <f>K465/H465*30</f>
        <v>420</v>
      </c>
    </row>
    <row r="466" spans="1:12" s="2" customFormat="1" ht="13.95" customHeight="1" outlineLevel="2" x14ac:dyDescent="0.2">
      <c r="A466" s="50" t="s">
        <v>70</v>
      </c>
      <c r="B466" s="50" t="s">
        <v>5</v>
      </c>
      <c r="C466" s="50" t="s">
        <v>40</v>
      </c>
      <c r="D466" s="50" t="s">
        <v>951</v>
      </c>
      <c r="E466" s="50" t="s">
        <v>946</v>
      </c>
      <c r="F466" s="50" t="s">
        <v>137</v>
      </c>
      <c r="G466" s="50" t="s">
        <v>86</v>
      </c>
      <c r="H466" s="51">
        <v>2</v>
      </c>
      <c r="I466" s="52">
        <f>J466/H466</f>
        <v>32990</v>
      </c>
      <c r="J466" s="52">
        <v>65980</v>
      </c>
      <c r="K466" s="51">
        <v>39</v>
      </c>
      <c r="L466" s="53">
        <f>K466/H466*30</f>
        <v>585</v>
      </c>
    </row>
    <row r="467" spans="1:12" s="2" customFormat="1" ht="13.95" customHeight="1" outlineLevel="2" x14ac:dyDescent="0.2">
      <c r="A467" s="50" t="s">
        <v>70</v>
      </c>
      <c r="B467" s="50" t="s">
        <v>5</v>
      </c>
      <c r="C467" s="50" t="s">
        <v>40</v>
      </c>
      <c r="D467" s="50" t="s">
        <v>957</v>
      </c>
      <c r="E467" s="50" t="s">
        <v>933</v>
      </c>
      <c r="F467" s="50" t="s">
        <v>73</v>
      </c>
      <c r="G467" s="50" t="s">
        <v>97</v>
      </c>
      <c r="H467" s="51">
        <v>5</v>
      </c>
      <c r="I467" s="52">
        <f>J467/H467</f>
        <v>12990</v>
      </c>
      <c r="J467" s="52">
        <v>64950</v>
      </c>
      <c r="K467" s="51">
        <v>33</v>
      </c>
      <c r="L467" s="53">
        <f>K467/H467*30</f>
        <v>198</v>
      </c>
    </row>
    <row r="468" spans="1:12" s="2" customFormat="1" ht="13.95" customHeight="1" outlineLevel="2" x14ac:dyDescent="0.2">
      <c r="A468" s="50" t="s">
        <v>70</v>
      </c>
      <c r="B468" s="50" t="s">
        <v>5</v>
      </c>
      <c r="C468" s="50" t="s">
        <v>40</v>
      </c>
      <c r="D468" s="50" t="s">
        <v>958</v>
      </c>
      <c r="E468" s="50" t="s">
        <v>933</v>
      </c>
      <c r="F468" s="50" t="s">
        <v>73</v>
      </c>
      <c r="G468" s="50" t="s">
        <v>330</v>
      </c>
      <c r="H468" s="51">
        <v>5</v>
      </c>
      <c r="I468" s="52">
        <f>J468/H468</f>
        <v>12990</v>
      </c>
      <c r="J468" s="52">
        <v>64950</v>
      </c>
      <c r="K468" s="51">
        <v>23</v>
      </c>
      <c r="L468" s="53">
        <f>K468/H468*30</f>
        <v>138</v>
      </c>
    </row>
    <row r="469" spans="1:12" s="2" customFormat="1" ht="13.95" customHeight="1" outlineLevel="2" x14ac:dyDescent="0.2">
      <c r="A469" s="50" t="s">
        <v>70</v>
      </c>
      <c r="B469" s="50" t="s">
        <v>5</v>
      </c>
      <c r="C469" s="50" t="s">
        <v>40</v>
      </c>
      <c r="D469" s="50" t="s">
        <v>959</v>
      </c>
      <c r="E469" s="50" t="s">
        <v>933</v>
      </c>
      <c r="F469" s="50" t="s">
        <v>106</v>
      </c>
      <c r="G469" s="50" t="s">
        <v>74</v>
      </c>
      <c r="H469" s="51">
        <v>5</v>
      </c>
      <c r="I469" s="52">
        <f>J469/H469</f>
        <v>12990</v>
      </c>
      <c r="J469" s="52">
        <v>64950</v>
      </c>
      <c r="K469" s="51">
        <v>29</v>
      </c>
      <c r="L469" s="53">
        <f>K469/H469*30</f>
        <v>174</v>
      </c>
    </row>
    <row r="470" spans="1:12" s="2" customFormat="1" ht="13.95" customHeight="1" outlineLevel="2" x14ac:dyDescent="0.2">
      <c r="A470" s="50" t="s">
        <v>70</v>
      </c>
      <c r="B470" s="50" t="s">
        <v>5</v>
      </c>
      <c r="C470" s="50" t="s">
        <v>40</v>
      </c>
      <c r="D470" s="50" t="s">
        <v>960</v>
      </c>
      <c r="E470" s="50" t="s">
        <v>340</v>
      </c>
      <c r="F470" s="50" t="s">
        <v>73</v>
      </c>
      <c r="G470" s="50" t="s">
        <v>74</v>
      </c>
      <c r="H470" s="51">
        <v>5</v>
      </c>
      <c r="I470" s="52">
        <f>J470/H470</f>
        <v>12990</v>
      </c>
      <c r="J470" s="52">
        <v>64950</v>
      </c>
      <c r="K470" s="51">
        <v>26</v>
      </c>
      <c r="L470" s="53">
        <f>K470/H470*30</f>
        <v>156</v>
      </c>
    </row>
    <row r="471" spans="1:12" s="2" customFormat="1" ht="13.95" customHeight="1" outlineLevel="2" x14ac:dyDescent="0.2">
      <c r="A471" s="50" t="s">
        <v>70</v>
      </c>
      <c r="B471" s="50" t="s">
        <v>5</v>
      </c>
      <c r="C471" s="50" t="s">
        <v>40</v>
      </c>
      <c r="D471" s="50" t="s">
        <v>1021</v>
      </c>
      <c r="E471" s="50" t="s">
        <v>933</v>
      </c>
      <c r="F471" s="50" t="s">
        <v>137</v>
      </c>
      <c r="G471" s="50" t="s">
        <v>88</v>
      </c>
      <c r="H471" s="51">
        <v>4</v>
      </c>
      <c r="I471" s="52">
        <f>J471/H471</f>
        <v>13990</v>
      </c>
      <c r="J471" s="52">
        <v>55960</v>
      </c>
      <c r="K471" s="51">
        <v>14</v>
      </c>
      <c r="L471" s="53">
        <f>K471/H471*30</f>
        <v>105</v>
      </c>
    </row>
    <row r="472" spans="1:12" s="2" customFormat="1" ht="13.95" customHeight="1" outlineLevel="2" x14ac:dyDescent="0.2">
      <c r="A472" s="50" t="s">
        <v>70</v>
      </c>
      <c r="B472" s="50" t="s">
        <v>5</v>
      </c>
      <c r="C472" s="50" t="s">
        <v>40</v>
      </c>
      <c r="D472" s="50" t="s">
        <v>1022</v>
      </c>
      <c r="E472" s="50" t="s">
        <v>933</v>
      </c>
      <c r="F472" s="50" t="s">
        <v>137</v>
      </c>
      <c r="G472" s="50" t="s">
        <v>86</v>
      </c>
      <c r="H472" s="51">
        <v>4</v>
      </c>
      <c r="I472" s="52">
        <f>J472/H472</f>
        <v>13990</v>
      </c>
      <c r="J472" s="52">
        <v>55960</v>
      </c>
      <c r="K472" s="51">
        <v>49</v>
      </c>
      <c r="L472" s="53">
        <f>K472/H472*30</f>
        <v>367.5</v>
      </c>
    </row>
    <row r="473" spans="1:12" s="2" customFormat="1" ht="13.95" customHeight="1" outlineLevel="2" x14ac:dyDescent="0.2">
      <c r="A473" s="50" t="s">
        <v>70</v>
      </c>
      <c r="B473" s="50" t="s">
        <v>5</v>
      </c>
      <c r="C473" s="50" t="s">
        <v>40</v>
      </c>
      <c r="D473" s="50" t="s">
        <v>1023</v>
      </c>
      <c r="E473" s="50" t="s">
        <v>933</v>
      </c>
      <c r="F473" s="50" t="s">
        <v>137</v>
      </c>
      <c r="G473" s="50" t="s">
        <v>74</v>
      </c>
      <c r="H473" s="51">
        <v>4</v>
      </c>
      <c r="I473" s="52">
        <f>J473/H473</f>
        <v>13990</v>
      </c>
      <c r="J473" s="52">
        <v>55960</v>
      </c>
      <c r="K473" s="51">
        <v>4</v>
      </c>
      <c r="L473" s="53">
        <f>K473/H473*30</f>
        <v>30</v>
      </c>
    </row>
    <row r="474" spans="1:12" s="2" customFormat="1" ht="13.95" customHeight="1" outlineLevel="2" x14ac:dyDescent="0.2">
      <c r="A474" s="50" t="s">
        <v>70</v>
      </c>
      <c r="B474" s="50" t="s">
        <v>5</v>
      </c>
      <c r="C474" s="50" t="s">
        <v>40</v>
      </c>
      <c r="D474" s="50" t="s">
        <v>1030</v>
      </c>
      <c r="E474" s="50" t="s">
        <v>524</v>
      </c>
      <c r="F474" s="50" t="s">
        <v>137</v>
      </c>
      <c r="G474" s="50" t="s">
        <v>330</v>
      </c>
      <c r="H474" s="51">
        <v>2</v>
      </c>
      <c r="I474" s="52">
        <f>J474/H474</f>
        <v>26990</v>
      </c>
      <c r="J474" s="52">
        <v>53980</v>
      </c>
      <c r="K474" s="51">
        <v>1</v>
      </c>
      <c r="L474" s="53">
        <f>K474/H474*30</f>
        <v>15</v>
      </c>
    </row>
    <row r="475" spans="1:12" s="2" customFormat="1" ht="13.95" customHeight="1" outlineLevel="2" x14ac:dyDescent="0.2">
      <c r="A475" s="50" t="s">
        <v>70</v>
      </c>
      <c r="B475" s="50" t="s">
        <v>5</v>
      </c>
      <c r="C475" s="50" t="s">
        <v>40</v>
      </c>
      <c r="D475" s="50" t="s">
        <v>1035</v>
      </c>
      <c r="E475" s="50" t="s">
        <v>708</v>
      </c>
      <c r="F475" s="50" t="s">
        <v>73</v>
      </c>
      <c r="G475" s="50" t="s">
        <v>84</v>
      </c>
      <c r="H475" s="51">
        <v>3</v>
      </c>
      <c r="I475" s="52">
        <f>J475/H475</f>
        <v>17990</v>
      </c>
      <c r="J475" s="52">
        <v>53970</v>
      </c>
      <c r="K475" s="51">
        <v>17</v>
      </c>
      <c r="L475" s="53">
        <f>K475/H475*30</f>
        <v>170</v>
      </c>
    </row>
    <row r="476" spans="1:12" s="2" customFormat="1" ht="13.95" customHeight="1" outlineLevel="2" x14ac:dyDescent="0.2">
      <c r="A476" s="50" t="s">
        <v>70</v>
      </c>
      <c r="B476" s="50" t="s">
        <v>5</v>
      </c>
      <c r="C476" s="50" t="s">
        <v>40</v>
      </c>
      <c r="D476" s="50" t="s">
        <v>1074</v>
      </c>
      <c r="E476" s="50" t="s">
        <v>933</v>
      </c>
      <c r="F476" s="50" t="s">
        <v>73</v>
      </c>
      <c r="G476" s="50" t="s">
        <v>90</v>
      </c>
      <c r="H476" s="51">
        <v>4</v>
      </c>
      <c r="I476" s="52">
        <f>J476/H476</f>
        <v>12990</v>
      </c>
      <c r="J476" s="52">
        <v>51960</v>
      </c>
      <c r="K476" s="51">
        <v>35</v>
      </c>
      <c r="L476" s="53">
        <f>K476/H476*30</f>
        <v>262.5</v>
      </c>
    </row>
    <row r="477" spans="1:12" s="2" customFormat="1" ht="13.95" customHeight="1" outlineLevel="2" x14ac:dyDescent="0.2">
      <c r="A477" s="50" t="s">
        <v>70</v>
      </c>
      <c r="B477" s="50" t="s">
        <v>5</v>
      </c>
      <c r="C477" s="50" t="s">
        <v>40</v>
      </c>
      <c r="D477" s="50" t="s">
        <v>1075</v>
      </c>
      <c r="E477" s="50" t="s">
        <v>933</v>
      </c>
      <c r="F477" s="50" t="s">
        <v>106</v>
      </c>
      <c r="G477" s="50" t="s">
        <v>112</v>
      </c>
      <c r="H477" s="51">
        <v>4</v>
      </c>
      <c r="I477" s="52">
        <f>J477/H477</f>
        <v>12990</v>
      </c>
      <c r="J477" s="52">
        <v>51960</v>
      </c>
      <c r="K477" s="51">
        <v>23</v>
      </c>
      <c r="L477" s="53">
        <f>K477/H477*30</f>
        <v>172.5</v>
      </c>
    </row>
    <row r="478" spans="1:12" s="2" customFormat="1" ht="13.95" customHeight="1" outlineLevel="2" x14ac:dyDescent="0.2">
      <c r="A478" s="50" t="s">
        <v>70</v>
      </c>
      <c r="B478" s="50" t="s">
        <v>5</v>
      </c>
      <c r="C478" s="50" t="s">
        <v>40</v>
      </c>
      <c r="D478" s="50" t="s">
        <v>1076</v>
      </c>
      <c r="E478" s="50" t="s">
        <v>340</v>
      </c>
      <c r="F478" s="50" t="s">
        <v>73</v>
      </c>
      <c r="G478" s="50" t="s">
        <v>97</v>
      </c>
      <c r="H478" s="51">
        <v>4</v>
      </c>
      <c r="I478" s="52">
        <f>J478/H478</f>
        <v>12990</v>
      </c>
      <c r="J478" s="52">
        <v>51960</v>
      </c>
      <c r="K478" s="51">
        <v>48</v>
      </c>
      <c r="L478" s="53">
        <f>K478/H478*30</f>
        <v>360</v>
      </c>
    </row>
    <row r="479" spans="1:12" s="2" customFormat="1" ht="13.95" customHeight="1" outlineLevel="2" x14ac:dyDescent="0.2">
      <c r="A479" s="50" t="s">
        <v>70</v>
      </c>
      <c r="B479" s="50" t="s">
        <v>5</v>
      </c>
      <c r="C479" s="50" t="s">
        <v>40</v>
      </c>
      <c r="D479" s="50" t="s">
        <v>1077</v>
      </c>
      <c r="E479" s="50" t="s">
        <v>340</v>
      </c>
      <c r="F479" s="50" t="s">
        <v>73</v>
      </c>
      <c r="G479" s="50" t="s">
        <v>112</v>
      </c>
      <c r="H479" s="51">
        <v>4</v>
      </c>
      <c r="I479" s="52">
        <f>J479/H479</f>
        <v>12990</v>
      </c>
      <c r="J479" s="52">
        <v>51960</v>
      </c>
      <c r="K479" s="51">
        <v>3</v>
      </c>
      <c r="L479" s="53">
        <f>K479/H479*30</f>
        <v>22.5</v>
      </c>
    </row>
    <row r="480" spans="1:12" s="2" customFormat="1" ht="13.95" customHeight="1" outlineLevel="2" x14ac:dyDescent="0.2">
      <c r="A480" s="50" t="s">
        <v>70</v>
      </c>
      <c r="B480" s="50" t="s">
        <v>5</v>
      </c>
      <c r="C480" s="50" t="s">
        <v>40</v>
      </c>
      <c r="D480" s="50" t="s">
        <v>1078</v>
      </c>
      <c r="E480" s="50" t="s">
        <v>340</v>
      </c>
      <c r="F480" s="50" t="s">
        <v>73</v>
      </c>
      <c r="G480" s="50" t="s">
        <v>84</v>
      </c>
      <c r="H480" s="51">
        <v>4</v>
      </c>
      <c r="I480" s="52">
        <f>J480/H480</f>
        <v>12990</v>
      </c>
      <c r="J480" s="52">
        <v>51960</v>
      </c>
      <c r="K480" s="51">
        <v>33</v>
      </c>
      <c r="L480" s="53">
        <f>K480/H480*30</f>
        <v>247.5</v>
      </c>
    </row>
    <row r="481" spans="1:12" s="2" customFormat="1" ht="13.95" customHeight="1" outlineLevel="2" x14ac:dyDescent="0.2">
      <c r="A481" s="50" t="s">
        <v>70</v>
      </c>
      <c r="B481" s="50" t="s">
        <v>5</v>
      </c>
      <c r="C481" s="50" t="s">
        <v>40</v>
      </c>
      <c r="D481" s="50" t="s">
        <v>1204</v>
      </c>
      <c r="E481" s="50" t="s">
        <v>933</v>
      </c>
      <c r="F481" s="50" t="s">
        <v>223</v>
      </c>
      <c r="G481" s="50" t="s">
        <v>224</v>
      </c>
      <c r="H481" s="51">
        <v>3</v>
      </c>
      <c r="I481" s="52">
        <f>J481/H481</f>
        <v>12990</v>
      </c>
      <c r="J481" s="52">
        <v>38970</v>
      </c>
      <c r="K481" s="51">
        <v>22</v>
      </c>
      <c r="L481" s="53">
        <f>K481/H481*30</f>
        <v>220</v>
      </c>
    </row>
    <row r="482" spans="1:12" s="2" customFormat="1" ht="13.95" customHeight="1" outlineLevel="2" x14ac:dyDescent="0.2">
      <c r="A482" s="50" t="s">
        <v>70</v>
      </c>
      <c r="B482" s="50" t="s">
        <v>5</v>
      </c>
      <c r="C482" s="50" t="s">
        <v>40</v>
      </c>
      <c r="D482" s="50" t="s">
        <v>1205</v>
      </c>
      <c r="E482" s="50" t="s">
        <v>340</v>
      </c>
      <c r="F482" s="50" t="s">
        <v>155</v>
      </c>
      <c r="G482" s="50" t="s">
        <v>512</v>
      </c>
      <c r="H482" s="51">
        <v>3</v>
      </c>
      <c r="I482" s="52">
        <f>J482/H482</f>
        <v>12990</v>
      </c>
      <c r="J482" s="52">
        <v>38970</v>
      </c>
      <c r="K482" s="51">
        <v>2</v>
      </c>
      <c r="L482" s="53">
        <f>K482/H482*30</f>
        <v>20</v>
      </c>
    </row>
    <row r="483" spans="1:12" s="2" customFormat="1" ht="13.95" customHeight="1" outlineLevel="2" x14ac:dyDescent="0.2">
      <c r="A483" s="50" t="s">
        <v>70</v>
      </c>
      <c r="B483" s="50" t="s">
        <v>5</v>
      </c>
      <c r="C483" s="50" t="s">
        <v>40</v>
      </c>
      <c r="D483" s="50" t="s">
        <v>1213</v>
      </c>
      <c r="E483" s="50" t="s">
        <v>708</v>
      </c>
      <c r="F483" s="50" t="s">
        <v>73</v>
      </c>
      <c r="G483" s="50" t="s">
        <v>97</v>
      </c>
      <c r="H483" s="51">
        <v>2</v>
      </c>
      <c r="I483" s="52">
        <f>J483/H483</f>
        <v>17990</v>
      </c>
      <c r="J483" s="52">
        <v>35980</v>
      </c>
      <c r="K483" s="51">
        <v>21</v>
      </c>
      <c r="L483" s="53">
        <f>K483/H483*30</f>
        <v>315</v>
      </c>
    </row>
    <row r="484" spans="1:12" s="2" customFormat="1" ht="13.95" customHeight="1" outlineLevel="2" x14ac:dyDescent="0.2">
      <c r="A484" s="50" t="s">
        <v>70</v>
      </c>
      <c r="B484" s="50" t="s">
        <v>5</v>
      </c>
      <c r="C484" s="50" t="s">
        <v>40</v>
      </c>
      <c r="D484" s="50" t="s">
        <v>1214</v>
      </c>
      <c r="E484" s="50" t="s">
        <v>708</v>
      </c>
      <c r="F484" s="50" t="s">
        <v>137</v>
      </c>
      <c r="G484" s="50" t="s">
        <v>88</v>
      </c>
      <c r="H484" s="51">
        <v>2</v>
      </c>
      <c r="I484" s="52">
        <f>J484/H484</f>
        <v>17990</v>
      </c>
      <c r="J484" s="52">
        <v>35980</v>
      </c>
      <c r="K484" s="51">
        <v>9</v>
      </c>
      <c r="L484" s="53">
        <f>K484/H484*30</f>
        <v>135</v>
      </c>
    </row>
    <row r="485" spans="1:12" s="2" customFormat="1" ht="13.95" customHeight="1" outlineLevel="2" x14ac:dyDescent="0.2">
      <c r="A485" s="50" t="s">
        <v>70</v>
      </c>
      <c r="B485" s="50" t="s">
        <v>5</v>
      </c>
      <c r="C485" s="50" t="s">
        <v>40</v>
      </c>
      <c r="D485" s="50" t="s">
        <v>1215</v>
      </c>
      <c r="E485" s="50" t="s">
        <v>708</v>
      </c>
      <c r="F485" s="50" t="s">
        <v>137</v>
      </c>
      <c r="G485" s="50" t="s">
        <v>74</v>
      </c>
      <c r="H485" s="51">
        <v>2</v>
      </c>
      <c r="I485" s="52">
        <f>J485/H485</f>
        <v>17990</v>
      </c>
      <c r="J485" s="52">
        <v>35980</v>
      </c>
      <c r="K485" s="51">
        <v>5</v>
      </c>
      <c r="L485" s="53">
        <f>K485/H485*30</f>
        <v>75</v>
      </c>
    </row>
    <row r="486" spans="1:12" s="2" customFormat="1" ht="13.95" customHeight="1" outlineLevel="2" x14ac:dyDescent="0.2">
      <c r="A486" s="50" t="s">
        <v>70</v>
      </c>
      <c r="B486" s="50" t="s">
        <v>5</v>
      </c>
      <c r="C486" s="50" t="s">
        <v>40</v>
      </c>
      <c r="D486" s="50" t="s">
        <v>1232</v>
      </c>
      <c r="E486" s="50" t="s">
        <v>946</v>
      </c>
      <c r="F486" s="50" t="s">
        <v>73</v>
      </c>
      <c r="G486" s="50" t="s">
        <v>97</v>
      </c>
      <c r="H486" s="51">
        <v>1</v>
      </c>
      <c r="I486" s="52">
        <f>J486/H486</f>
        <v>32990</v>
      </c>
      <c r="J486" s="52">
        <v>32990</v>
      </c>
      <c r="K486" s="51">
        <v>15</v>
      </c>
      <c r="L486" s="53">
        <f>K486/H486*30</f>
        <v>450</v>
      </c>
    </row>
    <row r="487" spans="1:12" s="2" customFormat="1" ht="13.95" customHeight="1" outlineLevel="2" x14ac:dyDescent="0.2">
      <c r="A487" s="50" t="s">
        <v>70</v>
      </c>
      <c r="B487" s="50" t="s">
        <v>5</v>
      </c>
      <c r="C487" s="50" t="s">
        <v>40</v>
      </c>
      <c r="D487" s="50" t="s">
        <v>1233</v>
      </c>
      <c r="E487" s="50" t="s">
        <v>946</v>
      </c>
      <c r="F487" s="50" t="s">
        <v>223</v>
      </c>
      <c r="G487" s="50" t="s">
        <v>224</v>
      </c>
      <c r="H487" s="51">
        <v>1</v>
      </c>
      <c r="I487" s="52">
        <f>J487/H487</f>
        <v>32990</v>
      </c>
      <c r="J487" s="52">
        <v>32990</v>
      </c>
      <c r="K487" s="51">
        <v>27</v>
      </c>
      <c r="L487" s="53">
        <f>K487/H487*30</f>
        <v>810</v>
      </c>
    </row>
    <row r="488" spans="1:12" s="2" customFormat="1" ht="13.95" customHeight="1" outlineLevel="2" x14ac:dyDescent="0.2">
      <c r="A488" s="50" t="s">
        <v>70</v>
      </c>
      <c r="B488" s="50" t="s">
        <v>5</v>
      </c>
      <c r="C488" s="50" t="s">
        <v>40</v>
      </c>
      <c r="D488" s="50" t="s">
        <v>1234</v>
      </c>
      <c r="E488" s="50" t="s">
        <v>946</v>
      </c>
      <c r="F488" s="50" t="s">
        <v>137</v>
      </c>
      <c r="G488" s="50" t="s">
        <v>74</v>
      </c>
      <c r="H488" s="51">
        <v>1</v>
      </c>
      <c r="I488" s="52">
        <f>J488/H488</f>
        <v>32990</v>
      </c>
      <c r="J488" s="52">
        <v>32990</v>
      </c>
      <c r="K488" s="51">
        <v>43</v>
      </c>
      <c r="L488" s="53">
        <f>K488/H488*30</f>
        <v>1290</v>
      </c>
    </row>
    <row r="489" spans="1:12" s="2" customFormat="1" ht="13.95" customHeight="1" outlineLevel="2" x14ac:dyDescent="0.2">
      <c r="A489" s="50" t="s">
        <v>70</v>
      </c>
      <c r="B489" s="50" t="s">
        <v>5</v>
      </c>
      <c r="C489" s="50" t="s">
        <v>40</v>
      </c>
      <c r="D489" s="50" t="s">
        <v>1235</v>
      </c>
      <c r="E489" s="50" t="s">
        <v>946</v>
      </c>
      <c r="F489" s="50" t="s">
        <v>155</v>
      </c>
      <c r="G489" s="50" t="s">
        <v>156</v>
      </c>
      <c r="H489" s="51">
        <v>1</v>
      </c>
      <c r="I489" s="52">
        <f>J489/H489</f>
        <v>32990</v>
      </c>
      <c r="J489" s="52">
        <v>32990</v>
      </c>
      <c r="K489" s="51">
        <v>12</v>
      </c>
      <c r="L489" s="53">
        <f>K489/H489*30</f>
        <v>360</v>
      </c>
    </row>
    <row r="490" spans="1:12" s="2" customFormat="1" ht="13.95" customHeight="1" outlineLevel="2" x14ac:dyDescent="0.2">
      <c r="A490" s="50" t="s">
        <v>70</v>
      </c>
      <c r="B490" s="50" t="s">
        <v>5</v>
      </c>
      <c r="C490" s="50" t="s">
        <v>40</v>
      </c>
      <c r="D490" s="50" t="s">
        <v>1301</v>
      </c>
      <c r="E490" s="50" t="s">
        <v>933</v>
      </c>
      <c r="F490" s="50" t="s">
        <v>73</v>
      </c>
      <c r="G490" s="50" t="s">
        <v>140</v>
      </c>
      <c r="H490" s="51">
        <v>2</v>
      </c>
      <c r="I490" s="52">
        <f>J490/H490</f>
        <v>12990</v>
      </c>
      <c r="J490" s="52">
        <v>25980</v>
      </c>
      <c r="K490" s="51">
        <v>9</v>
      </c>
      <c r="L490" s="53">
        <f>K490/H490*30</f>
        <v>135</v>
      </c>
    </row>
    <row r="491" spans="1:12" s="2" customFormat="1" ht="13.95" customHeight="1" outlineLevel="2" x14ac:dyDescent="0.2">
      <c r="A491" s="50" t="s">
        <v>70</v>
      </c>
      <c r="B491" s="50" t="s">
        <v>5</v>
      </c>
      <c r="C491" s="50" t="s">
        <v>40</v>
      </c>
      <c r="D491" s="50" t="s">
        <v>1302</v>
      </c>
      <c r="E491" s="50" t="s">
        <v>933</v>
      </c>
      <c r="F491" s="50" t="s">
        <v>73</v>
      </c>
      <c r="G491" s="50" t="s">
        <v>84</v>
      </c>
      <c r="H491" s="51">
        <v>2</v>
      </c>
      <c r="I491" s="52">
        <f>J491/H491</f>
        <v>12990</v>
      </c>
      <c r="J491" s="52">
        <v>25980</v>
      </c>
      <c r="K491" s="51">
        <v>29</v>
      </c>
      <c r="L491" s="53">
        <f>K491/H491*30</f>
        <v>435</v>
      </c>
    </row>
    <row r="492" spans="1:12" s="2" customFormat="1" ht="13.95" customHeight="1" outlineLevel="2" x14ac:dyDescent="0.2">
      <c r="A492" s="50" t="s">
        <v>70</v>
      </c>
      <c r="B492" s="50" t="s">
        <v>5</v>
      </c>
      <c r="C492" s="50" t="s">
        <v>40</v>
      </c>
      <c r="D492" s="50" t="s">
        <v>1303</v>
      </c>
      <c r="E492" s="50" t="s">
        <v>933</v>
      </c>
      <c r="F492" s="50" t="s">
        <v>374</v>
      </c>
      <c r="G492" s="50" t="s">
        <v>140</v>
      </c>
      <c r="H492" s="51">
        <v>2</v>
      </c>
      <c r="I492" s="52">
        <f>J492/H492</f>
        <v>12990</v>
      </c>
      <c r="J492" s="52">
        <v>25980</v>
      </c>
      <c r="K492" s="51">
        <v>9</v>
      </c>
      <c r="L492" s="53">
        <f>K492/H492*30</f>
        <v>135</v>
      </c>
    </row>
    <row r="493" spans="1:12" s="2" customFormat="1" ht="13.95" customHeight="1" outlineLevel="2" x14ac:dyDescent="0.2">
      <c r="A493" s="50" t="s">
        <v>70</v>
      </c>
      <c r="B493" s="50" t="s">
        <v>5</v>
      </c>
      <c r="C493" s="50" t="s">
        <v>40</v>
      </c>
      <c r="D493" s="50" t="s">
        <v>1304</v>
      </c>
      <c r="E493" s="50" t="s">
        <v>933</v>
      </c>
      <c r="F493" s="50" t="s">
        <v>106</v>
      </c>
      <c r="G493" s="50" t="s">
        <v>140</v>
      </c>
      <c r="H493" s="51">
        <v>2</v>
      </c>
      <c r="I493" s="52">
        <f>J493/H493</f>
        <v>12990</v>
      </c>
      <c r="J493" s="52">
        <v>25980</v>
      </c>
      <c r="K493" s="51">
        <v>30</v>
      </c>
      <c r="L493" s="53">
        <f>K493/H493*30</f>
        <v>450</v>
      </c>
    </row>
    <row r="494" spans="1:12" s="2" customFormat="1" ht="13.95" customHeight="1" outlineLevel="2" x14ac:dyDescent="0.2">
      <c r="A494" s="50" t="s">
        <v>70</v>
      </c>
      <c r="B494" s="50" t="s">
        <v>5</v>
      </c>
      <c r="C494" s="50" t="s">
        <v>40</v>
      </c>
      <c r="D494" s="50" t="s">
        <v>1305</v>
      </c>
      <c r="E494" s="50" t="s">
        <v>933</v>
      </c>
      <c r="F494" s="50" t="s">
        <v>106</v>
      </c>
      <c r="G494" s="50" t="s">
        <v>86</v>
      </c>
      <c r="H494" s="51">
        <v>2</v>
      </c>
      <c r="I494" s="52">
        <f>J494/H494</f>
        <v>12990</v>
      </c>
      <c r="J494" s="52">
        <v>25980</v>
      </c>
      <c r="K494" s="51">
        <v>30</v>
      </c>
      <c r="L494" s="53">
        <f>K494/H494*30</f>
        <v>450</v>
      </c>
    </row>
    <row r="495" spans="1:12" s="2" customFormat="1" ht="13.95" customHeight="1" outlineLevel="2" x14ac:dyDescent="0.2">
      <c r="A495" s="50" t="s">
        <v>70</v>
      </c>
      <c r="B495" s="50" t="s">
        <v>5</v>
      </c>
      <c r="C495" s="50" t="s">
        <v>40</v>
      </c>
      <c r="D495" s="50" t="s">
        <v>1306</v>
      </c>
      <c r="E495" s="50" t="s">
        <v>340</v>
      </c>
      <c r="F495" s="50" t="s">
        <v>155</v>
      </c>
      <c r="G495" s="50" t="s">
        <v>156</v>
      </c>
      <c r="H495" s="51">
        <v>2</v>
      </c>
      <c r="I495" s="52">
        <f>J495/H495</f>
        <v>12990</v>
      </c>
      <c r="J495" s="52">
        <v>25980</v>
      </c>
      <c r="K495" s="51">
        <v>42</v>
      </c>
      <c r="L495" s="53">
        <f>K495/H495*30</f>
        <v>630</v>
      </c>
    </row>
    <row r="496" spans="1:12" s="2" customFormat="1" ht="13.95" customHeight="1" outlineLevel="2" x14ac:dyDescent="0.2">
      <c r="A496" s="50" t="s">
        <v>70</v>
      </c>
      <c r="B496" s="50" t="s">
        <v>5</v>
      </c>
      <c r="C496" s="50" t="s">
        <v>40</v>
      </c>
      <c r="D496" s="50" t="s">
        <v>1365</v>
      </c>
      <c r="E496" s="50" t="s">
        <v>708</v>
      </c>
      <c r="F496" s="50" t="s">
        <v>73</v>
      </c>
      <c r="G496" s="50" t="s">
        <v>86</v>
      </c>
      <c r="H496" s="51">
        <v>1</v>
      </c>
      <c r="I496" s="52">
        <f>J496/H496</f>
        <v>17990</v>
      </c>
      <c r="J496" s="52">
        <v>17990</v>
      </c>
      <c r="K496" s="51">
        <v>28</v>
      </c>
      <c r="L496" s="53">
        <f>K496/H496*30</f>
        <v>840</v>
      </c>
    </row>
    <row r="497" spans="1:12" s="2" customFormat="1" ht="13.95" customHeight="1" outlineLevel="2" x14ac:dyDescent="0.2">
      <c r="A497" s="50" t="s">
        <v>70</v>
      </c>
      <c r="B497" s="50" t="s">
        <v>5</v>
      </c>
      <c r="C497" s="50" t="s">
        <v>40</v>
      </c>
      <c r="D497" s="50" t="s">
        <v>1366</v>
      </c>
      <c r="E497" s="50" t="s">
        <v>708</v>
      </c>
      <c r="F497" s="50" t="s">
        <v>137</v>
      </c>
      <c r="G497" s="50" t="s">
        <v>140</v>
      </c>
      <c r="H497" s="51">
        <v>1</v>
      </c>
      <c r="I497" s="52">
        <f>J497/H497</f>
        <v>17990</v>
      </c>
      <c r="J497" s="52">
        <v>17990</v>
      </c>
      <c r="K497" s="51">
        <v>1</v>
      </c>
      <c r="L497" s="53">
        <f>K497/H497*30</f>
        <v>30</v>
      </c>
    </row>
    <row r="498" spans="1:12" s="2" customFormat="1" ht="13.95" customHeight="1" outlineLevel="2" x14ac:dyDescent="0.2">
      <c r="A498" s="50" t="s">
        <v>70</v>
      </c>
      <c r="B498" s="50" t="s">
        <v>5</v>
      </c>
      <c r="C498" s="50" t="s">
        <v>40</v>
      </c>
      <c r="D498" s="50" t="s">
        <v>1367</v>
      </c>
      <c r="E498" s="50" t="s">
        <v>708</v>
      </c>
      <c r="F498" s="50" t="s">
        <v>137</v>
      </c>
      <c r="G498" s="50" t="s">
        <v>86</v>
      </c>
      <c r="H498" s="51">
        <v>1</v>
      </c>
      <c r="I498" s="52">
        <f>J498/H498</f>
        <v>17990</v>
      </c>
      <c r="J498" s="52">
        <v>17990</v>
      </c>
      <c r="K498" s="51">
        <v>8</v>
      </c>
      <c r="L498" s="53">
        <f>K498/H498*30</f>
        <v>240</v>
      </c>
    </row>
    <row r="499" spans="1:12" s="2" customFormat="1" ht="13.95" customHeight="1" outlineLevel="2" x14ac:dyDescent="0.2">
      <c r="A499" s="50" t="s">
        <v>70</v>
      </c>
      <c r="B499" s="50" t="s">
        <v>5</v>
      </c>
      <c r="C499" s="50" t="s">
        <v>40</v>
      </c>
      <c r="D499" s="50" t="s">
        <v>1368</v>
      </c>
      <c r="E499" s="50" t="s">
        <v>708</v>
      </c>
      <c r="F499" s="50" t="s">
        <v>137</v>
      </c>
      <c r="G499" s="50" t="s">
        <v>330</v>
      </c>
      <c r="H499" s="51">
        <v>1</v>
      </c>
      <c r="I499" s="52">
        <f>J499/H499</f>
        <v>17990</v>
      </c>
      <c r="J499" s="52">
        <v>17990</v>
      </c>
      <c r="K499" s="51">
        <v>0</v>
      </c>
      <c r="L499" s="53">
        <f>K499/H499*30</f>
        <v>0</v>
      </c>
    </row>
    <row r="500" spans="1:12" s="2" customFormat="1" ht="13.95" customHeight="1" outlineLevel="2" x14ac:dyDescent="0.2">
      <c r="A500" s="50" t="s">
        <v>70</v>
      </c>
      <c r="B500" s="50" t="s">
        <v>5</v>
      </c>
      <c r="C500" s="50" t="s">
        <v>40</v>
      </c>
      <c r="D500" s="50" t="s">
        <v>1369</v>
      </c>
      <c r="E500" s="50" t="s">
        <v>708</v>
      </c>
      <c r="F500" s="50" t="s">
        <v>216</v>
      </c>
      <c r="G500" s="50" t="s">
        <v>90</v>
      </c>
      <c r="H500" s="51">
        <v>1</v>
      </c>
      <c r="I500" s="52">
        <f>J500/H500</f>
        <v>17990</v>
      </c>
      <c r="J500" s="52">
        <v>17990</v>
      </c>
      <c r="K500" s="51">
        <v>5</v>
      </c>
      <c r="L500" s="53">
        <f>K500/H500*30</f>
        <v>150</v>
      </c>
    </row>
    <row r="501" spans="1:12" s="2" customFormat="1" ht="13.95" customHeight="1" outlineLevel="2" x14ac:dyDescent="0.2">
      <c r="A501" s="50" t="s">
        <v>70</v>
      </c>
      <c r="B501" s="50" t="s">
        <v>5</v>
      </c>
      <c r="C501" s="50" t="s">
        <v>40</v>
      </c>
      <c r="D501" s="50" t="s">
        <v>1370</v>
      </c>
      <c r="E501" s="50" t="s">
        <v>708</v>
      </c>
      <c r="F501" s="50" t="s">
        <v>216</v>
      </c>
      <c r="G501" s="50" t="s">
        <v>1371</v>
      </c>
      <c r="H501" s="51">
        <v>1</v>
      </c>
      <c r="I501" s="52">
        <f>J501/H501</f>
        <v>17990</v>
      </c>
      <c r="J501" s="52">
        <v>17990</v>
      </c>
      <c r="K501" s="51">
        <v>16</v>
      </c>
      <c r="L501" s="53">
        <f>K501/H501*30</f>
        <v>480</v>
      </c>
    </row>
    <row r="502" spans="1:12" s="2" customFormat="1" ht="13.95" customHeight="1" outlineLevel="2" x14ac:dyDescent="0.2">
      <c r="A502" s="50" t="s">
        <v>70</v>
      </c>
      <c r="B502" s="50" t="s">
        <v>5</v>
      </c>
      <c r="C502" s="50" t="s">
        <v>40</v>
      </c>
      <c r="D502" s="50" t="s">
        <v>1404</v>
      </c>
      <c r="E502" s="50" t="s">
        <v>933</v>
      </c>
      <c r="F502" s="50" t="s">
        <v>137</v>
      </c>
      <c r="G502" s="50" t="s">
        <v>330</v>
      </c>
      <c r="H502" s="51">
        <v>1</v>
      </c>
      <c r="I502" s="52">
        <f>J502/H502</f>
        <v>13990</v>
      </c>
      <c r="J502" s="52">
        <v>13990</v>
      </c>
      <c r="K502" s="51">
        <v>8</v>
      </c>
      <c r="L502" s="53">
        <f>K502/H502*30</f>
        <v>240</v>
      </c>
    </row>
    <row r="503" spans="1:12" s="2" customFormat="1" ht="13.95" customHeight="1" outlineLevel="2" x14ac:dyDescent="0.2">
      <c r="A503" s="50" t="s">
        <v>70</v>
      </c>
      <c r="B503" s="50" t="s">
        <v>5</v>
      </c>
      <c r="C503" s="50" t="s">
        <v>40</v>
      </c>
      <c r="D503" s="50" t="s">
        <v>1410</v>
      </c>
      <c r="E503" s="50" t="s">
        <v>933</v>
      </c>
      <c r="F503" s="50" t="s">
        <v>73</v>
      </c>
      <c r="G503" s="50" t="s">
        <v>88</v>
      </c>
      <c r="H503" s="51">
        <v>1</v>
      </c>
      <c r="I503" s="52">
        <f>J503/H503</f>
        <v>12990</v>
      </c>
      <c r="J503" s="52">
        <v>12990</v>
      </c>
      <c r="K503" s="51">
        <v>54</v>
      </c>
      <c r="L503" s="53">
        <f>K503/H503*30</f>
        <v>1620</v>
      </c>
    </row>
    <row r="504" spans="1:12" s="2" customFormat="1" ht="13.95" customHeight="1" outlineLevel="2" x14ac:dyDescent="0.2">
      <c r="A504" s="50" t="s">
        <v>70</v>
      </c>
      <c r="B504" s="50" t="s">
        <v>5</v>
      </c>
      <c r="C504" s="50" t="s">
        <v>40</v>
      </c>
      <c r="D504" s="50" t="s">
        <v>1411</v>
      </c>
      <c r="E504" s="50" t="s">
        <v>933</v>
      </c>
      <c r="F504" s="50" t="s">
        <v>73</v>
      </c>
      <c r="G504" s="50" t="s">
        <v>86</v>
      </c>
      <c r="H504" s="51">
        <v>1</v>
      </c>
      <c r="I504" s="52">
        <f>J504/H504</f>
        <v>12990</v>
      </c>
      <c r="J504" s="52">
        <v>12990</v>
      </c>
      <c r="K504" s="51">
        <v>43</v>
      </c>
      <c r="L504" s="53">
        <f>K504/H504*30</f>
        <v>1290</v>
      </c>
    </row>
    <row r="505" spans="1:12" s="2" customFormat="1" ht="13.95" customHeight="1" outlineLevel="2" x14ac:dyDescent="0.2">
      <c r="A505" s="50" t="s">
        <v>70</v>
      </c>
      <c r="B505" s="50" t="s">
        <v>5</v>
      </c>
      <c r="C505" s="50" t="s">
        <v>40</v>
      </c>
      <c r="D505" s="50" t="s">
        <v>1412</v>
      </c>
      <c r="E505" s="50" t="s">
        <v>933</v>
      </c>
      <c r="F505" s="50" t="s">
        <v>374</v>
      </c>
      <c r="G505" s="50" t="s">
        <v>330</v>
      </c>
      <c r="H505" s="51">
        <v>1</v>
      </c>
      <c r="I505" s="52">
        <f>J505/H505</f>
        <v>12990</v>
      </c>
      <c r="J505" s="52">
        <v>12990</v>
      </c>
      <c r="K505" s="51">
        <v>3</v>
      </c>
      <c r="L505" s="53">
        <f>K505/H505*30</f>
        <v>90</v>
      </c>
    </row>
    <row r="506" spans="1:12" s="2" customFormat="1" ht="13.95" customHeight="1" outlineLevel="2" x14ac:dyDescent="0.2">
      <c r="A506" s="50" t="s">
        <v>70</v>
      </c>
      <c r="B506" s="50" t="s">
        <v>5</v>
      </c>
      <c r="C506" s="50" t="s">
        <v>40</v>
      </c>
      <c r="D506" s="50" t="s">
        <v>1413</v>
      </c>
      <c r="E506" s="50" t="s">
        <v>933</v>
      </c>
      <c r="F506" s="50" t="s">
        <v>106</v>
      </c>
      <c r="G506" s="50" t="s">
        <v>330</v>
      </c>
      <c r="H506" s="51">
        <v>1</v>
      </c>
      <c r="I506" s="52">
        <f>J506/H506</f>
        <v>12990</v>
      </c>
      <c r="J506" s="52">
        <v>12990</v>
      </c>
      <c r="K506" s="51">
        <v>0</v>
      </c>
      <c r="L506" s="53">
        <f>K506/H506*30</f>
        <v>0</v>
      </c>
    </row>
    <row r="507" spans="1:12" s="2" customFormat="1" ht="13.95" customHeight="1" outlineLevel="1" x14ac:dyDescent="0.2">
      <c r="A507" s="50"/>
      <c r="B507" s="50"/>
      <c r="C507" s="58" t="s">
        <v>1476</v>
      </c>
      <c r="D507" s="50"/>
      <c r="E507" s="50"/>
      <c r="F507" s="50"/>
      <c r="G507" s="50"/>
      <c r="H507" s="51">
        <f>SUBTOTAL(9,H446:H506)</f>
        <v>226</v>
      </c>
      <c r="I507" s="52"/>
      <c r="J507" s="52">
        <f>SUBTOTAL(9,J446:J506)</f>
        <v>3706740</v>
      </c>
      <c r="K507" s="51"/>
      <c r="L507" s="53"/>
    </row>
    <row r="508" spans="1:12" s="2" customFormat="1" ht="13.95" customHeight="1" outlineLevel="2" x14ac:dyDescent="0.2">
      <c r="A508" s="50" t="s">
        <v>70</v>
      </c>
      <c r="B508" s="50" t="s">
        <v>5</v>
      </c>
      <c r="C508" s="50" t="s">
        <v>41</v>
      </c>
      <c r="D508" s="50" t="s">
        <v>928</v>
      </c>
      <c r="E508" s="50" t="s">
        <v>929</v>
      </c>
      <c r="F508" s="50" t="s">
        <v>73</v>
      </c>
      <c r="G508" s="50" t="s">
        <v>86</v>
      </c>
      <c r="H508" s="51">
        <v>2</v>
      </c>
      <c r="I508" s="52">
        <f>J508/H508</f>
        <v>34990</v>
      </c>
      <c r="J508" s="52">
        <v>69980</v>
      </c>
      <c r="K508" s="51">
        <v>9</v>
      </c>
      <c r="L508" s="53">
        <f>K508/H508*30</f>
        <v>135</v>
      </c>
    </row>
    <row r="509" spans="1:12" s="2" customFormat="1" ht="13.95" customHeight="1" outlineLevel="2" x14ac:dyDescent="0.2">
      <c r="A509" s="50" t="s">
        <v>70</v>
      </c>
      <c r="B509" s="50" t="s">
        <v>5</v>
      </c>
      <c r="C509" s="50" t="s">
        <v>41</v>
      </c>
      <c r="D509" s="50" t="s">
        <v>1082</v>
      </c>
      <c r="E509" s="50" t="s">
        <v>1083</v>
      </c>
      <c r="F509" s="50" t="s">
        <v>229</v>
      </c>
      <c r="G509" s="50" t="s">
        <v>813</v>
      </c>
      <c r="H509" s="51">
        <v>1</v>
      </c>
      <c r="I509" s="52">
        <f>J509/H509</f>
        <v>49990</v>
      </c>
      <c r="J509" s="52">
        <v>49990</v>
      </c>
      <c r="K509" s="51">
        <v>3</v>
      </c>
      <c r="L509" s="53">
        <f>K509/H509*30</f>
        <v>90</v>
      </c>
    </row>
    <row r="510" spans="1:12" s="2" customFormat="1" ht="13.95" customHeight="1" outlineLevel="1" x14ac:dyDescent="0.2">
      <c r="A510" s="50"/>
      <c r="B510" s="50"/>
      <c r="C510" s="58" t="s">
        <v>1499</v>
      </c>
      <c r="D510" s="50"/>
      <c r="E510" s="50"/>
      <c r="F510" s="50"/>
      <c r="G510" s="50"/>
      <c r="H510" s="51">
        <f>SUBTOTAL(9,H508:H509)</f>
        <v>3</v>
      </c>
      <c r="I510" s="52"/>
      <c r="J510" s="52">
        <f>SUBTOTAL(9,J508:J509)</f>
        <v>119970</v>
      </c>
      <c r="K510" s="51"/>
      <c r="L510" s="53"/>
    </row>
    <row r="511" spans="1:12" s="2" customFormat="1" ht="13.95" customHeight="1" outlineLevel="2" x14ac:dyDescent="0.2">
      <c r="A511" s="50" t="s">
        <v>70</v>
      </c>
      <c r="B511" s="50" t="s">
        <v>5</v>
      </c>
      <c r="C511" s="50" t="s">
        <v>42</v>
      </c>
      <c r="D511" s="50" t="s">
        <v>285</v>
      </c>
      <c r="E511" s="50" t="s">
        <v>286</v>
      </c>
      <c r="F511" s="50" t="s">
        <v>106</v>
      </c>
      <c r="G511" s="50" t="s">
        <v>140</v>
      </c>
      <c r="H511" s="51">
        <v>2</v>
      </c>
      <c r="I511" s="52">
        <f>J511/H511</f>
        <v>149990</v>
      </c>
      <c r="J511" s="52">
        <v>299980</v>
      </c>
      <c r="K511" s="51">
        <v>6</v>
      </c>
      <c r="L511" s="53">
        <f>K511/H511*30</f>
        <v>90</v>
      </c>
    </row>
    <row r="512" spans="1:12" s="2" customFormat="1" ht="13.95" customHeight="1" outlineLevel="2" x14ac:dyDescent="0.2">
      <c r="A512" s="50" t="s">
        <v>70</v>
      </c>
      <c r="B512" s="50" t="s">
        <v>5</v>
      </c>
      <c r="C512" s="50" t="s">
        <v>42</v>
      </c>
      <c r="D512" s="50" t="s">
        <v>372</v>
      </c>
      <c r="E512" s="50" t="s">
        <v>373</v>
      </c>
      <c r="F512" s="50" t="s">
        <v>374</v>
      </c>
      <c r="G512" s="50" t="s">
        <v>140</v>
      </c>
      <c r="H512" s="51">
        <v>15</v>
      </c>
      <c r="I512" s="52">
        <f>J512/H512</f>
        <v>15990</v>
      </c>
      <c r="J512" s="52">
        <v>239850</v>
      </c>
      <c r="K512" s="51">
        <v>53</v>
      </c>
      <c r="L512" s="53">
        <f>K512/H512*30</f>
        <v>106</v>
      </c>
    </row>
    <row r="513" spans="1:12" s="2" customFormat="1" ht="13.95" customHeight="1" outlineLevel="2" x14ac:dyDescent="0.2">
      <c r="A513" s="50" t="s">
        <v>70</v>
      </c>
      <c r="B513" s="50" t="s">
        <v>5</v>
      </c>
      <c r="C513" s="50" t="s">
        <v>42</v>
      </c>
      <c r="D513" s="50" t="s">
        <v>401</v>
      </c>
      <c r="E513" s="50" t="s">
        <v>373</v>
      </c>
      <c r="F513" s="50" t="s">
        <v>73</v>
      </c>
      <c r="G513" s="50" t="s">
        <v>74</v>
      </c>
      <c r="H513" s="51">
        <v>14</v>
      </c>
      <c r="I513" s="52">
        <f>J513/H513</f>
        <v>15647.357142857143</v>
      </c>
      <c r="J513" s="52">
        <v>219063</v>
      </c>
      <c r="K513" s="51">
        <v>30</v>
      </c>
      <c r="L513" s="53">
        <f>K513/H513*30</f>
        <v>64.285714285714278</v>
      </c>
    </row>
    <row r="514" spans="1:12" s="2" customFormat="1" ht="13.95" customHeight="1" outlineLevel="2" x14ac:dyDescent="0.2">
      <c r="A514" s="50" t="s">
        <v>70</v>
      </c>
      <c r="B514" s="50" t="s">
        <v>5</v>
      </c>
      <c r="C514" s="50" t="s">
        <v>42</v>
      </c>
      <c r="D514" s="50" t="s">
        <v>419</v>
      </c>
      <c r="E514" s="50" t="s">
        <v>373</v>
      </c>
      <c r="F514" s="50" t="s">
        <v>73</v>
      </c>
      <c r="G514" s="50" t="s">
        <v>86</v>
      </c>
      <c r="H514" s="51">
        <v>13</v>
      </c>
      <c r="I514" s="52">
        <f>J514/H514</f>
        <v>15990</v>
      </c>
      <c r="J514" s="52">
        <v>207870</v>
      </c>
      <c r="K514" s="51">
        <v>36</v>
      </c>
      <c r="L514" s="53">
        <f>K514/H514*30</f>
        <v>83.07692307692308</v>
      </c>
    </row>
    <row r="515" spans="1:12" s="2" customFormat="1" ht="13.95" customHeight="1" outlineLevel="2" x14ac:dyDescent="0.2">
      <c r="A515" s="50" t="s">
        <v>70</v>
      </c>
      <c r="B515" s="50" t="s">
        <v>5</v>
      </c>
      <c r="C515" s="50" t="s">
        <v>42</v>
      </c>
      <c r="D515" s="50" t="s">
        <v>420</v>
      </c>
      <c r="E515" s="50" t="s">
        <v>373</v>
      </c>
      <c r="F515" s="50" t="s">
        <v>223</v>
      </c>
      <c r="G515" s="50" t="s">
        <v>224</v>
      </c>
      <c r="H515" s="51">
        <v>13</v>
      </c>
      <c r="I515" s="52">
        <f>J515/H515</f>
        <v>15990</v>
      </c>
      <c r="J515" s="52">
        <v>207870</v>
      </c>
      <c r="K515" s="51">
        <v>56</v>
      </c>
      <c r="L515" s="53">
        <f>K515/H515*30</f>
        <v>129.23076923076923</v>
      </c>
    </row>
    <row r="516" spans="1:12" s="2" customFormat="1" ht="13.95" customHeight="1" outlineLevel="2" x14ac:dyDescent="0.2">
      <c r="A516" s="50" t="s">
        <v>70</v>
      </c>
      <c r="B516" s="50" t="s">
        <v>5</v>
      </c>
      <c r="C516" s="50" t="s">
        <v>42</v>
      </c>
      <c r="D516" s="50" t="s">
        <v>502</v>
      </c>
      <c r="E516" s="50" t="s">
        <v>373</v>
      </c>
      <c r="F516" s="50" t="s">
        <v>73</v>
      </c>
      <c r="G516" s="50" t="s">
        <v>84</v>
      </c>
      <c r="H516" s="51">
        <v>11</v>
      </c>
      <c r="I516" s="52">
        <f>J516/H516</f>
        <v>15990</v>
      </c>
      <c r="J516" s="52">
        <v>175890</v>
      </c>
      <c r="K516" s="51">
        <v>46</v>
      </c>
      <c r="L516" s="53">
        <f>K516/H516*30</f>
        <v>125.45454545454545</v>
      </c>
    </row>
    <row r="517" spans="1:12" s="2" customFormat="1" ht="13.95" customHeight="1" outlineLevel="2" x14ac:dyDescent="0.2">
      <c r="A517" s="50" t="s">
        <v>70</v>
      </c>
      <c r="B517" s="50" t="s">
        <v>5</v>
      </c>
      <c r="C517" s="50" t="s">
        <v>42</v>
      </c>
      <c r="D517" s="50" t="s">
        <v>554</v>
      </c>
      <c r="E517" s="50" t="s">
        <v>286</v>
      </c>
      <c r="F517" s="50" t="s">
        <v>137</v>
      </c>
      <c r="G517" s="50" t="s">
        <v>88</v>
      </c>
      <c r="H517" s="51">
        <v>1</v>
      </c>
      <c r="I517" s="52">
        <f>J517/H517</f>
        <v>150990</v>
      </c>
      <c r="J517" s="52">
        <v>150990</v>
      </c>
      <c r="K517" s="51">
        <v>5</v>
      </c>
      <c r="L517" s="53">
        <f>K517/H517*30</f>
        <v>150</v>
      </c>
    </row>
    <row r="518" spans="1:12" s="2" customFormat="1" ht="13.95" customHeight="1" outlineLevel="2" x14ac:dyDescent="0.2">
      <c r="A518" s="50" t="s">
        <v>70</v>
      </c>
      <c r="B518" s="50" t="s">
        <v>5</v>
      </c>
      <c r="C518" s="50" t="s">
        <v>42</v>
      </c>
      <c r="D518" s="50" t="s">
        <v>560</v>
      </c>
      <c r="E518" s="50" t="s">
        <v>286</v>
      </c>
      <c r="F518" s="50" t="s">
        <v>106</v>
      </c>
      <c r="G518" s="50" t="s">
        <v>88</v>
      </c>
      <c r="H518" s="51">
        <v>1</v>
      </c>
      <c r="I518" s="52">
        <f>J518/H518</f>
        <v>149990</v>
      </c>
      <c r="J518" s="52">
        <v>149990</v>
      </c>
      <c r="K518" s="51">
        <v>7</v>
      </c>
      <c r="L518" s="53">
        <f>K518/H518*30</f>
        <v>210</v>
      </c>
    </row>
    <row r="519" spans="1:12" s="2" customFormat="1" ht="13.95" customHeight="1" outlineLevel="2" x14ac:dyDescent="0.2">
      <c r="A519" s="50" t="s">
        <v>70</v>
      </c>
      <c r="B519" s="50" t="s">
        <v>5</v>
      </c>
      <c r="C519" s="50" t="s">
        <v>42</v>
      </c>
      <c r="D519" s="50" t="s">
        <v>561</v>
      </c>
      <c r="E519" s="50" t="s">
        <v>286</v>
      </c>
      <c r="F519" s="50" t="s">
        <v>106</v>
      </c>
      <c r="G519" s="50" t="s">
        <v>86</v>
      </c>
      <c r="H519" s="51">
        <v>1</v>
      </c>
      <c r="I519" s="52">
        <f>J519/H519</f>
        <v>149990</v>
      </c>
      <c r="J519" s="52">
        <v>149990</v>
      </c>
      <c r="K519" s="51">
        <v>6</v>
      </c>
      <c r="L519" s="53">
        <f>K519/H519*30</f>
        <v>180</v>
      </c>
    </row>
    <row r="520" spans="1:12" s="2" customFormat="1" ht="13.95" customHeight="1" outlineLevel="2" x14ac:dyDescent="0.2">
      <c r="A520" s="50" t="s">
        <v>70</v>
      </c>
      <c r="B520" s="50" t="s">
        <v>5</v>
      </c>
      <c r="C520" s="50" t="s">
        <v>42</v>
      </c>
      <c r="D520" s="50" t="s">
        <v>562</v>
      </c>
      <c r="E520" s="50" t="s">
        <v>286</v>
      </c>
      <c r="F520" s="50" t="s">
        <v>106</v>
      </c>
      <c r="G520" s="50" t="s">
        <v>330</v>
      </c>
      <c r="H520" s="51">
        <v>1</v>
      </c>
      <c r="I520" s="52">
        <f>J520/H520</f>
        <v>149990</v>
      </c>
      <c r="J520" s="52">
        <v>149990</v>
      </c>
      <c r="K520" s="51">
        <v>5</v>
      </c>
      <c r="L520" s="53">
        <f>K520/H520*30</f>
        <v>150</v>
      </c>
    </row>
    <row r="521" spans="1:12" s="2" customFormat="1" ht="13.95" customHeight="1" outlineLevel="2" x14ac:dyDescent="0.2">
      <c r="A521" s="50" t="s">
        <v>70</v>
      </c>
      <c r="B521" s="50" t="s">
        <v>5</v>
      </c>
      <c r="C521" s="50" t="s">
        <v>42</v>
      </c>
      <c r="D521" s="50" t="s">
        <v>584</v>
      </c>
      <c r="E521" s="50" t="s">
        <v>373</v>
      </c>
      <c r="F521" s="50" t="s">
        <v>73</v>
      </c>
      <c r="G521" s="50" t="s">
        <v>97</v>
      </c>
      <c r="H521" s="51">
        <v>9</v>
      </c>
      <c r="I521" s="52">
        <f>J521/H521</f>
        <v>15990</v>
      </c>
      <c r="J521" s="52">
        <v>143910</v>
      </c>
      <c r="K521" s="51">
        <v>9</v>
      </c>
      <c r="L521" s="53">
        <f>K521/H521*30</f>
        <v>30</v>
      </c>
    </row>
    <row r="522" spans="1:12" s="2" customFormat="1" ht="13.95" customHeight="1" outlineLevel="2" x14ac:dyDescent="0.2">
      <c r="A522" s="50" t="s">
        <v>70</v>
      </c>
      <c r="B522" s="50" t="s">
        <v>5</v>
      </c>
      <c r="C522" s="50" t="s">
        <v>42</v>
      </c>
      <c r="D522" s="50" t="s">
        <v>594</v>
      </c>
      <c r="E522" s="50" t="s">
        <v>373</v>
      </c>
      <c r="F522" s="50" t="s">
        <v>137</v>
      </c>
      <c r="G522" s="50" t="s">
        <v>140</v>
      </c>
      <c r="H522" s="51">
        <v>8</v>
      </c>
      <c r="I522" s="52">
        <f>J522/H522</f>
        <v>16990</v>
      </c>
      <c r="J522" s="52">
        <v>135920</v>
      </c>
      <c r="K522" s="51">
        <v>17</v>
      </c>
      <c r="L522" s="53">
        <f>K522/H522*30</f>
        <v>63.75</v>
      </c>
    </row>
    <row r="523" spans="1:12" s="2" customFormat="1" ht="13.95" customHeight="1" outlineLevel="2" x14ac:dyDescent="0.2">
      <c r="A523" s="50" t="s">
        <v>70</v>
      </c>
      <c r="B523" s="50" t="s">
        <v>5</v>
      </c>
      <c r="C523" s="50" t="s">
        <v>42</v>
      </c>
      <c r="D523" s="50" t="s">
        <v>679</v>
      </c>
      <c r="E523" s="50" t="s">
        <v>680</v>
      </c>
      <c r="F523" s="50" t="s">
        <v>374</v>
      </c>
      <c r="G523" s="50" t="s">
        <v>330</v>
      </c>
      <c r="H523" s="51">
        <v>8</v>
      </c>
      <c r="I523" s="52">
        <f>J523/H523</f>
        <v>14990</v>
      </c>
      <c r="J523" s="52">
        <v>119920</v>
      </c>
      <c r="K523" s="51">
        <v>25</v>
      </c>
      <c r="L523" s="53">
        <f>K523/H523*30</f>
        <v>93.75</v>
      </c>
    </row>
    <row r="524" spans="1:12" s="2" customFormat="1" ht="13.95" customHeight="1" outlineLevel="2" x14ac:dyDescent="0.2">
      <c r="A524" s="50" t="s">
        <v>70</v>
      </c>
      <c r="B524" s="50" t="s">
        <v>5</v>
      </c>
      <c r="C524" s="50" t="s">
        <v>42</v>
      </c>
      <c r="D524" s="50" t="s">
        <v>731</v>
      </c>
      <c r="E524" s="50" t="s">
        <v>373</v>
      </c>
      <c r="F524" s="50" t="s">
        <v>137</v>
      </c>
      <c r="G524" s="50" t="s">
        <v>86</v>
      </c>
      <c r="H524" s="51">
        <v>6</v>
      </c>
      <c r="I524" s="52">
        <f>J524/H524</f>
        <v>16990</v>
      </c>
      <c r="J524" s="52">
        <v>101940</v>
      </c>
      <c r="K524" s="51">
        <v>37</v>
      </c>
      <c r="L524" s="53">
        <f>K524/H524*30</f>
        <v>185</v>
      </c>
    </row>
    <row r="525" spans="1:12" s="2" customFormat="1" ht="13.95" customHeight="1" outlineLevel="2" x14ac:dyDescent="0.2">
      <c r="A525" s="50" t="s">
        <v>70</v>
      </c>
      <c r="B525" s="50" t="s">
        <v>5</v>
      </c>
      <c r="C525" s="50" t="s">
        <v>42</v>
      </c>
      <c r="D525" s="50" t="s">
        <v>732</v>
      </c>
      <c r="E525" s="50" t="s">
        <v>373</v>
      </c>
      <c r="F525" s="50" t="s">
        <v>137</v>
      </c>
      <c r="G525" s="50" t="s">
        <v>74</v>
      </c>
      <c r="H525" s="51">
        <v>6</v>
      </c>
      <c r="I525" s="52">
        <f>J525/H525</f>
        <v>16990</v>
      </c>
      <c r="J525" s="52">
        <v>101940</v>
      </c>
      <c r="K525" s="51">
        <v>35</v>
      </c>
      <c r="L525" s="53">
        <f>K525/H525*30</f>
        <v>175</v>
      </c>
    </row>
    <row r="526" spans="1:12" s="2" customFormat="1" ht="13.95" customHeight="1" outlineLevel="2" x14ac:dyDescent="0.2">
      <c r="A526" s="50" t="s">
        <v>70</v>
      </c>
      <c r="B526" s="50" t="s">
        <v>5</v>
      </c>
      <c r="C526" s="50" t="s">
        <v>42</v>
      </c>
      <c r="D526" s="50" t="s">
        <v>741</v>
      </c>
      <c r="E526" s="50" t="s">
        <v>742</v>
      </c>
      <c r="F526" s="50" t="s">
        <v>106</v>
      </c>
      <c r="G526" s="50" t="s">
        <v>86</v>
      </c>
      <c r="H526" s="51">
        <v>1</v>
      </c>
      <c r="I526" s="52">
        <f>J526/H526</f>
        <v>99990</v>
      </c>
      <c r="J526" s="52">
        <v>99990</v>
      </c>
      <c r="K526" s="51">
        <v>6</v>
      </c>
      <c r="L526" s="53">
        <f>K526/H526*30</f>
        <v>180</v>
      </c>
    </row>
    <row r="527" spans="1:12" s="2" customFormat="1" ht="13.95" customHeight="1" outlineLevel="2" x14ac:dyDescent="0.2">
      <c r="A527" s="50" t="s">
        <v>70</v>
      </c>
      <c r="B527" s="50" t="s">
        <v>5</v>
      </c>
      <c r="C527" s="50" t="s">
        <v>42</v>
      </c>
      <c r="D527" s="50" t="s">
        <v>906</v>
      </c>
      <c r="E527" s="50" t="s">
        <v>373</v>
      </c>
      <c r="F527" s="50" t="s">
        <v>73</v>
      </c>
      <c r="G527" s="50" t="s">
        <v>88</v>
      </c>
      <c r="H527" s="51">
        <v>5</v>
      </c>
      <c r="I527" s="52">
        <f>J527/H527</f>
        <v>15990</v>
      </c>
      <c r="J527" s="52">
        <v>79950</v>
      </c>
      <c r="K527" s="51">
        <v>72</v>
      </c>
      <c r="L527" s="53">
        <f>K527/H527*30</f>
        <v>432</v>
      </c>
    </row>
    <row r="528" spans="1:12" s="2" customFormat="1" ht="13.95" customHeight="1" outlineLevel="2" x14ac:dyDescent="0.2">
      <c r="A528" s="50" t="s">
        <v>70</v>
      </c>
      <c r="B528" s="50" t="s">
        <v>5</v>
      </c>
      <c r="C528" s="50" t="s">
        <v>42</v>
      </c>
      <c r="D528" s="50" t="s">
        <v>1002</v>
      </c>
      <c r="E528" s="50" t="s">
        <v>680</v>
      </c>
      <c r="F528" s="50" t="s">
        <v>73</v>
      </c>
      <c r="G528" s="50" t="s">
        <v>84</v>
      </c>
      <c r="H528" s="51">
        <v>4</v>
      </c>
      <c r="I528" s="52">
        <f>J528/H528</f>
        <v>14990</v>
      </c>
      <c r="J528" s="52">
        <v>59960</v>
      </c>
      <c r="K528" s="51">
        <v>32</v>
      </c>
      <c r="L528" s="53">
        <f>K528/H528*30</f>
        <v>240</v>
      </c>
    </row>
    <row r="529" spans="1:12" s="2" customFormat="1" ht="13.95" customHeight="1" outlineLevel="2" x14ac:dyDescent="0.2">
      <c r="A529" s="50" t="s">
        <v>70</v>
      </c>
      <c r="B529" s="50" t="s">
        <v>5</v>
      </c>
      <c r="C529" s="50" t="s">
        <v>42</v>
      </c>
      <c r="D529" s="50" t="s">
        <v>1133</v>
      </c>
      <c r="E529" s="50" t="s">
        <v>373</v>
      </c>
      <c r="F529" s="50" t="s">
        <v>374</v>
      </c>
      <c r="G529" s="50" t="s">
        <v>84</v>
      </c>
      <c r="H529" s="51">
        <v>3</v>
      </c>
      <c r="I529" s="52">
        <f>J529/H529</f>
        <v>15990</v>
      </c>
      <c r="J529" s="52">
        <v>47970</v>
      </c>
      <c r="K529" s="51">
        <v>3</v>
      </c>
      <c r="L529" s="53">
        <f>K529/H529*30</f>
        <v>30</v>
      </c>
    </row>
    <row r="530" spans="1:12" s="2" customFormat="1" ht="13.95" customHeight="1" outlineLevel="2" x14ac:dyDescent="0.2">
      <c r="A530" s="50" t="s">
        <v>70</v>
      </c>
      <c r="B530" s="50" t="s">
        <v>5</v>
      </c>
      <c r="C530" s="50" t="s">
        <v>42</v>
      </c>
      <c r="D530" s="50" t="s">
        <v>1146</v>
      </c>
      <c r="E530" s="50" t="s">
        <v>680</v>
      </c>
      <c r="F530" s="50" t="s">
        <v>374</v>
      </c>
      <c r="G530" s="50" t="s">
        <v>140</v>
      </c>
      <c r="H530" s="51">
        <v>3</v>
      </c>
      <c r="I530" s="52">
        <f>J530/H530</f>
        <v>14990</v>
      </c>
      <c r="J530" s="52">
        <v>44970</v>
      </c>
      <c r="K530" s="51">
        <v>30</v>
      </c>
      <c r="L530" s="53">
        <f>K530/H530*30</f>
        <v>300</v>
      </c>
    </row>
    <row r="531" spans="1:12" s="2" customFormat="1" ht="13.95" customHeight="1" outlineLevel="2" x14ac:dyDescent="0.2">
      <c r="A531" s="50" t="s">
        <v>70</v>
      </c>
      <c r="B531" s="50" t="s">
        <v>5</v>
      </c>
      <c r="C531" s="50" t="s">
        <v>42</v>
      </c>
      <c r="D531" s="50" t="s">
        <v>1231</v>
      </c>
      <c r="E531" s="50" t="s">
        <v>373</v>
      </c>
      <c r="F531" s="50" t="s">
        <v>137</v>
      </c>
      <c r="G531" s="50" t="s">
        <v>88</v>
      </c>
      <c r="H531" s="51">
        <v>2</v>
      </c>
      <c r="I531" s="52">
        <f>J531/H531</f>
        <v>16990</v>
      </c>
      <c r="J531" s="52">
        <v>33980</v>
      </c>
      <c r="K531" s="51">
        <v>28</v>
      </c>
      <c r="L531" s="53">
        <f>K531/H531*30</f>
        <v>420</v>
      </c>
    </row>
    <row r="532" spans="1:12" s="2" customFormat="1" ht="13.95" customHeight="1" outlineLevel="2" x14ac:dyDescent="0.2">
      <c r="A532" s="50" t="s">
        <v>70</v>
      </c>
      <c r="B532" s="50" t="s">
        <v>5</v>
      </c>
      <c r="C532" s="50" t="s">
        <v>42</v>
      </c>
      <c r="D532" s="50" t="s">
        <v>1239</v>
      </c>
      <c r="E532" s="50" t="s">
        <v>373</v>
      </c>
      <c r="F532" s="50" t="s">
        <v>73</v>
      </c>
      <c r="G532" s="50" t="s">
        <v>140</v>
      </c>
      <c r="H532" s="51">
        <v>2</v>
      </c>
      <c r="I532" s="52">
        <f>J532/H532</f>
        <v>15990</v>
      </c>
      <c r="J532" s="52">
        <v>31980</v>
      </c>
      <c r="K532" s="51">
        <v>3</v>
      </c>
      <c r="L532" s="53">
        <f>K532/H532*30</f>
        <v>45</v>
      </c>
    </row>
    <row r="533" spans="1:12" s="2" customFormat="1" ht="13.95" customHeight="1" outlineLevel="2" x14ac:dyDescent="0.2">
      <c r="A533" s="50" t="s">
        <v>70</v>
      </c>
      <c r="B533" s="50" t="s">
        <v>5</v>
      </c>
      <c r="C533" s="50" t="s">
        <v>42</v>
      </c>
      <c r="D533" s="50" t="s">
        <v>1240</v>
      </c>
      <c r="E533" s="50" t="s">
        <v>680</v>
      </c>
      <c r="F533" s="50" t="s">
        <v>137</v>
      </c>
      <c r="G533" s="50" t="s">
        <v>74</v>
      </c>
      <c r="H533" s="51">
        <v>2</v>
      </c>
      <c r="I533" s="52">
        <f>J533/H533</f>
        <v>15990</v>
      </c>
      <c r="J533" s="52">
        <v>31980</v>
      </c>
      <c r="K533" s="51">
        <v>24</v>
      </c>
      <c r="L533" s="53">
        <f>K533/H533*30</f>
        <v>360</v>
      </c>
    </row>
    <row r="534" spans="1:12" s="2" customFormat="1" ht="13.95" customHeight="1" outlineLevel="2" x14ac:dyDescent="0.2">
      <c r="A534" s="50" t="s">
        <v>70</v>
      </c>
      <c r="B534" s="50" t="s">
        <v>5</v>
      </c>
      <c r="C534" s="50" t="s">
        <v>42</v>
      </c>
      <c r="D534" s="50" t="s">
        <v>1385</v>
      </c>
      <c r="E534" s="50" t="s">
        <v>373</v>
      </c>
      <c r="F534" s="50" t="s">
        <v>1386</v>
      </c>
      <c r="G534" s="50" t="s">
        <v>1387</v>
      </c>
      <c r="H534" s="51">
        <v>1</v>
      </c>
      <c r="I534" s="52">
        <f>J534/H534</f>
        <v>16990</v>
      </c>
      <c r="J534" s="52">
        <v>16990</v>
      </c>
      <c r="K534" s="51">
        <v>2</v>
      </c>
      <c r="L534" s="53">
        <f>K534/H534*30</f>
        <v>60</v>
      </c>
    </row>
    <row r="535" spans="1:12" s="2" customFormat="1" ht="13.95" customHeight="1" outlineLevel="2" x14ac:dyDescent="0.2">
      <c r="A535" s="50" t="s">
        <v>70</v>
      </c>
      <c r="B535" s="50" t="s">
        <v>5</v>
      </c>
      <c r="C535" s="50" t="s">
        <v>42</v>
      </c>
      <c r="D535" s="50" t="s">
        <v>1389</v>
      </c>
      <c r="E535" s="50" t="s">
        <v>373</v>
      </c>
      <c r="F535" s="50" t="s">
        <v>73</v>
      </c>
      <c r="G535" s="50" t="s">
        <v>330</v>
      </c>
      <c r="H535" s="51">
        <v>1</v>
      </c>
      <c r="I535" s="52">
        <f>J535/H535</f>
        <v>15990</v>
      </c>
      <c r="J535" s="52">
        <v>15990</v>
      </c>
      <c r="K535" s="51">
        <v>0</v>
      </c>
      <c r="L535" s="53">
        <f>K535/H535*30</f>
        <v>0</v>
      </c>
    </row>
    <row r="536" spans="1:12" s="2" customFormat="1" ht="13.95" customHeight="1" outlineLevel="2" x14ac:dyDescent="0.2">
      <c r="A536" s="50" t="s">
        <v>70</v>
      </c>
      <c r="B536" s="50" t="s">
        <v>5</v>
      </c>
      <c r="C536" s="50" t="s">
        <v>42</v>
      </c>
      <c r="D536" s="50" t="s">
        <v>1390</v>
      </c>
      <c r="E536" s="50" t="s">
        <v>680</v>
      </c>
      <c r="F536" s="50" t="s">
        <v>137</v>
      </c>
      <c r="G536" s="50" t="s">
        <v>140</v>
      </c>
      <c r="H536" s="51">
        <v>1</v>
      </c>
      <c r="I536" s="52">
        <f>J536/H536</f>
        <v>15990</v>
      </c>
      <c r="J536" s="52">
        <v>15990</v>
      </c>
      <c r="K536" s="51">
        <v>1</v>
      </c>
      <c r="L536" s="53">
        <f>K536/H536*30</f>
        <v>30</v>
      </c>
    </row>
    <row r="537" spans="1:12" s="2" customFormat="1" ht="13.95" customHeight="1" outlineLevel="2" x14ac:dyDescent="0.2">
      <c r="A537" s="50" t="s">
        <v>70</v>
      </c>
      <c r="B537" s="50" t="s">
        <v>5</v>
      </c>
      <c r="C537" s="50" t="s">
        <v>42</v>
      </c>
      <c r="D537" s="50" t="s">
        <v>1391</v>
      </c>
      <c r="E537" s="50" t="s">
        <v>680</v>
      </c>
      <c r="F537" s="50" t="s">
        <v>137</v>
      </c>
      <c r="G537" s="50" t="s">
        <v>88</v>
      </c>
      <c r="H537" s="51">
        <v>1</v>
      </c>
      <c r="I537" s="52">
        <f>J537/H537</f>
        <v>15990</v>
      </c>
      <c r="J537" s="52">
        <v>15990</v>
      </c>
      <c r="K537" s="51">
        <v>38</v>
      </c>
      <c r="L537" s="53">
        <f>K537/H537*30</f>
        <v>1140</v>
      </c>
    </row>
    <row r="538" spans="1:12" s="2" customFormat="1" ht="13.95" customHeight="1" outlineLevel="2" x14ac:dyDescent="0.2">
      <c r="A538" s="50" t="s">
        <v>70</v>
      </c>
      <c r="B538" s="50" t="s">
        <v>5</v>
      </c>
      <c r="C538" s="50" t="s">
        <v>42</v>
      </c>
      <c r="D538" s="50" t="s">
        <v>1392</v>
      </c>
      <c r="E538" s="50" t="s">
        <v>680</v>
      </c>
      <c r="F538" s="50" t="s">
        <v>137</v>
      </c>
      <c r="G538" s="50" t="s">
        <v>86</v>
      </c>
      <c r="H538" s="51">
        <v>1</v>
      </c>
      <c r="I538" s="52">
        <f>J538/H538</f>
        <v>15990</v>
      </c>
      <c r="J538" s="52">
        <v>15990</v>
      </c>
      <c r="K538" s="51">
        <v>44</v>
      </c>
      <c r="L538" s="53">
        <f>K538/H538*30</f>
        <v>1320</v>
      </c>
    </row>
    <row r="539" spans="1:12" s="2" customFormat="1" ht="13.95" customHeight="1" outlineLevel="2" x14ac:dyDescent="0.2">
      <c r="A539" s="50" t="s">
        <v>70</v>
      </c>
      <c r="B539" s="50" t="s">
        <v>5</v>
      </c>
      <c r="C539" s="50" t="s">
        <v>42</v>
      </c>
      <c r="D539" s="50" t="s">
        <v>1396</v>
      </c>
      <c r="E539" s="50" t="s">
        <v>680</v>
      </c>
      <c r="F539" s="50" t="s">
        <v>73</v>
      </c>
      <c r="G539" s="50" t="s">
        <v>140</v>
      </c>
      <c r="H539" s="51">
        <v>1</v>
      </c>
      <c r="I539" s="52">
        <f>J539/H539</f>
        <v>14990</v>
      </c>
      <c r="J539" s="52">
        <v>14990</v>
      </c>
      <c r="K539" s="51">
        <v>15</v>
      </c>
      <c r="L539" s="53">
        <f>K539/H539*30</f>
        <v>450</v>
      </c>
    </row>
    <row r="540" spans="1:12" s="2" customFormat="1" ht="13.95" customHeight="1" outlineLevel="2" x14ac:dyDescent="0.2">
      <c r="A540" s="50" t="s">
        <v>70</v>
      </c>
      <c r="B540" s="50" t="s">
        <v>5</v>
      </c>
      <c r="C540" s="50" t="s">
        <v>42</v>
      </c>
      <c r="D540" s="50" t="s">
        <v>1397</v>
      </c>
      <c r="E540" s="50" t="s">
        <v>680</v>
      </c>
      <c r="F540" s="50" t="s">
        <v>73</v>
      </c>
      <c r="G540" s="50" t="s">
        <v>88</v>
      </c>
      <c r="H540" s="51">
        <v>1</v>
      </c>
      <c r="I540" s="52">
        <f>J540/H540</f>
        <v>14990</v>
      </c>
      <c r="J540" s="52">
        <v>14990</v>
      </c>
      <c r="K540" s="51">
        <v>28</v>
      </c>
      <c r="L540" s="53">
        <f>K540/H540*30</f>
        <v>840</v>
      </c>
    </row>
    <row r="541" spans="1:12" s="2" customFormat="1" ht="13.95" customHeight="1" outlineLevel="2" x14ac:dyDescent="0.2">
      <c r="A541" s="50" t="s">
        <v>70</v>
      </c>
      <c r="B541" s="50" t="s">
        <v>5</v>
      </c>
      <c r="C541" s="50" t="s">
        <v>42</v>
      </c>
      <c r="D541" s="50" t="s">
        <v>1398</v>
      </c>
      <c r="E541" s="50" t="s">
        <v>680</v>
      </c>
      <c r="F541" s="50" t="s">
        <v>73</v>
      </c>
      <c r="G541" s="50" t="s">
        <v>330</v>
      </c>
      <c r="H541" s="51">
        <v>1</v>
      </c>
      <c r="I541" s="52">
        <f>J541/H541</f>
        <v>14990</v>
      </c>
      <c r="J541" s="52">
        <v>14990</v>
      </c>
      <c r="K541" s="51">
        <v>7</v>
      </c>
      <c r="L541" s="53">
        <f>K541/H541*30</f>
        <v>210</v>
      </c>
    </row>
    <row r="542" spans="1:12" s="2" customFormat="1" ht="13.95" customHeight="1" outlineLevel="2" x14ac:dyDescent="0.2">
      <c r="A542" s="50" t="s">
        <v>70</v>
      </c>
      <c r="B542" s="50" t="s">
        <v>5</v>
      </c>
      <c r="C542" s="50" t="s">
        <v>42</v>
      </c>
      <c r="D542" s="50" t="s">
        <v>1399</v>
      </c>
      <c r="E542" s="50" t="s">
        <v>680</v>
      </c>
      <c r="F542" s="50" t="s">
        <v>1131</v>
      </c>
      <c r="G542" s="50" t="s">
        <v>1400</v>
      </c>
      <c r="H542" s="51">
        <v>1</v>
      </c>
      <c r="I542" s="52">
        <f>J542/H542</f>
        <v>14990</v>
      </c>
      <c r="J542" s="52">
        <v>14990</v>
      </c>
      <c r="K542" s="51">
        <v>25</v>
      </c>
      <c r="L542" s="53">
        <f>K542/H542*30</f>
        <v>750</v>
      </c>
    </row>
    <row r="543" spans="1:12" s="2" customFormat="1" ht="13.95" customHeight="1" outlineLevel="1" x14ac:dyDescent="0.2">
      <c r="A543" s="50"/>
      <c r="B543" s="50"/>
      <c r="C543" s="58" t="s">
        <v>1474</v>
      </c>
      <c r="D543" s="50"/>
      <c r="E543" s="50"/>
      <c r="F543" s="50"/>
      <c r="G543" s="50"/>
      <c r="H543" s="51">
        <f>SUBTOTAL(9,H511:H542)</f>
        <v>140</v>
      </c>
      <c r="I543" s="52"/>
      <c r="J543" s="52">
        <f>SUBTOTAL(9,J511:J542)</f>
        <v>3126803</v>
      </c>
      <c r="K543" s="51"/>
      <c r="L543" s="53"/>
    </row>
    <row r="544" spans="1:12" s="2" customFormat="1" ht="13.95" customHeight="1" outlineLevel="2" x14ac:dyDescent="0.2">
      <c r="A544" s="50" t="s">
        <v>70</v>
      </c>
      <c r="B544" s="50" t="s">
        <v>5</v>
      </c>
      <c r="C544" s="50" t="s">
        <v>43</v>
      </c>
      <c r="D544" s="50" t="s">
        <v>893</v>
      </c>
      <c r="E544" s="50" t="s">
        <v>894</v>
      </c>
      <c r="F544" s="50" t="s">
        <v>106</v>
      </c>
      <c r="G544" s="50" t="s">
        <v>84</v>
      </c>
      <c r="H544" s="51">
        <v>2</v>
      </c>
      <c r="I544" s="52">
        <f>J544/H544</f>
        <v>39990</v>
      </c>
      <c r="J544" s="52">
        <v>79980</v>
      </c>
      <c r="K544" s="51">
        <v>4</v>
      </c>
      <c r="L544" s="53">
        <f>K544/H544*30</f>
        <v>60</v>
      </c>
    </row>
    <row r="545" spans="1:12" s="2" customFormat="1" ht="13.95" customHeight="1" outlineLevel="2" x14ac:dyDescent="0.2">
      <c r="A545" s="50" t="s">
        <v>70</v>
      </c>
      <c r="B545" s="50" t="s">
        <v>5</v>
      </c>
      <c r="C545" s="50" t="s">
        <v>43</v>
      </c>
      <c r="D545" s="50" t="s">
        <v>1164</v>
      </c>
      <c r="E545" s="50" t="s">
        <v>894</v>
      </c>
      <c r="F545" s="50" t="s">
        <v>73</v>
      </c>
      <c r="G545" s="50" t="s">
        <v>74</v>
      </c>
      <c r="H545" s="51">
        <v>1</v>
      </c>
      <c r="I545" s="52">
        <f>J545/H545</f>
        <v>39990</v>
      </c>
      <c r="J545" s="52">
        <v>39990</v>
      </c>
      <c r="K545" s="51">
        <v>8</v>
      </c>
      <c r="L545" s="53">
        <f>K545/H545*30</f>
        <v>240</v>
      </c>
    </row>
    <row r="546" spans="1:12" s="2" customFormat="1" ht="13.95" customHeight="1" outlineLevel="2" x14ac:dyDescent="0.2">
      <c r="A546" s="50" t="s">
        <v>70</v>
      </c>
      <c r="B546" s="50" t="s">
        <v>5</v>
      </c>
      <c r="C546" s="50" t="s">
        <v>43</v>
      </c>
      <c r="D546" s="50" t="s">
        <v>1165</v>
      </c>
      <c r="E546" s="50" t="s">
        <v>894</v>
      </c>
      <c r="F546" s="50" t="s">
        <v>73</v>
      </c>
      <c r="G546" s="50" t="s">
        <v>84</v>
      </c>
      <c r="H546" s="51">
        <v>1</v>
      </c>
      <c r="I546" s="52">
        <f>J546/H546</f>
        <v>39990</v>
      </c>
      <c r="J546" s="52">
        <v>39990</v>
      </c>
      <c r="K546" s="51">
        <v>5</v>
      </c>
      <c r="L546" s="53">
        <f>K546/H546*30</f>
        <v>150</v>
      </c>
    </row>
    <row r="547" spans="1:12" s="2" customFormat="1" ht="13.95" customHeight="1" outlineLevel="2" x14ac:dyDescent="0.2">
      <c r="A547" s="50" t="s">
        <v>70</v>
      </c>
      <c r="B547" s="50" t="s">
        <v>5</v>
      </c>
      <c r="C547" s="50" t="s">
        <v>43</v>
      </c>
      <c r="D547" s="50" t="s">
        <v>1166</v>
      </c>
      <c r="E547" s="50" t="s">
        <v>894</v>
      </c>
      <c r="F547" s="50" t="s">
        <v>106</v>
      </c>
      <c r="G547" s="50" t="s">
        <v>88</v>
      </c>
      <c r="H547" s="51">
        <v>1</v>
      </c>
      <c r="I547" s="52">
        <f>J547/H547</f>
        <v>39990</v>
      </c>
      <c r="J547" s="52">
        <v>39990</v>
      </c>
      <c r="K547" s="51">
        <v>7</v>
      </c>
      <c r="L547" s="53">
        <f>K547/H547*30</f>
        <v>210</v>
      </c>
    </row>
    <row r="548" spans="1:12" s="2" customFormat="1" ht="13.95" customHeight="1" outlineLevel="2" x14ac:dyDescent="0.2">
      <c r="A548" s="50" t="s">
        <v>70</v>
      </c>
      <c r="B548" s="50" t="s">
        <v>5</v>
      </c>
      <c r="C548" s="50" t="s">
        <v>43</v>
      </c>
      <c r="D548" s="50" t="s">
        <v>1167</v>
      </c>
      <c r="E548" s="50" t="s">
        <v>894</v>
      </c>
      <c r="F548" s="50" t="s">
        <v>106</v>
      </c>
      <c r="G548" s="50" t="s">
        <v>97</v>
      </c>
      <c r="H548" s="51">
        <v>1</v>
      </c>
      <c r="I548" s="52">
        <f>J548/H548</f>
        <v>39990</v>
      </c>
      <c r="J548" s="52">
        <v>39990</v>
      </c>
      <c r="K548" s="51">
        <v>6</v>
      </c>
      <c r="L548" s="53">
        <f>K548/H548*30</f>
        <v>180</v>
      </c>
    </row>
    <row r="549" spans="1:12" s="2" customFormat="1" ht="13.95" customHeight="1" outlineLevel="2" x14ac:dyDescent="0.2">
      <c r="A549" s="50" t="s">
        <v>70</v>
      </c>
      <c r="B549" s="50" t="s">
        <v>5</v>
      </c>
      <c r="C549" s="50" t="s">
        <v>43</v>
      </c>
      <c r="D549" s="50" t="s">
        <v>1168</v>
      </c>
      <c r="E549" s="50" t="s">
        <v>894</v>
      </c>
      <c r="F549" s="50" t="s">
        <v>106</v>
      </c>
      <c r="G549" s="50" t="s">
        <v>112</v>
      </c>
      <c r="H549" s="51">
        <v>1</v>
      </c>
      <c r="I549" s="52">
        <f>J549/H549</f>
        <v>39990</v>
      </c>
      <c r="J549" s="52">
        <v>39990</v>
      </c>
      <c r="K549" s="51">
        <v>8</v>
      </c>
      <c r="L549" s="53">
        <f>K549/H549*30</f>
        <v>240</v>
      </c>
    </row>
    <row r="550" spans="1:12" s="2" customFormat="1" ht="13.95" customHeight="1" outlineLevel="2" x14ac:dyDescent="0.2">
      <c r="A550" s="50" t="s">
        <v>70</v>
      </c>
      <c r="B550" s="50" t="s">
        <v>5</v>
      </c>
      <c r="C550" s="50" t="s">
        <v>43</v>
      </c>
      <c r="D550" s="50" t="s">
        <v>1210</v>
      </c>
      <c r="E550" s="50" t="s">
        <v>1211</v>
      </c>
      <c r="F550" s="50" t="s">
        <v>73</v>
      </c>
      <c r="G550" s="50" t="s">
        <v>74</v>
      </c>
      <c r="H550" s="51">
        <v>1</v>
      </c>
      <c r="I550" s="52">
        <f>J550/H550</f>
        <v>35990</v>
      </c>
      <c r="J550" s="52">
        <v>35990</v>
      </c>
      <c r="K550" s="51">
        <v>9</v>
      </c>
      <c r="L550" s="53">
        <f>K550/H550*30</f>
        <v>270</v>
      </c>
    </row>
    <row r="551" spans="1:12" s="2" customFormat="1" ht="13.95" customHeight="1" outlineLevel="2" x14ac:dyDescent="0.2">
      <c r="A551" s="50" t="s">
        <v>70</v>
      </c>
      <c r="B551" s="50" t="s">
        <v>5</v>
      </c>
      <c r="C551" s="50" t="s">
        <v>43</v>
      </c>
      <c r="D551" s="50" t="s">
        <v>1212</v>
      </c>
      <c r="E551" s="50" t="s">
        <v>1211</v>
      </c>
      <c r="F551" s="50" t="s">
        <v>73</v>
      </c>
      <c r="G551" s="50" t="s">
        <v>84</v>
      </c>
      <c r="H551" s="51">
        <v>1</v>
      </c>
      <c r="I551" s="52">
        <f>J551/H551</f>
        <v>35990</v>
      </c>
      <c r="J551" s="52">
        <v>35990</v>
      </c>
      <c r="K551" s="51">
        <v>4</v>
      </c>
      <c r="L551" s="53">
        <f>K551/H551*30</f>
        <v>120</v>
      </c>
    </row>
    <row r="552" spans="1:12" s="2" customFormat="1" ht="13.95" customHeight="1" outlineLevel="1" x14ac:dyDescent="0.2">
      <c r="A552" s="50"/>
      <c r="B552" s="50"/>
      <c r="C552" s="58" t="s">
        <v>1495</v>
      </c>
      <c r="D552" s="50"/>
      <c r="E552" s="50"/>
      <c r="F552" s="50"/>
      <c r="G552" s="50"/>
      <c r="H552" s="51">
        <f>SUBTOTAL(9,H544:H551)</f>
        <v>9</v>
      </c>
      <c r="I552" s="52"/>
      <c r="J552" s="52">
        <f>SUBTOTAL(9,J544:J551)</f>
        <v>351910</v>
      </c>
      <c r="K552" s="51"/>
      <c r="L552" s="53"/>
    </row>
    <row r="553" spans="1:12" s="2" customFormat="1" ht="13.95" customHeight="1" outlineLevel="2" x14ac:dyDescent="0.2">
      <c r="A553" s="50" t="s">
        <v>70</v>
      </c>
      <c r="B553" s="50" t="s">
        <v>5</v>
      </c>
      <c r="C553" s="50" t="s">
        <v>44</v>
      </c>
      <c r="D553" s="50" t="s">
        <v>1372</v>
      </c>
      <c r="E553" s="50" t="s">
        <v>1373</v>
      </c>
      <c r="F553" s="50" t="s">
        <v>73</v>
      </c>
      <c r="G553" s="50" t="s">
        <v>140</v>
      </c>
      <c r="H553" s="51">
        <v>2</v>
      </c>
      <c r="I553" s="52">
        <f>J553/H553</f>
        <v>8990</v>
      </c>
      <c r="J553" s="52">
        <v>17980</v>
      </c>
      <c r="K553" s="51">
        <v>17</v>
      </c>
      <c r="L553" s="53">
        <f>K553/H553*30</f>
        <v>255</v>
      </c>
    </row>
    <row r="554" spans="1:12" s="2" customFormat="1" ht="13.95" customHeight="1" outlineLevel="2" x14ac:dyDescent="0.2">
      <c r="A554" s="50" t="s">
        <v>70</v>
      </c>
      <c r="B554" s="50" t="s">
        <v>5</v>
      </c>
      <c r="C554" s="50" t="s">
        <v>44</v>
      </c>
      <c r="D554" s="50" t="s">
        <v>1374</v>
      </c>
      <c r="E554" s="50" t="s">
        <v>1373</v>
      </c>
      <c r="F554" s="50" t="s">
        <v>73</v>
      </c>
      <c r="G554" s="50" t="s">
        <v>88</v>
      </c>
      <c r="H554" s="51">
        <v>2</v>
      </c>
      <c r="I554" s="52">
        <f>J554/H554</f>
        <v>8990</v>
      </c>
      <c r="J554" s="52">
        <v>17980</v>
      </c>
      <c r="K554" s="51">
        <v>28</v>
      </c>
      <c r="L554" s="53">
        <f>K554/H554*30</f>
        <v>420</v>
      </c>
    </row>
    <row r="555" spans="1:12" s="2" customFormat="1" ht="13.95" customHeight="1" outlineLevel="2" x14ac:dyDescent="0.2">
      <c r="A555" s="50" t="s">
        <v>70</v>
      </c>
      <c r="B555" s="50" t="s">
        <v>5</v>
      </c>
      <c r="C555" s="50" t="s">
        <v>44</v>
      </c>
      <c r="D555" s="50" t="s">
        <v>1375</v>
      </c>
      <c r="E555" s="50" t="s">
        <v>1373</v>
      </c>
      <c r="F555" s="50" t="s">
        <v>73</v>
      </c>
      <c r="G555" s="50" t="s">
        <v>86</v>
      </c>
      <c r="H555" s="51">
        <v>2</v>
      </c>
      <c r="I555" s="52">
        <f>J555/H555</f>
        <v>8990</v>
      </c>
      <c r="J555" s="52">
        <v>17980</v>
      </c>
      <c r="K555" s="51">
        <v>34</v>
      </c>
      <c r="L555" s="53">
        <f>K555/H555*30</f>
        <v>510</v>
      </c>
    </row>
    <row r="556" spans="1:12" s="2" customFormat="1" ht="13.95" customHeight="1" outlineLevel="2" x14ac:dyDescent="0.2">
      <c r="A556" s="50" t="s">
        <v>70</v>
      </c>
      <c r="B556" s="50" t="s">
        <v>5</v>
      </c>
      <c r="C556" s="50" t="s">
        <v>44</v>
      </c>
      <c r="D556" s="50" t="s">
        <v>1376</v>
      </c>
      <c r="E556" s="50" t="s">
        <v>1373</v>
      </c>
      <c r="F556" s="50" t="s">
        <v>73</v>
      </c>
      <c r="G556" s="50" t="s">
        <v>74</v>
      </c>
      <c r="H556" s="51">
        <v>2</v>
      </c>
      <c r="I556" s="52">
        <f>J556/H556</f>
        <v>8990</v>
      </c>
      <c r="J556" s="52">
        <v>17980</v>
      </c>
      <c r="K556" s="51">
        <v>38</v>
      </c>
      <c r="L556" s="53">
        <f>K556/H556*30</f>
        <v>570</v>
      </c>
    </row>
    <row r="557" spans="1:12" s="2" customFormat="1" ht="13.95" customHeight="1" outlineLevel="2" x14ac:dyDescent="0.2">
      <c r="A557" s="50" t="s">
        <v>70</v>
      </c>
      <c r="B557" s="50" t="s">
        <v>5</v>
      </c>
      <c r="C557" s="50" t="s">
        <v>44</v>
      </c>
      <c r="D557" s="50" t="s">
        <v>1377</v>
      </c>
      <c r="E557" s="50" t="s">
        <v>1373</v>
      </c>
      <c r="F557" s="50" t="s">
        <v>73</v>
      </c>
      <c r="G557" s="50" t="s">
        <v>330</v>
      </c>
      <c r="H557" s="51">
        <v>2</v>
      </c>
      <c r="I557" s="52">
        <f>J557/H557</f>
        <v>8990</v>
      </c>
      <c r="J557" s="52">
        <v>17980</v>
      </c>
      <c r="K557" s="51">
        <v>10</v>
      </c>
      <c r="L557" s="53">
        <f>K557/H557*30</f>
        <v>150</v>
      </c>
    </row>
    <row r="558" spans="1:12" s="2" customFormat="1" ht="13.95" customHeight="1" outlineLevel="2" x14ac:dyDescent="0.2">
      <c r="A558" s="50" t="s">
        <v>70</v>
      </c>
      <c r="B558" s="50" t="s">
        <v>5</v>
      </c>
      <c r="C558" s="50" t="s">
        <v>44</v>
      </c>
      <c r="D558" s="50" t="s">
        <v>1414</v>
      </c>
      <c r="E558" s="50" t="s">
        <v>1415</v>
      </c>
      <c r="F558" s="50" t="s">
        <v>216</v>
      </c>
      <c r="G558" s="50" t="s">
        <v>90</v>
      </c>
      <c r="H558" s="51">
        <v>1</v>
      </c>
      <c r="I558" s="52">
        <f>J558/H558</f>
        <v>12990</v>
      </c>
      <c r="J558" s="52">
        <v>12990</v>
      </c>
      <c r="K558" s="51">
        <v>25</v>
      </c>
      <c r="L558" s="53">
        <f>K558/H558*30</f>
        <v>750</v>
      </c>
    </row>
    <row r="559" spans="1:12" s="2" customFormat="1" ht="13.95" customHeight="1" outlineLevel="2" x14ac:dyDescent="0.2">
      <c r="A559" s="50" t="s">
        <v>70</v>
      </c>
      <c r="B559" s="50" t="s">
        <v>5</v>
      </c>
      <c r="C559" s="50" t="s">
        <v>44</v>
      </c>
      <c r="D559" s="50" t="s">
        <v>1416</v>
      </c>
      <c r="E559" s="50" t="s">
        <v>1415</v>
      </c>
      <c r="F559" s="50" t="s">
        <v>216</v>
      </c>
      <c r="G559" s="50" t="s">
        <v>813</v>
      </c>
      <c r="H559" s="51">
        <v>1</v>
      </c>
      <c r="I559" s="52">
        <f>J559/H559</f>
        <v>12990</v>
      </c>
      <c r="J559" s="52">
        <v>12990</v>
      </c>
      <c r="K559" s="51">
        <v>24</v>
      </c>
      <c r="L559" s="53">
        <f>K559/H559*30</f>
        <v>720</v>
      </c>
    </row>
    <row r="560" spans="1:12" s="2" customFormat="1" ht="13.95" customHeight="1" outlineLevel="2" x14ac:dyDescent="0.2">
      <c r="A560" s="50" t="s">
        <v>70</v>
      </c>
      <c r="B560" s="50" t="s">
        <v>5</v>
      </c>
      <c r="C560" s="50" t="s">
        <v>44</v>
      </c>
      <c r="D560" s="50" t="s">
        <v>1423</v>
      </c>
      <c r="E560" s="50" t="s">
        <v>1373</v>
      </c>
      <c r="F560" s="50" t="s">
        <v>73</v>
      </c>
      <c r="G560" s="50" t="s">
        <v>84</v>
      </c>
      <c r="H560" s="51">
        <v>1</v>
      </c>
      <c r="I560" s="52">
        <f>J560/H560</f>
        <v>8990</v>
      </c>
      <c r="J560" s="52">
        <v>8990</v>
      </c>
      <c r="K560" s="51">
        <v>24</v>
      </c>
      <c r="L560" s="53">
        <f>K560/H560*30</f>
        <v>720</v>
      </c>
    </row>
    <row r="561" spans="1:12" s="2" customFormat="1" ht="13.95" customHeight="1" outlineLevel="2" x14ac:dyDescent="0.2">
      <c r="A561" s="50" t="s">
        <v>70</v>
      </c>
      <c r="B561" s="50" t="s">
        <v>5</v>
      </c>
      <c r="C561" s="50" t="s">
        <v>44</v>
      </c>
      <c r="D561" s="50" t="s">
        <v>1444</v>
      </c>
      <c r="E561" s="50" t="s">
        <v>1445</v>
      </c>
      <c r="F561" s="50" t="s">
        <v>216</v>
      </c>
      <c r="G561" s="50" t="s">
        <v>90</v>
      </c>
      <c r="H561" s="51">
        <v>1</v>
      </c>
      <c r="I561" s="52">
        <f>J561/H561</f>
        <v>3990</v>
      </c>
      <c r="J561" s="52">
        <v>3990</v>
      </c>
      <c r="K561" s="51">
        <v>22</v>
      </c>
      <c r="L561" s="53">
        <f>K561/H561*30</f>
        <v>660</v>
      </c>
    </row>
    <row r="562" spans="1:12" s="2" customFormat="1" ht="13.95" customHeight="1" outlineLevel="2" x14ac:dyDescent="0.2">
      <c r="A562" s="50" t="s">
        <v>70</v>
      </c>
      <c r="B562" s="50" t="s">
        <v>5</v>
      </c>
      <c r="C562" s="50" t="s">
        <v>44</v>
      </c>
      <c r="D562" s="50" t="s">
        <v>1446</v>
      </c>
      <c r="E562" s="50" t="s">
        <v>1445</v>
      </c>
      <c r="F562" s="50" t="s">
        <v>216</v>
      </c>
      <c r="G562" s="50" t="s">
        <v>414</v>
      </c>
      <c r="H562" s="51">
        <v>1</v>
      </c>
      <c r="I562" s="52">
        <f>J562/H562</f>
        <v>3990</v>
      </c>
      <c r="J562" s="52">
        <v>3990</v>
      </c>
      <c r="K562" s="51">
        <v>42</v>
      </c>
      <c r="L562" s="53">
        <f>K562/H562*30</f>
        <v>1260</v>
      </c>
    </row>
    <row r="563" spans="1:12" s="2" customFormat="1" ht="13.95" customHeight="1" outlineLevel="2" x14ac:dyDescent="0.2">
      <c r="A563" s="50" t="s">
        <v>70</v>
      </c>
      <c r="B563" s="50" t="s">
        <v>5</v>
      </c>
      <c r="C563" s="50" t="s">
        <v>44</v>
      </c>
      <c r="D563" s="50" t="s">
        <v>1447</v>
      </c>
      <c r="E563" s="50" t="s">
        <v>1445</v>
      </c>
      <c r="F563" s="50" t="s">
        <v>216</v>
      </c>
      <c r="G563" s="50" t="s">
        <v>86</v>
      </c>
      <c r="H563" s="51">
        <v>1</v>
      </c>
      <c r="I563" s="52">
        <f>J563/H563</f>
        <v>3990</v>
      </c>
      <c r="J563" s="52">
        <v>3990</v>
      </c>
      <c r="K563" s="51">
        <v>42</v>
      </c>
      <c r="L563" s="53">
        <f>K563/H563*30</f>
        <v>1260</v>
      </c>
    </row>
    <row r="564" spans="1:12" s="2" customFormat="1" ht="13.95" customHeight="1" outlineLevel="2" x14ac:dyDescent="0.2">
      <c r="A564" s="50" t="s">
        <v>70</v>
      </c>
      <c r="B564" s="50" t="s">
        <v>5</v>
      </c>
      <c r="C564" s="50" t="s">
        <v>44</v>
      </c>
      <c r="D564" s="50" t="s">
        <v>1448</v>
      </c>
      <c r="E564" s="50" t="s">
        <v>1445</v>
      </c>
      <c r="F564" s="50" t="s">
        <v>216</v>
      </c>
      <c r="G564" s="50" t="s">
        <v>112</v>
      </c>
      <c r="H564" s="51">
        <v>1</v>
      </c>
      <c r="I564" s="52">
        <f>J564/H564</f>
        <v>3990</v>
      </c>
      <c r="J564" s="52">
        <v>3990</v>
      </c>
      <c r="K564" s="51">
        <v>22</v>
      </c>
      <c r="L564" s="53">
        <f>K564/H564*30</f>
        <v>660</v>
      </c>
    </row>
    <row r="565" spans="1:12" s="2" customFormat="1" ht="13.95" customHeight="1" outlineLevel="2" x14ac:dyDescent="0.2">
      <c r="A565" s="50" t="s">
        <v>70</v>
      </c>
      <c r="B565" s="50" t="s">
        <v>5</v>
      </c>
      <c r="C565" s="50" t="s">
        <v>44</v>
      </c>
      <c r="D565" s="50" t="s">
        <v>1449</v>
      </c>
      <c r="E565" s="50" t="s">
        <v>1445</v>
      </c>
      <c r="F565" s="50" t="s">
        <v>216</v>
      </c>
      <c r="G565" s="50" t="s">
        <v>813</v>
      </c>
      <c r="H565" s="51">
        <v>1</v>
      </c>
      <c r="I565" s="52">
        <f>J565/H565</f>
        <v>3990</v>
      </c>
      <c r="J565" s="52">
        <v>3990</v>
      </c>
      <c r="K565" s="51">
        <v>13</v>
      </c>
      <c r="L565" s="53">
        <f>K565/H565*30</f>
        <v>390</v>
      </c>
    </row>
    <row r="566" spans="1:12" s="2" customFormat="1" ht="13.95" customHeight="1" outlineLevel="1" x14ac:dyDescent="0.2">
      <c r="A566" s="50"/>
      <c r="B566" s="50"/>
      <c r="C566" s="58" t="s">
        <v>1508</v>
      </c>
      <c r="D566" s="50"/>
      <c r="E566" s="50"/>
      <c r="F566" s="50"/>
      <c r="G566" s="50"/>
      <c r="H566" s="51">
        <f>SUBTOTAL(9,H553:H565)</f>
        <v>18</v>
      </c>
      <c r="I566" s="52"/>
      <c r="J566" s="52">
        <f>SUBTOTAL(9,J553:J565)</f>
        <v>144820</v>
      </c>
      <c r="K566" s="51"/>
      <c r="L566" s="53"/>
    </row>
    <row r="567" spans="1:12" s="2" customFormat="1" ht="13.95" customHeight="1" outlineLevel="2" x14ac:dyDescent="0.2">
      <c r="A567" s="50" t="s">
        <v>70</v>
      </c>
      <c r="B567" s="50" t="s">
        <v>5</v>
      </c>
      <c r="C567" s="50" t="s">
        <v>45</v>
      </c>
      <c r="D567" s="50" t="s">
        <v>172</v>
      </c>
      <c r="E567" s="50" t="s">
        <v>173</v>
      </c>
      <c r="F567" s="50" t="s">
        <v>73</v>
      </c>
      <c r="G567" s="50" t="s">
        <v>84</v>
      </c>
      <c r="H567" s="51">
        <v>16</v>
      </c>
      <c r="I567" s="52">
        <f>J567/H567</f>
        <v>26990</v>
      </c>
      <c r="J567" s="52">
        <v>431840</v>
      </c>
      <c r="K567" s="51">
        <v>7</v>
      </c>
      <c r="L567" s="53">
        <f>K567/H567*30</f>
        <v>13.125</v>
      </c>
    </row>
    <row r="568" spans="1:12" s="2" customFormat="1" ht="13.95" customHeight="1" outlineLevel="2" x14ac:dyDescent="0.2">
      <c r="A568" s="50" t="s">
        <v>70</v>
      </c>
      <c r="B568" s="50" t="s">
        <v>5</v>
      </c>
      <c r="C568" s="50" t="s">
        <v>45</v>
      </c>
      <c r="D568" s="50" t="s">
        <v>329</v>
      </c>
      <c r="E568" s="50" t="s">
        <v>173</v>
      </c>
      <c r="F568" s="50" t="s">
        <v>106</v>
      </c>
      <c r="G568" s="50" t="s">
        <v>330</v>
      </c>
      <c r="H568" s="51">
        <v>10</v>
      </c>
      <c r="I568" s="52">
        <f>J568/H568</f>
        <v>26990</v>
      </c>
      <c r="J568" s="52">
        <v>269900</v>
      </c>
      <c r="K568" s="51">
        <v>6</v>
      </c>
      <c r="L568" s="53">
        <f>K568/H568*30</f>
        <v>18</v>
      </c>
    </row>
    <row r="569" spans="1:12" s="2" customFormat="1" ht="13.95" customHeight="1" outlineLevel="2" x14ac:dyDescent="0.2">
      <c r="A569" s="50" t="s">
        <v>70</v>
      </c>
      <c r="B569" s="50" t="s">
        <v>5</v>
      </c>
      <c r="C569" s="50" t="s">
        <v>45</v>
      </c>
      <c r="D569" s="50" t="s">
        <v>354</v>
      </c>
      <c r="E569" s="50" t="s">
        <v>173</v>
      </c>
      <c r="F569" s="50" t="s">
        <v>73</v>
      </c>
      <c r="G569" s="50" t="s">
        <v>97</v>
      </c>
      <c r="H569" s="51">
        <v>9</v>
      </c>
      <c r="I569" s="52">
        <f>J569/H569</f>
        <v>26990</v>
      </c>
      <c r="J569" s="52">
        <v>242910</v>
      </c>
      <c r="K569" s="51">
        <v>1</v>
      </c>
      <c r="L569" s="53">
        <f>K569/H569*30</f>
        <v>3.333333333333333</v>
      </c>
    </row>
    <row r="570" spans="1:12" s="2" customFormat="1" ht="13.95" customHeight="1" outlineLevel="2" x14ac:dyDescent="0.2">
      <c r="A570" s="50" t="s">
        <v>70</v>
      </c>
      <c r="B570" s="50" t="s">
        <v>5</v>
      </c>
      <c r="C570" s="50" t="s">
        <v>45</v>
      </c>
      <c r="D570" s="50" t="s">
        <v>355</v>
      </c>
      <c r="E570" s="50" t="s">
        <v>356</v>
      </c>
      <c r="F570" s="50" t="s">
        <v>73</v>
      </c>
      <c r="G570" s="50" t="s">
        <v>330</v>
      </c>
      <c r="H570" s="51">
        <v>9</v>
      </c>
      <c r="I570" s="52">
        <f>J570/H570</f>
        <v>26990</v>
      </c>
      <c r="J570" s="52">
        <v>242910</v>
      </c>
      <c r="K570" s="51">
        <v>5</v>
      </c>
      <c r="L570" s="53">
        <f>K570/H570*30</f>
        <v>16.666666666666668</v>
      </c>
    </row>
    <row r="571" spans="1:12" s="2" customFormat="1" ht="13.95" customHeight="1" outlineLevel="2" x14ac:dyDescent="0.2">
      <c r="A571" s="50" t="s">
        <v>70</v>
      </c>
      <c r="B571" s="50" t="s">
        <v>5</v>
      </c>
      <c r="C571" s="50" t="s">
        <v>45</v>
      </c>
      <c r="D571" s="50" t="s">
        <v>402</v>
      </c>
      <c r="E571" s="50" t="s">
        <v>173</v>
      </c>
      <c r="F571" s="50" t="s">
        <v>73</v>
      </c>
      <c r="G571" s="50" t="s">
        <v>86</v>
      </c>
      <c r="H571" s="51">
        <v>8</v>
      </c>
      <c r="I571" s="52">
        <f>J571/H571</f>
        <v>26990</v>
      </c>
      <c r="J571" s="52">
        <v>215920</v>
      </c>
      <c r="K571" s="51">
        <v>10</v>
      </c>
      <c r="L571" s="53">
        <f>K571/H571*30</f>
        <v>37.5</v>
      </c>
    </row>
    <row r="572" spans="1:12" s="2" customFormat="1" ht="13.95" customHeight="1" outlineLevel="2" x14ac:dyDescent="0.2">
      <c r="A572" s="50" t="s">
        <v>70</v>
      </c>
      <c r="B572" s="50" t="s">
        <v>5</v>
      </c>
      <c r="C572" s="50" t="s">
        <v>45</v>
      </c>
      <c r="D572" s="50" t="s">
        <v>403</v>
      </c>
      <c r="E572" s="50" t="s">
        <v>173</v>
      </c>
      <c r="F572" s="50" t="s">
        <v>73</v>
      </c>
      <c r="G572" s="50" t="s">
        <v>74</v>
      </c>
      <c r="H572" s="51">
        <v>8</v>
      </c>
      <c r="I572" s="52">
        <f>J572/H572</f>
        <v>26990</v>
      </c>
      <c r="J572" s="52">
        <v>215920</v>
      </c>
      <c r="K572" s="51">
        <v>18</v>
      </c>
      <c r="L572" s="53">
        <f>K572/H572*30</f>
        <v>67.5</v>
      </c>
    </row>
    <row r="573" spans="1:12" s="2" customFormat="1" ht="13.95" customHeight="1" outlineLevel="2" x14ac:dyDescent="0.2">
      <c r="A573" s="50" t="s">
        <v>70</v>
      </c>
      <c r="B573" s="50" t="s">
        <v>5</v>
      </c>
      <c r="C573" s="50" t="s">
        <v>45</v>
      </c>
      <c r="D573" s="50" t="s">
        <v>473</v>
      </c>
      <c r="E573" s="50" t="s">
        <v>474</v>
      </c>
      <c r="F573" s="50" t="s">
        <v>73</v>
      </c>
      <c r="G573" s="50" t="s">
        <v>97</v>
      </c>
      <c r="H573" s="51">
        <v>19</v>
      </c>
      <c r="I573" s="52">
        <f>J573/H573</f>
        <v>9990</v>
      </c>
      <c r="J573" s="52">
        <v>189810</v>
      </c>
      <c r="K573" s="51">
        <v>23</v>
      </c>
      <c r="L573" s="53">
        <f>K573/H573*30</f>
        <v>36.315789473684212</v>
      </c>
    </row>
    <row r="574" spans="1:12" s="2" customFormat="1" ht="13.95" customHeight="1" outlineLevel="2" x14ac:dyDescent="0.2">
      <c r="A574" s="50" t="s">
        <v>70</v>
      </c>
      <c r="B574" s="50" t="s">
        <v>5</v>
      </c>
      <c r="C574" s="50" t="s">
        <v>45</v>
      </c>
      <c r="D574" s="50" t="s">
        <v>475</v>
      </c>
      <c r="E574" s="50" t="s">
        <v>173</v>
      </c>
      <c r="F574" s="50" t="s">
        <v>106</v>
      </c>
      <c r="G574" s="50" t="s">
        <v>112</v>
      </c>
      <c r="H574" s="51">
        <v>7</v>
      </c>
      <c r="I574" s="52">
        <f>J574/H574</f>
        <v>26990</v>
      </c>
      <c r="J574" s="52">
        <v>188930</v>
      </c>
      <c r="K574" s="51">
        <v>1</v>
      </c>
      <c r="L574" s="53">
        <f>K574/H574*30</f>
        <v>4.2857142857142856</v>
      </c>
    </row>
    <row r="575" spans="1:12" s="2" customFormat="1" ht="13.95" customHeight="1" outlineLevel="2" x14ac:dyDescent="0.2">
      <c r="A575" s="50" t="s">
        <v>70</v>
      </c>
      <c r="B575" s="50" t="s">
        <v>5</v>
      </c>
      <c r="C575" s="50" t="s">
        <v>45</v>
      </c>
      <c r="D575" s="50" t="s">
        <v>476</v>
      </c>
      <c r="E575" s="50" t="s">
        <v>356</v>
      </c>
      <c r="F575" s="50" t="s">
        <v>73</v>
      </c>
      <c r="G575" s="50" t="s">
        <v>86</v>
      </c>
      <c r="H575" s="51">
        <v>7</v>
      </c>
      <c r="I575" s="52">
        <f>J575/H575</f>
        <v>26990</v>
      </c>
      <c r="J575" s="52">
        <v>188930</v>
      </c>
      <c r="K575" s="51">
        <v>18</v>
      </c>
      <c r="L575" s="53">
        <f>K575/H575*30</f>
        <v>77.142857142857153</v>
      </c>
    </row>
    <row r="576" spans="1:12" s="2" customFormat="1" ht="13.95" customHeight="1" outlineLevel="2" x14ac:dyDescent="0.2">
      <c r="A576" s="50" t="s">
        <v>70</v>
      </c>
      <c r="B576" s="50" t="s">
        <v>5</v>
      </c>
      <c r="C576" s="50" t="s">
        <v>45</v>
      </c>
      <c r="D576" s="50" t="s">
        <v>477</v>
      </c>
      <c r="E576" s="50" t="s">
        <v>356</v>
      </c>
      <c r="F576" s="50" t="s">
        <v>223</v>
      </c>
      <c r="G576" s="50" t="s">
        <v>224</v>
      </c>
      <c r="H576" s="51">
        <v>7</v>
      </c>
      <c r="I576" s="52">
        <f>J576/H576</f>
        <v>26990</v>
      </c>
      <c r="J576" s="52">
        <v>188930</v>
      </c>
      <c r="K576" s="51">
        <v>15</v>
      </c>
      <c r="L576" s="53">
        <f>K576/H576*30</f>
        <v>64.285714285714278</v>
      </c>
    </row>
    <row r="577" spans="1:12" s="2" customFormat="1" ht="13.95" customHeight="1" outlineLevel="2" x14ac:dyDescent="0.2">
      <c r="A577" s="50" t="s">
        <v>70</v>
      </c>
      <c r="B577" s="50" t="s">
        <v>5</v>
      </c>
      <c r="C577" s="50" t="s">
        <v>45</v>
      </c>
      <c r="D577" s="50" t="s">
        <v>526</v>
      </c>
      <c r="E577" s="50" t="s">
        <v>173</v>
      </c>
      <c r="F577" s="50" t="s">
        <v>106</v>
      </c>
      <c r="G577" s="50" t="s">
        <v>86</v>
      </c>
      <c r="H577" s="51">
        <v>6</v>
      </c>
      <c r="I577" s="52">
        <f>J577/H577</f>
        <v>26990</v>
      </c>
      <c r="J577" s="52">
        <v>161940</v>
      </c>
      <c r="K577" s="51">
        <v>3</v>
      </c>
      <c r="L577" s="53">
        <f>K577/H577*30</f>
        <v>15</v>
      </c>
    </row>
    <row r="578" spans="1:12" s="2" customFormat="1" ht="13.95" customHeight="1" outlineLevel="2" x14ac:dyDescent="0.2">
      <c r="A578" s="50" t="s">
        <v>70</v>
      </c>
      <c r="B578" s="50" t="s">
        <v>5</v>
      </c>
      <c r="C578" s="50" t="s">
        <v>45</v>
      </c>
      <c r="D578" s="50" t="s">
        <v>527</v>
      </c>
      <c r="E578" s="50" t="s">
        <v>356</v>
      </c>
      <c r="F578" s="50" t="s">
        <v>106</v>
      </c>
      <c r="G578" s="50" t="s">
        <v>140</v>
      </c>
      <c r="H578" s="51">
        <v>6</v>
      </c>
      <c r="I578" s="52">
        <f>J578/H578</f>
        <v>26990</v>
      </c>
      <c r="J578" s="52">
        <v>161940</v>
      </c>
      <c r="K578" s="51">
        <v>1</v>
      </c>
      <c r="L578" s="53">
        <f>K578/H578*30</f>
        <v>5</v>
      </c>
    </row>
    <row r="579" spans="1:12" s="2" customFormat="1" ht="13.95" customHeight="1" outlineLevel="2" x14ac:dyDescent="0.2">
      <c r="A579" s="50" t="s">
        <v>70</v>
      </c>
      <c r="B579" s="50" t="s">
        <v>5</v>
      </c>
      <c r="C579" s="50" t="s">
        <v>45</v>
      </c>
      <c r="D579" s="50" t="s">
        <v>528</v>
      </c>
      <c r="E579" s="50" t="s">
        <v>356</v>
      </c>
      <c r="F579" s="50" t="s">
        <v>106</v>
      </c>
      <c r="G579" s="50" t="s">
        <v>112</v>
      </c>
      <c r="H579" s="51">
        <v>6</v>
      </c>
      <c r="I579" s="52">
        <f>J579/H579</f>
        <v>26990</v>
      </c>
      <c r="J579" s="52">
        <v>161940</v>
      </c>
      <c r="K579" s="51">
        <v>23</v>
      </c>
      <c r="L579" s="53">
        <f>K579/H579*30</f>
        <v>115</v>
      </c>
    </row>
    <row r="580" spans="1:12" s="2" customFormat="1" ht="13.95" customHeight="1" outlineLevel="2" x14ac:dyDescent="0.2">
      <c r="A580" s="50" t="s">
        <v>70</v>
      </c>
      <c r="B580" s="50" t="s">
        <v>5</v>
      </c>
      <c r="C580" s="50" t="s">
        <v>45</v>
      </c>
      <c r="D580" s="50" t="s">
        <v>591</v>
      </c>
      <c r="E580" s="50" t="s">
        <v>592</v>
      </c>
      <c r="F580" s="50" t="s">
        <v>137</v>
      </c>
      <c r="G580" s="50" t="s">
        <v>88</v>
      </c>
      <c r="H580" s="51">
        <v>10</v>
      </c>
      <c r="I580" s="52">
        <f>J580/H580</f>
        <v>13990</v>
      </c>
      <c r="J580" s="52">
        <v>139900</v>
      </c>
      <c r="K580" s="51">
        <v>17</v>
      </c>
      <c r="L580" s="53">
        <f>K580/H580*30</f>
        <v>51</v>
      </c>
    </row>
    <row r="581" spans="1:12" s="2" customFormat="1" ht="13.95" customHeight="1" outlineLevel="2" x14ac:dyDescent="0.2">
      <c r="A581" s="50" t="s">
        <v>70</v>
      </c>
      <c r="B581" s="50" t="s">
        <v>5</v>
      </c>
      <c r="C581" s="50" t="s">
        <v>45</v>
      </c>
      <c r="D581" s="50" t="s">
        <v>593</v>
      </c>
      <c r="E581" s="50" t="s">
        <v>592</v>
      </c>
      <c r="F581" s="50" t="s">
        <v>73</v>
      </c>
      <c r="G581" s="50" t="s">
        <v>74</v>
      </c>
      <c r="H581" s="51">
        <v>11</v>
      </c>
      <c r="I581" s="52">
        <f>J581/H581</f>
        <v>12635.727272727272</v>
      </c>
      <c r="J581" s="52">
        <v>138993</v>
      </c>
      <c r="K581" s="51">
        <v>43</v>
      </c>
      <c r="L581" s="53">
        <f>K581/H581*30</f>
        <v>117.27272727272728</v>
      </c>
    </row>
    <row r="582" spans="1:12" s="2" customFormat="1" ht="13.95" customHeight="1" outlineLevel="2" x14ac:dyDescent="0.2">
      <c r="A582" s="50" t="s">
        <v>70</v>
      </c>
      <c r="B582" s="50" t="s">
        <v>5</v>
      </c>
      <c r="C582" s="50" t="s">
        <v>45</v>
      </c>
      <c r="D582" s="50" t="s">
        <v>608</v>
      </c>
      <c r="E582" s="50" t="s">
        <v>356</v>
      </c>
      <c r="F582" s="50" t="s">
        <v>106</v>
      </c>
      <c r="G582" s="50" t="s">
        <v>86</v>
      </c>
      <c r="H582" s="51">
        <v>5</v>
      </c>
      <c r="I582" s="52">
        <f>J582/H582</f>
        <v>26990</v>
      </c>
      <c r="J582" s="52">
        <v>134950</v>
      </c>
      <c r="K582" s="51">
        <v>24</v>
      </c>
      <c r="L582" s="53">
        <f>K582/H582*30</f>
        <v>144</v>
      </c>
    </row>
    <row r="583" spans="1:12" s="2" customFormat="1" ht="13.95" customHeight="1" outlineLevel="2" x14ac:dyDescent="0.2">
      <c r="A583" s="50" t="s">
        <v>70</v>
      </c>
      <c r="B583" s="50" t="s">
        <v>5</v>
      </c>
      <c r="C583" s="50" t="s">
        <v>45</v>
      </c>
      <c r="D583" s="50" t="s">
        <v>613</v>
      </c>
      <c r="E583" s="50" t="s">
        <v>614</v>
      </c>
      <c r="F583" s="50" t="s">
        <v>73</v>
      </c>
      <c r="G583" s="50" t="s">
        <v>86</v>
      </c>
      <c r="H583" s="51">
        <v>7</v>
      </c>
      <c r="I583" s="52">
        <f>J583/H583</f>
        <v>18990</v>
      </c>
      <c r="J583" s="52">
        <v>132930</v>
      </c>
      <c r="K583" s="51">
        <v>25</v>
      </c>
      <c r="L583" s="53">
        <f>K583/H583*30</f>
        <v>107.14285714285715</v>
      </c>
    </row>
    <row r="584" spans="1:12" s="2" customFormat="1" ht="13.95" customHeight="1" outlineLevel="2" x14ac:dyDescent="0.2">
      <c r="A584" s="50" t="s">
        <v>70</v>
      </c>
      <c r="B584" s="50" t="s">
        <v>5</v>
      </c>
      <c r="C584" s="50" t="s">
        <v>45</v>
      </c>
      <c r="D584" s="50" t="s">
        <v>623</v>
      </c>
      <c r="E584" s="50" t="s">
        <v>474</v>
      </c>
      <c r="F584" s="50" t="s">
        <v>374</v>
      </c>
      <c r="G584" s="50" t="s">
        <v>140</v>
      </c>
      <c r="H584" s="51">
        <v>13</v>
      </c>
      <c r="I584" s="52">
        <f>J584/H584</f>
        <v>9990</v>
      </c>
      <c r="J584" s="52">
        <v>129870</v>
      </c>
      <c r="K584" s="51">
        <v>32</v>
      </c>
      <c r="L584" s="53">
        <f>K584/H584*30</f>
        <v>73.846153846153854</v>
      </c>
    </row>
    <row r="585" spans="1:12" s="2" customFormat="1" ht="13.95" customHeight="1" outlineLevel="2" x14ac:dyDescent="0.2">
      <c r="A585" s="50" t="s">
        <v>70</v>
      </c>
      <c r="B585" s="50" t="s">
        <v>5</v>
      </c>
      <c r="C585" s="50" t="s">
        <v>45</v>
      </c>
      <c r="D585" s="50" t="s">
        <v>660</v>
      </c>
      <c r="E585" s="50" t="s">
        <v>661</v>
      </c>
      <c r="F585" s="50" t="s">
        <v>73</v>
      </c>
      <c r="G585" s="50" t="s">
        <v>86</v>
      </c>
      <c r="H585" s="51">
        <v>2</v>
      </c>
      <c r="I585" s="52">
        <f>J585/H585</f>
        <v>59990</v>
      </c>
      <c r="J585" s="52">
        <v>119980</v>
      </c>
      <c r="K585" s="51">
        <v>6</v>
      </c>
      <c r="L585" s="53">
        <f>K585/H585*30</f>
        <v>90</v>
      </c>
    </row>
    <row r="586" spans="1:12" s="2" customFormat="1" ht="13.95" customHeight="1" outlineLevel="2" x14ac:dyDescent="0.2">
      <c r="A586" s="50" t="s">
        <v>70</v>
      </c>
      <c r="B586" s="50" t="s">
        <v>5</v>
      </c>
      <c r="C586" s="50" t="s">
        <v>45</v>
      </c>
      <c r="D586" s="50" t="s">
        <v>681</v>
      </c>
      <c r="E586" s="50" t="s">
        <v>474</v>
      </c>
      <c r="F586" s="50" t="s">
        <v>73</v>
      </c>
      <c r="G586" s="50" t="s">
        <v>74</v>
      </c>
      <c r="H586" s="51">
        <v>12</v>
      </c>
      <c r="I586" s="52">
        <f>J586/H586</f>
        <v>9990</v>
      </c>
      <c r="J586" s="52">
        <v>119880</v>
      </c>
      <c r="K586" s="51">
        <v>25</v>
      </c>
      <c r="L586" s="53">
        <f>K586/H586*30</f>
        <v>62.500000000000007</v>
      </c>
    </row>
    <row r="587" spans="1:12" s="2" customFormat="1" ht="13.95" customHeight="1" outlineLevel="2" x14ac:dyDescent="0.2">
      <c r="A587" s="50" t="s">
        <v>70</v>
      </c>
      <c r="B587" s="50" t="s">
        <v>5</v>
      </c>
      <c r="C587" s="50" t="s">
        <v>45</v>
      </c>
      <c r="D587" s="50" t="s">
        <v>682</v>
      </c>
      <c r="E587" s="50" t="s">
        <v>474</v>
      </c>
      <c r="F587" s="50" t="s">
        <v>374</v>
      </c>
      <c r="G587" s="50" t="s">
        <v>330</v>
      </c>
      <c r="H587" s="51">
        <v>12</v>
      </c>
      <c r="I587" s="52">
        <f>J587/H587</f>
        <v>9990</v>
      </c>
      <c r="J587" s="52">
        <v>119880</v>
      </c>
      <c r="K587" s="51">
        <v>0</v>
      </c>
      <c r="L587" s="53">
        <f>K587/H587*30</f>
        <v>0</v>
      </c>
    </row>
    <row r="588" spans="1:12" s="2" customFormat="1" ht="13.95" customHeight="1" outlineLevel="2" x14ac:dyDescent="0.2">
      <c r="A588" s="50" t="s">
        <v>70</v>
      </c>
      <c r="B588" s="50" t="s">
        <v>5</v>
      </c>
      <c r="C588" s="50" t="s">
        <v>45</v>
      </c>
      <c r="D588" s="50" t="s">
        <v>686</v>
      </c>
      <c r="E588" s="50" t="s">
        <v>592</v>
      </c>
      <c r="F588" s="50" t="s">
        <v>223</v>
      </c>
      <c r="G588" s="50" t="s">
        <v>224</v>
      </c>
      <c r="H588" s="51">
        <v>9</v>
      </c>
      <c r="I588" s="52">
        <f>J588/H588</f>
        <v>12990</v>
      </c>
      <c r="J588" s="52">
        <v>116910</v>
      </c>
      <c r="K588" s="51">
        <v>26</v>
      </c>
      <c r="L588" s="53">
        <f>K588/H588*30</f>
        <v>86.666666666666671</v>
      </c>
    </row>
    <row r="589" spans="1:12" s="2" customFormat="1" ht="13.95" customHeight="1" outlineLevel="2" x14ac:dyDescent="0.2">
      <c r="A589" s="50" t="s">
        <v>70</v>
      </c>
      <c r="B589" s="50" t="s">
        <v>5</v>
      </c>
      <c r="C589" s="50" t="s">
        <v>45</v>
      </c>
      <c r="D589" s="50" t="s">
        <v>689</v>
      </c>
      <c r="E589" s="50" t="s">
        <v>690</v>
      </c>
      <c r="F589" s="50" t="s">
        <v>137</v>
      </c>
      <c r="G589" s="50" t="s">
        <v>88</v>
      </c>
      <c r="H589" s="51">
        <v>2</v>
      </c>
      <c r="I589" s="52">
        <f>J589/H589</f>
        <v>56990</v>
      </c>
      <c r="J589" s="52">
        <v>113980</v>
      </c>
      <c r="K589" s="51">
        <v>4</v>
      </c>
      <c r="L589" s="53">
        <f>K589/H589*30</f>
        <v>60</v>
      </c>
    </row>
    <row r="590" spans="1:12" s="2" customFormat="1" ht="13.95" customHeight="1" outlineLevel="2" x14ac:dyDescent="0.2">
      <c r="A590" s="50" t="s">
        <v>70</v>
      </c>
      <c r="B590" s="50" t="s">
        <v>5</v>
      </c>
      <c r="C590" s="50" t="s">
        <v>45</v>
      </c>
      <c r="D590" s="50" t="s">
        <v>691</v>
      </c>
      <c r="E590" s="50" t="s">
        <v>690</v>
      </c>
      <c r="F590" s="50" t="s">
        <v>137</v>
      </c>
      <c r="G590" s="50" t="s">
        <v>74</v>
      </c>
      <c r="H590" s="51">
        <v>2</v>
      </c>
      <c r="I590" s="52">
        <f>J590/H590</f>
        <v>56990</v>
      </c>
      <c r="J590" s="52">
        <v>113980</v>
      </c>
      <c r="K590" s="51">
        <v>7</v>
      </c>
      <c r="L590" s="53">
        <f>K590/H590*30</f>
        <v>105</v>
      </c>
    </row>
    <row r="591" spans="1:12" s="2" customFormat="1" ht="13.95" customHeight="1" outlineLevel="2" x14ac:dyDescent="0.2">
      <c r="A591" s="50" t="s">
        <v>70</v>
      </c>
      <c r="B591" s="50" t="s">
        <v>5</v>
      </c>
      <c r="C591" s="50" t="s">
        <v>45</v>
      </c>
      <c r="D591" s="50" t="s">
        <v>692</v>
      </c>
      <c r="E591" s="50" t="s">
        <v>690</v>
      </c>
      <c r="F591" s="50" t="s">
        <v>106</v>
      </c>
      <c r="G591" s="50" t="s">
        <v>74</v>
      </c>
      <c r="H591" s="51">
        <v>2</v>
      </c>
      <c r="I591" s="52">
        <f>J591/H591</f>
        <v>56990</v>
      </c>
      <c r="J591" s="52">
        <v>113980</v>
      </c>
      <c r="K591" s="51">
        <v>15</v>
      </c>
      <c r="L591" s="53">
        <f>K591/H591*30</f>
        <v>225</v>
      </c>
    </row>
    <row r="592" spans="1:12" s="2" customFormat="1" ht="13.95" customHeight="1" outlineLevel="2" x14ac:dyDescent="0.2">
      <c r="A592" s="50" t="s">
        <v>70</v>
      </c>
      <c r="B592" s="50" t="s">
        <v>5</v>
      </c>
      <c r="C592" s="50" t="s">
        <v>45</v>
      </c>
      <c r="D592" s="50" t="s">
        <v>693</v>
      </c>
      <c r="E592" s="50" t="s">
        <v>614</v>
      </c>
      <c r="F592" s="50" t="s">
        <v>73</v>
      </c>
      <c r="G592" s="50" t="s">
        <v>330</v>
      </c>
      <c r="H592" s="51">
        <v>6</v>
      </c>
      <c r="I592" s="52">
        <f>J592/H592</f>
        <v>18990</v>
      </c>
      <c r="J592" s="52">
        <v>113940</v>
      </c>
      <c r="K592" s="51">
        <v>2</v>
      </c>
      <c r="L592" s="53">
        <f>K592/H592*30</f>
        <v>10</v>
      </c>
    </row>
    <row r="593" spans="1:12" s="2" customFormat="1" ht="13.95" customHeight="1" outlineLevel="2" x14ac:dyDescent="0.2">
      <c r="A593" s="50" t="s">
        <v>70</v>
      </c>
      <c r="B593" s="50" t="s">
        <v>5</v>
      </c>
      <c r="C593" s="50" t="s">
        <v>45</v>
      </c>
      <c r="D593" s="50" t="s">
        <v>702</v>
      </c>
      <c r="E593" s="50" t="s">
        <v>592</v>
      </c>
      <c r="F593" s="50" t="s">
        <v>137</v>
      </c>
      <c r="G593" s="50" t="s">
        <v>74</v>
      </c>
      <c r="H593" s="51">
        <v>8</v>
      </c>
      <c r="I593" s="52">
        <f>J593/H593</f>
        <v>13990</v>
      </c>
      <c r="J593" s="52">
        <v>111920</v>
      </c>
      <c r="K593" s="51">
        <v>54</v>
      </c>
      <c r="L593" s="53">
        <f>K593/H593*30</f>
        <v>202.5</v>
      </c>
    </row>
    <row r="594" spans="1:12" s="2" customFormat="1" ht="13.95" customHeight="1" outlineLevel="2" x14ac:dyDescent="0.2">
      <c r="A594" s="50" t="s">
        <v>70</v>
      </c>
      <c r="B594" s="50" t="s">
        <v>5</v>
      </c>
      <c r="C594" s="50" t="s">
        <v>45</v>
      </c>
      <c r="D594" s="50" t="s">
        <v>705</v>
      </c>
      <c r="E594" s="50" t="s">
        <v>474</v>
      </c>
      <c r="F594" s="50" t="s">
        <v>73</v>
      </c>
      <c r="G594" s="50" t="s">
        <v>86</v>
      </c>
      <c r="H594" s="51">
        <v>11</v>
      </c>
      <c r="I594" s="52">
        <f>J594/H594</f>
        <v>9990</v>
      </c>
      <c r="J594" s="52">
        <v>109890</v>
      </c>
      <c r="K594" s="51">
        <v>24</v>
      </c>
      <c r="L594" s="53">
        <f>K594/H594*30</f>
        <v>65.454545454545453</v>
      </c>
    </row>
    <row r="595" spans="1:12" s="2" customFormat="1" ht="13.95" customHeight="1" outlineLevel="2" x14ac:dyDescent="0.2">
      <c r="A595" s="50" t="s">
        <v>70</v>
      </c>
      <c r="B595" s="50" t="s">
        <v>5</v>
      </c>
      <c r="C595" s="50" t="s">
        <v>45</v>
      </c>
      <c r="D595" s="50" t="s">
        <v>706</v>
      </c>
      <c r="E595" s="50" t="s">
        <v>356</v>
      </c>
      <c r="F595" s="50" t="s">
        <v>73</v>
      </c>
      <c r="G595" s="50" t="s">
        <v>140</v>
      </c>
      <c r="H595" s="51">
        <v>4</v>
      </c>
      <c r="I595" s="52">
        <f>J595/H595</f>
        <v>26990</v>
      </c>
      <c r="J595" s="52">
        <v>107960</v>
      </c>
      <c r="K595" s="51">
        <v>14</v>
      </c>
      <c r="L595" s="53">
        <f>K595/H595*30</f>
        <v>105</v>
      </c>
    </row>
    <row r="596" spans="1:12" s="2" customFormat="1" ht="13.95" customHeight="1" outlineLevel="2" x14ac:dyDescent="0.2">
      <c r="A596" s="50" t="s">
        <v>70</v>
      </c>
      <c r="B596" s="50" t="s">
        <v>5</v>
      </c>
      <c r="C596" s="50" t="s">
        <v>45</v>
      </c>
      <c r="D596" s="50" t="s">
        <v>728</v>
      </c>
      <c r="E596" s="50" t="s">
        <v>592</v>
      </c>
      <c r="F596" s="50" t="s">
        <v>73</v>
      </c>
      <c r="G596" s="50" t="s">
        <v>88</v>
      </c>
      <c r="H596" s="51">
        <v>8</v>
      </c>
      <c r="I596" s="52">
        <f>J596/H596</f>
        <v>12990</v>
      </c>
      <c r="J596" s="52">
        <v>103920</v>
      </c>
      <c r="K596" s="51">
        <v>71</v>
      </c>
      <c r="L596" s="53">
        <f>K596/H596*30</f>
        <v>266.25</v>
      </c>
    </row>
    <row r="597" spans="1:12" s="2" customFormat="1" ht="13.95" customHeight="1" outlineLevel="2" x14ac:dyDescent="0.2">
      <c r="A597" s="50" t="s">
        <v>70</v>
      </c>
      <c r="B597" s="50" t="s">
        <v>5</v>
      </c>
      <c r="C597" s="50" t="s">
        <v>45</v>
      </c>
      <c r="D597" s="50" t="s">
        <v>729</v>
      </c>
      <c r="E597" s="50" t="s">
        <v>592</v>
      </c>
      <c r="F597" s="50" t="s">
        <v>73</v>
      </c>
      <c r="G597" s="50" t="s">
        <v>86</v>
      </c>
      <c r="H597" s="51">
        <v>8</v>
      </c>
      <c r="I597" s="52">
        <f>J597/H597</f>
        <v>12990</v>
      </c>
      <c r="J597" s="52">
        <v>103920</v>
      </c>
      <c r="K597" s="51">
        <v>45</v>
      </c>
      <c r="L597" s="53">
        <f>K597/H597*30</f>
        <v>168.75</v>
      </c>
    </row>
    <row r="598" spans="1:12" s="2" customFormat="1" ht="13.95" customHeight="1" outlineLevel="2" x14ac:dyDescent="0.2">
      <c r="A598" s="50" t="s">
        <v>70</v>
      </c>
      <c r="B598" s="50" t="s">
        <v>5</v>
      </c>
      <c r="C598" s="50" t="s">
        <v>45</v>
      </c>
      <c r="D598" s="50" t="s">
        <v>780</v>
      </c>
      <c r="E598" s="50" t="s">
        <v>592</v>
      </c>
      <c r="F598" s="50" t="s">
        <v>137</v>
      </c>
      <c r="G598" s="50" t="s">
        <v>140</v>
      </c>
      <c r="H598" s="51">
        <v>7</v>
      </c>
      <c r="I598" s="52">
        <f>J598/H598</f>
        <v>13990</v>
      </c>
      <c r="J598" s="52">
        <v>97930</v>
      </c>
      <c r="K598" s="51">
        <v>8</v>
      </c>
      <c r="L598" s="53">
        <f>K598/H598*30</f>
        <v>34.285714285714285</v>
      </c>
    </row>
    <row r="599" spans="1:12" s="2" customFormat="1" ht="13.95" customHeight="1" outlineLevel="2" x14ac:dyDescent="0.2">
      <c r="A599" s="50" t="s">
        <v>70</v>
      </c>
      <c r="B599" s="50" t="s">
        <v>5</v>
      </c>
      <c r="C599" s="50" t="s">
        <v>45</v>
      </c>
      <c r="D599" s="50" t="s">
        <v>798</v>
      </c>
      <c r="E599" s="50" t="s">
        <v>614</v>
      </c>
      <c r="F599" s="50" t="s">
        <v>73</v>
      </c>
      <c r="G599" s="50" t="s">
        <v>74</v>
      </c>
      <c r="H599" s="51">
        <v>5</v>
      </c>
      <c r="I599" s="52">
        <f>J599/H599</f>
        <v>18990</v>
      </c>
      <c r="J599" s="52">
        <v>94950</v>
      </c>
      <c r="K599" s="51">
        <v>40</v>
      </c>
      <c r="L599" s="53">
        <f>K599/H599*30</f>
        <v>240</v>
      </c>
    </row>
    <row r="600" spans="1:12" s="2" customFormat="1" ht="13.95" customHeight="1" outlineLevel="2" x14ac:dyDescent="0.2">
      <c r="A600" s="50" t="s">
        <v>70</v>
      </c>
      <c r="B600" s="50" t="s">
        <v>5</v>
      </c>
      <c r="C600" s="50" t="s">
        <v>45</v>
      </c>
      <c r="D600" s="50" t="s">
        <v>799</v>
      </c>
      <c r="E600" s="50" t="s">
        <v>614</v>
      </c>
      <c r="F600" s="50" t="s">
        <v>374</v>
      </c>
      <c r="G600" s="50" t="s">
        <v>140</v>
      </c>
      <c r="H600" s="51">
        <v>5</v>
      </c>
      <c r="I600" s="52">
        <f>J600/H600</f>
        <v>18990</v>
      </c>
      <c r="J600" s="52">
        <v>94950</v>
      </c>
      <c r="K600" s="51">
        <v>28</v>
      </c>
      <c r="L600" s="53">
        <f>K600/H600*30</f>
        <v>168</v>
      </c>
    </row>
    <row r="601" spans="1:12" s="2" customFormat="1" ht="13.95" customHeight="1" outlineLevel="2" x14ac:dyDescent="0.2">
      <c r="A601" s="50" t="s">
        <v>70</v>
      </c>
      <c r="B601" s="50" t="s">
        <v>5</v>
      </c>
      <c r="C601" s="50" t="s">
        <v>45</v>
      </c>
      <c r="D601" s="50" t="s">
        <v>801</v>
      </c>
      <c r="E601" s="50" t="s">
        <v>592</v>
      </c>
      <c r="F601" s="50" t="s">
        <v>73</v>
      </c>
      <c r="G601" s="50" t="s">
        <v>84</v>
      </c>
      <c r="H601" s="51">
        <v>7</v>
      </c>
      <c r="I601" s="52">
        <f>J601/H601</f>
        <v>12990</v>
      </c>
      <c r="J601" s="52">
        <v>90930</v>
      </c>
      <c r="K601" s="51">
        <v>40</v>
      </c>
      <c r="L601" s="53">
        <f>K601/H601*30</f>
        <v>171.42857142857144</v>
      </c>
    </row>
    <row r="602" spans="1:12" s="2" customFormat="1" ht="13.95" customHeight="1" outlineLevel="2" x14ac:dyDescent="0.2">
      <c r="A602" s="50" t="s">
        <v>70</v>
      </c>
      <c r="B602" s="50" t="s">
        <v>5</v>
      </c>
      <c r="C602" s="50" t="s">
        <v>45</v>
      </c>
      <c r="D602" s="50" t="s">
        <v>868</v>
      </c>
      <c r="E602" s="50" t="s">
        <v>173</v>
      </c>
      <c r="F602" s="50" t="s">
        <v>73</v>
      </c>
      <c r="G602" s="50" t="s">
        <v>88</v>
      </c>
      <c r="H602" s="51">
        <v>3</v>
      </c>
      <c r="I602" s="52">
        <f>J602/H602</f>
        <v>26990</v>
      </c>
      <c r="J602" s="52">
        <v>80970</v>
      </c>
      <c r="K602" s="51">
        <v>29</v>
      </c>
      <c r="L602" s="53">
        <f>K602/H602*30</f>
        <v>290</v>
      </c>
    </row>
    <row r="603" spans="1:12" s="2" customFormat="1" ht="13.95" customHeight="1" outlineLevel="2" x14ac:dyDescent="0.2">
      <c r="A603" s="50" t="s">
        <v>70</v>
      </c>
      <c r="B603" s="50" t="s">
        <v>5</v>
      </c>
      <c r="C603" s="50" t="s">
        <v>45</v>
      </c>
      <c r="D603" s="50" t="s">
        <v>869</v>
      </c>
      <c r="E603" s="50" t="s">
        <v>356</v>
      </c>
      <c r="F603" s="50" t="s">
        <v>73</v>
      </c>
      <c r="G603" s="50" t="s">
        <v>84</v>
      </c>
      <c r="H603" s="51">
        <v>3</v>
      </c>
      <c r="I603" s="52">
        <f>J603/H603</f>
        <v>26990</v>
      </c>
      <c r="J603" s="52">
        <v>80970</v>
      </c>
      <c r="K603" s="51">
        <v>36</v>
      </c>
      <c r="L603" s="53">
        <f>K603/H603*30</f>
        <v>360</v>
      </c>
    </row>
    <row r="604" spans="1:12" s="2" customFormat="1" ht="13.95" customHeight="1" outlineLevel="2" x14ac:dyDescent="0.2">
      <c r="A604" s="50" t="s">
        <v>70</v>
      </c>
      <c r="B604" s="50" t="s">
        <v>5</v>
      </c>
      <c r="C604" s="50" t="s">
        <v>45</v>
      </c>
      <c r="D604" s="50" t="s">
        <v>870</v>
      </c>
      <c r="E604" s="50" t="s">
        <v>356</v>
      </c>
      <c r="F604" s="50" t="s">
        <v>374</v>
      </c>
      <c r="G604" s="50" t="s">
        <v>140</v>
      </c>
      <c r="H604" s="51">
        <v>3</v>
      </c>
      <c r="I604" s="52">
        <f>J604/H604</f>
        <v>26990</v>
      </c>
      <c r="J604" s="52">
        <v>80970</v>
      </c>
      <c r="K604" s="51">
        <v>23</v>
      </c>
      <c r="L604" s="53">
        <f>K604/H604*30</f>
        <v>230</v>
      </c>
    </row>
    <row r="605" spans="1:12" s="2" customFormat="1" ht="13.95" customHeight="1" outlineLevel="2" x14ac:dyDescent="0.2">
      <c r="A605" s="50" t="s">
        <v>70</v>
      </c>
      <c r="B605" s="50" t="s">
        <v>5</v>
      </c>
      <c r="C605" s="50" t="s">
        <v>45</v>
      </c>
      <c r="D605" s="50" t="s">
        <v>871</v>
      </c>
      <c r="E605" s="50" t="s">
        <v>356</v>
      </c>
      <c r="F605" s="50" t="s">
        <v>106</v>
      </c>
      <c r="G605" s="50" t="s">
        <v>74</v>
      </c>
      <c r="H605" s="51">
        <v>3</v>
      </c>
      <c r="I605" s="52">
        <f>J605/H605</f>
        <v>26990</v>
      </c>
      <c r="J605" s="52">
        <v>80970</v>
      </c>
      <c r="K605" s="51">
        <v>27</v>
      </c>
      <c r="L605" s="53">
        <f>K605/H605*30</f>
        <v>270</v>
      </c>
    </row>
    <row r="606" spans="1:12" s="2" customFormat="1" ht="13.95" customHeight="1" outlineLevel="2" x14ac:dyDescent="0.2">
      <c r="A606" s="50" t="s">
        <v>70</v>
      </c>
      <c r="B606" s="50" t="s">
        <v>5</v>
      </c>
      <c r="C606" s="50" t="s">
        <v>45</v>
      </c>
      <c r="D606" s="50" t="s">
        <v>907</v>
      </c>
      <c r="E606" s="50" t="s">
        <v>474</v>
      </c>
      <c r="F606" s="50" t="s">
        <v>73</v>
      </c>
      <c r="G606" s="50" t="s">
        <v>140</v>
      </c>
      <c r="H606" s="51">
        <v>8</v>
      </c>
      <c r="I606" s="52">
        <f>J606/H606</f>
        <v>9990</v>
      </c>
      <c r="J606" s="52">
        <v>79920</v>
      </c>
      <c r="K606" s="51">
        <v>2</v>
      </c>
      <c r="L606" s="53">
        <f>K606/H606*30</f>
        <v>7.5</v>
      </c>
    </row>
    <row r="607" spans="1:12" s="2" customFormat="1" ht="13.95" customHeight="1" outlineLevel="2" x14ac:dyDescent="0.2">
      <c r="A607" s="50" t="s">
        <v>70</v>
      </c>
      <c r="B607" s="50" t="s">
        <v>5</v>
      </c>
      <c r="C607" s="50" t="s">
        <v>45</v>
      </c>
      <c r="D607" s="50" t="s">
        <v>908</v>
      </c>
      <c r="E607" s="50" t="s">
        <v>474</v>
      </c>
      <c r="F607" s="50" t="s">
        <v>73</v>
      </c>
      <c r="G607" s="50" t="s">
        <v>88</v>
      </c>
      <c r="H607" s="51">
        <v>8</v>
      </c>
      <c r="I607" s="52">
        <f>J607/H607</f>
        <v>9990</v>
      </c>
      <c r="J607" s="52">
        <v>79920</v>
      </c>
      <c r="K607" s="51">
        <v>60</v>
      </c>
      <c r="L607" s="53">
        <f>K607/H607*30</f>
        <v>225</v>
      </c>
    </row>
    <row r="608" spans="1:12" s="2" customFormat="1" ht="13.95" customHeight="1" outlineLevel="2" x14ac:dyDescent="0.2">
      <c r="A608" s="50" t="s">
        <v>70</v>
      </c>
      <c r="B608" s="50" t="s">
        <v>5</v>
      </c>
      <c r="C608" s="50" t="s">
        <v>45</v>
      </c>
      <c r="D608" s="50" t="s">
        <v>909</v>
      </c>
      <c r="E608" s="50" t="s">
        <v>474</v>
      </c>
      <c r="F608" s="50" t="s">
        <v>73</v>
      </c>
      <c r="G608" s="50" t="s">
        <v>84</v>
      </c>
      <c r="H608" s="51">
        <v>8</v>
      </c>
      <c r="I608" s="52">
        <f>J608/H608</f>
        <v>9990</v>
      </c>
      <c r="J608" s="52">
        <v>79920</v>
      </c>
      <c r="K608" s="51">
        <v>44</v>
      </c>
      <c r="L608" s="53">
        <f>K608/H608*30</f>
        <v>165</v>
      </c>
    </row>
    <row r="609" spans="1:12" s="2" customFormat="1" ht="13.95" customHeight="1" outlineLevel="2" x14ac:dyDescent="0.2">
      <c r="A609" s="50" t="s">
        <v>70</v>
      </c>
      <c r="B609" s="50" t="s">
        <v>5</v>
      </c>
      <c r="C609" s="50" t="s">
        <v>45</v>
      </c>
      <c r="D609" s="50" t="s">
        <v>910</v>
      </c>
      <c r="E609" s="50" t="s">
        <v>592</v>
      </c>
      <c r="F609" s="50" t="s">
        <v>374</v>
      </c>
      <c r="G609" s="50" t="s">
        <v>330</v>
      </c>
      <c r="H609" s="51">
        <v>6</v>
      </c>
      <c r="I609" s="52">
        <f>J609/H609</f>
        <v>12990</v>
      </c>
      <c r="J609" s="52">
        <v>77940</v>
      </c>
      <c r="K609" s="51">
        <v>24</v>
      </c>
      <c r="L609" s="53">
        <f>K609/H609*30</f>
        <v>120</v>
      </c>
    </row>
    <row r="610" spans="1:12" s="2" customFormat="1" ht="13.95" customHeight="1" outlineLevel="2" x14ac:dyDescent="0.2">
      <c r="A610" s="50" t="s">
        <v>70</v>
      </c>
      <c r="B610" s="50" t="s">
        <v>5</v>
      </c>
      <c r="C610" s="50" t="s">
        <v>45</v>
      </c>
      <c r="D610" s="50" t="s">
        <v>913</v>
      </c>
      <c r="E610" s="50" t="s">
        <v>614</v>
      </c>
      <c r="F610" s="50" t="s">
        <v>73</v>
      </c>
      <c r="G610" s="50" t="s">
        <v>84</v>
      </c>
      <c r="H610" s="51">
        <v>4</v>
      </c>
      <c r="I610" s="52">
        <f>J610/H610</f>
        <v>18990</v>
      </c>
      <c r="J610" s="52">
        <v>75960</v>
      </c>
      <c r="K610" s="51">
        <v>50</v>
      </c>
      <c r="L610" s="53">
        <f>K610/H610*30</f>
        <v>375</v>
      </c>
    </row>
    <row r="611" spans="1:12" s="2" customFormat="1" ht="13.95" customHeight="1" outlineLevel="2" x14ac:dyDescent="0.2">
      <c r="A611" s="50" t="s">
        <v>70</v>
      </c>
      <c r="B611" s="50" t="s">
        <v>5</v>
      </c>
      <c r="C611" s="50" t="s">
        <v>45</v>
      </c>
      <c r="D611" s="50" t="s">
        <v>914</v>
      </c>
      <c r="E611" s="50" t="s">
        <v>614</v>
      </c>
      <c r="F611" s="50" t="s">
        <v>374</v>
      </c>
      <c r="G611" s="50" t="s">
        <v>330</v>
      </c>
      <c r="H611" s="51">
        <v>4</v>
      </c>
      <c r="I611" s="52">
        <f>J611/H611</f>
        <v>18990</v>
      </c>
      <c r="J611" s="52">
        <v>75960</v>
      </c>
      <c r="K611" s="51">
        <v>19</v>
      </c>
      <c r="L611" s="53">
        <f>K611/H611*30</f>
        <v>142.5</v>
      </c>
    </row>
    <row r="612" spans="1:12" s="2" customFormat="1" ht="13.95" customHeight="1" outlineLevel="2" x14ac:dyDescent="0.2">
      <c r="A612" s="50" t="s">
        <v>70</v>
      </c>
      <c r="B612" s="50" t="s">
        <v>5</v>
      </c>
      <c r="C612" s="50" t="s">
        <v>45</v>
      </c>
      <c r="D612" s="50" t="s">
        <v>921</v>
      </c>
      <c r="E612" s="50" t="s">
        <v>922</v>
      </c>
      <c r="F612" s="50" t="s">
        <v>73</v>
      </c>
      <c r="G612" s="50" t="s">
        <v>88</v>
      </c>
      <c r="H612" s="51">
        <v>6</v>
      </c>
      <c r="I612" s="52">
        <f>J612/H612</f>
        <v>11990</v>
      </c>
      <c r="J612" s="52">
        <v>71940</v>
      </c>
      <c r="K612" s="51">
        <v>29</v>
      </c>
      <c r="L612" s="53">
        <f>K612/H612*30</f>
        <v>145</v>
      </c>
    </row>
    <row r="613" spans="1:12" s="2" customFormat="1" ht="13.95" customHeight="1" outlineLevel="2" x14ac:dyDescent="0.2">
      <c r="A613" s="50" t="s">
        <v>70</v>
      </c>
      <c r="B613" s="50" t="s">
        <v>5</v>
      </c>
      <c r="C613" s="50" t="s">
        <v>45</v>
      </c>
      <c r="D613" s="50" t="s">
        <v>930</v>
      </c>
      <c r="E613" s="50" t="s">
        <v>931</v>
      </c>
      <c r="F613" s="50" t="s">
        <v>73</v>
      </c>
      <c r="G613" s="50" t="s">
        <v>84</v>
      </c>
      <c r="H613" s="51">
        <v>2</v>
      </c>
      <c r="I613" s="52">
        <f>J613/H613</f>
        <v>34990</v>
      </c>
      <c r="J613" s="52">
        <v>69980</v>
      </c>
      <c r="K613" s="51">
        <v>13</v>
      </c>
      <c r="L613" s="53">
        <f>K613/H613*30</f>
        <v>195</v>
      </c>
    </row>
    <row r="614" spans="1:12" s="2" customFormat="1" ht="13.95" customHeight="1" outlineLevel="2" x14ac:dyDescent="0.2">
      <c r="A614" s="50" t="s">
        <v>70</v>
      </c>
      <c r="B614" s="50" t="s">
        <v>5</v>
      </c>
      <c r="C614" s="50" t="s">
        <v>45</v>
      </c>
      <c r="D614" s="50" t="s">
        <v>961</v>
      </c>
      <c r="E614" s="50" t="s">
        <v>592</v>
      </c>
      <c r="F614" s="50" t="s">
        <v>374</v>
      </c>
      <c r="G614" s="50" t="s">
        <v>140</v>
      </c>
      <c r="H614" s="51">
        <v>5</v>
      </c>
      <c r="I614" s="52">
        <f>J614/H614</f>
        <v>12990</v>
      </c>
      <c r="J614" s="52">
        <v>64950</v>
      </c>
      <c r="K614" s="51">
        <v>53</v>
      </c>
      <c r="L614" s="53">
        <f>K614/H614*30</f>
        <v>318</v>
      </c>
    </row>
    <row r="615" spans="1:12" s="2" customFormat="1" ht="13.95" customHeight="1" outlineLevel="2" x14ac:dyDescent="0.2">
      <c r="A615" s="50" t="s">
        <v>70</v>
      </c>
      <c r="B615" s="50" t="s">
        <v>5</v>
      </c>
      <c r="C615" s="50" t="s">
        <v>45</v>
      </c>
      <c r="D615" s="50" t="s">
        <v>972</v>
      </c>
      <c r="E615" s="50" t="s">
        <v>661</v>
      </c>
      <c r="F615" s="50" t="s">
        <v>73</v>
      </c>
      <c r="G615" s="50" t="s">
        <v>88</v>
      </c>
      <c r="H615" s="51">
        <v>1</v>
      </c>
      <c r="I615" s="52">
        <f>J615/H615</f>
        <v>59990</v>
      </c>
      <c r="J615" s="52">
        <v>59990</v>
      </c>
      <c r="K615" s="51">
        <v>8</v>
      </c>
      <c r="L615" s="53">
        <f>K615/H615*30</f>
        <v>240</v>
      </c>
    </row>
    <row r="616" spans="1:12" s="2" customFormat="1" ht="13.95" customHeight="1" outlineLevel="2" x14ac:dyDescent="0.2">
      <c r="A616" s="50" t="s">
        <v>70</v>
      </c>
      <c r="B616" s="50" t="s">
        <v>5</v>
      </c>
      <c r="C616" s="50" t="s">
        <v>45</v>
      </c>
      <c r="D616" s="50" t="s">
        <v>973</v>
      </c>
      <c r="E616" s="50" t="s">
        <v>661</v>
      </c>
      <c r="F616" s="50" t="s">
        <v>73</v>
      </c>
      <c r="G616" s="50" t="s">
        <v>74</v>
      </c>
      <c r="H616" s="51">
        <v>1</v>
      </c>
      <c r="I616" s="52">
        <f>J616/H616</f>
        <v>59990</v>
      </c>
      <c r="J616" s="52">
        <v>59990</v>
      </c>
      <c r="K616" s="51">
        <v>7</v>
      </c>
      <c r="L616" s="53">
        <f>K616/H616*30</f>
        <v>210</v>
      </c>
    </row>
    <row r="617" spans="1:12" s="2" customFormat="1" ht="13.95" customHeight="1" outlineLevel="2" x14ac:dyDescent="0.2">
      <c r="A617" s="50" t="s">
        <v>70</v>
      </c>
      <c r="B617" s="50" t="s">
        <v>5</v>
      </c>
      <c r="C617" s="50" t="s">
        <v>45</v>
      </c>
      <c r="D617" s="50" t="s">
        <v>974</v>
      </c>
      <c r="E617" s="50" t="s">
        <v>661</v>
      </c>
      <c r="F617" s="50" t="s">
        <v>73</v>
      </c>
      <c r="G617" s="50" t="s">
        <v>84</v>
      </c>
      <c r="H617" s="51">
        <v>1</v>
      </c>
      <c r="I617" s="52">
        <f>J617/H617</f>
        <v>59990</v>
      </c>
      <c r="J617" s="52">
        <v>59990</v>
      </c>
      <c r="K617" s="51">
        <v>6</v>
      </c>
      <c r="L617" s="53">
        <f>K617/H617*30</f>
        <v>180</v>
      </c>
    </row>
    <row r="618" spans="1:12" s="2" customFormat="1" ht="13.95" customHeight="1" outlineLevel="2" x14ac:dyDescent="0.2">
      <c r="A618" s="50" t="s">
        <v>70</v>
      </c>
      <c r="B618" s="50" t="s">
        <v>5</v>
      </c>
      <c r="C618" s="50" t="s">
        <v>45</v>
      </c>
      <c r="D618" s="50" t="s">
        <v>975</v>
      </c>
      <c r="E618" s="50" t="s">
        <v>661</v>
      </c>
      <c r="F618" s="50" t="s">
        <v>106</v>
      </c>
      <c r="G618" s="50" t="s">
        <v>88</v>
      </c>
      <c r="H618" s="51">
        <v>1</v>
      </c>
      <c r="I618" s="52">
        <f>J618/H618</f>
        <v>59990</v>
      </c>
      <c r="J618" s="52">
        <v>59990</v>
      </c>
      <c r="K618" s="51">
        <v>1</v>
      </c>
      <c r="L618" s="53">
        <f>K618/H618*30</f>
        <v>30</v>
      </c>
    </row>
    <row r="619" spans="1:12" s="2" customFormat="1" ht="13.95" customHeight="1" outlineLevel="2" x14ac:dyDescent="0.2">
      <c r="A619" s="50" t="s">
        <v>70</v>
      </c>
      <c r="B619" s="50" t="s">
        <v>5</v>
      </c>
      <c r="C619" s="50" t="s">
        <v>45</v>
      </c>
      <c r="D619" s="50" t="s">
        <v>999</v>
      </c>
      <c r="E619" s="50" t="s">
        <v>614</v>
      </c>
      <c r="F619" s="50" t="s">
        <v>137</v>
      </c>
      <c r="G619" s="50" t="s">
        <v>86</v>
      </c>
      <c r="H619" s="51">
        <v>3</v>
      </c>
      <c r="I619" s="52">
        <f>J619/H619</f>
        <v>19990</v>
      </c>
      <c r="J619" s="52">
        <v>59970</v>
      </c>
      <c r="K619" s="51">
        <v>27</v>
      </c>
      <c r="L619" s="53">
        <f>K619/H619*30</f>
        <v>270</v>
      </c>
    </row>
    <row r="620" spans="1:12" s="2" customFormat="1" ht="13.95" customHeight="1" outlineLevel="2" x14ac:dyDescent="0.2">
      <c r="A620" s="50" t="s">
        <v>70</v>
      </c>
      <c r="B620" s="50" t="s">
        <v>5</v>
      </c>
      <c r="C620" s="50" t="s">
        <v>45</v>
      </c>
      <c r="D620" s="50" t="s">
        <v>1000</v>
      </c>
      <c r="E620" s="50" t="s">
        <v>614</v>
      </c>
      <c r="F620" s="50" t="s">
        <v>137</v>
      </c>
      <c r="G620" s="50" t="s">
        <v>74</v>
      </c>
      <c r="H620" s="51">
        <v>3</v>
      </c>
      <c r="I620" s="52">
        <f>J620/H620</f>
        <v>19990</v>
      </c>
      <c r="J620" s="52">
        <v>59970</v>
      </c>
      <c r="K620" s="51">
        <v>40</v>
      </c>
      <c r="L620" s="53">
        <f>K620/H620*30</f>
        <v>400</v>
      </c>
    </row>
    <row r="621" spans="1:12" s="2" customFormat="1" ht="13.95" customHeight="1" outlineLevel="2" x14ac:dyDescent="0.2">
      <c r="A621" s="50" t="s">
        <v>70</v>
      </c>
      <c r="B621" s="50" t="s">
        <v>5</v>
      </c>
      <c r="C621" s="50" t="s">
        <v>45</v>
      </c>
      <c r="D621" s="50" t="s">
        <v>1003</v>
      </c>
      <c r="E621" s="50" t="s">
        <v>474</v>
      </c>
      <c r="F621" s="50" t="s">
        <v>223</v>
      </c>
      <c r="G621" s="50" t="s">
        <v>224</v>
      </c>
      <c r="H621" s="51">
        <v>6</v>
      </c>
      <c r="I621" s="52">
        <f>J621/H621</f>
        <v>9990</v>
      </c>
      <c r="J621" s="52">
        <v>59940</v>
      </c>
      <c r="K621" s="51">
        <v>32</v>
      </c>
      <c r="L621" s="53">
        <f>K621/H621*30</f>
        <v>160</v>
      </c>
    </row>
    <row r="622" spans="1:12" s="2" customFormat="1" ht="13.95" customHeight="1" outlineLevel="2" x14ac:dyDescent="0.2">
      <c r="A622" s="50" t="s">
        <v>70</v>
      </c>
      <c r="B622" s="50" t="s">
        <v>5</v>
      </c>
      <c r="C622" s="50" t="s">
        <v>45</v>
      </c>
      <c r="D622" s="50" t="s">
        <v>1004</v>
      </c>
      <c r="E622" s="50" t="s">
        <v>690</v>
      </c>
      <c r="F622" s="50" t="s">
        <v>106</v>
      </c>
      <c r="G622" s="50" t="s">
        <v>88</v>
      </c>
      <c r="H622" s="51">
        <v>1</v>
      </c>
      <c r="I622" s="52">
        <f>J622/H622</f>
        <v>56990</v>
      </c>
      <c r="J622" s="52">
        <v>56990</v>
      </c>
      <c r="K622" s="51">
        <v>13</v>
      </c>
      <c r="L622" s="53">
        <f>K622/H622*30</f>
        <v>390</v>
      </c>
    </row>
    <row r="623" spans="1:12" s="2" customFormat="1" ht="13.95" customHeight="1" outlineLevel="2" x14ac:dyDescent="0.2">
      <c r="A623" s="50" t="s">
        <v>70</v>
      </c>
      <c r="B623" s="50" t="s">
        <v>5</v>
      </c>
      <c r="C623" s="50" t="s">
        <v>45</v>
      </c>
      <c r="D623" s="50" t="s">
        <v>1005</v>
      </c>
      <c r="E623" s="50" t="s">
        <v>690</v>
      </c>
      <c r="F623" s="50" t="s">
        <v>106</v>
      </c>
      <c r="G623" s="50" t="s">
        <v>97</v>
      </c>
      <c r="H623" s="51">
        <v>1</v>
      </c>
      <c r="I623" s="52">
        <f>J623/H623</f>
        <v>56990</v>
      </c>
      <c r="J623" s="52">
        <v>56990</v>
      </c>
      <c r="K623" s="51">
        <v>6</v>
      </c>
      <c r="L623" s="53">
        <f>K623/H623*30</f>
        <v>180</v>
      </c>
    </row>
    <row r="624" spans="1:12" s="2" customFormat="1" ht="13.95" customHeight="1" outlineLevel="2" x14ac:dyDescent="0.2">
      <c r="A624" s="50" t="s">
        <v>70</v>
      </c>
      <c r="B624" s="50" t="s">
        <v>5</v>
      </c>
      <c r="C624" s="50" t="s">
        <v>45</v>
      </c>
      <c r="D624" s="50" t="s">
        <v>1006</v>
      </c>
      <c r="E624" s="50" t="s">
        <v>690</v>
      </c>
      <c r="F624" s="50" t="s">
        <v>106</v>
      </c>
      <c r="G624" s="50" t="s">
        <v>112</v>
      </c>
      <c r="H624" s="51">
        <v>1</v>
      </c>
      <c r="I624" s="52">
        <f>J624/H624</f>
        <v>56990</v>
      </c>
      <c r="J624" s="52">
        <v>56990</v>
      </c>
      <c r="K624" s="51">
        <v>11</v>
      </c>
      <c r="L624" s="53">
        <f>K624/H624*30</f>
        <v>330</v>
      </c>
    </row>
    <row r="625" spans="1:12" s="2" customFormat="1" ht="13.95" customHeight="1" outlineLevel="2" x14ac:dyDescent="0.2">
      <c r="A625" s="50" t="s">
        <v>70</v>
      </c>
      <c r="B625" s="50" t="s">
        <v>5</v>
      </c>
      <c r="C625" s="50" t="s">
        <v>45</v>
      </c>
      <c r="D625" s="50" t="s">
        <v>1007</v>
      </c>
      <c r="E625" s="50" t="s">
        <v>614</v>
      </c>
      <c r="F625" s="50" t="s">
        <v>73</v>
      </c>
      <c r="G625" s="50" t="s">
        <v>88</v>
      </c>
      <c r="H625" s="51">
        <v>3</v>
      </c>
      <c r="I625" s="52">
        <f>J625/H625</f>
        <v>18990</v>
      </c>
      <c r="J625" s="52">
        <v>56970</v>
      </c>
      <c r="K625" s="51">
        <v>19</v>
      </c>
      <c r="L625" s="53">
        <f>K625/H625*30</f>
        <v>190</v>
      </c>
    </row>
    <row r="626" spans="1:12" s="2" customFormat="1" ht="13.95" customHeight="1" outlineLevel="2" x14ac:dyDescent="0.2">
      <c r="A626" s="50" t="s">
        <v>70</v>
      </c>
      <c r="B626" s="50" t="s">
        <v>5</v>
      </c>
      <c r="C626" s="50" t="s">
        <v>45</v>
      </c>
      <c r="D626" s="50" t="s">
        <v>1008</v>
      </c>
      <c r="E626" s="50" t="s">
        <v>614</v>
      </c>
      <c r="F626" s="50" t="s">
        <v>177</v>
      </c>
      <c r="G626" s="50" t="s">
        <v>86</v>
      </c>
      <c r="H626" s="51">
        <v>3</v>
      </c>
      <c r="I626" s="52">
        <f>J626/H626</f>
        <v>18990</v>
      </c>
      <c r="J626" s="52">
        <v>56970</v>
      </c>
      <c r="K626" s="51">
        <v>36</v>
      </c>
      <c r="L626" s="53">
        <f>K626/H626*30</f>
        <v>360</v>
      </c>
    </row>
    <row r="627" spans="1:12" s="2" customFormat="1" ht="13.95" customHeight="1" outlineLevel="2" x14ac:dyDescent="0.2">
      <c r="A627" s="50" t="s">
        <v>70</v>
      </c>
      <c r="B627" s="50" t="s">
        <v>5</v>
      </c>
      <c r="C627" s="50" t="s">
        <v>45</v>
      </c>
      <c r="D627" s="50" t="s">
        <v>1031</v>
      </c>
      <c r="E627" s="50" t="s">
        <v>173</v>
      </c>
      <c r="F627" s="50" t="s">
        <v>223</v>
      </c>
      <c r="G627" s="50" t="s">
        <v>224</v>
      </c>
      <c r="H627" s="51">
        <v>2</v>
      </c>
      <c r="I627" s="52">
        <f>J627/H627</f>
        <v>26990</v>
      </c>
      <c r="J627" s="52">
        <v>53980</v>
      </c>
      <c r="K627" s="51">
        <v>1</v>
      </c>
      <c r="L627" s="53">
        <f>K627/H627*30</f>
        <v>15</v>
      </c>
    </row>
    <row r="628" spans="1:12" s="2" customFormat="1" ht="13.95" customHeight="1" outlineLevel="2" x14ac:dyDescent="0.2">
      <c r="A628" s="50" t="s">
        <v>70</v>
      </c>
      <c r="B628" s="50" t="s">
        <v>5</v>
      </c>
      <c r="C628" s="50" t="s">
        <v>45</v>
      </c>
      <c r="D628" s="50" t="s">
        <v>1032</v>
      </c>
      <c r="E628" s="50" t="s">
        <v>173</v>
      </c>
      <c r="F628" s="50" t="s">
        <v>106</v>
      </c>
      <c r="G628" s="50" t="s">
        <v>74</v>
      </c>
      <c r="H628" s="51">
        <v>2</v>
      </c>
      <c r="I628" s="52">
        <f>J628/H628</f>
        <v>26990</v>
      </c>
      <c r="J628" s="52">
        <v>53980</v>
      </c>
      <c r="K628" s="51">
        <v>4</v>
      </c>
      <c r="L628" s="53">
        <f>K628/H628*30</f>
        <v>60</v>
      </c>
    </row>
    <row r="629" spans="1:12" s="2" customFormat="1" ht="13.95" customHeight="1" outlineLevel="2" x14ac:dyDescent="0.2">
      <c r="A629" s="50" t="s">
        <v>70</v>
      </c>
      <c r="B629" s="50" t="s">
        <v>5</v>
      </c>
      <c r="C629" s="50" t="s">
        <v>45</v>
      </c>
      <c r="D629" s="50" t="s">
        <v>1033</v>
      </c>
      <c r="E629" s="50" t="s">
        <v>356</v>
      </c>
      <c r="F629" s="50" t="s">
        <v>73</v>
      </c>
      <c r="G629" s="50" t="s">
        <v>88</v>
      </c>
      <c r="H629" s="51">
        <v>2</v>
      </c>
      <c r="I629" s="52">
        <f>J629/H629</f>
        <v>26990</v>
      </c>
      <c r="J629" s="52">
        <v>53980</v>
      </c>
      <c r="K629" s="51">
        <v>35</v>
      </c>
      <c r="L629" s="53">
        <f>K629/H629*30</f>
        <v>525</v>
      </c>
    </row>
    <row r="630" spans="1:12" s="2" customFormat="1" ht="13.95" customHeight="1" outlineLevel="2" x14ac:dyDescent="0.2">
      <c r="A630" s="50" t="s">
        <v>70</v>
      </c>
      <c r="B630" s="50" t="s">
        <v>5</v>
      </c>
      <c r="C630" s="50" t="s">
        <v>45</v>
      </c>
      <c r="D630" s="50" t="s">
        <v>1034</v>
      </c>
      <c r="E630" s="50" t="s">
        <v>356</v>
      </c>
      <c r="F630" s="50" t="s">
        <v>106</v>
      </c>
      <c r="G630" s="50" t="s">
        <v>97</v>
      </c>
      <c r="H630" s="51">
        <v>2</v>
      </c>
      <c r="I630" s="52">
        <f>J630/H630</f>
        <v>26990</v>
      </c>
      <c r="J630" s="52">
        <v>53980</v>
      </c>
      <c r="K630" s="51">
        <v>31</v>
      </c>
      <c r="L630" s="53">
        <f>K630/H630*30</f>
        <v>465</v>
      </c>
    </row>
    <row r="631" spans="1:12" s="2" customFormat="1" ht="13.95" customHeight="1" outlineLevel="2" x14ac:dyDescent="0.2">
      <c r="A631" s="50" t="s">
        <v>70</v>
      </c>
      <c r="B631" s="50" t="s">
        <v>5</v>
      </c>
      <c r="C631" s="50" t="s">
        <v>45</v>
      </c>
      <c r="D631" s="50" t="s">
        <v>1079</v>
      </c>
      <c r="E631" s="50" t="s">
        <v>592</v>
      </c>
      <c r="F631" s="50" t="s">
        <v>73</v>
      </c>
      <c r="G631" s="50" t="s">
        <v>97</v>
      </c>
      <c r="H631" s="51">
        <v>4</v>
      </c>
      <c r="I631" s="52">
        <f>J631/H631</f>
        <v>12990</v>
      </c>
      <c r="J631" s="52">
        <v>51960</v>
      </c>
      <c r="K631" s="51">
        <v>3</v>
      </c>
      <c r="L631" s="53">
        <f>K631/H631*30</f>
        <v>22.5</v>
      </c>
    </row>
    <row r="632" spans="1:12" s="2" customFormat="1" ht="13.95" customHeight="1" outlineLevel="2" x14ac:dyDescent="0.2">
      <c r="A632" s="50" t="s">
        <v>70</v>
      </c>
      <c r="B632" s="50" t="s">
        <v>5</v>
      </c>
      <c r="C632" s="50" t="s">
        <v>45</v>
      </c>
      <c r="D632" s="50" t="s">
        <v>1129</v>
      </c>
      <c r="E632" s="50" t="s">
        <v>474</v>
      </c>
      <c r="F632" s="50" t="s">
        <v>374</v>
      </c>
      <c r="G632" s="50" t="s">
        <v>84</v>
      </c>
      <c r="H632" s="51">
        <v>5</v>
      </c>
      <c r="I632" s="52">
        <f>J632/H632</f>
        <v>9990</v>
      </c>
      <c r="J632" s="52">
        <v>49950</v>
      </c>
      <c r="K632" s="51">
        <v>3</v>
      </c>
      <c r="L632" s="53">
        <f>K632/H632*30</f>
        <v>18</v>
      </c>
    </row>
    <row r="633" spans="1:12" s="2" customFormat="1" ht="13.95" customHeight="1" outlineLevel="2" x14ac:dyDescent="0.2">
      <c r="A633" s="50" t="s">
        <v>70</v>
      </c>
      <c r="B633" s="50" t="s">
        <v>5</v>
      </c>
      <c r="C633" s="50" t="s">
        <v>45</v>
      </c>
      <c r="D633" s="50" t="s">
        <v>1134</v>
      </c>
      <c r="E633" s="50" t="s">
        <v>922</v>
      </c>
      <c r="F633" s="50" t="s">
        <v>73</v>
      </c>
      <c r="G633" s="50" t="s">
        <v>90</v>
      </c>
      <c r="H633" s="51">
        <v>4</v>
      </c>
      <c r="I633" s="52">
        <f>J633/H633</f>
        <v>11990</v>
      </c>
      <c r="J633" s="52">
        <v>47960</v>
      </c>
      <c r="K633" s="51">
        <v>36</v>
      </c>
      <c r="L633" s="53">
        <f>K633/H633*30</f>
        <v>270</v>
      </c>
    </row>
    <row r="634" spans="1:12" s="2" customFormat="1" ht="13.95" customHeight="1" outlineLevel="2" x14ac:dyDescent="0.2">
      <c r="A634" s="50" t="s">
        <v>70</v>
      </c>
      <c r="B634" s="50" t="s">
        <v>5</v>
      </c>
      <c r="C634" s="50" t="s">
        <v>45</v>
      </c>
      <c r="D634" s="50" t="s">
        <v>1135</v>
      </c>
      <c r="E634" s="50" t="s">
        <v>922</v>
      </c>
      <c r="F634" s="50" t="s">
        <v>177</v>
      </c>
      <c r="G634" s="50" t="s">
        <v>86</v>
      </c>
      <c r="H634" s="51">
        <v>4</v>
      </c>
      <c r="I634" s="52">
        <f>J634/H634</f>
        <v>11990</v>
      </c>
      <c r="J634" s="52">
        <v>47960</v>
      </c>
      <c r="K634" s="51">
        <v>19</v>
      </c>
      <c r="L634" s="53">
        <f>K634/H634*30</f>
        <v>142.5</v>
      </c>
    </row>
    <row r="635" spans="1:12" s="2" customFormat="1" ht="13.95" customHeight="1" outlineLevel="2" x14ac:dyDescent="0.2">
      <c r="A635" s="50" t="s">
        <v>70</v>
      </c>
      <c r="B635" s="50" t="s">
        <v>5</v>
      </c>
      <c r="C635" s="50" t="s">
        <v>45</v>
      </c>
      <c r="D635" s="50" t="s">
        <v>1136</v>
      </c>
      <c r="E635" s="50" t="s">
        <v>922</v>
      </c>
      <c r="F635" s="50" t="s">
        <v>106</v>
      </c>
      <c r="G635" s="50" t="s">
        <v>97</v>
      </c>
      <c r="H635" s="51">
        <v>4</v>
      </c>
      <c r="I635" s="52">
        <f>J635/H635</f>
        <v>11990</v>
      </c>
      <c r="J635" s="52">
        <v>47960</v>
      </c>
      <c r="K635" s="51">
        <v>2</v>
      </c>
      <c r="L635" s="53">
        <f>K635/H635*30</f>
        <v>15</v>
      </c>
    </row>
    <row r="636" spans="1:12" s="2" customFormat="1" ht="13.95" customHeight="1" outlineLevel="2" x14ac:dyDescent="0.2">
      <c r="A636" s="50" t="s">
        <v>70</v>
      </c>
      <c r="B636" s="50" t="s">
        <v>5</v>
      </c>
      <c r="C636" s="50" t="s">
        <v>45</v>
      </c>
      <c r="D636" s="50" t="s">
        <v>1198</v>
      </c>
      <c r="E636" s="50" t="s">
        <v>614</v>
      </c>
      <c r="F636" s="50" t="s">
        <v>137</v>
      </c>
      <c r="G636" s="50" t="s">
        <v>140</v>
      </c>
      <c r="H636" s="51">
        <v>2</v>
      </c>
      <c r="I636" s="52">
        <f>J636/H636</f>
        <v>19990</v>
      </c>
      <c r="J636" s="52">
        <v>39980</v>
      </c>
      <c r="K636" s="51">
        <v>0</v>
      </c>
      <c r="L636" s="53">
        <f>K636/H636*30</f>
        <v>0</v>
      </c>
    </row>
    <row r="637" spans="1:12" s="2" customFormat="1" ht="13.95" customHeight="1" outlineLevel="2" x14ac:dyDescent="0.2">
      <c r="A637" s="50" t="s">
        <v>70</v>
      </c>
      <c r="B637" s="50" t="s">
        <v>5</v>
      </c>
      <c r="C637" s="50" t="s">
        <v>45</v>
      </c>
      <c r="D637" s="50" t="s">
        <v>1199</v>
      </c>
      <c r="E637" s="50" t="s">
        <v>614</v>
      </c>
      <c r="F637" s="50" t="s">
        <v>137</v>
      </c>
      <c r="G637" s="50" t="s">
        <v>88</v>
      </c>
      <c r="H637" s="51">
        <v>2</v>
      </c>
      <c r="I637" s="52">
        <f>J637/H637</f>
        <v>19990</v>
      </c>
      <c r="J637" s="52">
        <v>39980</v>
      </c>
      <c r="K637" s="51">
        <v>21</v>
      </c>
      <c r="L637" s="53">
        <f>K637/H637*30</f>
        <v>315</v>
      </c>
    </row>
    <row r="638" spans="1:12" s="2" customFormat="1" ht="13.95" customHeight="1" outlineLevel="2" x14ac:dyDescent="0.2">
      <c r="A638" s="50" t="s">
        <v>70</v>
      </c>
      <c r="B638" s="50" t="s">
        <v>5</v>
      </c>
      <c r="C638" s="50" t="s">
        <v>45</v>
      </c>
      <c r="D638" s="50" t="s">
        <v>1200</v>
      </c>
      <c r="E638" s="50" t="s">
        <v>614</v>
      </c>
      <c r="F638" s="50" t="s">
        <v>137</v>
      </c>
      <c r="G638" s="50" t="s">
        <v>943</v>
      </c>
      <c r="H638" s="51">
        <v>2</v>
      </c>
      <c r="I638" s="52">
        <f>J638/H638</f>
        <v>19990</v>
      </c>
      <c r="J638" s="52">
        <v>39980</v>
      </c>
      <c r="K638" s="51">
        <v>6</v>
      </c>
      <c r="L638" s="53">
        <f>K638/H638*30</f>
        <v>90</v>
      </c>
    </row>
    <row r="639" spans="1:12" s="2" customFormat="1" ht="13.95" customHeight="1" outlineLevel="2" x14ac:dyDescent="0.2">
      <c r="A639" s="50" t="s">
        <v>70</v>
      </c>
      <c r="B639" s="50" t="s">
        <v>5</v>
      </c>
      <c r="C639" s="50" t="s">
        <v>45</v>
      </c>
      <c r="D639" s="50" t="s">
        <v>1206</v>
      </c>
      <c r="E639" s="50" t="s">
        <v>592</v>
      </c>
      <c r="F639" s="50" t="s">
        <v>177</v>
      </c>
      <c r="G639" s="50" t="s">
        <v>86</v>
      </c>
      <c r="H639" s="51">
        <v>3</v>
      </c>
      <c r="I639" s="52">
        <f>J639/H639</f>
        <v>12990</v>
      </c>
      <c r="J639" s="52">
        <v>38970</v>
      </c>
      <c r="K639" s="51">
        <v>38</v>
      </c>
      <c r="L639" s="53">
        <f>K639/H639*30</f>
        <v>380</v>
      </c>
    </row>
    <row r="640" spans="1:12" s="2" customFormat="1" ht="13.95" customHeight="1" outlineLevel="2" x14ac:dyDescent="0.2">
      <c r="A640" s="50" t="s">
        <v>70</v>
      </c>
      <c r="B640" s="50" t="s">
        <v>5</v>
      </c>
      <c r="C640" s="50" t="s">
        <v>45</v>
      </c>
      <c r="D640" s="50" t="s">
        <v>1207</v>
      </c>
      <c r="E640" s="50" t="s">
        <v>592</v>
      </c>
      <c r="F640" s="50" t="s">
        <v>374</v>
      </c>
      <c r="G640" s="50" t="s">
        <v>84</v>
      </c>
      <c r="H640" s="51">
        <v>3</v>
      </c>
      <c r="I640" s="52">
        <f>J640/H640</f>
        <v>12990</v>
      </c>
      <c r="J640" s="52">
        <v>38970</v>
      </c>
      <c r="K640" s="51">
        <v>1</v>
      </c>
      <c r="L640" s="53">
        <f>K640/H640*30</f>
        <v>10</v>
      </c>
    </row>
    <row r="641" spans="1:12" s="2" customFormat="1" ht="13.95" customHeight="1" outlineLevel="2" x14ac:dyDescent="0.2">
      <c r="A641" s="50" t="s">
        <v>70</v>
      </c>
      <c r="B641" s="50" t="s">
        <v>5</v>
      </c>
      <c r="C641" s="50" t="s">
        <v>45</v>
      </c>
      <c r="D641" s="50" t="s">
        <v>1208</v>
      </c>
      <c r="E641" s="50" t="s">
        <v>614</v>
      </c>
      <c r="F641" s="50" t="s">
        <v>73</v>
      </c>
      <c r="G641" s="50" t="s">
        <v>140</v>
      </c>
      <c r="H641" s="51">
        <v>2</v>
      </c>
      <c r="I641" s="52">
        <f>J641/H641</f>
        <v>18990</v>
      </c>
      <c r="J641" s="52">
        <v>37980</v>
      </c>
      <c r="K641" s="51">
        <v>19</v>
      </c>
      <c r="L641" s="53">
        <f>K641/H641*30</f>
        <v>285</v>
      </c>
    </row>
    <row r="642" spans="1:12" s="2" customFormat="1" ht="13.95" customHeight="1" outlineLevel="2" x14ac:dyDescent="0.2">
      <c r="A642" s="50" t="s">
        <v>70</v>
      </c>
      <c r="B642" s="50" t="s">
        <v>5</v>
      </c>
      <c r="C642" s="50" t="s">
        <v>45</v>
      </c>
      <c r="D642" s="50" t="s">
        <v>1209</v>
      </c>
      <c r="E642" s="50" t="s">
        <v>614</v>
      </c>
      <c r="F642" s="50" t="s">
        <v>106</v>
      </c>
      <c r="G642" s="50" t="s">
        <v>330</v>
      </c>
      <c r="H642" s="51">
        <v>2</v>
      </c>
      <c r="I642" s="52">
        <f>J642/H642</f>
        <v>18990</v>
      </c>
      <c r="J642" s="52">
        <v>37980</v>
      </c>
      <c r="K642" s="51">
        <v>24</v>
      </c>
      <c r="L642" s="53">
        <f>K642/H642*30</f>
        <v>360</v>
      </c>
    </row>
    <row r="643" spans="1:12" s="2" customFormat="1" ht="13.95" customHeight="1" outlineLevel="2" x14ac:dyDescent="0.2">
      <c r="A643" s="50" t="s">
        <v>70</v>
      </c>
      <c r="B643" s="50" t="s">
        <v>5</v>
      </c>
      <c r="C643" s="50" t="s">
        <v>45</v>
      </c>
      <c r="D643" s="50" t="s">
        <v>1216</v>
      </c>
      <c r="E643" s="50" t="s">
        <v>922</v>
      </c>
      <c r="F643" s="50" t="s">
        <v>106</v>
      </c>
      <c r="G643" s="50" t="s">
        <v>86</v>
      </c>
      <c r="H643" s="51">
        <v>3</v>
      </c>
      <c r="I643" s="52">
        <f>J643/H643</f>
        <v>11990</v>
      </c>
      <c r="J643" s="52">
        <v>35970</v>
      </c>
      <c r="K643" s="51">
        <v>1</v>
      </c>
      <c r="L643" s="53">
        <f>K643/H643*30</f>
        <v>10</v>
      </c>
    </row>
    <row r="644" spans="1:12" s="2" customFormat="1" ht="13.95" customHeight="1" outlineLevel="2" x14ac:dyDescent="0.2">
      <c r="A644" s="50" t="s">
        <v>70</v>
      </c>
      <c r="B644" s="50" t="s">
        <v>5</v>
      </c>
      <c r="C644" s="50" t="s">
        <v>45</v>
      </c>
      <c r="D644" s="50" t="s">
        <v>1217</v>
      </c>
      <c r="E644" s="50" t="s">
        <v>922</v>
      </c>
      <c r="F644" s="50" t="s">
        <v>106</v>
      </c>
      <c r="G644" s="50" t="s">
        <v>112</v>
      </c>
      <c r="H644" s="51">
        <v>3</v>
      </c>
      <c r="I644" s="52">
        <f>J644/H644</f>
        <v>11990</v>
      </c>
      <c r="J644" s="52">
        <v>35970</v>
      </c>
      <c r="K644" s="51">
        <v>1</v>
      </c>
      <c r="L644" s="53">
        <f>K644/H644*30</f>
        <v>10</v>
      </c>
    </row>
    <row r="645" spans="1:12" s="2" customFormat="1" ht="13.95" customHeight="1" outlineLevel="2" x14ac:dyDescent="0.2">
      <c r="A645" s="50" t="s">
        <v>70</v>
      </c>
      <c r="B645" s="50" t="s">
        <v>5</v>
      </c>
      <c r="C645" s="50" t="s">
        <v>45</v>
      </c>
      <c r="D645" s="50" t="s">
        <v>1225</v>
      </c>
      <c r="E645" s="50" t="s">
        <v>931</v>
      </c>
      <c r="F645" s="50" t="s">
        <v>73</v>
      </c>
      <c r="G645" s="50" t="s">
        <v>86</v>
      </c>
      <c r="H645" s="51">
        <v>1</v>
      </c>
      <c r="I645" s="52">
        <f>J645/H645</f>
        <v>34990</v>
      </c>
      <c r="J645" s="52">
        <v>34990</v>
      </c>
      <c r="K645" s="51">
        <v>14</v>
      </c>
      <c r="L645" s="53">
        <f>K645/H645*30</f>
        <v>420</v>
      </c>
    </row>
    <row r="646" spans="1:12" s="2" customFormat="1" ht="13.95" customHeight="1" outlineLevel="2" x14ac:dyDescent="0.2">
      <c r="A646" s="50" t="s">
        <v>70</v>
      </c>
      <c r="B646" s="50" t="s">
        <v>5</v>
      </c>
      <c r="C646" s="50" t="s">
        <v>45</v>
      </c>
      <c r="D646" s="50" t="s">
        <v>1226</v>
      </c>
      <c r="E646" s="50" t="s">
        <v>931</v>
      </c>
      <c r="F646" s="50" t="s">
        <v>73</v>
      </c>
      <c r="G646" s="50" t="s">
        <v>74</v>
      </c>
      <c r="H646" s="51">
        <v>1</v>
      </c>
      <c r="I646" s="52">
        <f>J646/H646</f>
        <v>34990</v>
      </c>
      <c r="J646" s="52">
        <v>34990</v>
      </c>
      <c r="K646" s="51">
        <v>12</v>
      </c>
      <c r="L646" s="53">
        <f>K646/H646*30</f>
        <v>360</v>
      </c>
    </row>
    <row r="647" spans="1:12" s="2" customFormat="1" ht="13.95" customHeight="1" outlineLevel="2" x14ac:dyDescent="0.2">
      <c r="A647" s="50" t="s">
        <v>70</v>
      </c>
      <c r="B647" s="50" t="s">
        <v>5</v>
      </c>
      <c r="C647" s="50" t="s">
        <v>45</v>
      </c>
      <c r="D647" s="50" t="s">
        <v>1286</v>
      </c>
      <c r="E647" s="50" t="s">
        <v>474</v>
      </c>
      <c r="F647" s="50" t="s">
        <v>155</v>
      </c>
      <c r="G647" s="50" t="s">
        <v>1287</v>
      </c>
      <c r="H647" s="51">
        <v>3</v>
      </c>
      <c r="I647" s="52">
        <f>J647/H647</f>
        <v>9990</v>
      </c>
      <c r="J647" s="52">
        <v>29970</v>
      </c>
      <c r="K647" s="51">
        <v>2</v>
      </c>
      <c r="L647" s="53">
        <f>K647/H647*30</f>
        <v>20</v>
      </c>
    </row>
    <row r="648" spans="1:12" s="2" customFormat="1" ht="13.95" customHeight="1" outlineLevel="2" x14ac:dyDescent="0.2">
      <c r="A648" s="50" t="s">
        <v>70</v>
      </c>
      <c r="B648" s="50" t="s">
        <v>5</v>
      </c>
      <c r="C648" s="50" t="s">
        <v>45</v>
      </c>
      <c r="D648" s="50" t="s">
        <v>1288</v>
      </c>
      <c r="E648" s="50" t="s">
        <v>592</v>
      </c>
      <c r="F648" s="50" t="s">
        <v>137</v>
      </c>
      <c r="G648" s="50" t="s">
        <v>86</v>
      </c>
      <c r="H648" s="51">
        <v>2</v>
      </c>
      <c r="I648" s="52">
        <f>J648/H648</f>
        <v>13990</v>
      </c>
      <c r="J648" s="52">
        <v>27980</v>
      </c>
      <c r="K648" s="51">
        <v>33</v>
      </c>
      <c r="L648" s="53">
        <f>K648/H648*30</f>
        <v>495</v>
      </c>
    </row>
    <row r="649" spans="1:12" s="2" customFormat="1" ht="13.95" customHeight="1" outlineLevel="2" x14ac:dyDescent="0.2">
      <c r="A649" s="50" t="s">
        <v>70</v>
      </c>
      <c r="B649" s="50" t="s">
        <v>5</v>
      </c>
      <c r="C649" s="50" t="s">
        <v>45</v>
      </c>
      <c r="D649" s="50" t="s">
        <v>1291</v>
      </c>
      <c r="E649" s="50" t="s">
        <v>356</v>
      </c>
      <c r="F649" s="50" t="s">
        <v>73</v>
      </c>
      <c r="G649" s="50" t="s">
        <v>97</v>
      </c>
      <c r="H649" s="51">
        <v>1</v>
      </c>
      <c r="I649" s="52">
        <f>J649/H649</f>
        <v>26990</v>
      </c>
      <c r="J649" s="52">
        <v>26990</v>
      </c>
      <c r="K649" s="51">
        <v>26</v>
      </c>
      <c r="L649" s="53">
        <f>K649/H649*30</f>
        <v>780</v>
      </c>
    </row>
    <row r="650" spans="1:12" s="2" customFormat="1" ht="13.95" customHeight="1" outlineLevel="2" x14ac:dyDescent="0.2">
      <c r="A650" s="50" t="s">
        <v>70</v>
      </c>
      <c r="B650" s="50" t="s">
        <v>5</v>
      </c>
      <c r="C650" s="50" t="s">
        <v>45</v>
      </c>
      <c r="D650" s="50" t="s">
        <v>1292</v>
      </c>
      <c r="E650" s="50" t="s">
        <v>356</v>
      </c>
      <c r="F650" s="50" t="s">
        <v>73</v>
      </c>
      <c r="G650" s="50" t="s">
        <v>74</v>
      </c>
      <c r="H650" s="51">
        <v>1</v>
      </c>
      <c r="I650" s="52">
        <f>J650/H650</f>
        <v>26990</v>
      </c>
      <c r="J650" s="52">
        <v>26990</v>
      </c>
      <c r="K650" s="51">
        <v>23</v>
      </c>
      <c r="L650" s="53">
        <f>K650/H650*30</f>
        <v>690</v>
      </c>
    </row>
    <row r="651" spans="1:12" s="2" customFormat="1" ht="13.95" customHeight="1" outlineLevel="2" x14ac:dyDescent="0.2">
      <c r="A651" s="50" t="s">
        <v>70</v>
      </c>
      <c r="B651" s="50" t="s">
        <v>5</v>
      </c>
      <c r="C651" s="50" t="s">
        <v>45</v>
      </c>
      <c r="D651" s="50" t="s">
        <v>1293</v>
      </c>
      <c r="E651" s="50" t="s">
        <v>356</v>
      </c>
      <c r="F651" s="50" t="s">
        <v>374</v>
      </c>
      <c r="G651" s="50" t="s">
        <v>84</v>
      </c>
      <c r="H651" s="51">
        <v>1</v>
      </c>
      <c r="I651" s="52">
        <f>J651/H651</f>
        <v>26990</v>
      </c>
      <c r="J651" s="52">
        <v>26990</v>
      </c>
      <c r="K651" s="51">
        <v>2</v>
      </c>
      <c r="L651" s="53">
        <f>K651/H651*30</f>
        <v>60</v>
      </c>
    </row>
    <row r="652" spans="1:12" s="2" customFormat="1" ht="13.95" customHeight="1" outlineLevel="2" x14ac:dyDescent="0.2">
      <c r="A652" s="50" t="s">
        <v>70</v>
      </c>
      <c r="B652" s="50" t="s">
        <v>5</v>
      </c>
      <c r="C652" s="50" t="s">
        <v>45</v>
      </c>
      <c r="D652" s="50" t="s">
        <v>1294</v>
      </c>
      <c r="E652" s="50" t="s">
        <v>356</v>
      </c>
      <c r="F652" s="50" t="s">
        <v>106</v>
      </c>
      <c r="G652" s="50" t="s">
        <v>84</v>
      </c>
      <c r="H652" s="51">
        <v>1</v>
      </c>
      <c r="I652" s="52">
        <f>J652/H652</f>
        <v>26990</v>
      </c>
      <c r="J652" s="52">
        <v>26990</v>
      </c>
      <c r="K652" s="51">
        <v>0</v>
      </c>
      <c r="L652" s="53">
        <f>K652/H652*30</f>
        <v>0</v>
      </c>
    </row>
    <row r="653" spans="1:12" s="2" customFormat="1" ht="13.95" customHeight="1" outlineLevel="2" x14ac:dyDescent="0.2">
      <c r="A653" s="50" t="s">
        <v>70</v>
      </c>
      <c r="B653" s="50" t="s">
        <v>5</v>
      </c>
      <c r="C653" s="50" t="s">
        <v>45</v>
      </c>
      <c r="D653" s="50" t="s">
        <v>1295</v>
      </c>
      <c r="E653" s="50" t="s">
        <v>356</v>
      </c>
      <c r="F653" s="50" t="s">
        <v>106</v>
      </c>
      <c r="G653" s="50" t="s">
        <v>330</v>
      </c>
      <c r="H653" s="51">
        <v>1</v>
      </c>
      <c r="I653" s="52">
        <f>J653/H653</f>
        <v>26990</v>
      </c>
      <c r="J653" s="52">
        <v>26990</v>
      </c>
      <c r="K653" s="51">
        <v>0</v>
      </c>
      <c r="L653" s="53">
        <f>K653/H653*30</f>
        <v>0</v>
      </c>
    </row>
    <row r="654" spans="1:12" s="2" customFormat="1" ht="13.95" customHeight="1" outlineLevel="2" x14ac:dyDescent="0.2">
      <c r="A654" s="50" t="s">
        <v>70</v>
      </c>
      <c r="B654" s="50" t="s">
        <v>5</v>
      </c>
      <c r="C654" s="50" t="s">
        <v>45</v>
      </c>
      <c r="D654" s="50" t="s">
        <v>1307</v>
      </c>
      <c r="E654" s="50" t="s">
        <v>592</v>
      </c>
      <c r="F654" s="50" t="s">
        <v>73</v>
      </c>
      <c r="G654" s="50" t="s">
        <v>140</v>
      </c>
      <c r="H654" s="51">
        <v>2</v>
      </c>
      <c r="I654" s="52">
        <f>J654/H654</f>
        <v>12990</v>
      </c>
      <c r="J654" s="52">
        <v>25980</v>
      </c>
      <c r="K654" s="51">
        <v>3</v>
      </c>
      <c r="L654" s="53">
        <f>K654/H654*30</f>
        <v>45</v>
      </c>
    </row>
    <row r="655" spans="1:12" s="2" customFormat="1" ht="13.95" customHeight="1" outlineLevel="2" x14ac:dyDescent="0.2">
      <c r="A655" s="50" t="s">
        <v>70</v>
      </c>
      <c r="B655" s="50" t="s">
        <v>5</v>
      </c>
      <c r="C655" s="50" t="s">
        <v>45</v>
      </c>
      <c r="D655" s="50" t="s">
        <v>1322</v>
      </c>
      <c r="E655" s="50" t="s">
        <v>922</v>
      </c>
      <c r="F655" s="50" t="s">
        <v>73</v>
      </c>
      <c r="G655" s="50" t="s">
        <v>86</v>
      </c>
      <c r="H655" s="51">
        <v>2</v>
      </c>
      <c r="I655" s="52">
        <f>J655/H655</f>
        <v>11990</v>
      </c>
      <c r="J655" s="52">
        <v>23980</v>
      </c>
      <c r="K655" s="51">
        <v>40</v>
      </c>
      <c r="L655" s="53">
        <f>K655/H655*30</f>
        <v>600</v>
      </c>
    </row>
    <row r="656" spans="1:12" s="2" customFormat="1" ht="13.95" customHeight="1" outlineLevel="2" x14ac:dyDescent="0.2">
      <c r="A656" s="50" t="s">
        <v>70</v>
      </c>
      <c r="B656" s="50" t="s">
        <v>5</v>
      </c>
      <c r="C656" s="50" t="s">
        <v>45</v>
      </c>
      <c r="D656" s="50" t="s">
        <v>1323</v>
      </c>
      <c r="E656" s="50" t="s">
        <v>922</v>
      </c>
      <c r="F656" s="50" t="s">
        <v>73</v>
      </c>
      <c r="G656" s="50" t="s">
        <v>84</v>
      </c>
      <c r="H656" s="51">
        <v>2</v>
      </c>
      <c r="I656" s="52">
        <f>J656/H656</f>
        <v>11990</v>
      </c>
      <c r="J656" s="52">
        <v>23980</v>
      </c>
      <c r="K656" s="51">
        <v>63</v>
      </c>
      <c r="L656" s="53">
        <f>K656/H656*30</f>
        <v>945</v>
      </c>
    </row>
    <row r="657" spans="1:12" s="2" customFormat="1" ht="13.95" customHeight="1" outlineLevel="2" x14ac:dyDescent="0.2">
      <c r="A657" s="50" t="s">
        <v>70</v>
      </c>
      <c r="B657" s="50" t="s">
        <v>5</v>
      </c>
      <c r="C657" s="50" t="s">
        <v>45</v>
      </c>
      <c r="D657" s="50" t="s">
        <v>1359</v>
      </c>
      <c r="E657" s="50" t="s">
        <v>614</v>
      </c>
      <c r="F657" s="50" t="s">
        <v>137</v>
      </c>
      <c r="G657" s="50" t="s">
        <v>330</v>
      </c>
      <c r="H657" s="51">
        <v>1</v>
      </c>
      <c r="I657" s="52">
        <f>J657/H657</f>
        <v>19990</v>
      </c>
      <c r="J657" s="52">
        <v>19990</v>
      </c>
      <c r="K657" s="51">
        <v>0</v>
      </c>
      <c r="L657" s="53">
        <f>K657/H657*30</f>
        <v>0</v>
      </c>
    </row>
    <row r="658" spans="1:12" s="2" customFormat="1" ht="13.95" customHeight="1" outlineLevel="2" x14ac:dyDescent="0.2">
      <c r="A658" s="50" t="s">
        <v>70</v>
      </c>
      <c r="B658" s="50" t="s">
        <v>5</v>
      </c>
      <c r="C658" s="50" t="s">
        <v>45</v>
      </c>
      <c r="D658" s="50" t="s">
        <v>1360</v>
      </c>
      <c r="E658" s="50" t="s">
        <v>474</v>
      </c>
      <c r="F658" s="50" t="s">
        <v>155</v>
      </c>
      <c r="G658" s="50" t="s">
        <v>512</v>
      </c>
      <c r="H658" s="51">
        <v>2</v>
      </c>
      <c r="I658" s="52">
        <f>J658/H658</f>
        <v>9990</v>
      </c>
      <c r="J658" s="52">
        <v>19980</v>
      </c>
      <c r="K658" s="51">
        <v>0</v>
      </c>
      <c r="L658" s="53">
        <f>K658/H658*30</f>
        <v>0</v>
      </c>
    </row>
    <row r="659" spans="1:12" s="2" customFormat="1" ht="13.95" customHeight="1" outlineLevel="2" x14ac:dyDescent="0.2">
      <c r="A659" s="50" t="s">
        <v>70</v>
      </c>
      <c r="B659" s="50" t="s">
        <v>5</v>
      </c>
      <c r="C659" s="50" t="s">
        <v>45</v>
      </c>
      <c r="D659" s="50" t="s">
        <v>1362</v>
      </c>
      <c r="E659" s="50" t="s">
        <v>614</v>
      </c>
      <c r="F659" s="50" t="s">
        <v>106</v>
      </c>
      <c r="G659" s="50" t="s">
        <v>140</v>
      </c>
      <c r="H659" s="51">
        <v>1</v>
      </c>
      <c r="I659" s="52">
        <f>J659/H659</f>
        <v>18990</v>
      </c>
      <c r="J659" s="52">
        <v>18990</v>
      </c>
      <c r="K659" s="51">
        <v>0</v>
      </c>
      <c r="L659" s="53">
        <f>K659/H659*30</f>
        <v>0</v>
      </c>
    </row>
    <row r="660" spans="1:12" s="2" customFormat="1" ht="13.95" customHeight="1" outlineLevel="2" x14ac:dyDescent="0.2">
      <c r="A660" s="50" t="s">
        <v>70</v>
      </c>
      <c r="B660" s="50" t="s">
        <v>5</v>
      </c>
      <c r="C660" s="50" t="s">
        <v>45</v>
      </c>
      <c r="D660" s="50" t="s">
        <v>1363</v>
      </c>
      <c r="E660" s="50" t="s">
        <v>614</v>
      </c>
      <c r="F660" s="50" t="s">
        <v>106</v>
      </c>
      <c r="G660" s="50" t="s">
        <v>86</v>
      </c>
      <c r="H660" s="51">
        <v>1</v>
      </c>
      <c r="I660" s="52">
        <f>J660/H660</f>
        <v>18990</v>
      </c>
      <c r="J660" s="52">
        <v>18990</v>
      </c>
      <c r="K660" s="51">
        <v>1</v>
      </c>
      <c r="L660" s="53">
        <f>K660/H660*30</f>
        <v>30</v>
      </c>
    </row>
    <row r="661" spans="1:12" s="2" customFormat="1" ht="13.95" customHeight="1" outlineLevel="2" x14ac:dyDescent="0.2">
      <c r="A661" s="50" t="s">
        <v>70</v>
      </c>
      <c r="B661" s="50" t="s">
        <v>5</v>
      </c>
      <c r="C661" s="50" t="s">
        <v>45</v>
      </c>
      <c r="D661" s="50" t="s">
        <v>1364</v>
      </c>
      <c r="E661" s="50" t="s">
        <v>614</v>
      </c>
      <c r="F661" s="50" t="s">
        <v>106</v>
      </c>
      <c r="G661" s="50" t="s">
        <v>112</v>
      </c>
      <c r="H661" s="51">
        <v>1</v>
      </c>
      <c r="I661" s="52">
        <f>J661/H661</f>
        <v>18990</v>
      </c>
      <c r="J661" s="52">
        <v>18990</v>
      </c>
      <c r="K661" s="51">
        <v>13</v>
      </c>
      <c r="L661" s="53">
        <f>K661/H661*30</f>
        <v>390</v>
      </c>
    </row>
    <row r="662" spans="1:12" s="2" customFormat="1" ht="13.95" customHeight="1" outlineLevel="2" x14ac:dyDescent="0.2">
      <c r="A662" s="50" t="s">
        <v>70</v>
      </c>
      <c r="B662" s="50" t="s">
        <v>5</v>
      </c>
      <c r="C662" s="50" t="s">
        <v>45</v>
      </c>
      <c r="D662" s="50" t="s">
        <v>1417</v>
      </c>
      <c r="E662" s="50" t="s">
        <v>592</v>
      </c>
      <c r="F662" s="50" t="s">
        <v>73</v>
      </c>
      <c r="G662" s="50" t="s">
        <v>330</v>
      </c>
      <c r="H662" s="51">
        <v>1</v>
      </c>
      <c r="I662" s="52">
        <f>J662/H662</f>
        <v>12990</v>
      </c>
      <c r="J662" s="52">
        <v>12990</v>
      </c>
      <c r="K662" s="51">
        <v>0</v>
      </c>
      <c r="L662" s="53">
        <f>K662/H662*30</f>
        <v>0</v>
      </c>
    </row>
    <row r="663" spans="1:12" s="2" customFormat="1" ht="13.95" customHeight="1" outlineLevel="2" x14ac:dyDescent="0.2">
      <c r="A663" s="50" t="s">
        <v>70</v>
      </c>
      <c r="B663" s="50" t="s">
        <v>5</v>
      </c>
      <c r="C663" s="50" t="s">
        <v>45</v>
      </c>
      <c r="D663" s="50" t="s">
        <v>1422</v>
      </c>
      <c r="E663" s="50" t="s">
        <v>474</v>
      </c>
      <c r="F663" s="50" t="s">
        <v>155</v>
      </c>
      <c r="G663" s="50" t="s">
        <v>156</v>
      </c>
      <c r="H663" s="51">
        <v>1</v>
      </c>
      <c r="I663" s="52">
        <f>J663/H663</f>
        <v>9990</v>
      </c>
      <c r="J663" s="52">
        <v>9990</v>
      </c>
      <c r="K663" s="51">
        <v>25</v>
      </c>
      <c r="L663" s="53">
        <f>K663/H663*30</f>
        <v>750</v>
      </c>
    </row>
    <row r="664" spans="1:12" s="2" customFormat="1" ht="13.95" customHeight="1" outlineLevel="2" x14ac:dyDescent="0.2">
      <c r="A664" s="50" t="s">
        <v>70</v>
      </c>
      <c r="B664" s="50" t="s">
        <v>5</v>
      </c>
      <c r="C664" s="50" t="s">
        <v>45</v>
      </c>
      <c r="D664" s="50" t="s">
        <v>1428</v>
      </c>
      <c r="E664" s="50" t="s">
        <v>1429</v>
      </c>
      <c r="F664" s="50" t="s">
        <v>73</v>
      </c>
      <c r="G664" s="50" t="s">
        <v>86</v>
      </c>
      <c r="H664" s="51">
        <v>1</v>
      </c>
      <c r="I664" s="52">
        <f>J664/H664</f>
        <v>7990</v>
      </c>
      <c r="J664" s="52">
        <v>7990</v>
      </c>
      <c r="K664" s="51">
        <v>1</v>
      </c>
      <c r="L664" s="53">
        <f>K664/H664*30</f>
        <v>30</v>
      </c>
    </row>
    <row r="665" spans="1:12" s="2" customFormat="1" ht="13.95" customHeight="1" outlineLevel="2" x14ac:dyDescent="0.2">
      <c r="A665" s="50" t="s">
        <v>70</v>
      </c>
      <c r="B665" s="50" t="s">
        <v>5</v>
      </c>
      <c r="C665" s="50" t="s">
        <v>45</v>
      </c>
      <c r="D665" s="50" t="s">
        <v>1432</v>
      </c>
      <c r="E665" s="50" t="s">
        <v>1433</v>
      </c>
      <c r="F665" s="50" t="s">
        <v>73</v>
      </c>
      <c r="G665" s="50" t="s">
        <v>86</v>
      </c>
      <c r="H665" s="51">
        <v>1</v>
      </c>
      <c r="I665" s="52">
        <f>J665/H665</f>
        <v>6990</v>
      </c>
      <c r="J665" s="52">
        <v>6990</v>
      </c>
      <c r="K665" s="51">
        <v>0</v>
      </c>
      <c r="L665" s="53">
        <f>K665/H665*30</f>
        <v>0</v>
      </c>
    </row>
    <row r="666" spans="1:12" s="2" customFormat="1" ht="13.95" customHeight="1" outlineLevel="1" x14ac:dyDescent="0.2">
      <c r="A666" s="50"/>
      <c r="B666" s="50"/>
      <c r="C666" s="58" t="s">
        <v>1465</v>
      </c>
      <c r="D666" s="50"/>
      <c r="E666" s="50"/>
      <c r="F666" s="50"/>
      <c r="G666" s="50"/>
      <c r="H666" s="51">
        <f>SUBTOTAL(9,H567:H665)</f>
        <v>441</v>
      </c>
      <c r="I666" s="52"/>
      <c r="J666" s="52">
        <f>SUBTOTAL(9,J567:J665)</f>
        <v>8371693</v>
      </c>
      <c r="K666" s="51"/>
      <c r="L666" s="53"/>
    </row>
    <row r="667" spans="1:12" s="2" customFormat="1" ht="13.95" customHeight="1" outlineLevel="2" x14ac:dyDescent="0.2">
      <c r="A667" s="50" t="s">
        <v>70</v>
      </c>
      <c r="B667" s="50" t="s">
        <v>4</v>
      </c>
      <c r="C667" s="50" t="s">
        <v>46</v>
      </c>
      <c r="D667" s="50" t="s">
        <v>104</v>
      </c>
      <c r="E667" s="50" t="s">
        <v>105</v>
      </c>
      <c r="F667" s="50" t="s">
        <v>106</v>
      </c>
      <c r="G667" s="50" t="s">
        <v>88</v>
      </c>
      <c r="H667" s="51">
        <v>4</v>
      </c>
      <c r="I667" s="52">
        <f>J667/H667</f>
        <v>189990</v>
      </c>
      <c r="J667" s="52">
        <v>759960</v>
      </c>
      <c r="K667" s="51">
        <v>3</v>
      </c>
      <c r="L667" s="53">
        <f>K667/H667*30</f>
        <v>22.5</v>
      </c>
    </row>
    <row r="668" spans="1:12" s="2" customFormat="1" ht="13.95" customHeight="1" outlineLevel="2" x14ac:dyDescent="0.2">
      <c r="A668" s="50" t="s">
        <v>70</v>
      </c>
      <c r="B668" s="50" t="s">
        <v>4</v>
      </c>
      <c r="C668" s="50" t="s">
        <v>46</v>
      </c>
      <c r="D668" s="50" t="s">
        <v>126</v>
      </c>
      <c r="E668" s="50" t="s">
        <v>127</v>
      </c>
      <c r="F668" s="50" t="s">
        <v>128</v>
      </c>
      <c r="G668" s="50" t="s">
        <v>129</v>
      </c>
      <c r="H668" s="51">
        <v>6</v>
      </c>
      <c r="I668" s="52">
        <f>J668/H668</f>
        <v>94990</v>
      </c>
      <c r="J668" s="52">
        <v>569940</v>
      </c>
      <c r="K668" s="51">
        <v>4</v>
      </c>
      <c r="L668" s="53">
        <f>K668/H668*30</f>
        <v>20</v>
      </c>
    </row>
    <row r="669" spans="1:12" s="2" customFormat="1" ht="13.95" customHeight="1" outlineLevel="2" x14ac:dyDescent="0.2">
      <c r="A669" s="50" t="s">
        <v>70</v>
      </c>
      <c r="B669" s="50" t="s">
        <v>4</v>
      </c>
      <c r="C669" s="50" t="s">
        <v>46</v>
      </c>
      <c r="D669" s="50" t="s">
        <v>130</v>
      </c>
      <c r="E669" s="50" t="s">
        <v>127</v>
      </c>
      <c r="F669" s="50" t="s">
        <v>106</v>
      </c>
      <c r="G669" s="50" t="s">
        <v>86</v>
      </c>
      <c r="H669" s="51">
        <v>6</v>
      </c>
      <c r="I669" s="52">
        <f>J669/H669</f>
        <v>94990</v>
      </c>
      <c r="J669" s="52">
        <v>569940</v>
      </c>
      <c r="K669" s="51">
        <v>12</v>
      </c>
      <c r="L669" s="53">
        <f>K669/H669*30</f>
        <v>60</v>
      </c>
    </row>
    <row r="670" spans="1:12" s="2" customFormat="1" ht="13.95" customHeight="1" outlineLevel="2" x14ac:dyDescent="0.2">
      <c r="A670" s="50" t="s">
        <v>70</v>
      </c>
      <c r="B670" s="50" t="s">
        <v>4</v>
      </c>
      <c r="C670" s="50" t="s">
        <v>46</v>
      </c>
      <c r="D670" s="50" t="s">
        <v>138</v>
      </c>
      <c r="E670" s="50" t="s">
        <v>139</v>
      </c>
      <c r="F670" s="50" t="s">
        <v>106</v>
      </c>
      <c r="G670" s="50" t="s">
        <v>140</v>
      </c>
      <c r="H670" s="51">
        <v>4</v>
      </c>
      <c r="I670" s="52">
        <f>J670/H670</f>
        <v>124990</v>
      </c>
      <c r="J670" s="52">
        <v>499960</v>
      </c>
      <c r="K670" s="51">
        <v>1</v>
      </c>
      <c r="L670" s="53">
        <f>K670/H670*30</f>
        <v>7.5</v>
      </c>
    </row>
    <row r="671" spans="1:12" s="2" customFormat="1" ht="13.95" customHeight="1" outlineLevel="2" x14ac:dyDescent="0.2">
      <c r="A671" s="50" t="s">
        <v>70</v>
      </c>
      <c r="B671" s="50" t="s">
        <v>4</v>
      </c>
      <c r="C671" s="50" t="s">
        <v>46</v>
      </c>
      <c r="D671" s="50" t="s">
        <v>141</v>
      </c>
      <c r="E671" s="50" t="s">
        <v>139</v>
      </c>
      <c r="F671" s="50" t="s">
        <v>106</v>
      </c>
      <c r="G671" s="50" t="s">
        <v>74</v>
      </c>
      <c r="H671" s="51">
        <v>4</v>
      </c>
      <c r="I671" s="52">
        <f>J671/H671</f>
        <v>124990</v>
      </c>
      <c r="J671" s="52">
        <v>499960</v>
      </c>
      <c r="K671" s="51">
        <v>7</v>
      </c>
      <c r="L671" s="53">
        <f>K671/H671*30</f>
        <v>52.5</v>
      </c>
    </row>
    <row r="672" spans="1:12" s="2" customFormat="1" ht="13.95" customHeight="1" outlineLevel="2" x14ac:dyDescent="0.2">
      <c r="A672" s="50" t="s">
        <v>70</v>
      </c>
      <c r="B672" s="50" t="s">
        <v>4</v>
      </c>
      <c r="C672" s="50" t="s">
        <v>46</v>
      </c>
      <c r="D672" s="50" t="s">
        <v>163</v>
      </c>
      <c r="E672" s="50" t="s">
        <v>164</v>
      </c>
      <c r="F672" s="50" t="s">
        <v>106</v>
      </c>
      <c r="G672" s="50" t="s">
        <v>112</v>
      </c>
      <c r="H672" s="51">
        <v>4</v>
      </c>
      <c r="I672" s="52">
        <f>J672/H672</f>
        <v>112990</v>
      </c>
      <c r="J672" s="52">
        <v>451960</v>
      </c>
      <c r="K672" s="51">
        <v>10</v>
      </c>
      <c r="L672" s="53">
        <f>K672/H672*30</f>
        <v>75</v>
      </c>
    </row>
    <row r="673" spans="1:12" s="2" customFormat="1" ht="13.95" customHeight="1" outlineLevel="2" x14ac:dyDescent="0.2">
      <c r="A673" s="50" t="s">
        <v>70</v>
      </c>
      <c r="B673" s="50" t="s">
        <v>4</v>
      </c>
      <c r="C673" s="50" t="s">
        <v>46</v>
      </c>
      <c r="D673" s="50" t="s">
        <v>178</v>
      </c>
      <c r="E673" s="50" t="s">
        <v>179</v>
      </c>
      <c r="F673" s="50" t="s">
        <v>73</v>
      </c>
      <c r="G673" s="50" t="s">
        <v>86</v>
      </c>
      <c r="H673" s="51">
        <v>3</v>
      </c>
      <c r="I673" s="52">
        <f>J673/H673</f>
        <v>134990</v>
      </c>
      <c r="J673" s="52">
        <v>404970</v>
      </c>
      <c r="K673" s="51">
        <v>11</v>
      </c>
      <c r="L673" s="53">
        <f>K673/H673*30</f>
        <v>110</v>
      </c>
    </row>
    <row r="674" spans="1:12" s="2" customFormat="1" ht="13.95" customHeight="1" outlineLevel="2" x14ac:dyDescent="0.2">
      <c r="A674" s="50" t="s">
        <v>70</v>
      </c>
      <c r="B674" s="50" t="s">
        <v>4</v>
      </c>
      <c r="C674" s="50" t="s">
        <v>46</v>
      </c>
      <c r="D674" s="50" t="s">
        <v>213</v>
      </c>
      <c r="E674" s="50" t="s">
        <v>127</v>
      </c>
      <c r="F674" s="50" t="s">
        <v>137</v>
      </c>
      <c r="G674" s="50" t="s">
        <v>88</v>
      </c>
      <c r="H674" s="51">
        <v>4</v>
      </c>
      <c r="I674" s="52">
        <f>J674/H674</f>
        <v>96990</v>
      </c>
      <c r="J674" s="52">
        <v>387960</v>
      </c>
      <c r="K674" s="51">
        <v>16</v>
      </c>
      <c r="L674" s="53">
        <f>K674/H674*30</f>
        <v>120</v>
      </c>
    </row>
    <row r="675" spans="1:12" s="2" customFormat="1" ht="13.95" customHeight="1" outlineLevel="2" x14ac:dyDescent="0.2">
      <c r="A675" s="50" t="s">
        <v>70</v>
      </c>
      <c r="B675" s="50" t="s">
        <v>4</v>
      </c>
      <c r="C675" s="50" t="s">
        <v>46</v>
      </c>
      <c r="D675" s="50" t="s">
        <v>217</v>
      </c>
      <c r="E675" s="50" t="s">
        <v>105</v>
      </c>
      <c r="F675" s="50" t="s">
        <v>106</v>
      </c>
      <c r="G675" s="50" t="s">
        <v>86</v>
      </c>
      <c r="H675" s="51">
        <v>2</v>
      </c>
      <c r="I675" s="52">
        <f>J675/H675</f>
        <v>189990</v>
      </c>
      <c r="J675" s="52">
        <v>379980</v>
      </c>
      <c r="K675" s="51">
        <v>21</v>
      </c>
      <c r="L675" s="53">
        <f>K675/H675*30</f>
        <v>315</v>
      </c>
    </row>
    <row r="676" spans="1:12" s="2" customFormat="1" ht="13.95" customHeight="1" outlineLevel="2" x14ac:dyDescent="0.2">
      <c r="A676" s="50" t="s">
        <v>70</v>
      </c>
      <c r="B676" s="50" t="s">
        <v>4</v>
      </c>
      <c r="C676" s="50" t="s">
        <v>46</v>
      </c>
      <c r="D676" s="50" t="s">
        <v>225</v>
      </c>
      <c r="E676" s="50" t="s">
        <v>139</v>
      </c>
      <c r="F676" s="50" t="s">
        <v>106</v>
      </c>
      <c r="G676" s="50" t="s">
        <v>86</v>
      </c>
      <c r="H676" s="51">
        <v>3</v>
      </c>
      <c r="I676" s="52">
        <f>J676/H676</f>
        <v>124990</v>
      </c>
      <c r="J676" s="52">
        <v>374970</v>
      </c>
      <c r="K676" s="51">
        <v>11</v>
      </c>
      <c r="L676" s="53">
        <f>K676/H676*30</f>
        <v>110</v>
      </c>
    </row>
    <row r="677" spans="1:12" s="2" customFormat="1" ht="13.95" customHeight="1" outlineLevel="2" x14ac:dyDescent="0.2">
      <c r="A677" s="50" t="s">
        <v>165</v>
      </c>
      <c r="B677" s="50" t="s">
        <v>4</v>
      </c>
      <c r="C677" s="50" t="s">
        <v>46</v>
      </c>
      <c r="D677" s="50" t="s">
        <v>227</v>
      </c>
      <c r="E677" s="50" t="s">
        <v>228</v>
      </c>
      <c r="F677" s="50" t="s">
        <v>229</v>
      </c>
      <c r="G677" s="50" t="s">
        <v>230</v>
      </c>
      <c r="H677" s="51">
        <v>4</v>
      </c>
      <c r="I677" s="52">
        <f>J677/H677</f>
        <v>89990</v>
      </c>
      <c r="J677" s="52">
        <v>359960</v>
      </c>
      <c r="K677" s="51">
        <v>0</v>
      </c>
      <c r="L677" s="53">
        <f>K677/H677*30</f>
        <v>0</v>
      </c>
    </row>
    <row r="678" spans="1:12" s="2" customFormat="1" ht="13.95" customHeight="1" outlineLevel="2" x14ac:dyDescent="0.2">
      <c r="A678" s="50" t="s">
        <v>70</v>
      </c>
      <c r="B678" s="50" t="s">
        <v>4</v>
      </c>
      <c r="C678" s="50" t="s">
        <v>46</v>
      </c>
      <c r="D678" s="50" t="s">
        <v>236</v>
      </c>
      <c r="E678" s="50" t="s">
        <v>237</v>
      </c>
      <c r="F678" s="50" t="s">
        <v>223</v>
      </c>
      <c r="G678" s="50" t="s">
        <v>224</v>
      </c>
      <c r="H678" s="51">
        <v>5</v>
      </c>
      <c r="I678" s="52">
        <f>J678/H678</f>
        <v>69990</v>
      </c>
      <c r="J678" s="52">
        <v>349950</v>
      </c>
      <c r="K678" s="51">
        <v>2</v>
      </c>
      <c r="L678" s="53">
        <f>K678/H678*30</f>
        <v>12</v>
      </c>
    </row>
    <row r="679" spans="1:12" s="2" customFormat="1" ht="13.95" customHeight="1" outlineLevel="2" x14ac:dyDescent="0.2">
      <c r="A679" s="50" t="s">
        <v>70</v>
      </c>
      <c r="B679" s="50" t="s">
        <v>4</v>
      </c>
      <c r="C679" s="50" t="s">
        <v>46</v>
      </c>
      <c r="D679" s="50" t="s">
        <v>247</v>
      </c>
      <c r="E679" s="50" t="s">
        <v>164</v>
      </c>
      <c r="F679" s="50" t="s">
        <v>106</v>
      </c>
      <c r="G679" s="50" t="s">
        <v>140</v>
      </c>
      <c r="H679" s="51">
        <v>3</v>
      </c>
      <c r="I679" s="52">
        <f>J679/H679</f>
        <v>112990</v>
      </c>
      <c r="J679" s="52">
        <v>338970</v>
      </c>
      <c r="K679" s="51">
        <v>11</v>
      </c>
      <c r="L679" s="53">
        <f>K679/H679*30</f>
        <v>110</v>
      </c>
    </row>
    <row r="680" spans="1:12" s="2" customFormat="1" ht="13.95" customHeight="1" outlineLevel="2" x14ac:dyDescent="0.2">
      <c r="A680" s="50" t="s">
        <v>70</v>
      </c>
      <c r="B680" s="50" t="s">
        <v>4</v>
      </c>
      <c r="C680" s="50" t="s">
        <v>46</v>
      </c>
      <c r="D680" s="50" t="s">
        <v>269</v>
      </c>
      <c r="E680" s="50" t="s">
        <v>270</v>
      </c>
      <c r="F680" s="50" t="s">
        <v>137</v>
      </c>
      <c r="G680" s="50" t="s">
        <v>88</v>
      </c>
      <c r="H680" s="51">
        <v>2</v>
      </c>
      <c r="I680" s="52">
        <f>J680/H680</f>
        <v>161990</v>
      </c>
      <c r="J680" s="52">
        <v>323980</v>
      </c>
      <c r="K680" s="51">
        <v>6</v>
      </c>
      <c r="L680" s="53">
        <f>K680/H680*30</f>
        <v>90</v>
      </c>
    </row>
    <row r="681" spans="1:12" s="2" customFormat="1" ht="13.95" customHeight="1" outlineLevel="2" x14ac:dyDescent="0.2">
      <c r="A681" s="50" t="s">
        <v>70</v>
      </c>
      <c r="B681" s="50" t="s">
        <v>4</v>
      </c>
      <c r="C681" s="50" t="s">
        <v>46</v>
      </c>
      <c r="D681" s="50" t="s">
        <v>271</v>
      </c>
      <c r="E681" s="50" t="s">
        <v>270</v>
      </c>
      <c r="F681" s="50" t="s">
        <v>73</v>
      </c>
      <c r="G681" s="50" t="s">
        <v>97</v>
      </c>
      <c r="H681" s="51">
        <v>2</v>
      </c>
      <c r="I681" s="52">
        <f>J681/H681</f>
        <v>159990</v>
      </c>
      <c r="J681" s="52">
        <v>319980</v>
      </c>
      <c r="K681" s="51">
        <v>6</v>
      </c>
      <c r="L681" s="53">
        <f>K681/H681*30</f>
        <v>90</v>
      </c>
    </row>
    <row r="682" spans="1:12" s="2" customFormat="1" ht="13.95" customHeight="1" outlineLevel="2" x14ac:dyDescent="0.2">
      <c r="A682" s="50" t="s">
        <v>70</v>
      </c>
      <c r="B682" s="50" t="s">
        <v>4</v>
      </c>
      <c r="C682" s="50" t="s">
        <v>46</v>
      </c>
      <c r="D682" s="50" t="s">
        <v>272</v>
      </c>
      <c r="E682" s="50" t="s">
        <v>270</v>
      </c>
      <c r="F682" s="50" t="s">
        <v>73</v>
      </c>
      <c r="G682" s="50" t="s">
        <v>84</v>
      </c>
      <c r="H682" s="51">
        <v>2</v>
      </c>
      <c r="I682" s="52">
        <f>J682/H682</f>
        <v>159990</v>
      </c>
      <c r="J682" s="52">
        <v>319980</v>
      </c>
      <c r="K682" s="51">
        <v>8</v>
      </c>
      <c r="L682" s="53">
        <f>K682/H682*30</f>
        <v>120</v>
      </c>
    </row>
    <row r="683" spans="1:12" s="2" customFormat="1" ht="13.95" customHeight="1" outlineLevel="2" x14ac:dyDescent="0.2">
      <c r="A683" s="50" t="s">
        <v>70</v>
      </c>
      <c r="B683" s="50" t="s">
        <v>4</v>
      </c>
      <c r="C683" s="50" t="s">
        <v>46</v>
      </c>
      <c r="D683" s="50" t="s">
        <v>299</v>
      </c>
      <c r="E683" s="50" t="s">
        <v>127</v>
      </c>
      <c r="F683" s="50" t="s">
        <v>106</v>
      </c>
      <c r="G683" s="50" t="s">
        <v>74</v>
      </c>
      <c r="H683" s="51">
        <v>3</v>
      </c>
      <c r="I683" s="52">
        <f>J683/H683</f>
        <v>94990</v>
      </c>
      <c r="J683" s="52">
        <v>284970</v>
      </c>
      <c r="K683" s="51">
        <v>21</v>
      </c>
      <c r="L683" s="53">
        <f>K683/H683*30</f>
        <v>210</v>
      </c>
    </row>
    <row r="684" spans="1:12" s="2" customFormat="1" ht="13.95" customHeight="1" outlineLevel="2" x14ac:dyDescent="0.2">
      <c r="A684" s="50" t="s">
        <v>70</v>
      </c>
      <c r="B684" s="50" t="s">
        <v>4</v>
      </c>
      <c r="C684" s="50" t="s">
        <v>46</v>
      </c>
      <c r="D684" s="50" t="s">
        <v>300</v>
      </c>
      <c r="E684" s="50" t="s">
        <v>127</v>
      </c>
      <c r="F684" s="50" t="s">
        <v>106</v>
      </c>
      <c r="G684" s="50" t="s">
        <v>112</v>
      </c>
      <c r="H684" s="51">
        <v>3</v>
      </c>
      <c r="I684" s="52">
        <f>J684/H684</f>
        <v>94990</v>
      </c>
      <c r="J684" s="52">
        <v>284970</v>
      </c>
      <c r="K684" s="51">
        <v>8</v>
      </c>
      <c r="L684" s="53">
        <f>K684/H684*30</f>
        <v>80</v>
      </c>
    </row>
    <row r="685" spans="1:12" s="2" customFormat="1" ht="13.95" customHeight="1" outlineLevel="2" x14ac:dyDescent="0.2">
      <c r="A685" s="50" t="s">
        <v>70</v>
      </c>
      <c r="B685" s="50" t="s">
        <v>4</v>
      </c>
      <c r="C685" s="50" t="s">
        <v>46</v>
      </c>
      <c r="D685" s="50" t="s">
        <v>305</v>
      </c>
      <c r="E685" s="50" t="s">
        <v>237</v>
      </c>
      <c r="F685" s="50" t="s">
        <v>73</v>
      </c>
      <c r="G685" s="50" t="s">
        <v>88</v>
      </c>
      <c r="H685" s="51">
        <v>4</v>
      </c>
      <c r="I685" s="52">
        <f>J685/H685</f>
        <v>69990</v>
      </c>
      <c r="J685" s="52">
        <v>279960</v>
      </c>
      <c r="K685" s="51">
        <v>8</v>
      </c>
      <c r="L685" s="53">
        <f>K685/H685*30</f>
        <v>60</v>
      </c>
    </row>
    <row r="686" spans="1:12" s="2" customFormat="1" ht="13.95" customHeight="1" outlineLevel="2" x14ac:dyDescent="0.2">
      <c r="A686" s="50" t="s">
        <v>70</v>
      </c>
      <c r="B686" s="50" t="s">
        <v>4</v>
      </c>
      <c r="C686" s="50" t="s">
        <v>46</v>
      </c>
      <c r="D686" s="50" t="s">
        <v>306</v>
      </c>
      <c r="E686" s="50" t="s">
        <v>237</v>
      </c>
      <c r="F686" s="50" t="s">
        <v>73</v>
      </c>
      <c r="G686" s="50" t="s">
        <v>86</v>
      </c>
      <c r="H686" s="51">
        <v>4</v>
      </c>
      <c r="I686" s="52">
        <f>J686/H686</f>
        <v>69990</v>
      </c>
      <c r="J686" s="52">
        <v>279960</v>
      </c>
      <c r="K686" s="51">
        <v>9</v>
      </c>
      <c r="L686" s="53">
        <f>K686/H686*30</f>
        <v>67.5</v>
      </c>
    </row>
    <row r="687" spans="1:12" s="2" customFormat="1" ht="13.95" customHeight="1" outlineLevel="2" x14ac:dyDescent="0.2">
      <c r="A687" s="50" t="s">
        <v>70</v>
      </c>
      <c r="B687" s="50" t="s">
        <v>4</v>
      </c>
      <c r="C687" s="50" t="s">
        <v>46</v>
      </c>
      <c r="D687" s="50" t="s">
        <v>307</v>
      </c>
      <c r="E687" s="50" t="s">
        <v>237</v>
      </c>
      <c r="F687" s="50" t="s">
        <v>73</v>
      </c>
      <c r="G687" s="50" t="s">
        <v>74</v>
      </c>
      <c r="H687" s="51">
        <v>4</v>
      </c>
      <c r="I687" s="52">
        <f>J687/H687</f>
        <v>69990</v>
      </c>
      <c r="J687" s="52">
        <v>279960</v>
      </c>
      <c r="K687" s="51">
        <v>5</v>
      </c>
      <c r="L687" s="53">
        <f>K687/H687*30</f>
        <v>37.5</v>
      </c>
    </row>
    <row r="688" spans="1:12" s="2" customFormat="1" ht="13.95" customHeight="1" outlineLevel="2" x14ac:dyDescent="0.2">
      <c r="A688" s="50" t="s">
        <v>70</v>
      </c>
      <c r="B688" s="50" t="s">
        <v>4</v>
      </c>
      <c r="C688" s="50" t="s">
        <v>46</v>
      </c>
      <c r="D688" s="50" t="s">
        <v>317</v>
      </c>
      <c r="E688" s="50" t="s">
        <v>179</v>
      </c>
      <c r="F688" s="50" t="s">
        <v>106</v>
      </c>
      <c r="G688" s="50" t="s">
        <v>97</v>
      </c>
      <c r="H688" s="51">
        <v>2</v>
      </c>
      <c r="I688" s="52">
        <f>J688/H688</f>
        <v>134990</v>
      </c>
      <c r="J688" s="52">
        <v>269980</v>
      </c>
      <c r="K688" s="51">
        <v>10</v>
      </c>
      <c r="L688" s="53">
        <f>K688/H688*30</f>
        <v>150</v>
      </c>
    </row>
    <row r="689" spans="1:12" s="2" customFormat="1" ht="13.95" customHeight="1" outlineLevel="2" x14ac:dyDescent="0.2">
      <c r="A689" s="50" t="s">
        <v>70</v>
      </c>
      <c r="B689" s="50" t="s">
        <v>4</v>
      </c>
      <c r="C689" s="50" t="s">
        <v>46</v>
      </c>
      <c r="D689" s="50" t="s">
        <v>318</v>
      </c>
      <c r="E689" s="50" t="s">
        <v>179</v>
      </c>
      <c r="F689" s="50" t="s">
        <v>106</v>
      </c>
      <c r="G689" s="50" t="s">
        <v>86</v>
      </c>
      <c r="H689" s="51">
        <v>2</v>
      </c>
      <c r="I689" s="52">
        <f>J689/H689</f>
        <v>134990</v>
      </c>
      <c r="J689" s="52">
        <v>269980</v>
      </c>
      <c r="K689" s="51">
        <v>26</v>
      </c>
      <c r="L689" s="53">
        <f>K689/H689*30</f>
        <v>390</v>
      </c>
    </row>
    <row r="690" spans="1:12" s="2" customFormat="1" ht="13.95" customHeight="1" outlineLevel="2" x14ac:dyDescent="0.2">
      <c r="A690" s="50" t="s">
        <v>70</v>
      </c>
      <c r="B690" s="50" t="s">
        <v>4</v>
      </c>
      <c r="C690" s="50" t="s">
        <v>46</v>
      </c>
      <c r="D690" s="50" t="s">
        <v>325</v>
      </c>
      <c r="E690" s="50" t="s">
        <v>326</v>
      </c>
      <c r="F690" s="50" t="s">
        <v>128</v>
      </c>
      <c r="G690" s="50" t="s">
        <v>129</v>
      </c>
      <c r="H690" s="51">
        <v>3</v>
      </c>
      <c r="I690" s="52">
        <f>J690/H690</f>
        <v>89990</v>
      </c>
      <c r="J690" s="52">
        <v>269970</v>
      </c>
      <c r="K690" s="51">
        <v>5</v>
      </c>
      <c r="L690" s="53">
        <f>K690/H690*30</f>
        <v>50</v>
      </c>
    </row>
    <row r="691" spans="1:12" s="2" customFormat="1" ht="13.95" customHeight="1" outlineLevel="2" x14ac:dyDescent="0.2">
      <c r="A691" s="50" t="s">
        <v>70</v>
      </c>
      <c r="B691" s="50" t="s">
        <v>4</v>
      </c>
      <c r="C691" s="50" t="s">
        <v>46</v>
      </c>
      <c r="D691" s="50" t="s">
        <v>327</v>
      </c>
      <c r="E691" s="50" t="s">
        <v>328</v>
      </c>
      <c r="F691" s="50" t="s">
        <v>106</v>
      </c>
      <c r="G691" s="50" t="s">
        <v>112</v>
      </c>
      <c r="H691" s="51">
        <v>3</v>
      </c>
      <c r="I691" s="52">
        <f>J691/H691</f>
        <v>89990</v>
      </c>
      <c r="J691" s="52">
        <v>269970</v>
      </c>
      <c r="K691" s="51">
        <v>14</v>
      </c>
      <c r="L691" s="53">
        <f>K691/H691*30</f>
        <v>140</v>
      </c>
    </row>
    <row r="692" spans="1:12" s="2" customFormat="1" ht="13.95" customHeight="1" outlineLevel="2" x14ac:dyDescent="0.2">
      <c r="A692" s="50" t="s">
        <v>70</v>
      </c>
      <c r="B692" s="50" t="s">
        <v>4</v>
      </c>
      <c r="C692" s="50" t="s">
        <v>46</v>
      </c>
      <c r="D692" s="50" t="s">
        <v>351</v>
      </c>
      <c r="E692" s="50" t="s">
        <v>328</v>
      </c>
      <c r="F692" s="50" t="s">
        <v>128</v>
      </c>
      <c r="G692" s="50" t="s">
        <v>152</v>
      </c>
      <c r="H692" s="51">
        <v>3</v>
      </c>
      <c r="I692" s="52">
        <f>J692/H692</f>
        <v>81990</v>
      </c>
      <c r="J692" s="52">
        <v>245970</v>
      </c>
      <c r="K692" s="51">
        <v>10</v>
      </c>
      <c r="L692" s="53">
        <f>K692/H692*30</f>
        <v>100</v>
      </c>
    </row>
    <row r="693" spans="1:12" s="2" customFormat="1" ht="13.95" customHeight="1" outlineLevel="2" x14ac:dyDescent="0.2">
      <c r="A693" s="50" t="s">
        <v>70</v>
      </c>
      <c r="B693" s="50" t="s">
        <v>4</v>
      </c>
      <c r="C693" s="50" t="s">
        <v>46</v>
      </c>
      <c r="D693" s="50" t="s">
        <v>352</v>
      </c>
      <c r="E693" s="50" t="s">
        <v>353</v>
      </c>
      <c r="F693" s="50" t="s">
        <v>73</v>
      </c>
      <c r="G693" s="50" t="s">
        <v>88</v>
      </c>
      <c r="H693" s="51">
        <v>1</v>
      </c>
      <c r="I693" s="52">
        <f>J693/H693</f>
        <v>244990</v>
      </c>
      <c r="J693" s="52">
        <v>244990</v>
      </c>
      <c r="K693" s="51">
        <v>7</v>
      </c>
      <c r="L693" s="53">
        <f>K693/H693*30</f>
        <v>210</v>
      </c>
    </row>
    <row r="694" spans="1:12" s="2" customFormat="1" ht="13.95" customHeight="1" outlineLevel="2" x14ac:dyDescent="0.2">
      <c r="A694" s="50" t="s">
        <v>70</v>
      </c>
      <c r="B694" s="50" t="s">
        <v>4</v>
      </c>
      <c r="C694" s="50" t="s">
        <v>46</v>
      </c>
      <c r="D694" s="50" t="s">
        <v>390</v>
      </c>
      <c r="E694" s="50" t="s">
        <v>164</v>
      </c>
      <c r="F694" s="50" t="s">
        <v>106</v>
      </c>
      <c r="G694" s="50" t="s">
        <v>88</v>
      </c>
      <c r="H694" s="51">
        <v>2</v>
      </c>
      <c r="I694" s="52">
        <f>J694/H694</f>
        <v>112990</v>
      </c>
      <c r="J694" s="52">
        <v>225980</v>
      </c>
      <c r="K694" s="51">
        <v>6</v>
      </c>
      <c r="L694" s="53">
        <f>K694/H694*30</f>
        <v>90</v>
      </c>
    </row>
    <row r="695" spans="1:12" s="2" customFormat="1" ht="13.95" customHeight="1" outlineLevel="2" x14ac:dyDescent="0.2">
      <c r="A695" s="50" t="s">
        <v>70</v>
      </c>
      <c r="B695" s="50" t="s">
        <v>4</v>
      </c>
      <c r="C695" s="50" t="s">
        <v>46</v>
      </c>
      <c r="D695" s="50" t="s">
        <v>411</v>
      </c>
      <c r="E695" s="50" t="s">
        <v>237</v>
      </c>
      <c r="F695" s="50" t="s">
        <v>223</v>
      </c>
      <c r="G695" s="50" t="s">
        <v>86</v>
      </c>
      <c r="H695" s="51">
        <v>3</v>
      </c>
      <c r="I695" s="52">
        <f>J695/H695</f>
        <v>69990</v>
      </c>
      <c r="J695" s="52">
        <v>209970</v>
      </c>
      <c r="K695" s="51">
        <v>7</v>
      </c>
      <c r="L695" s="53">
        <f>K695/H695*30</f>
        <v>70</v>
      </c>
    </row>
    <row r="696" spans="1:12" s="2" customFormat="1" ht="13.95" customHeight="1" outlineLevel="2" x14ac:dyDescent="0.2">
      <c r="A696" s="50" t="s">
        <v>165</v>
      </c>
      <c r="B696" s="50" t="s">
        <v>4</v>
      </c>
      <c r="C696" s="50" t="s">
        <v>46</v>
      </c>
      <c r="D696" s="50" t="s">
        <v>426</v>
      </c>
      <c r="E696" s="50" t="s">
        <v>427</v>
      </c>
      <c r="F696" s="50" t="s">
        <v>428</v>
      </c>
      <c r="G696" s="50" t="s">
        <v>86</v>
      </c>
      <c r="H696" s="51">
        <v>2</v>
      </c>
      <c r="I696" s="52">
        <f>J696/H696</f>
        <v>99990</v>
      </c>
      <c r="J696" s="52">
        <v>199980</v>
      </c>
      <c r="K696" s="51">
        <v>3</v>
      </c>
      <c r="L696" s="53">
        <f>K696/H696*30</f>
        <v>45</v>
      </c>
    </row>
    <row r="697" spans="1:12" s="2" customFormat="1" ht="13.95" customHeight="1" outlineLevel="2" x14ac:dyDescent="0.2">
      <c r="A697" s="50" t="s">
        <v>70</v>
      </c>
      <c r="B697" s="50" t="s">
        <v>4</v>
      </c>
      <c r="C697" s="50" t="s">
        <v>46</v>
      </c>
      <c r="D697" s="50" t="s">
        <v>460</v>
      </c>
      <c r="E697" s="50" t="s">
        <v>127</v>
      </c>
      <c r="F697" s="50" t="s">
        <v>137</v>
      </c>
      <c r="G697" s="50" t="s">
        <v>86</v>
      </c>
      <c r="H697" s="51">
        <v>2</v>
      </c>
      <c r="I697" s="52">
        <f>J697/H697</f>
        <v>96990</v>
      </c>
      <c r="J697" s="52">
        <v>193980</v>
      </c>
      <c r="K697" s="51">
        <v>18</v>
      </c>
      <c r="L697" s="53">
        <f>K697/H697*30</f>
        <v>270</v>
      </c>
    </row>
    <row r="698" spans="1:12" s="2" customFormat="1" ht="13.95" customHeight="1" outlineLevel="2" x14ac:dyDescent="0.2">
      <c r="A698" s="50" t="s">
        <v>165</v>
      </c>
      <c r="B698" s="50" t="s">
        <v>4</v>
      </c>
      <c r="C698" s="50" t="s">
        <v>46</v>
      </c>
      <c r="D698" s="50" t="s">
        <v>461</v>
      </c>
      <c r="E698" s="50" t="s">
        <v>462</v>
      </c>
      <c r="F698" s="50" t="s">
        <v>428</v>
      </c>
      <c r="G698" s="50" t="s">
        <v>463</v>
      </c>
      <c r="H698" s="51">
        <v>2</v>
      </c>
      <c r="I698" s="52">
        <f>J698/H698</f>
        <v>95990</v>
      </c>
      <c r="J698" s="52">
        <v>191980</v>
      </c>
      <c r="K698" s="51">
        <v>10</v>
      </c>
      <c r="L698" s="53">
        <f>K698/H698*30</f>
        <v>150</v>
      </c>
    </row>
    <row r="699" spans="1:12" s="2" customFormat="1" ht="13.95" customHeight="1" outlineLevel="2" x14ac:dyDescent="0.2">
      <c r="A699" s="50" t="s">
        <v>70</v>
      </c>
      <c r="B699" s="50" t="s">
        <v>4</v>
      </c>
      <c r="C699" s="50" t="s">
        <v>46</v>
      </c>
      <c r="D699" s="50" t="s">
        <v>464</v>
      </c>
      <c r="E699" s="50" t="s">
        <v>105</v>
      </c>
      <c r="F699" s="50" t="s">
        <v>106</v>
      </c>
      <c r="G699" s="50" t="s">
        <v>97</v>
      </c>
      <c r="H699" s="51">
        <v>1</v>
      </c>
      <c r="I699" s="52">
        <f>J699/H699</f>
        <v>189990</v>
      </c>
      <c r="J699" s="52">
        <v>189990</v>
      </c>
      <c r="K699" s="51">
        <v>3</v>
      </c>
      <c r="L699" s="53">
        <f>K699/H699*30</f>
        <v>90</v>
      </c>
    </row>
    <row r="700" spans="1:12" s="2" customFormat="1" ht="13.95" customHeight="1" outlineLevel="2" x14ac:dyDescent="0.2">
      <c r="A700" s="50" t="s">
        <v>70</v>
      </c>
      <c r="B700" s="50" t="s">
        <v>4</v>
      </c>
      <c r="C700" s="50" t="s">
        <v>46</v>
      </c>
      <c r="D700" s="50" t="s">
        <v>465</v>
      </c>
      <c r="E700" s="50" t="s">
        <v>105</v>
      </c>
      <c r="F700" s="50" t="s">
        <v>106</v>
      </c>
      <c r="G700" s="50" t="s">
        <v>74</v>
      </c>
      <c r="H700" s="51">
        <v>1</v>
      </c>
      <c r="I700" s="52">
        <f>J700/H700</f>
        <v>189990</v>
      </c>
      <c r="J700" s="52">
        <v>189990</v>
      </c>
      <c r="K700" s="51">
        <v>24</v>
      </c>
      <c r="L700" s="53">
        <f>K700/H700*30</f>
        <v>720</v>
      </c>
    </row>
    <row r="701" spans="1:12" s="2" customFormat="1" ht="13.95" customHeight="1" outlineLevel="2" x14ac:dyDescent="0.2">
      <c r="A701" s="50" t="s">
        <v>70</v>
      </c>
      <c r="B701" s="50" t="s">
        <v>4</v>
      </c>
      <c r="C701" s="50" t="s">
        <v>46</v>
      </c>
      <c r="D701" s="50" t="s">
        <v>471</v>
      </c>
      <c r="E701" s="50" t="s">
        <v>127</v>
      </c>
      <c r="F701" s="50" t="s">
        <v>73</v>
      </c>
      <c r="G701" s="50" t="s">
        <v>86</v>
      </c>
      <c r="H701" s="51">
        <v>2</v>
      </c>
      <c r="I701" s="52">
        <f>J701/H701</f>
        <v>94990</v>
      </c>
      <c r="J701" s="52">
        <v>189980</v>
      </c>
      <c r="K701" s="51">
        <v>4</v>
      </c>
      <c r="L701" s="53">
        <f>K701/H701*30</f>
        <v>60</v>
      </c>
    </row>
    <row r="702" spans="1:12" s="2" customFormat="1" ht="13.95" customHeight="1" outlineLevel="2" x14ac:dyDescent="0.2">
      <c r="A702" s="50" t="s">
        <v>70</v>
      </c>
      <c r="B702" s="50" t="s">
        <v>4</v>
      </c>
      <c r="C702" s="50" t="s">
        <v>46</v>
      </c>
      <c r="D702" s="50" t="s">
        <v>472</v>
      </c>
      <c r="E702" s="50" t="s">
        <v>127</v>
      </c>
      <c r="F702" s="50" t="s">
        <v>73</v>
      </c>
      <c r="G702" s="50" t="s">
        <v>74</v>
      </c>
      <c r="H702" s="51">
        <v>2</v>
      </c>
      <c r="I702" s="52">
        <f>J702/H702</f>
        <v>94990</v>
      </c>
      <c r="J702" s="52">
        <v>189980</v>
      </c>
      <c r="K702" s="51">
        <v>8</v>
      </c>
      <c r="L702" s="53">
        <f>K702/H702*30</f>
        <v>120</v>
      </c>
    </row>
    <row r="703" spans="1:12" s="2" customFormat="1" ht="13.95" customHeight="1" outlineLevel="2" x14ac:dyDescent="0.2">
      <c r="A703" s="50" t="s">
        <v>165</v>
      </c>
      <c r="B703" s="50" t="s">
        <v>4</v>
      </c>
      <c r="C703" s="50" t="s">
        <v>46</v>
      </c>
      <c r="D703" s="50" t="s">
        <v>483</v>
      </c>
      <c r="E703" s="50" t="s">
        <v>228</v>
      </c>
      <c r="F703" s="50" t="s">
        <v>484</v>
      </c>
      <c r="G703" s="50" t="s">
        <v>485</v>
      </c>
      <c r="H703" s="51">
        <v>2</v>
      </c>
      <c r="I703" s="52">
        <f>J703/H703</f>
        <v>89990</v>
      </c>
      <c r="J703" s="52">
        <v>179980</v>
      </c>
      <c r="K703" s="51">
        <v>21</v>
      </c>
      <c r="L703" s="53">
        <f>K703/H703*30</f>
        <v>315</v>
      </c>
    </row>
    <row r="704" spans="1:12" s="2" customFormat="1" ht="13.95" customHeight="1" outlineLevel="2" x14ac:dyDescent="0.2">
      <c r="A704" s="50" t="s">
        <v>70</v>
      </c>
      <c r="B704" s="50" t="s">
        <v>4</v>
      </c>
      <c r="C704" s="50" t="s">
        <v>46</v>
      </c>
      <c r="D704" s="50" t="s">
        <v>493</v>
      </c>
      <c r="E704" s="50" t="s">
        <v>326</v>
      </c>
      <c r="F704" s="50" t="s">
        <v>128</v>
      </c>
      <c r="G704" s="50" t="s">
        <v>152</v>
      </c>
      <c r="H704" s="51">
        <v>2</v>
      </c>
      <c r="I704" s="52">
        <f>J704/H704</f>
        <v>89990</v>
      </c>
      <c r="J704" s="52">
        <v>179980</v>
      </c>
      <c r="K704" s="51">
        <v>16</v>
      </c>
      <c r="L704" s="53">
        <f>K704/H704*30</f>
        <v>240</v>
      </c>
    </row>
    <row r="705" spans="1:12" s="2" customFormat="1" ht="13.95" customHeight="1" outlineLevel="2" x14ac:dyDescent="0.2">
      <c r="A705" s="50" t="s">
        <v>70</v>
      </c>
      <c r="B705" s="50" t="s">
        <v>4</v>
      </c>
      <c r="C705" s="50" t="s">
        <v>46</v>
      </c>
      <c r="D705" s="50" t="s">
        <v>494</v>
      </c>
      <c r="E705" s="50" t="s">
        <v>328</v>
      </c>
      <c r="F705" s="50" t="s">
        <v>106</v>
      </c>
      <c r="G705" s="50" t="s">
        <v>86</v>
      </c>
      <c r="H705" s="51">
        <v>2</v>
      </c>
      <c r="I705" s="52">
        <f>J705/H705</f>
        <v>89990</v>
      </c>
      <c r="J705" s="52">
        <v>179980</v>
      </c>
      <c r="K705" s="51">
        <v>10</v>
      </c>
      <c r="L705" s="53">
        <f>K705/H705*30</f>
        <v>150</v>
      </c>
    </row>
    <row r="706" spans="1:12" s="2" customFormat="1" ht="13.95" customHeight="1" outlineLevel="2" x14ac:dyDescent="0.2">
      <c r="A706" s="50" t="s">
        <v>70</v>
      </c>
      <c r="B706" s="50" t="s">
        <v>4</v>
      </c>
      <c r="C706" s="50" t="s">
        <v>46</v>
      </c>
      <c r="D706" s="50" t="s">
        <v>495</v>
      </c>
      <c r="E706" s="50" t="s">
        <v>328</v>
      </c>
      <c r="F706" s="50" t="s">
        <v>155</v>
      </c>
      <c r="G706" s="50" t="s">
        <v>156</v>
      </c>
      <c r="H706" s="51">
        <v>2</v>
      </c>
      <c r="I706" s="52">
        <f>J706/H706</f>
        <v>89990</v>
      </c>
      <c r="J706" s="52">
        <v>179980</v>
      </c>
      <c r="K706" s="51">
        <v>4</v>
      </c>
      <c r="L706" s="53">
        <f>K706/H706*30</f>
        <v>60</v>
      </c>
    </row>
    <row r="707" spans="1:12" s="2" customFormat="1" ht="13.95" customHeight="1" outlineLevel="2" x14ac:dyDescent="0.2">
      <c r="A707" s="50" t="s">
        <v>70</v>
      </c>
      <c r="B707" s="50" t="s">
        <v>4</v>
      </c>
      <c r="C707" s="50" t="s">
        <v>46</v>
      </c>
      <c r="D707" s="50" t="s">
        <v>529</v>
      </c>
      <c r="E707" s="50" t="s">
        <v>270</v>
      </c>
      <c r="F707" s="50" t="s">
        <v>73</v>
      </c>
      <c r="G707" s="50" t="s">
        <v>140</v>
      </c>
      <c r="H707" s="51">
        <v>1</v>
      </c>
      <c r="I707" s="52">
        <f>J707/H707</f>
        <v>159990</v>
      </c>
      <c r="J707" s="52">
        <v>159990</v>
      </c>
      <c r="K707" s="51">
        <v>8</v>
      </c>
      <c r="L707" s="53">
        <f>K707/H707*30</f>
        <v>240</v>
      </c>
    </row>
    <row r="708" spans="1:12" s="2" customFormat="1" ht="13.95" customHeight="1" outlineLevel="2" x14ac:dyDescent="0.2">
      <c r="A708" s="50" t="s">
        <v>70</v>
      </c>
      <c r="B708" s="50" t="s">
        <v>4</v>
      </c>
      <c r="C708" s="50" t="s">
        <v>46</v>
      </c>
      <c r="D708" s="50" t="s">
        <v>530</v>
      </c>
      <c r="E708" s="50" t="s">
        <v>270</v>
      </c>
      <c r="F708" s="50" t="s">
        <v>73</v>
      </c>
      <c r="G708" s="50" t="s">
        <v>86</v>
      </c>
      <c r="H708" s="51">
        <v>1</v>
      </c>
      <c r="I708" s="52">
        <f>J708/H708</f>
        <v>159990</v>
      </c>
      <c r="J708" s="52">
        <v>159990</v>
      </c>
      <c r="K708" s="51">
        <v>12</v>
      </c>
      <c r="L708" s="53">
        <f>K708/H708*30</f>
        <v>360</v>
      </c>
    </row>
    <row r="709" spans="1:12" s="2" customFormat="1" ht="13.95" customHeight="1" outlineLevel="2" x14ac:dyDescent="0.2">
      <c r="A709" s="50" t="s">
        <v>70</v>
      </c>
      <c r="B709" s="50" t="s">
        <v>4</v>
      </c>
      <c r="C709" s="50" t="s">
        <v>46</v>
      </c>
      <c r="D709" s="50" t="s">
        <v>531</v>
      </c>
      <c r="E709" s="50" t="s">
        <v>270</v>
      </c>
      <c r="F709" s="50" t="s">
        <v>374</v>
      </c>
      <c r="G709" s="50" t="s">
        <v>330</v>
      </c>
      <c r="H709" s="51">
        <v>1</v>
      </c>
      <c r="I709" s="52">
        <f>J709/H709</f>
        <v>159990</v>
      </c>
      <c r="J709" s="52">
        <v>159990</v>
      </c>
      <c r="K709" s="51">
        <v>5</v>
      </c>
      <c r="L709" s="53">
        <f>K709/H709*30</f>
        <v>150</v>
      </c>
    </row>
    <row r="710" spans="1:12" s="2" customFormat="1" ht="13.95" customHeight="1" outlineLevel="2" x14ac:dyDescent="0.2">
      <c r="A710" s="50" t="s">
        <v>70</v>
      </c>
      <c r="B710" s="50" t="s">
        <v>4</v>
      </c>
      <c r="C710" s="50" t="s">
        <v>46</v>
      </c>
      <c r="D710" s="50" t="s">
        <v>585</v>
      </c>
      <c r="E710" s="50" t="s">
        <v>586</v>
      </c>
      <c r="F710" s="50" t="s">
        <v>106</v>
      </c>
      <c r="G710" s="50" t="s">
        <v>88</v>
      </c>
      <c r="H710" s="51">
        <v>1</v>
      </c>
      <c r="I710" s="52">
        <f>J710/H710</f>
        <v>139990</v>
      </c>
      <c r="J710" s="52">
        <v>139990</v>
      </c>
      <c r="K710" s="51">
        <v>7</v>
      </c>
      <c r="L710" s="53">
        <f>K710/H710*30</f>
        <v>210</v>
      </c>
    </row>
    <row r="711" spans="1:12" s="2" customFormat="1" ht="13.95" customHeight="1" outlineLevel="2" x14ac:dyDescent="0.2">
      <c r="A711" s="50" t="s">
        <v>70</v>
      </c>
      <c r="B711" s="50" t="s">
        <v>4</v>
      </c>
      <c r="C711" s="50" t="s">
        <v>46</v>
      </c>
      <c r="D711" s="50" t="s">
        <v>587</v>
      </c>
      <c r="E711" s="50" t="s">
        <v>586</v>
      </c>
      <c r="F711" s="50" t="s">
        <v>106</v>
      </c>
      <c r="G711" s="50" t="s">
        <v>74</v>
      </c>
      <c r="H711" s="51">
        <v>1</v>
      </c>
      <c r="I711" s="52">
        <f>J711/H711</f>
        <v>139990</v>
      </c>
      <c r="J711" s="52">
        <v>139990</v>
      </c>
      <c r="K711" s="51">
        <v>4</v>
      </c>
      <c r="L711" s="53">
        <f>K711/H711*30</f>
        <v>120</v>
      </c>
    </row>
    <row r="712" spans="1:12" s="2" customFormat="1" ht="13.95" customHeight="1" outlineLevel="2" x14ac:dyDescent="0.2">
      <c r="A712" s="50" t="s">
        <v>70</v>
      </c>
      <c r="B712" s="50" t="s">
        <v>4</v>
      </c>
      <c r="C712" s="50" t="s">
        <v>46</v>
      </c>
      <c r="D712" s="50" t="s">
        <v>595</v>
      </c>
      <c r="E712" s="50" t="s">
        <v>179</v>
      </c>
      <c r="F712" s="50" t="s">
        <v>73</v>
      </c>
      <c r="G712" s="50" t="s">
        <v>88</v>
      </c>
      <c r="H712" s="51">
        <v>1</v>
      </c>
      <c r="I712" s="52">
        <f>J712/H712</f>
        <v>134990</v>
      </c>
      <c r="J712" s="52">
        <v>134990</v>
      </c>
      <c r="K712" s="51">
        <v>6</v>
      </c>
      <c r="L712" s="53">
        <f>K712/H712*30</f>
        <v>180</v>
      </c>
    </row>
    <row r="713" spans="1:12" s="2" customFormat="1" ht="13.95" customHeight="1" outlineLevel="2" x14ac:dyDescent="0.2">
      <c r="A713" s="50" t="s">
        <v>70</v>
      </c>
      <c r="B713" s="50" t="s">
        <v>4</v>
      </c>
      <c r="C713" s="50" t="s">
        <v>46</v>
      </c>
      <c r="D713" s="50" t="s">
        <v>596</v>
      </c>
      <c r="E713" s="50" t="s">
        <v>179</v>
      </c>
      <c r="F713" s="50" t="s">
        <v>128</v>
      </c>
      <c r="G713" s="50" t="s">
        <v>316</v>
      </c>
      <c r="H713" s="51">
        <v>1</v>
      </c>
      <c r="I713" s="52">
        <f>J713/H713</f>
        <v>134990</v>
      </c>
      <c r="J713" s="52">
        <v>134990</v>
      </c>
      <c r="K713" s="51">
        <v>28</v>
      </c>
      <c r="L713" s="53">
        <f>K713/H713*30</f>
        <v>840</v>
      </c>
    </row>
    <row r="714" spans="1:12" s="2" customFormat="1" ht="13.95" customHeight="1" outlineLevel="2" x14ac:dyDescent="0.2">
      <c r="A714" s="50" t="s">
        <v>70</v>
      </c>
      <c r="B714" s="50" t="s">
        <v>4</v>
      </c>
      <c r="C714" s="50" t="s">
        <v>46</v>
      </c>
      <c r="D714" s="50" t="s">
        <v>597</v>
      </c>
      <c r="E714" s="50" t="s">
        <v>179</v>
      </c>
      <c r="F714" s="50" t="s">
        <v>128</v>
      </c>
      <c r="G714" s="50" t="s">
        <v>598</v>
      </c>
      <c r="H714" s="51">
        <v>1</v>
      </c>
      <c r="I714" s="52">
        <f>J714/H714</f>
        <v>134990</v>
      </c>
      <c r="J714" s="52">
        <v>134990</v>
      </c>
      <c r="K714" s="51">
        <v>29</v>
      </c>
      <c r="L714" s="53">
        <f>K714/H714*30</f>
        <v>870</v>
      </c>
    </row>
    <row r="715" spans="1:12" s="2" customFormat="1" ht="13.95" customHeight="1" outlineLevel="2" x14ac:dyDescent="0.2">
      <c r="A715" s="50" t="s">
        <v>70</v>
      </c>
      <c r="B715" s="50" t="s">
        <v>4</v>
      </c>
      <c r="C715" s="50" t="s">
        <v>46</v>
      </c>
      <c r="D715" s="50" t="s">
        <v>599</v>
      </c>
      <c r="E715" s="50" t="s">
        <v>179</v>
      </c>
      <c r="F715" s="50" t="s">
        <v>128</v>
      </c>
      <c r="G715" s="50" t="s">
        <v>600</v>
      </c>
      <c r="H715" s="51">
        <v>1</v>
      </c>
      <c r="I715" s="52">
        <f>J715/H715</f>
        <v>134990</v>
      </c>
      <c r="J715" s="52">
        <v>134990</v>
      </c>
      <c r="K715" s="51">
        <v>26</v>
      </c>
      <c r="L715" s="53">
        <f>K715/H715*30</f>
        <v>780</v>
      </c>
    </row>
    <row r="716" spans="1:12" s="2" customFormat="1" ht="13.95" customHeight="1" outlineLevel="2" x14ac:dyDescent="0.2">
      <c r="A716" s="50" t="s">
        <v>70</v>
      </c>
      <c r="B716" s="50" t="s">
        <v>4</v>
      </c>
      <c r="C716" s="50" t="s">
        <v>46</v>
      </c>
      <c r="D716" s="50" t="s">
        <v>601</v>
      </c>
      <c r="E716" s="50" t="s">
        <v>179</v>
      </c>
      <c r="F716" s="50" t="s">
        <v>106</v>
      </c>
      <c r="G716" s="50" t="s">
        <v>74</v>
      </c>
      <c r="H716" s="51">
        <v>1</v>
      </c>
      <c r="I716" s="52">
        <f>J716/H716</f>
        <v>134990</v>
      </c>
      <c r="J716" s="52">
        <v>134990</v>
      </c>
      <c r="K716" s="51">
        <v>38</v>
      </c>
      <c r="L716" s="53">
        <f>K716/H716*30</f>
        <v>1140</v>
      </c>
    </row>
    <row r="717" spans="1:12" s="2" customFormat="1" ht="13.95" customHeight="1" outlineLevel="2" x14ac:dyDescent="0.2">
      <c r="A717" s="50" t="s">
        <v>70</v>
      </c>
      <c r="B717" s="50" t="s">
        <v>4</v>
      </c>
      <c r="C717" s="50" t="s">
        <v>46</v>
      </c>
      <c r="D717" s="50" t="s">
        <v>602</v>
      </c>
      <c r="E717" s="50" t="s">
        <v>179</v>
      </c>
      <c r="F717" s="50" t="s">
        <v>106</v>
      </c>
      <c r="G717" s="50" t="s">
        <v>112</v>
      </c>
      <c r="H717" s="51">
        <v>1</v>
      </c>
      <c r="I717" s="52">
        <f>J717/H717</f>
        <v>134990</v>
      </c>
      <c r="J717" s="52">
        <v>134990</v>
      </c>
      <c r="K717" s="51">
        <v>6</v>
      </c>
      <c r="L717" s="53">
        <f>K717/H717*30</f>
        <v>180</v>
      </c>
    </row>
    <row r="718" spans="1:12" s="2" customFormat="1" ht="13.95" customHeight="1" outlineLevel="2" x14ac:dyDescent="0.2">
      <c r="A718" s="50" t="s">
        <v>70</v>
      </c>
      <c r="B718" s="50" t="s">
        <v>4</v>
      </c>
      <c r="C718" s="50" t="s">
        <v>46</v>
      </c>
      <c r="D718" s="50" t="s">
        <v>603</v>
      </c>
      <c r="E718" s="50" t="s">
        <v>179</v>
      </c>
      <c r="F718" s="50" t="s">
        <v>106</v>
      </c>
      <c r="G718" s="50" t="s">
        <v>330</v>
      </c>
      <c r="H718" s="51">
        <v>1</v>
      </c>
      <c r="I718" s="52">
        <f>J718/H718</f>
        <v>134990</v>
      </c>
      <c r="J718" s="52">
        <v>134990</v>
      </c>
      <c r="K718" s="51">
        <v>0</v>
      </c>
      <c r="L718" s="53">
        <f>K718/H718*30</f>
        <v>0</v>
      </c>
    </row>
    <row r="719" spans="1:12" s="2" customFormat="1" ht="13.95" customHeight="1" outlineLevel="2" x14ac:dyDescent="0.2">
      <c r="A719" s="50" t="s">
        <v>70</v>
      </c>
      <c r="B719" s="50" t="s">
        <v>4</v>
      </c>
      <c r="C719" s="50" t="s">
        <v>46</v>
      </c>
      <c r="D719" s="50" t="s">
        <v>694</v>
      </c>
      <c r="E719" s="50" t="s">
        <v>164</v>
      </c>
      <c r="F719" s="50" t="s">
        <v>106</v>
      </c>
      <c r="G719" s="50" t="s">
        <v>74</v>
      </c>
      <c r="H719" s="51">
        <v>1</v>
      </c>
      <c r="I719" s="52">
        <f>J719/H719</f>
        <v>112990</v>
      </c>
      <c r="J719" s="52">
        <v>112990</v>
      </c>
      <c r="K719" s="51">
        <v>13</v>
      </c>
      <c r="L719" s="53">
        <f>K719/H719*30</f>
        <v>390</v>
      </c>
    </row>
    <row r="720" spans="1:12" s="2" customFormat="1" ht="13.95" customHeight="1" outlineLevel="2" x14ac:dyDescent="0.2">
      <c r="A720" s="50" t="s">
        <v>70</v>
      </c>
      <c r="B720" s="50" t="s">
        <v>4</v>
      </c>
      <c r="C720" s="50" t="s">
        <v>46</v>
      </c>
      <c r="D720" s="50" t="s">
        <v>703</v>
      </c>
      <c r="E720" s="50" t="s">
        <v>704</v>
      </c>
      <c r="F720" s="50" t="s">
        <v>106</v>
      </c>
      <c r="G720" s="50" t="s">
        <v>74</v>
      </c>
      <c r="H720" s="51">
        <v>1</v>
      </c>
      <c r="I720" s="52">
        <f>J720/H720</f>
        <v>109990</v>
      </c>
      <c r="J720" s="52">
        <v>109990</v>
      </c>
      <c r="K720" s="51">
        <v>13</v>
      </c>
      <c r="L720" s="53">
        <f>K720/H720*30</f>
        <v>390</v>
      </c>
    </row>
    <row r="721" spans="1:12" s="2" customFormat="1" ht="13.95" customHeight="1" outlineLevel="2" x14ac:dyDescent="0.2">
      <c r="A721" s="50" t="s">
        <v>165</v>
      </c>
      <c r="B721" s="50" t="s">
        <v>4</v>
      </c>
      <c r="C721" s="50" t="s">
        <v>46</v>
      </c>
      <c r="D721" s="50" t="s">
        <v>733</v>
      </c>
      <c r="E721" s="50" t="s">
        <v>427</v>
      </c>
      <c r="F721" s="50" t="s">
        <v>734</v>
      </c>
      <c r="G721" s="50" t="s">
        <v>86</v>
      </c>
      <c r="H721" s="51">
        <v>1</v>
      </c>
      <c r="I721" s="52">
        <f>J721/H721</f>
        <v>99990</v>
      </c>
      <c r="J721" s="52">
        <v>99990</v>
      </c>
      <c r="K721" s="51">
        <v>12</v>
      </c>
      <c r="L721" s="53">
        <f>K721/H721*30</f>
        <v>360</v>
      </c>
    </row>
    <row r="722" spans="1:12" s="2" customFormat="1" ht="13.95" customHeight="1" outlineLevel="2" x14ac:dyDescent="0.2">
      <c r="A722" s="50" t="s">
        <v>165</v>
      </c>
      <c r="B722" s="50" t="s">
        <v>4</v>
      </c>
      <c r="C722" s="50" t="s">
        <v>46</v>
      </c>
      <c r="D722" s="50" t="s">
        <v>735</v>
      </c>
      <c r="E722" s="50" t="s">
        <v>427</v>
      </c>
      <c r="F722" s="50" t="s">
        <v>168</v>
      </c>
      <c r="G722" s="50" t="s">
        <v>86</v>
      </c>
      <c r="H722" s="51">
        <v>1</v>
      </c>
      <c r="I722" s="52">
        <f>J722/H722</f>
        <v>99990</v>
      </c>
      <c r="J722" s="52">
        <v>99990</v>
      </c>
      <c r="K722" s="51">
        <v>4</v>
      </c>
      <c r="L722" s="53">
        <f>K722/H722*30</f>
        <v>120</v>
      </c>
    </row>
    <row r="723" spans="1:12" s="2" customFormat="1" ht="13.95" customHeight="1" outlineLevel="2" x14ac:dyDescent="0.2">
      <c r="A723" s="50" t="s">
        <v>165</v>
      </c>
      <c r="B723" s="50" t="s">
        <v>4</v>
      </c>
      <c r="C723" s="50" t="s">
        <v>46</v>
      </c>
      <c r="D723" s="50" t="s">
        <v>781</v>
      </c>
      <c r="E723" s="50" t="s">
        <v>462</v>
      </c>
      <c r="F723" s="50" t="s">
        <v>168</v>
      </c>
      <c r="G723" s="50" t="s">
        <v>86</v>
      </c>
      <c r="H723" s="51">
        <v>1</v>
      </c>
      <c r="I723" s="52">
        <f>J723/H723</f>
        <v>95990</v>
      </c>
      <c r="J723" s="52">
        <v>95990</v>
      </c>
      <c r="K723" s="51">
        <v>20</v>
      </c>
      <c r="L723" s="53">
        <f>K723/H723*30</f>
        <v>600</v>
      </c>
    </row>
    <row r="724" spans="1:12" s="2" customFormat="1" ht="13.95" customHeight="1" outlineLevel="2" x14ac:dyDescent="0.2">
      <c r="A724" s="50" t="s">
        <v>165</v>
      </c>
      <c r="B724" s="50" t="s">
        <v>4</v>
      </c>
      <c r="C724" s="50" t="s">
        <v>46</v>
      </c>
      <c r="D724" s="50" t="s">
        <v>782</v>
      </c>
      <c r="E724" s="50" t="s">
        <v>462</v>
      </c>
      <c r="F724" s="50" t="s">
        <v>229</v>
      </c>
      <c r="G724" s="50" t="s">
        <v>88</v>
      </c>
      <c r="H724" s="51">
        <v>1</v>
      </c>
      <c r="I724" s="52">
        <f>J724/H724</f>
        <v>95990</v>
      </c>
      <c r="J724" s="52">
        <v>95990</v>
      </c>
      <c r="K724" s="51">
        <v>2</v>
      </c>
      <c r="L724" s="53">
        <f>K724/H724*30</f>
        <v>60</v>
      </c>
    </row>
    <row r="725" spans="1:12" s="2" customFormat="1" ht="13.95" customHeight="1" outlineLevel="2" x14ac:dyDescent="0.2">
      <c r="A725" s="50" t="s">
        <v>165</v>
      </c>
      <c r="B725" s="50" t="s">
        <v>4</v>
      </c>
      <c r="C725" s="50" t="s">
        <v>46</v>
      </c>
      <c r="D725" s="50" t="s">
        <v>783</v>
      </c>
      <c r="E725" s="50" t="s">
        <v>462</v>
      </c>
      <c r="F725" s="50" t="s">
        <v>229</v>
      </c>
      <c r="G725" s="50" t="s">
        <v>784</v>
      </c>
      <c r="H725" s="51">
        <v>1</v>
      </c>
      <c r="I725" s="52">
        <f>J725/H725</f>
        <v>95990</v>
      </c>
      <c r="J725" s="52">
        <v>95990</v>
      </c>
      <c r="K725" s="51">
        <v>1</v>
      </c>
      <c r="L725" s="53">
        <f>K725/H725*30</f>
        <v>30</v>
      </c>
    </row>
    <row r="726" spans="1:12" s="2" customFormat="1" ht="13.95" customHeight="1" outlineLevel="2" x14ac:dyDescent="0.2">
      <c r="A726" s="50" t="s">
        <v>791</v>
      </c>
      <c r="B726" s="50" t="s">
        <v>4</v>
      </c>
      <c r="C726" s="50" t="s">
        <v>46</v>
      </c>
      <c r="D726" s="50" t="s">
        <v>792</v>
      </c>
      <c r="E726" s="50" t="s">
        <v>793</v>
      </c>
      <c r="F726" s="50" t="s">
        <v>223</v>
      </c>
      <c r="G726" s="50" t="s">
        <v>224</v>
      </c>
      <c r="H726" s="51">
        <v>1</v>
      </c>
      <c r="I726" s="52">
        <f>J726/H726</f>
        <v>94990</v>
      </c>
      <c r="J726" s="52">
        <v>94990</v>
      </c>
      <c r="K726" s="51">
        <v>1</v>
      </c>
      <c r="L726" s="53">
        <f>K726/H726*30</f>
        <v>30</v>
      </c>
    </row>
    <row r="727" spans="1:12" s="2" customFormat="1" ht="13.95" customHeight="1" outlineLevel="2" x14ac:dyDescent="0.2">
      <c r="A727" s="50" t="s">
        <v>70</v>
      </c>
      <c r="B727" s="50" t="s">
        <v>4</v>
      </c>
      <c r="C727" s="50" t="s">
        <v>46</v>
      </c>
      <c r="D727" s="50" t="s">
        <v>794</v>
      </c>
      <c r="E727" s="50" t="s">
        <v>127</v>
      </c>
      <c r="F727" s="50" t="s">
        <v>73</v>
      </c>
      <c r="G727" s="50" t="s">
        <v>97</v>
      </c>
      <c r="H727" s="51">
        <v>1</v>
      </c>
      <c r="I727" s="52">
        <f>J727/H727</f>
        <v>94990</v>
      </c>
      <c r="J727" s="52">
        <v>94990</v>
      </c>
      <c r="K727" s="51">
        <v>7</v>
      </c>
      <c r="L727" s="53">
        <f>K727/H727*30</f>
        <v>210</v>
      </c>
    </row>
    <row r="728" spans="1:12" s="2" customFormat="1" ht="13.95" customHeight="1" outlineLevel="2" x14ac:dyDescent="0.2">
      <c r="A728" s="50" t="s">
        <v>70</v>
      </c>
      <c r="B728" s="50" t="s">
        <v>4</v>
      </c>
      <c r="C728" s="50" t="s">
        <v>46</v>
      </c>
      <c r="D728" s="50" t="s">
        <v>795</v>
      </c>
      <c r="E728" s="50" t="s">
        <v>127</v>
      </c>
      <c r="F728" s="50" t="s">
        <v>128</v>
      </c>
      <c r="G728" s="50" t="s">
        <v>664</v>
      </c>
      <c r="H728" s="51">
        <v>1</v>
      </c>
      <c r="I728" s="52">
        <f>J728/H728</f>
        <v>94990</v>
      </c>
      <c r="J728" s="52">
        <v>94990</v>
      </c>
      <c r="K728" s="51">
        <v>5</v>
      </c>
      <c r="L728" s="53">
        <f>K728/H728*30</f>
        <v>150</v>
      </c>
    </row>
    <row r="729" spans="1:12" s="2" customFormat="1" ht="13.95" customHeight="1" outlineLevel="2" x14ac:dyDescent="0.2">
      <c r="A729" s="50" t="s">
        <v>70</v>
      </c>
      <c r="B729" s="50" t="s">
        <v>4</v>
      </c>
      <c r="C729" s="50" t="s">
        <v>46</v>
      </c>
      <c r="D729" s="50" t="s">
        <v>796</v>
      </c>
      <c r="E729" s="50" t="s">
        <v>127</v>
      </c>
      <c r="F729" s="50" t="s">
        <v>128</v>
      </c>
      <c r="G729" s="50" t="s">
        <v>316</v>
      </c>
      <c r="H729" s="51">
        <v>1</v>
      </c>
      <c r="I729" s="52">
        <f>J729/H729</f>
        <v>94990</v>
      </c>
      <c r="J729" s="52">
        <v>94990</v>
      </c>
      <c r="K729" s="51">
        <v>6</v>
      </c>
      <c r="L729" s="53">
        <f>K729/H729*30</f>
        <v>180</v>
      </c>
    </row>
    <row r="730" spans="1:12" s="2" customFormat="1" ht="13.95" customHeight="1" outlineLevel="2" x14ac:dyDescent="0.2">
      <c r="A730" s="50" t="s">
        <v>70</v>
      </c>
      <c r="B730" s="50" t="s">
        <v>4</v>
      </c>
      <c r="C730" s="50" t="s">
        <v>46</v>
      </c>
      <c r="D730" s="50" t="s">
        <v>797</v>
      </c>
      <c r="E730" s="50" t="s">
        <v>127</v>
      </c>
      <c r="F730" s="50" t="s">
        <v>128</v>
      </c>
      <c r="G730" s="50" t="s">
        <v>600</v>
      </c>
      <c r="H730" s="51">
        <v>1</v>
      </c>
      <c r="I730" s="52">
        <f>J730/H730</f>
        <v>94990</v>
      </c>
      <c r="J730" s="52">
        <v>94990</v>
      </c>
      <c r="K730" s="51">
        <v>15</v>
      </c>
      <c r="L730" s="53">
        <f>K730/H730*30</f>
        <v>450</v>
      </c>
    </row>
    <row r="731" spans="1:12" s="2" customFormat="1" ht="13.95" customHeight="1" outlineLevel="2" x14ac:dyDescent="0.2">
      <c r="A731" s="50" t="s">
        <v>165</v>
      </c>
      <c r="B731" s="50" t="s">
        <v>4</v>
      </c>
      <c r="C731" s="50" t="s">
        <v>46</v>
      </c>
      <c r="D731" s="50" t="s">
        <v>802</v>
      </c>
      <c r="E731" s="50" t="s">
        <v>228</v>
      </c>
      <c r="F731" s="50" t="s">
        <v>168</v>
      </c>
      <c r="G731" s="50" t="s">
        <v>86</v>
      </c>
      <c r="H731" s="51">
        <v>1</v>
      </c>
      <c r="I731" s="52">
        <f>J731/H731</f>
        <v>89990</v>
      </c>
      <c r="J731" s="52">
        <v>89990</v>
      </c>
      <c r="K731" s="51">
        <v>10</v>
      </c>
      <c r="L731" s="53">
        <f>K731/H731*30</f>
        <v>300</v>
      </c>
    </row>
    <row r="732" spans="1:12" s="2" customFormat="1" ht="13.95" customHeight="1" outlineLevel="2" x14ac:dyDescent="0.2">
      <c r="A732" s="50" t="s">
        <v>165</v>
      </c>
      <c r="B732" s="50" t="s">
        <v>4</v>
      </c>
      <c r="C732" s="50" t="s">
        <v>46</v>
      </c>
      <c r="D732" s="50" t="s">
        <v>803</v>
      </c>
      <c r="E732" s="50" t="s">
        <v>804</v>
      </c>
      <c r="F732" s="50" t="s">
        <v>805</v>
      </c>
      <c r="G732" s="50" t="s">
        <v>806</v>
      </c>
      <c r="H732" s="51">
        <v>1</v>
      </c>
      <c r="I732" s="52">
        <f>J732/H732</f>
        <v>89990</v>
      </c>
      <c r="J732" s="52">
        <v>89990</v>
      </c>
      <c r="K732" s="51">
        <v>17</v>
      </c>
      <c r="L732" s="53">
        <f>K732/H732*30</f>
        <v>510</v>
      </c>
    </row>
    <row r="733" spans="1:12" s="2" customFormat="1" ht="13.95" customHeight="1" outlineLevel="2" x14ac:dyDescent="0.2">
      <c r="A733" s="50" t="s">
        <v>165</v>
      </c>
      <c r="B733" s="50" t="s">
        <v>4</v>
      </c>
      <c r="C733" s="50" t="s">
        <v>46</v>
      </c>
      <c r="D733" s="50" t="s">
        <v>807</v>
      </c>
      <c r="E733" s="50" t="s">
        <v>804</v>
      </c>
      <c r="F733" s="50" t="s">
        <v>805</v>
      </c>
      <c r="G733" s="50" t="s">
        <v>808</v>
      </c>
      <c r="H733" s="51">
        <v>1</v>
      </c>
      <c r="I733" s="52">
        <f>J733/H733</f>
        <v>89990</v>
      </c>
      <c r="J733" s="52">
        <v>89990</v>
      </c>
      <c r="K733" s="51">
        <v>28</v>
      </c>
      <c r="L733" s="53">
        <f>K733/H733*30</f>
        <v>840</v>
      </c>
    </row>
    <row r="734" spans="1:12" s="2" customFormat="1" ht="13.95" customHeight="1" outlineLevel="2" x14ac:dyDescent="0.2">
      <c r="A734" s="50" t="s">
        <v>165</v>
      </c>
      <c r="B734" s="50" t="s">
        <v>4</v>
      </c>
      <c r="C734" s="50" t="s">
        <v>46</v>
      </c>
      <c r="D734" s="50" t="s">
        <v>809</v>
      </c>
      <c r="E734" s="50" t="s">
        <v>804</v>
      </c>
      <c r="F734" s="50" t="s">
        <v>805</v>
      </c>
      <c r="G734" s="50" t="s">
        <v>86</v>
      </c>
      <c r="H734" s="51">
        <v>1</v>
      </c>
      <c r="I734" s="52">
        <f>J734/H734</f>
        <v>89990</v>
      </c>
      <c r="J734" s="52">
        <v>89990</v>
      </c>
      <c r="K734" s="51">
        <v>13</v>
      </c>
      <c r="L734" s="53">
        <f>K734/H734*30</f>
        <v>390</v>
      </c>
    </row>
    <row r="735" spans="1:12" s="2" customFormat="1" ht="13.95" customHeight="1" outlineLevel="2" x14ac:dyDescent="0.2">
      <c r="A735" s="50" t="s">
        <v>165</v>
      </c>
      <c r="B735" s="50" t="s">
        <v>4</v>
      </c>
      <c r="C735" s="50" t="s">
        <v>46</v>
      </c>
      <c r="D735" s="50" t="s">
        <v>810</v>
      </c>
      <c r="E735" s="50" t="s">
        <v>804</v>
      </c>
      <c r="F735" s="50" t="s">
        <v>229</v>
      </c>
      <c r="G735" s="50" t="s">
        <v>811</v>
      </c>
      <c r="H735" s="51">
        <v>1</v>
      </c>
      <c r="I735" s="52">
        <f>J735/H735</f>
        <v>89990</v>
      </c>
      <c r="J735" s="52">
        <v>89990</v>
      </c>
      <c r="K735" s="51">
        <v>5</v>
      </c>
      <c r="L735" s="53">
        <f>K735/H735*30</f>
        <v>150</v>
      </c>
    </row>
    <row r="736" spans="1:12" s="2" customFormat="1" ht="13.95" customHeight="1" outlineLevel="2" x14ac:dyDescent="0.2">
      <c r="A736" s="50" t="s">
        <v>165</v>
      </c>
      <c r="B736" s="50" t="s">
        <v>4</v>
      </c>
      <c r="C736" s="50" t="s">
        <v>46</v>
      </c>
      <c r="D736" s="50" t="s">
        <v>812</v>
      </c>
      <c r="E736" s="50" t="s">
        <v>804</v>
      </c>
      <c r="F736" s="50" t="s">
        <v>229</v>
      </c>
      <c r="G736" s="50" t="s">
        <v>813</v>
      </c>
      <c r="H736" s="51">
        <v>1</v>
      </c>
      <c r="I736" s="52">
        <f>J736/H736</f>
        <v>89990</v>
      </c>
      <c r="J736" s="52">
        <v>89990</v>
      </c>
      <c r="K736" s="51">
        <v>7</v>
      </c>
      <c r="L736" s="53">
        <f>K736/H736*30</f>
        <v>210</v>
      </c>
    </row>
    <row r="737" spans="1:12" s="2" customFormat="1" ht="13.95" customHeight="1" outlineLevel="2" x14ac:dyDescent="0.2">
      <c r="A737" s="50" t="s">
        <v>70</v>
      </c>
      <c r="B737" s="50" t="s">
        <v>4</v>
      </c>
      <c r="C737" s="50" t="s">
        <v>46</v>
      </c>
      <c r="D737" s="50" t="s">
        <v>829</v>
      </c>
      <c r="E737" s="50" t="s">
        <v>326</v>
      </c>
      <c r="F737" s="50" t="s">
        <v>73</v>
      </c>
      <c r="G737" s="50" t="s">
        <v>88</v>
      </c>
      <c r="H737" s="51">
        <v>1</v>
      </c>
      <c r="I737" s="52">
        <f>J737/H737</f>
        <v>89990</v>
      </c>
      <c r="J737" s="52">
        <v>89990</v>
      </c>
      <c r="K737" s="51">
        <v>14</v>
      </c>
      <c r="L737" s="53">
        <f>K737/H737*30</f>
        <v>420</v>
      </c>
    </row>
    <row r="738" spans="1:12" s="2" customFormat="1" ht="13.95" customHeight="1" outlineLevel="2" x14ac:dyDescent="0.2">
      <c r="A738" s="50" t="s">
        <v>70</v>
      </c>
      <c r="B738" s="50" t="s">
        <v>4</v>
      </c>
      <c r="C738" s="50" t="s">
        <v>46</v>
      </c>
      <c r="D738" s="50" t="s">
        <v>830</v>
      </c>
      <c r="E738" s="50" t="s">
        <v>326</v>
      </c>
      <c r="F738" s="50" t="s">
        <v>73</v>
      </c>
      <c r="G738" s="50" t="s">
        <v>84</v>
      </c>
      <c r="H738" s="51">
        <v>1</v>
      </c>
      <c r="I738" s="52">
        <f>J738/H738</f>
        <v>89990</v>
      </c>
      <c r="J738" s="52">
        <v>89990</v>
      </c>
      <c r="K738" s="51">
        <v>5</v>
      </c>
      <c r="L738" s="53">
        <f>K738/H738*30</f>
        <v>150</v>
      </c>
    </row>
    <row r="739" spans="1:12" s="2" customFormat="1" ht="13.95" customHeight="1" outlineLevel="2" x14ac:dyDescent="0.2">
      <c r="A739" s="50" t="s">
        <v>70</v>
      </c>
      <c r="B739" s="50" t="s">
        <v>4</v>
      </c>
      <c r="C739" s="50" t="s">
        <v>46</v>
      </c>
      <c r="D739" s="50" t="s">
        <v>831</v>
      </c>
      <c r="E739" s="50" t="s">
        <v>326</v>
      </c>
      <c r="F739" s="50" t="s">
        <v>106</v>
      </c>
      <c r="G739" s="50" t="s">
        <v>88</v>
      </c>
      <c r="H739" s="51">
        <v>1</v>
      </c>
      <c r="I739" s="52">
        <f>J739/H739</f>
        <v>89990</v>
      </c>
      <c r="J739" s="52">
        <v>89990</v>
      </c>
      <c r="K739" s="51">
        <v>7</v>
      </c>
      <c r="L739" s="53">
        <f>K739/H739*30</f>
        <v>210</v>
      </c>
    </row>
    <row r="740" spans="1:12" s="2" customFormat="1" ht="13.95" customHeight="1" outlineLevel="2" x14ac:dyDescent="0.2">
      <c r="A740" s="50" t="s">
        <v>70</v>
      </c>
      <c r="B740" s="50" t="s">
        <v>4</v>
      </c>
      <c r="C740" s="50" t="s">
        <v>46</v>
      </c>
      <c r="D740" s="50" t="s">
        <v>832</v>
      </c>
      <c r="E740" s="50" t="s">
        <v>328</v>
      </c>
      <c r="F740" s="50" t="s">
        <v>73</v>
      </c>
      <c r="G740" s="50" t="s">
        <v>74</v>
      </c>
      <c r="H740" s="51">
        <v>1</v>
      </c>
      <c r="I740" s="52">
        <f>J740/H740</f>
        <v>89990</v>
      </c>
      <c r="J740" s="52">
        <v>89990</v>
      </c>
      <c r="K740" s="51">
        <v>5</v>
      </c>
      <c r="L740" s="53">
        <f>K740/H740*30</f>
        <v>150</v>
      </c>
    </row>
    <row r="741" spans="1:12" s="2" customFormat="1" ht="13.95" customHeight="1" outlineLevel="2" x14ac:dyDescent="0.2">
      <c r="A741" s="50" t="s">
        <v>70</v>
      </c>
      <c r="B741" s="50" t="s">
        <v>4</v>
      </c>
      <c r="C741" s="50" t="s">
        <v>46</v>
      </c>
      <c r="D741" s="50" t="s">
        <v>833</v>
      </c>
      <c r="E741" s="50" t="s">
        <v>328</v>
      </c>
      <c r="F741" s="50" t="s">
        <v>106</v>
      </c>
      <c r="G741" s="50" t="s">
        <v>74</v>
      </c>
      <c r="H741" s="51">
        <v>1</v>
      </c>
      <c r="I741" s="52">
        <f>J741/H741</f>
        <v>89990</v>
      </c>
      <c r="J741" s="52">
        <v>89990</v>
      </c>
      <c r="K741" s="51">
        <v>14</v>
      </c>
      <c r="L741" s="53">
        <f>K741/H741*30</f>
        <v>420</v>
      </c>
    </row>
    <row r="742" spans="1:12" s="2" customFormat="1" ht="13.95" customHeight="1" outlineLevel="2" x14ac:dyDescent="0.2">
      <c r="A742" s="50" t="s">
        <v>70</v>
      </c>
      <c r="B742" s="50" t="s">
        <v>4</v>
      </c>
      <c r="C742" s="50" t="s">
        <v>46</v>
      </c>
      <c r="D742" s="50" t="s">
        <v>864</v>
      </c>
      <c r="E742" s="50" t="s">
        <v>328</v>
      </c>
      <c r="F742" s="50" t="s">
        <v>865</v>
      </c>
      <c r="G742" s="50" t="s">
        <v>866</v>
      </c>
      <c r="H742" s="51">
        <v>1</v>
      </c>
      <c r="I742" s="52">
        <f>J742/H742</f>
        <v>81990</v>
      </c>
      <c r="J742" s="52">
        <v>81990</v>
      </c>
      <c r="K742" s="51">
        <v>6</v>
      </c>
      <c r="L742" s="53">
        <f>K742/H742*30</f>
        <v>180</v>
      </c>
    </row>
    <row r="743" spans="1:12" s="2" customFormat="1" ht="13.95" customHeight="1" outlineLevel="1" x14ac:dyDescent="0.2">
      <c r="A743" s="50"/>
      <c r="B743" s="50"/>
      <c r="C743" s="58" t="s">
        <v>1459</v>
      </c>
      <c r="D743" s="50"/>
      <c r="E743" s="50"/>
      <c r="F743" s="50"/>
      <c r="G743" s="50"/>
      <c r="H743" s="51">
        <f>SUBTOTAL(9,H667:H742)</f>
        <v>151</v>
      </c>
      <c r="I743" s="52"/>
      <c r="J743" s="52">
        <f>SUBTOTAL(9,J667:J742)</f>
        <v>16357490</v>
      </c>
      <c r="K743" s="51"/>
      <c r="L743" s="53"/>
    </row>
    <row r="744" spans="1:12" s="2" customFormat="1" ht="13.95" customHeight="1" outlineLevel="2" x14ac:dyDescent="0.2">
      <c r="A744" s="50" t="s">
        <v>70</v>
      </c>
      <c r="B744" s="50" t="s">
        <v>4</v>
      </c>
      <c r="C744" s="50" t="s">
        <v>47</v>
      </c>
      <c r="D744" s="50" t="s">
        <v>79</v>
      </c>
      <c r="E744" s="50" t="s">
        <v>80</v>
      </c>
      <c r="F744" s="50" t="s">
        <v>81</v>
      </c>
      <c r="G744" s="50" t="s">
        <v>82</v>
      </c>
      <c r="H744" s="51">
        <v>3</v>
      </c>
      <c r="I744" s="52">
        <f>J744/H744</f>
        <v>386657</v>
      </c>
      <c r="J744" s="52">
        <v>1159971</v>
      </c>
      <c r="K744" s="51">
        <v>0</v>
      </c>
      <c r="L744" s="53">
        <f>K744/H744*30</f>
        <v>0</v>
      </c>
    </row>
    <row r="745" spans="1:12" s="2" customFormat="1" ht="13.95" customHeight="1" outlineLevel="2" x14ac:dyDescent="0.2">
      <c r="A745" s="50" t="s">
        <v>70</v>
      </c>
      <c r="B745" s="50" t="s">
        <v>4</v>
      </c>
      <c r="C745" s="50" t="s">
        <v>47</v>
      </c>
      <c r="D745" s="50" t="s">
        <v>98</v>
      </c>
      <c r="E745" s="50" t="s">
        <v>80</v>
      </c>
      <c r="F745" s="50" t="s">
        <v>81</v>
      </c>
      <c r="G745" s="50" t="s">
        <v>99</v>
      </c>
      <c r="H745" s="51">
        <v>2</v>
      </c>
      <c r="I745" s="52">
        <f>J745/H745</f>
        <v>399990</v>
      </c>
      <c r="J745" s="52">
        <v>799980</v>
      </c>
      <c r="K745" s="51">
        <v>2</v>
      </c>
      <c r="L745" s="53">
        <f>K745/H745*30</f>
        <v>30</v>
      </c>
    </row>
    <row r="746" spans="1:12" s="2" customFormat="1" ht="13.95" customHeight="1" outlineLevel="2" x14ac:dyDescent="0.2">
      <c r="A746" s="50" t="s">
        <v>70</v>
      </c>
      <c r="B746" s="50" t="s">
        <v>4</v>
      </c>
      <c r="C746" s="50" t="s">
        <v>47</v>
      </c>
      <c r="D746" s="50" t="s">
        <v>100</v>
      </c>
      <c r="E746" s="50" t="s">
        <v>80</v>
      </c>
      <c r="F746" s="50" t="s">
        <v>81</v>
      </c>
      <c r="G746" s="50" t="s">
        <v>101</v>
      </c>
      <c r="H746" s="51">
        <v>2</v>
      </c>
      <c r="I746" s="52">
        <f>J746/H746</f>
        <v>399990</v>
      </c>
      <c r="J746" s="52">
        <v>799980</v>
      </c>
      <c r="K746" s="51">
        <v>8</v>
      </c>
      <c r="L746" s="53">
        <f>K746/H746*30</f>
        <v>120</v>
      </c>
    </row>
    <row r="747" spans="1:12" s="2" customFormat="1" ht="13.95" customHeight="1" outlineLevel="2" x14ac:dyDescent="0.2">
      <c r="A747" s="50" t="s">
        <v>70</v>
      </c>
      <c r="B747" s="50" t="s">
        <v>4</v>
      </c>
      <c r="C747" s="50" t="s">
        <v>47</v>
      </c>
      <c r="D747" s="50" t="s">
        <v>174</v>
      </c>
      <c r="E747" s="50" t="s">
        <v>175</v>
      </c>
      <c r="F747" s="50" t="s">
        <v>73</v>
      </c>
      <c r="G747" s="50" t="s">
        <v>88</v>
      </c>
      <c r="H747" s="51">
        <v>2</v>
      </c>
      <c r="I747" s="52">
        <f>J747/H747</f>
        <v>214990</v>
      </c>
      <c r="J747" s="52">
        <v>429980</v>
      </c>
      <c r="K747" s="51">
        <v>9</v>
      </c>
      <c r="L747" s="53">
        <f>K747/H747*30</f>
        <v>135</v>
      </c>
    </row>
    <row r="748" spans="1:12" s="2" customFormat="1" ht="13.95" customHeight="1" outlineLevel="2" x14ac:dyDescent="0.2">
      <c r="A748" s="50" t="s">
        <v>70</v>
      </c>
      <c r="B748" s="50" t="s">
        <v>4</v>
      </c>
      <c r="C748" s="50" t="s">
        <v>47</v>
      </c>
      <c r="D748" s="50" t="s">
        <v>180</v>
      </c>
      <c r="E748" s="50" t="s">
        <v>80</v>
      </c>
      <c r="F748" s="50" t="s">
        <v>81</v>
      </c>
      <c r="G748" s="50" t="s">
        <v>181</v>
      </c>
      <c r="H748" s="51">
        <v>1</v>
      </c>
      <c r="I748" s="52">
        <f>J748/H748</f>
        <v>399999</v>
      </c>
      <c r="J748" s="52">
        <v>399999</v>
      </c>
      <c r="K748" s="51">
        <v>0</v>
      </c>
      <c r="L748" s="53">
        <f>K748/H748*30</f>
        <v>0</v>
      </c>
    </row>
    <row r="749" spans="1:12" s="2" customFormat="1" ht="13.95" customHeight="1" outlineLevel="2" x14ac:dyDescent="0.2">
      <c r="A749" s="50" t="s">
        <v>70</v>
      </c>
      <c r="B749" s="50" t="s">
        <v>4</v>
      </c>
      <c r="C749" s="50" t="s">
        <v>47</v>
      </c>
      <c r="D749" s="50" t="s">
        <v>182</v>
      </c>
      <c r="E749" s="50" t="s">
        <v>80</v>
      </c>
      <c r="F749" s="50" t="s">
        <v>73</v>
      </c>
      <c r="G749" s="50" t="s">
        <v>90</v>
      </c>
      <c r="H749" s="51">
        <v>1</v>
      </c>
      <c r="I749" s="52">
        <f>J749/H749</f>
        <v>399990</v>
      </c>
      <c r="J749" s="52">
        <v>399990</v>
      </c>
      <c r="K749" s="51">
        <v>1</v>
      </c>
      <c r="L749" s="53">
        <f>K749/H749*30</f>
        <v>30</v>
      </c>
    </row>
    <row r="750" spans="1:12" s="2" customFormat="1" ht="13.95" customHeight="1" outlineLevel="2" x14ac:dyDescent="0.2">
      <c r="A750" s="50" t="s">
        <v>70</v>
      </c>
      <c r="B750" s="50" t="s">
        <v>4</v>
      </c>
      <c r="C750" s="50" t="s">
        <v>47</v>
      </c>
      <c r="D750" s="50" t="s">
        <v>183</v>
      </c>
      <c r="E750" s="50" t="s">
        <v>80</v>
      </c>
      <c r="F750" s="50" t="s">
        <v>73</v>
      </c>
      <c r="G750" s="50" t="s">
        <v>84</v>
      </c>
      <c r="H750" s="51">
        <v>1</v>
      </c>
      <c r="I750" s="52">
        <f>J750/H750</f>
        <v>399990</v>
      </c>
      <c r="J750" s="52">
        <v>399990</v>
      </c>
      <c r="K750" s="51">
        <v>4</v>
      </c>
      <c r="L750" s="53">
        <f>K750/H750*30</f>
        <v>120</v>
      </c>
    </row>
    <row r="751" spans="1:12" s="2" customFormat="1" ht="13.95" customHeight="1" outlineLevel="2" x14ac:dyDescent="0.2">
      <c r="A751" s="50" t="s">
        <v>70</v>
      </c>
      <c r="B751" s="50" t="s">
        <v>4</v>
      </c>
      <c r="C751" s="50" t="s">
        <v>47</v>
      </c>
      <c r="D751" s="50" t="s">
        <v>184</v>
      </c>
      <c r="E751" s="50" t="s">
        <v>80</v>
      </c>
      <c r="F751" s="50" t="s">
        <v>185</v>
      </c>
      <c r="G751" s="50" t="s">
        <v>86</v>
      </c>
      <c r="H751" s="51">
        <v>1</v>
      </c>
      <c r="I751" s="52">
        <f>J751/H751</f>
        <v>399990</v>
      </c>
      <c r="J751" s="52">
        <v>399990</v>
      </c>
      <c r="K751" s="51">
        <v>3</v>
      </c>
      <c r="L751" s="53">
        <f>K751/H751*30</f>
        <v>90</v>
      </c>
    </row>
    <row r="752" spans="1:12" s="2" customFormat="1" ht="13.95" customHeight="1" outlineLevel="2" x14ac:dyDescent="0.2">
      <c r="A752" s="50" t="s">
        <v>70</v>
      </c>
      <c r="B752" s="50" t="s">
        <v>4</v>
      </c>
      <c r="C752" s="50" t="s">
        <v>47</v>
      </c>
      <c r="D752" s="50" t="s">
        <v>186</v>
      </c>
      <c r="E752" s="50" t="s">
        <v>80</v>
      </c>
      <c r="F752" s="50" t="s">
        <v>128</v>
      </c>
      <c r="G752" s="50" t="s">
        <v>187</v>
      </c>
      <c r="H752" s="51">
        <v>1</v>
      </c>
      <c r="I752" s="52">
        <f>J752/H752</f>
        <v>399990</v>
      </c>
      <c r="J752" s="52">
        <v>399990</v>
      </c>
      <c r="K752" s="51">
        <v>2</v>
      </c>
      <c r="L752" s="53">
        <f>K752/H752*30</f>
        <v>60</v>
      </c>
    </row>
    <row r="753" spans="1:12" s="2" customFormat="1" ht="13.95" customHeight="1" outlineLevel="2" x14ac:dyDescent="0.2">
      <c r="A753" s="50" t="s">
        <v>70</v>
      </c>
      <c r="B753" s="50" t="s">
        <v>4</v>
      </c>
      <c r="C753" s="50" t="s">
        <v>47</v>
      </c>
      <c r="D753" s="50" t="s">
        <v>188</v>
      </c>
      <c r="E753" s="50" t="s">
        <v>80</v>
      </c>
      <c r="F753" s="50" t="s">
        <v>189</v>
      </c>
      <c r="G753" s="50" t="s">
        <v>190</v>
      </c>
      <c r="H753" s="51">
        <v>1</v>
      </c>
      <c r="I753" s="52">
        <f>J753/H753</f>
        <v>399990</v>
      </c>
      <c r="J753" s="52">
        <v>399990</v>
      </c>
      <c r="K753" s="51">
        <v>6</v>
      </c>
      <c r="L753" s="53">
        <f>K753/H753*30</f>
        <v>180</v>
      </c>
    </row>
    <row r="754" spans="1:12" s="2" customFormat="1" ht="13.95" customHeight="1" outlineLevel="2" x14ac:dyDescent="0.2">
      <c r="A754" s="50" t="s">
        <v>70</v>
      </c>
      <c r="B754" s="50" t="s">
        <v>4</v>
      </c>
      <c r="C754" s="50" t="s">
        <v>47</v>
      </c>
      <c r="D754" s="50" t="s">
        <v>191</v>
      </c>
      <c r="E754" s="50" t="s">
        <v>80</v>
      </c>
      <c r="F754" s="50" t="s">
        <v>189</v>
      </c>
      <c r="G754" s="50" t="s">
        <v>192</v>
      </c>
      <c r="H754" s="51">
        <v>1</v>
      </c>
      <c r="I754" s="52">
        <f>J754/H754</f>
        <v>399990</v>
      </c>
      <c r="J754" s="52">
        <v>399990</v>
      </c>
      <c r="K754" s="51">
        <v>2</v>
      </c>
      <c r="L754" s="53">
        <f>K754/H754*30</f>
        <v>60</v>
      </c>
    </row>
    <row r="755" spans="1:12" s="2" customFormat="1" ht="13.95" customHeight="1" outlineLevel="2" x14ac:dyDescent="0.2">
      <c r="A755" s="50" t="s">
        <v>70</v>
      </c>
      <c r="B755" s="50" t="s">
        <v>4</v>
      </c>
      <c r="C755" s="50" t="s">
        <v>47</v>
      </c>
      <c r="D755" s="50" t="s">
        <v>193</v>
      </c>
      <c r="E755" s="50" t="s">
        <v>80</v>
      </c>
      <c r="F755" s="50" t="s">
        <v>194</v>
      </c>
      <c r="G755" s="50" t="s">
        <v>190</v>
      </c>
      <c r="H755" s="51">
        <v>1</v>
      </c>
      <c r="I755" s="52">
        <f>J755/H755</f>
        <v>399990</v>
      </c>
      <c r="J755" s="52">
        <v>399990</v>
      </c>
      <c r="K755" s="51">
        <v>7</v>
      </c>
      <c r="L755" s="53">
        <f>K755/H755*30</f>
        <v>210</v>
      </c>
    </row>
    <row r="756" spans="1:12" s="2" customFormat="1" ht="13.95" customHeight="1" outlineLevel="2" x14ac:dyDescent="0.2">
      <c r="A756" s="50" t="s">
        <v>70</v>
      </c>
      <c r="B756" s="50" t="s">
        <v>4</v>
      </c>
      <c r="C756" s="50" t="s">
        <v>47</v>
      </c>
      <c r="D756" s="50" t="s">
        <v>195</v>
      </c>
      <c r="E756" s="50" t="s">
        <v>80</v>
      </c>
      <c r="F756" s="50" t="s">
        <v>194</v>
      </c>
      <c r="G756" s="50" t="s">
        <v>196</v>
      </c>
      <c r="H756" s="51">
        <v>1</v>
      </c>
      <c r="I756" s="52">
        <f>J756/H756</f>
        <v>399990</v>
      </c>
      <c r="J756" s="52">
        <v>399990</v>
      </c>
      <c r="K756" s="51">
        <v>1</v>
      </c>
      <c r="L756" s="53">
        <f>K756/H756*30</f>
        <v>30</v>
      </c>
    </row>
    <row r="757" spans="1:12" s="2" customFormat="1" ht="13.95" customHeight="1" outlineLevel="2" x14ac:dyDescent="0.2">
      <c r="A757" s="50" t="s">
        <v>70</v>
      </c>
      <c r="B757" s="50" t="s">
        <v>4</v>
      </c>
      <c r="C757" s="50" t="s">
        <v>47</v>
      </c>
      <c r="D757" s="50" t="s">
        <v>274</v>
      </c>
      <c r="E757" s="50" t="s">
        <v>275</v>
      </c>
      <c r="F757" s="50" t="s">
        <v>73</v>
      </c>
      <c r="G757" s="50" t="s">
        <v>90</v>
      </c>
      <c r="H757" s="51">
        <v>2</v>
      </c>
      <c r="I757" s="52">
        <f>J757/H757</f>
        <v>155990</v>
      </c>
      <c r="J757" s="52">
        <v>311980</v>
      </c>
      <c r="K757" s="51">
        <v>9</v>
      </c>
      <c r="L757" s="53">
        <f>K757/H757*30</f>
        <v>135</v>
      </c>
    </row>
    <row r="758" spans="1:12" s="2" customFormat="1" ht="13.95" customHeight="1" outlineLevel="2" x14ac:dyDescent="0.2">
      <c r="A758" s="50" t="s">
        <v>70</v>
      </c>
      <c r="B758" s="50" t="s">
        <v>4</v>
      </c>
      <c r="C758" s="50" t="s">
        <v>47</v>
      </c>
      <c r="D758" s="50" t="s">
        <v>276</v>
      </c>
      <c r="E758" s="50" t="s">
        <v>275</v>
      </c>
      <c r="F758" s="50" t="s">
        <v>73</v>
      </c>
      <c r="G758" s="50" t="s">
        <v>86</v>
      </c>
      <c r="H758" s="51">
        <v>2</v>
      </c>
      <c r="I758" s="52">
        <f>J758/H758</f>
        <v>155990</v>
      </c>
      <c r="J758" s="52">
        <v>311980</v>
      </c>
      <c r="K758" s="51">
        <v>8</v>
      </c>
      <c r="L758" s="53">
        <f>K758/H758*30</f>
        <v>120</v>
      </c>
    </row>
    <row r="759" spans="1:12" s="2" customFormat="1" ht="13.95" customHeight="1" outlineLevel="2" x14ac:dyDescent="0.2">
      <c r="A759" s="50" t="s">
        <v>70</v>
      </c>
      <c r="B759" s="50" t="s">
        <v>4</v>
      </c>
      <c r="C759" s="50" t="s">
        <v>47</v>
      </c>
      <c r="D759" s="50" t="s">
        <v>544</v>
      </c>
      <c r="E759" s="50" t="s">
        <v>275</v>
      </c>
      <c r="F759" s="50" t="s">
        <v>73</v>
      </c>
      <c r="G759" s="50" t="s">
        <v>84</v>
      </c>
      <c r="H759" s="51">
        <v>1</v>
      </c>
      <c r="I759" s="52">
        <f>J759/H759</f>
        <v>155990</v>
      </c>
      <c r="J759" s="52">
        <v>155990</v>
      </c>
      <c r="K759" s="51">
        <v>24</v>
      </c>
      <c r="L759" s="53">
        <f>K759/H759*30</f>
        <v>720</v>
      </c>
    </row>
    <row r="760" spans="1:12" s="2" customFormat="1" ht="13.95" customHeight="1" outlineLevel="1" x14ac:dyDescent="0.2">
      <c r="A760" s="50"/>
      <c r="B760" s="50"/>
      <c r="C760" s="58" t="s">
        <v>1457</v>
      </c>
      <c r="D760" s="50"/>
      <c r="E760" s="50"/>
      <c r="F760" s="50"/>
      <c r="G760" s="50"/>
      <c r="H760" s="51">
        <f>SUBTOTAL(9,H744:H759)</f>
        <v>23</v>
      </c>
      <c r="I760" s="52"/>
      <c r="J760" s="52">
        <f>SUBTOTAL(9,J744:J759)</f>
        <v>7569780</v>
      </c>
      <c r="K760" s="51"/>
      <c r="L760" s="53"/>
    </row>
    <row r="761" spans="1:12" s="2" customFormat="1" ht="13.95" customHeight="1" outlineLevel="2" x14ac:dyDescent="0.2">
      <c r="A761" s="50" t="s">
        <v>70</v>
      </c>
      <c r="B761" s="50" t="s">
        <v>4</v>
      </c>
      <c r="C761" s="50" t="s">
        <v>48</v>
      </c>
      <c r="D761" s="50" t="s">
        <v>71</v>
      </c>
      <c r="E761" s="50" t="s">
        <v>72</v>
      </c>
      <c r="F761" s="50" t="s">
        <v>73</v>
      </c>
      <c r="G761" s="50" t="s">
        <v>74</v>
      </c>
      <c r="H761" s="51">
        <v>7</v>
      </c>
      <c r="I761" s="52">
        <f>J761/H761</f>
        <v>171990</v>
      </c>
      <c r="J761" s="52">
        <v>1203930</v>
      </c>
      <c r="K761" s="51">
        <v>2</v>
      </c>
      <c r="L761" s="53">
        <f>K761/H761*30</f>
        <v>8.5714285714285712</v>
      </c>
    </row>
    <row r="762" spans="1:12" s="2" customFormat="1" ht="13.95" customHeight="1" outlineLevel="2" x14ac:dyDescent="0.2">
      <c r="A762" s="50" t="s">
        <v>70</v>
      </c>
      <c r="B762" s="50" t="s">
        <v>4</v>
      </c>
      <c r="C762" s="50" t="s">
        <v>48</v>
      </c>
      <c r="D762" s="50" t="s">
        <v>83</v>
      </c>
      <c r="E762" s="50" t="s">
        <v>72</v>
      </c>
      <c r="F762" s="50" t="s">
        <v>73</v>
      </c>
      <c r="G762" s="50" t="s">
        <v>84</v>
      </c>
      <c r="H762" s="51">
        <v>6</v>
      </c>
      <c r="I762" s="52">
        <f>J762/H762</f>
        <v>171990</v>
      </c>
      <c r="J762" s="52">
        <v>1031940</v>
      </c>
      <c r="K762" s="51">
        <v>3</v>
      </c>
      <c r="L762" s="53">
        <f>K762/H762*30</f>
        <v>15</v>
      </c>
    </row>
    <row r="763" spans="1:12" s="2" customFormat="1" ht="13.95" customHeight="1" outlineLevel="2" x14ac:dyDescent="0.2">
      <c r="A763" s="50" t="s">
        <v>70</v>
      </c>
      <c r="B763" s="50" t="s">
        <v>4</v>
      </c>
      <c r="C763" s="50" t="s">
        <v>48</v>
      </c>
      <c r="D763" s="50" t="s">
        <v>85</v>
      </c>
      <c r="E763" s="50" t="s">
        <v>72</v>
      </c>
      <c r="F763" s="50" t="s">
        <v>73</v>
      </c>
      <c r="G763" s="50" t="s">
        <v>86</v>
      </c>
      <c r="H763" s="51">
        <v>6</v>
      </c>
      <c r="I763" s="52">
        <f>J763/H763</f>
        <v>157657.5</v>
      </c>
      <c r="J763" s="52">
        <v>945945</v>
      </c>
      <c r="K763" s="51">
        <v>8</v>
      </c>
      <c r="L763" s="53">
        <f>K763/H763*30</f>
        <v>40</v>
      </c>
    </row>
    <row r="764" spans="1:12" s="2" customFormat="1" ht="13.95" customHeight="1" outlineLevel="2" x14ac:dyDescent="0.2">
      <c r="A764" s="50" t="s">
        <v>70</v>
      </c>
      <c r="B764" s="50" t="s">
        <v>4</v>
      </c>
      <c r="C764" s="50" t="s">
        <v>48</v>
      </c>
      <c r="D764" s="50" t="s">
        <v>87</v>
      </c>
      <c r="E764" s="50" t="s">
        <v>72</v>
      </c>
      <c r="F764" s="50" t="s">
        <v>73</v>
      </c>
      <c r="G764" s="50" t="s">
        <v>88</v>
      </c>
      <c r="H764" s="51">
        <v>5</v>
      </c>
      <c r="I764" s="52">
        <f>J764/H764</f>
        <v>171990</v>
      </c>
      <c r="J764" s="52">
        <v>859950</v>
      </c>
      <c r="K764" s="51">
        <v>8</v>
      </c>
      <c r="L764" s="53">
        <f>K764/H764*30</f>
        <v>48</v>
      </c>
    </row>
    <row r="765" spans="1:12" s="2" customFormat="1" ht="13.95" customHeight="1" outlineLevel="2" x14ac:dyDescent="0.2">
      <c r="A765" s="50" t="s">
        <v>70</v>
      </c>
      <c r="B765" s="50" t="s">
        <v>4</v>
      </c>
      <c r="C765" s="50" t="s">
        <v>48</v>
      </c>
      <c r="D765" s="50" t="s">
        <v>89</v>
      </c>
      <c r="E765" s="50" t="s">
        <v>72</v>
      </c>
      <c r="F765" s="50" t="s">
        <v>73</v>
      </c>
      <c r="G765" s="50" t="s">
        <v>90</v>
      </c>
      <c r="H765" s="51">
        <v>5</v>
      </c>
      <c r="I765" s="52">
        <f>J765/H765</f>
        <v>171990</v>
      </c>
      <c r="J765" s="52">
        <v>859950</v>
      </c>
      <c r="K765" s="51">
        <v>6</v>
      </c>
      <c r="L765" s="53">
        <f>K765/H765*30</f>
        <v>36</v>
      </c>
    </row>
    <row r="766" spans="1:12" s="2" customFormat="1" ht="13.95" customHeight="1" outlineLevel="2" x14ac:dyDescent="0.2">
      <c r="A766" s="50" t="s">
        <v>70</v>
      </c>
      <c r="B766" s="50" t="s">
        <v>4</v>
      </c>
      <c r="C766" s="50" t="s">
        <v>48</v>
      </c>
      <c r="D766" s="50" t="s">
        <v>93</v>
      </c>
      <c r="E766" s="50" t="s">
        <v>94</v>
      </c>
      <c r="F766" s="50" t="s">
        <v>73</v>
      </c>
      <c r="G766" s="50" t="s">
        <v>90</v>
      </c>
      <c r="H766" s="51">
        <v>5</v>
      </c>
      <c r="I766" s="52">
        <f>J766/H766</f>
        <v>165990</v>
      </c>
      <c r="J766" s="52">
        <v>829950</v>
      </c>
      <c r="K766" s="51">
        <v>1</v>
      </c>
      <c r="L766" s="53">
        <f>K766/H766*30</f>
        <v>6</v>
      </c>
    </row>
    <row r="767" spans="1:12" s="2" customFormat="1" ht="13.95" customHeight="1" outlineLevel="2" x14ac:dyDescent="0.2">
      <c r="A767" s="50" t="s">
        <v>70</v>
      </c>
      <c r="B767" s="50" t="s">
        <v>4</v>
      </c>
      <c r="C767" s="50" t="s">
        <v>48</v>
      </c>
      <c r="D767" s="50" t="s">
        <v>95</v>
      </c>
      <c r="E767" s="50" t="s">
        <v>96</v>
      </c>
      <c r="F767" s="50" t="s">
        <v>73</v>
      </c>
      <c r="G767" s="50" t="s">
        <v>97</v>
      </c>
      <c r="H767" s="51">
        <v>7</v>
      </c>
      <c r="I767" s="52">
        <f>J767/H767</f>
        <v>114990</v>
      </c>
      <c r="J767" s="52">
        <v>804930</v>
      </c>
      <c r="K767" s="51">
        <v>11</v>
      </c>
      <c r="L767" s="53">
        <f>K767/H767*30</f>
        <v>47.142857142857139</v>
      </c>
    </row>
    <row r="768" spans="1:12" s="2" customFormat="1" ht="13.95" customHeight="1" outlineLevel="2" x14ac:dyDescent="0.2">
      <c r="A768" s="50" t="s">
        <v>70</v>
      </c>
      <c r="B768" s="50" t="s">
        <v>4</v>
      </c>
      <c r="C768" s="50" t="s">
        <v>48</v>
      </c>
      <c r="D768" s="50" t="s">
        <v>109</v>
      </c>
      <c r="E768" s="50" t="s">
        <v>110</v>
      </c>
      <c r="F768" s="50" t="s">
        <v>106</v>
      </c>
      <c r="G768" s="50" t="s">
        <v>97</v>
      </c>
      <c r="H768" s="51">
        <v>8</v>
      </c>
      <c r="I768" s="52">
        <f>J768/H768</f>
        <v>89990</v>
      </c>
      <c r="J768" s="52">
        <v>719920</v>
      </c>
      <c r="K768" s="51">
        <v>14</v>
      </c>
      <c r="L768" s="53">
        <f>K768/H768*30</f>
        <v>52.5</v>
      </c>
    </row>
    <row r="769" spans="1:12" s="2" customFormat="1" ht="13.95" customHeight="1" outlineLevel="2" x14ac:dyDescent="0.2">
      <c r="A769" s="50" t="s">
        <v>70</v>
      </c>
      <c r="B769" s="50" t="s">
        <v>4</v>
      </c>
      <c r="C769" s="50" t="s">
        <v>48</v>
      </c>
      <c r="D769" s="50" t="s">
        <v>111</v>
      </c>
      <c r="E769" s="50" t="s">
        <v>110</v>
      </c>
      <c r="F769" s="50" t="s">
        <v>106</v>
      </c>
      <c r="G769" s="50" t="s">
        <v>112</v>
      </c>
      <c r="H769" s="51">
        <v>8</v>
      </c>
      <c r="I769" s="52">
        <f>J769/H769</f>
        <v>89990</v>
      </c>
      <c r="J769" s="52">
        <v>719920</v>
      </c>
      <c r="K769" s="51">
        <v>10</v>
      </c>
      <c r="L769" s="53">
        <f>K769/H769*30</f>
        <v>37.5</v>
      </c>
    </row>
    <row r="770" spans="1:12" s="2" customFormat="1" ht="13.95" customHeight="1" outlineLevel="2" x14ac:dyDescent="0.2">
      <c r="A770" s="50" t="s">
        <v>70</v>
      </c>
      <c r="B770" s="50" t="s">
        <v>4</v>
      </c>
      <c r="C770" s="50" t="s">
        <v>48</v>
      </c>
      <c r="D770" s="50" t="s">
        <v>113</v>
      </c>
      <c r="E770" s="50" t="s">
        <v>72</v>
      </c>
      <c r="F770" s="50" t="s">
        <v>73</v>
      </c>
      <c r="G770" s="50" t="s">
        <v>97</v>
      </c>
      <c r="H770" s="51">
        <v>4</v>
      </c>
      <c r="I770" s="52">
        <f>J770/H770</f>
        <v>171990</v>
      </c>
      <c r="J770" s="52">
        <v>687960</v>
      </c>
      <c r="K770" s="51">
        <v>8</v>
      </c>
      <c r="L770" s="53">
        <f>K770/H770*30</f>
        <v>60</v>
      </c>
    </row>
    <row r="771" spans="1:12" s="2" customFormat="1" ht="13.95" customHeight="1" outlineLevel="2" x14ac:dyDescent="0.2">
      <c r="A771" s="50" t="s">
        <v>70</v>
      </c>
      <c r="B771" s="50" t="s">
        <v>4</v>
      </c>
      <c r="C771" s="50" t="s">
        <v>48</v>
      </c>
      <c r="D771" s="50" t="s">
        <v>114</v>
      </c>
      <c r="E771" s="50" t="s">
        <v>94</v>
      </c>
      <c r="F771" s="50" t="s">
        <v>73</v>
      </c>
      <c r="G771" s="50" t="s">
        <v>86</v>
      </c>
      <c r="H771" s="51">
        <v>4</v>
      </c>
      <c r="I771" s="52">
        <f>J771/H771</f>
        <v>165990</v>
      </c>
      <c r="J771" s="52">
        <v>663960</v>
      </c>
      <c r="K771" s="51">
        <v>10</v>
      </c>
      <c r="L771" s="53">
        <f>K771/H771*30</f>
        <v>75</v>
      </c>
    </row>
    <row r="772" spans="1:12" s="2" customFormat="1" ht="13.95" customHeight="1" outlineLevel="2" x14ac:dyDescent="0.2">
      <c r="A772" s="50" t="s">
        <v>70</v>
      </c>
      <c r="B772" s="50" t="s">
        <v>4</v>
      </c>
      <c r="C772" s="50" t="s">
        <v>48</v>
      </c>
      <c r="D772" s="50" t="s">
        <v>115</v>
      </c>
      <c r="E772" s="50" t="s">
        <v>116</v>
      </c>
      <c r="F772" s="50" t="s">
        <v>106</v>
      </c>
      <c r="G772" s="50" t="s">
        <v>97</v>
      </c>
      <c r="H772" s="51">
        <v>3</v>
      </c>
      <c r="I772" s="52">
        <f>J772/H772</f>
        <v>210990</v>
      </c>
      <c r="J772" s="52">
        <v>632970</v>
      </c>
      <c r="K772" s="51">
        <v>12</v>
      </c>
      <c r="L772" s="53">
        <f>K772/H772*30</f>
        <v>120</v>
      </c>
    </row>
    <row r="773" spans="1:12" s="2" customFormat="1" ht="13.95" customHeight="1" outlineLevel="2" x14ac:dyDescent="0.2">
      <c r="A773" s="50" t="s">
        <v>70</v>
      </c>
      <c r="B773" s="50" t="s">
        <v>4</v>
      </c>
      <c r="C773" s="50" t="s">
        <v>48</v>
      </c>
      <c r="D773" s="50" t="s">
        <v>117</v>
      </c>
      <c r="E773" s="50" t="s">
        <v>118</v>
      </c>
      <c r="F773" s="50" t="s">
        <v>106</v>
      </c>
      <c r="G773" s="50" t="s">
        <v>88</v>
      </c>
      <c r="H773" s="51">
        <v>5</v>
      </c>
      <c r="I773" s="52">
        <f>J773/H773</f>
        <v>119990</v>
      </c>
      <c r="J773" s="52">
        <v>599950</v>
      </c>
      <c r="K773" s="51">
        <v>4</v>
      </c>
      <c r="L773" s="53">
        <f>K773/H773*30</f>
        <v>24</v>
      </c>
    </row>
    <row r="774" spans="1:12" s="2" customFormat="1" ht="13.95" customHeight="1" outlineLevel="2" x14ac:dyDescent="0.2">
      <c r="A774" s="50" t="s">
        <v>70</v>
      </c>
      <c r="B774" s="50" t="s">
        <v>4</v>
      </c>
      <c r="C774" s="50" t="s">
        <v>48</v>
      </c>
      <c r="D774" s="50" t="s">
        <v>134</v>
      </c>
      <c r="E774" s="50" t="s">
        <v>110</v>
      </c>
      <c r="F774" s="50" t="s">
        <v>106</v>
      </c>
      <c r="G774" s="50" t="s">
        <v>86</v>
      </c>
      <c r="H774" s="51">
        <v>6</v>
      </c>
      <c r="I774" s="52">
        <f>J774/H774</f>
        <v>89990</v>
      </c>
      <c r="J774" s="52">
        <v>539940</v>
      </c>
      <c r="K774" s="51">
        <v>9</v>
      </c>
      <c r="L774" s="53">
        <f>K774/H774*30</f>
        <v>45</v>
      </c>
    </row>
    <row r="775" spans="1:12" s="2" customFormat="1" ht="13.95" customHeight="1" outlineLevel="2" x14ac:dyDescent="0.2">
      <c r="A775" s="50" t="s">
        <v>70</v>
      </c>
      <c r="B775" s="50" t="s">
        <v>4</v>
      </c>
      <c r="C775" s="50" t="s">
        <v>48</v>
      </c>
      <c r="D775" s="50" t="s">
        <v>135</v>
      </c>
      <c r="E775" s="50" t="s">
        <v>136</v>
      </c>
      <c r="F775" s="50" t="s">
        <v>137</v>
      </c>
      <c r="G775" s="50" t="s">
        <v>88</v>
      </c>
      <c r="H775" s="51">
        <v>3</v>
      </c>
      <c r="I775" s="52">
        <f>J775/H775</f>
        <v>167990</v>
      </c>
      <c r="J775" s="52">
        <v>503970</v>
      </c>
      <c r="K775" s="51">
        <v>10</v>
      </c>
      <c r="L775" s="53">
        <f>K775/H775*30</f>
        <v>100</v>
      </c>
    </row>
    <row r="776" spans="1:12" s="2" customFormat="1" ht="13.95" customHeight="1" outlineLevel="2" x14ac:dyDescent="0.2">
      <c r="A776" s="50" t="s">
        <v>70</v>
      </c>
      <c r="B776" s="50" t="s">
        <v>4</v>
      </c>
      <c r="C776" s="50" t="s">
        <v>48</v>
      </c>
      <c r="D776" s="50" t="s">
        <v>144</v>
      </c>
      <c r="E776" s="50" t="s">
        <v>94</v>
      </c>
      <c r="F776" s="50" t="s">
        <v>73</v>
      </c>
      <c r="G776" s="50" t="s">
        <v>88</v>
      </c>
      <c r="H776" s="51">
        <v>3</v>
      </c>
      <c r="I776" s="52">
        <f>J776/H776</f>
        <v>165990</v>
      </c>
      <c r="J776" s="52">
        <v>497970</v>
      </c>
      <c r="K776" s="51">
        <v>8</v>
      </c>
      <c r="L776" s="53">
        <f>K776/H776*30</f>
        <v>80</v>
      </c>
    </row>
    <row r="777" spans="1:12" s="2" customFormat="1" ht="13.95" customHeight="1" outlineLevel="2" x14ac:dyDescent="0.2">
      <c r="A777" s="50" t="s">
        <v>70</v>
      </c>
      <c r="B777" s="50" t="s">
        <v>4</v>
      </c>
      <c r="C777" s="50" t="s">
        <v>48</v>
      </c>
      <c r="D777" s="50" t="s">
        <v>145</v>
      </c>
      <c r="E777" s="50" t="s">
        <v>94</v>
      </c>
      <c r="F777" s="50" t="s">
        <v>73</v>
      </c>
      <c r="G777" s="50" t="s">
        <v>84</v>
      </c>
      <c r="H777" s="51">
        <v>3</v>
      </c>
      <c r="I777" s="52">
        <f>J777/H777</f>
        <v>165990</v>
      </c>
      <c r="J777" s="52">
        <v>497970</v>
      </c>
      <c r="K777" s="51">
        <v>2</v>
      </c>
      <c r="L777" s="53">
        <f>K777/H777*30</f>
        <v>20</v>
      </c>
    </row>
    <row r="778" spans="1:12" s="2" customFormat="1" ht="13.95" customHeight="1" outlineLevel="2" x14ac:dyDescent="0.2">
      <c r="A778" s="50" t="s">
        <v>70</v>
      </c>
      <c r="B778" s="50" t="s">
        <v>4</v>
      </c>
      <c r="C778" s="50" t="s">
        <v>48</v>
      </c>
      <c r="D778" s="50" t="s">
        <v>146</v>
      </c>
      <c r="E778" s="50" t="s">
        <v>136</v>
      </c>
      <c r="F778" s="50" t="s">
        <v>73</v>
      </c>
      <c r="G778" s="50" t="s">
        <v>97</v>
      </c>
      <c r="H778" s="51">
        <v>3</v>
      </c>
      <c r="I778" s="52">
        <f>J778/H778</f>
        <v>165990</v>
      </c>
      <c r="J778" s="52">
        <v>497970</v>
      </c>
      <c r="K778" s="51">
        <v>17</v>
      </c>
      <c r="L778" s="53">
        <f>K778/H778*30</f>
        <v>170</v>
      </c>
    </row>
    <row r="779" spans="1:12" s="2" customFormat="1" ht="13.95" customHeight="1" outlineLevel="2" x14ac:dyDescent="0.2">
      <c r="A779" s="50" t="s">
        <v>70</v>
      </c>
      <c r="B779" s="50" t="s">
        <v>4</v>
      </c>
      <c r="C779" s="50" t="s">
        <v>48</v>
      </c>
      <c r="D779" s="50" t="s">
        <v>147</v>
      </c>
      <c r="E779" s="50" t="s">
        <v>136</v>
      </c>
      <c r="F779" s="50" t="s">
        <v>128</v>
      </c>
      <c r="G779" s="50" t="s">
        <v>148</v>
      </c>
      <c r="H779" s="51">
        <v>3</v>
      </c>
      <c r="I779" s="52">
        <f>J779/H779</f>
        <v>165990</v>
      </c>
      <c r="J779" s="52">
        <v>497970</v>
      </c>
      <c r="K779" s="51">
        <v>27</v>
      </c>
      <c r="L779" s="53">
        <f>K779/H779*30</f>
        <v>270</v>
      </c>
    </row>
    <row r="780" spans="1:12" s="2" customFormat="1" ht="13.95" customHeight="1" outlineLevel="2" x14ac:dyDescent="0.2">
      <c r="A780" s="50" t="s">
        <v>70</v>
      </c>
      <c r="B780" s="50" t="s">
        <v>4</v>
      </c>
      <c r="C780" s="50" t="s">
        <v>48</v>
      </c>
      <c r="D780" s="50" t="s">
        <v>149</v>
      </c>
      <c r="E780" s="50" t="s">
        <v>136</v>
      </c>
      <c r="F780" s="50" t="s">
        <v>128</v>
      </c>
      <c r="G780" s="50" t="s">
        <v>150</v>
      </c>
      <c r="H780" s="51">
        <v>3</v>
      </c>
      <c r="I780" s="52">
        <f>J780/H780</f>
        <v>165990</v>
      </c>
      <c r="J780" s="52">
        <v>497970</v>
      </c>
      <c r="K780" s="51">
        <v>3</v>
      </c>
      <c r="L780" s="53">
        <f>K780/H780*30</f>
        <v>30</v>
      </c>
    </row>
    <row r="781" spans="1:12" s="2" customFormat="1" ht="13.95" customHeight="1" outlineLevel="2" x14ac:dyDescent="0.2">
      <c r="A781" s="50" t="s">
        <v>70</v>
      </c>
      <c r="B781" s="50" t="s">
        <v>4</v>
      </c>
      <c r="C781" s="50" t="s">
        <v>48</v>
      </c>
      <c r="D781" s="50" t="s">
        <v>151</v>
      </c>
      <c r="E781" s="50" t="s">
        <v>136</v>
      </c>
      <c r="F781" s="50" t="s">
        <v>128</v>
      </c>
      <c r="G781" s="50" t="s">
        <v>152</v>
      </c>
      <c r="H781" s="51">
        <v>3</v>
      </c>
      <c r="I781" s="52">
        <f>J781/H781</f>
        <v>165990</v>
      </c>
      <c r="J781" s="52">
        <v>497970</v>
      </c>
      <c r="K781" s="51">
        <v>23</v>
      </c>
      <c r="L781" s="53">
        <f>K781/H781*30</f>
        <v>230</v>
      </c>
    </row>
    <row r="782" spans="1:12" s="2" customFormat="1" ht="13.95" customHeight="1" outlineLevel="2" x14ac:dyDescent="0.2">
      <c r="A782" s="50" t="s">
        <v>70</v>
      </c>
      <c r="B782" s="50" t="s">
        <v>4</v>
      </c>
      <c r="C782" s="50" t="s">
        <v>48</v>
      </c>
      <c r="D782" s="50" t="s">
        <v>153</v>
      </c>
      <c r="E782" s="50" t="s">
        <v>136</v>
      </c>
      <c r="F782" s="50" t="s">
        <v>77</v>
      </c>
      <c r="G782" s="50" t="s">
        <v>103</v>
      </c>
      <c r="H782" s="51">
        <v>3</v>
      </c>
      <c r="I782" s="52">
        <f>J782/H782</f>
        <v>165990</v>
      </c>
      <c r="J782" s="52">
        <v>497970</v>
      </c>
      <c r="K782" s="51">
        <v>0</v>
      </c>
      <c r="L782" s="53">
        <f>K782/H782*30</f>
        <v>0</v>
      </c>
    </row>
    <row r="783" spans="1:12" s="2" customFormat="1" ht="13.95" customHeight="1" outlineLevel="2" x14ac:dyDescent="0.2">
      <c r="A783" s="50" t="s">
        <v>70</v>
      </c>
      <c r="B783" s="50" t="s">
        <v>4</v>
      </c>
      <c r="C783" s="50" t="s">
        <v>48</v>
      </c>
      <c r="D783" s="50" t="s">
        <v>154</v>
      </c>
      <c r="E783" s="50" t="s">
        <v>136</v>
      </c>
      <c r="F783" s="50" t="s">
        <v>155</v>
      </c>
      <c r="G783" s="50" t="s">
        <v>156</v>
      </c>
      <c r="H783" s="51">
        <v>3</v>
      </c>
      <c r="I783" s="52">
        <f>J783/H783</f>
        <v>165990</v>
      </c>
      <c r="J783" s="52">
        <v>497970</v>
      </c>
      <c r="K783" s="51">
        <v>2</v>
      </c>
      <c r="L783" s="53">
        <f>K783/H783*30</f>
        <v>20</v>
      </c>
    </row>
    <row r="784" spans="1:12" s="2" customFormat="1" ht="13.95" customHeight="1" outlineLevel="2" x14ac:dyDescent="0.2">
      <c r="A784" s="50" t="s">
        <v>70</v>
      </c>
      <c r="B784" s="50" t="s">
        <v>4</v>
      </c>
      <c r="C784" s="50" t="s">
        <v>48</v>
      </c>
      <c r="D784" s="50" t="s">
        <v>169</v>
      </c>
      <c r="E784" s="50" t="s">
        <v>110</v>
      </c>
      <c r="F784" s="50" t="s">
        <v>106</v>
      </c>
      <c r="G784" s="50" t="s">
        <v>74</v>
      </c>
      <c r="H784" s="51">
        <v>5</v>
      </c>
      <c r="I784" s="52">
        <f>J784/H784</f>
        <v>89990</v>
      </c>
      <c r="J784" s="52">
        <v>449950</v>
      </c>
      <c r="K784" s="51">
        <v>1</v>
      </c>
      <c r="L784" s="53">
        <f>K784/H784*30</f>
        <v>6</v>
      </c>
    </row>
    <row r="785" spans="1:12" s="2" customFormat="1" ht="13.95" customHeight="1" outlineLevel="2" x14ac:dyDescent="0.2">
      <c r="A785" s="50" t="s">
        <v>70</v>
      </c>
      <c r="B785" s="50" t="s">
        <v>4</v>
      </c>
      <c r="C785" s="50" t="s">
        <v>48</v>
      </c>
      <c r="D785" s="50" t="s">
        <v>176</v>
      </c>
      <c r="E785" s="50" t="s">
        <v>116</v>
      </c>
      <c r="F785" s="50" t="s">
        <v>177</v>
      </c>
      <c r="G785" s="50" t="s">
        <v>86</v>
      </c>
      <c r="H785" s="51">
        <v>2</v>
      </c>
      <c r="I785" s="52">
        <f>J785/H785</f>
        <v>210990</v>
      </c>
      <c r="J785" s="52">
        <v>421980</v>
      </c>
      <c r="K785" s="51">
        <v>7</v>
      </c>
      <c r="L785" s="53">
        <f>K785/H785*30</f>
        <v>105</v>
      </c>
    </row>
    <row r="786" spans="1:12" s="2" customFormat="1" ht="13.95" customHeight="1" outlineLevel="2" x14ac:dyDescent="0.2">
      <c r="A786" s="50" t="s">
        <v>70</v>
      </c>
      <c r="B786" s="50" t="s">
        <v>4</v>
      </c>
      <c r="C786" s="50" t="s">
        <v>48</v>
      </c>
      <c r="D786" s="50" t="s">
        <v>202</v>
      </c>
      <c r="E786" s="50" t="s">
        <v>203</v>
      </c>
      <c r="F786" s="50" t="s">
        <v>73</v>
      </c>
      <c r="G786" s="50" t="s">
        <v>86</v>
      </c>
      <c r="H786" s="51">
        <v>2</v>
      </c>
      <c r="I786" s="52">
        <f>J786/H786</f>
        <v>199990</v>
      </c>
      <c r="J786" s="52">
        <v>399980</v>
      </c>
      <c r="K786" s="51">
        <v>13</v>
      </c>
      <c r="L786" s="53">
        <f>K786/H786*30</f>
        <v>195</v>
      </c>
    </row>
    <row r="787" spans="1:12" s="2" customFormat="1" ht="13.95" customHeight="1" outlineLevel="2" x14ac:dyDescent="0.2">
      <c r="A787" s="50" t="s">
        <v>70</v>
      </c>
      <c r="B787" s="50" t="s">
        <v>4</v>
      </c>
      <c r="C787" s="50" t="s">
        <v>48</v>
      </c>
      <c r="D787" s="50" t="s">
        <v>204</v>
      </c>
      <c r="E787" s="50" t="s">
        <v>205</v>
      </c>
      <c r="F787" s="50" t="s">
        <v>128</v>
      </c>
      <c r="G787" s="50" t="s">
        <v>206</v>
      </c>
      <c r="H787" s="51">
        <v>2</v>
      </c>
      <c r="I787" s="52">
        <f>J787/H787</f>
        <v>199990</v>
      </c>
      <c r="J787" s="52">
        <v>399980</v>
      </c>
      <c r="K787" s="51">
        <v>8</v>
      </c>
      <c r="L787" s="53">
        <f>K787/H787*30</f>
        <v>120</v>
      </c>
    </row>
    <row r="788" spans="1:12" s="2" customFormat="1" ht="13.95" customHeight="1" outlineLevel="2" x14ac:dyDescent="0.2">
      <c r="A788" s="50" t="s">
        <v>70</v>
      </c>
      <c r="B788" s="50" t="s">
        <v>4</v>
      </c>
      <c r="C788" s="50" t="s">
        <v>48</v>
      </c>
      <c r="D788" s="50" t="s">
        <v>226</v>
      </c>
      <c r="E788" s="50" t="s">
        <v>118</v>
      </c>
      <c r="F788" s="50" t="s">
        <v>106</v>
      </c>
      <c r="G788" s="50" t="s">
        <v>86</v>
      </c>
      <c r="H788" s="51">
        <v>3</v>
      </c>
      <c r="I788" s="52">
        <f>J788/H788</f>
        <v>119990</v>
      </c>
      <c r="J788" s="52">
        <v>359970</v>
      </c>
      <c r="K788" s="51">
        <v>9</v>
      </c>
      <c r="L788" s="53">
        <f>K788/H788*30</f>
        <v>90</v>
      </c>
    </row>
    <row r="789" spans="1:12" s="2" customFormat="1" ht="13.95" customHeight="1" outlineLevel="2" x14ac:dyDescent="0.2">
      <c r="A789" s="50" t="s">
        <v>70</v>
      </c>
      <c r="B789" s="50" t="s">
        <v>4</v>
      </c>
      <c r="C789" s="50" t="s">
        <v>48</v>
      </c>
      <c r="D789" s="50" t="s">
        <v>243</v>
      </c>
      <c r="E789" s="50" t="s">
        <v>96</v>
      </c>
      <c r="F789" s="50" t="s">
        <v>73</v>
      </c>
      <c r="G789" s="50" t="s">
        <v>88</v>
      </c>
      <c r="H789" s="51">
        <v>3</v>
      </c>
      <c r="I789" s="52">
        <f>J789/H789</f>
        <v>114990</v>
      </c>
      <c r="J789" s="52">
        <v>344970</v>
      </c>
      <c r="K789" s="51">
        <v>21</v>
      </c>
      <c r="L789" s="53">
        <f>K789/H789*30</f>
        <v>210</v>
      </c>
    </row>
    <row r="790" spans="1:12" s="2" customFormat="1" ht="13.95" customHeight="1" outlineLevel="2" x14ac:dyDescent="0.2">
      <c r="A790" s="50" t="s">
        <v>70</v>
      </c>
      <c r="B790" s="50" t="s">
        <v>4</v>
      </c>
      <c r="C790" s="50" t="s">
        <v>48</v>
      </c>
      <c r="D790" s="50" t="s">
        <v>244</v>
      </c>
      <c r="E790" s="50" t="s">
        <v>96</v>
      </c>
      <c r="F790" s="50" t="s">
        <v>73</v>
      </c>
      <c r="G790" s="50" t="s">
        <v>86</v>
      </c>
      <c r="H790" s="51">
        <v>3</v>
      </c>
      <c r="I790" s="52">
        <f>J790/H790</f>
        <v>114990</v>
      </c>
      <c r="J790" s="52">
        <v>344970</v>
      </c>
      <c r="K790" s="51">
        <v>11</v>
      </c>
      <c r="L790" s="53">
        <f>K790/H790*30</f>
        <v>110</v>
      </c>
    </row>
    <row r="791" spans="1:12" s="2" customFormat="1" ht="13.95" customHeight="1" outlineLevel="2" x14ac:dyDescent="0.2">
      <c r="A791" s="50" t="s">
        <v>70</v>
      </c>
      <c r="B791" s="50" t="s">
        <v>4</v>
      </c>
      <c r="C791" s="50" t="s">
        <v>48</v>
      </c>
      <c r="D791" s="50" t="s">
        <v>250</v>
      </c>
      <c r="E791" s="50" t="s">
        <v>136</v>
      </c>
      <c r="F791" s="50" t="s">
        <v>137</v>
      </c>
      <c r="G791" s="50" t="s">
        <v>86</v>
      </c>
      <c r="H791" s="51">
        <v>2</v>
      </c>
      <c r="I791" s="52">
        <f>J791/H791</f>
        <v>167990</v>
      </c>
      <c r="J791" s="52">
        <v>335980</v>
      </c>
      <c r="K791" s="51">
        <v>28</v>
      </c>
      <c r="L791" s="53">
        <f>K791/H791*30</f>
        <v>420</v>
      </c>
    </row>
    <row r="792" spans="1:12" s="2" customFormat="1" ht="13.95" customHeight="1" outlineLevel="2" x14ac:dyDescent="0.2">
      <c r="A792" s="50" t="s">
        <v>70</v>
      </c>
      <c r="B792" s="50" t="s">
        <v>4</v>
      </c>
      <c r="C792" s="50" t="s">
        <v>48</v>
      </c>
      <c r="D792" s="50" t="s">
        <v>253</v>
      </c>
      <c r="E792" s="50" t="s">
        <v>136</v>
      </c>
      <c r="F792" s="50" t="s">
        <v>128</v>
      </c>
      <c r="G792" s="50" t="s">
        <v>254</v>
      </c>
      <c r="H792" s="51">
        <v>2</v>
      </c>
      <c r="I792" s="52">
        <f>J792/H792</f>
        <v>165990</v>
      </c>
      <c r="J792" s="52">
        <v>331980</v>
      </c>
      <c r="K792" s="51">
        <v>1</v>
      </c>
      <c r="L792" s="53">
        <f>K792/H792*30</f>
        <v>15</v>
      </c>
    </row>
    <row r="793" spans="1:12" s="2" customFormat="1" ht="13.95" customHeight="1" outlineLevel="2" x14ac:dyDescent="0.2">
      <c r="A793" s="50" t="s">
        <v>70</v>
      </c>
      <c r="B793" s="50" t="s">
        <v>4</v>
      </c>
      <c r="C793" s="50" t="s">
        <v>48</v>
      </c>
      <c r="D793" s="50" t="s">
        <v>255</v>
      </c>
      <c r="E793" s="50" t="s">
        <v>256</v>
      </c>
      <c r="F793" s="50" t="s">
        <v>73</v>
      </c>
      <c r="G793" s="50" t="s">
        <v>88</v>
      </c>
      <c r="H793" s="51">
        <v>2</v>
      </c>
      <c r="I793" s="52">
        <f>J793/H793</f>
        <v>165990</v>
      </c>
      <c r="J793" s="52">
        <v>331980</v>
      </c>
      <c r="K793" s="51">
        <v>30</v>
      </c>
      <c r="L793" s="53">
        <f>K793/H793*30</f>
        <v>450</v>
      </c>
    </row>
    <row r="794" spans="1:12" s="2" customFormat="1" ht="13.95" customHeight="1" outlineLevel="2" x14ac:dyDescent="0.2">
      <c r="A794" s="50" t="s">
        <v>70</v>
      </c>
      <c r="B794" s="50" t="s">
        <v>4</v>
      </c>
      <c r="C794" s="50" t="s">
        <v>48</v>
      </c>
      <c r="D794" s="50" t="s">
        <v>295</v>
      </c>
      <c r="E794" s="50" t="s">
        <v>296</v>
      </c>
      <c r="F794" s="50" t="s">
        <v>73</v>
      </c>
      <c r="G794" s="50" t="s">
        <v>84</v>
      </c>
      <c r="H794" s="51">
        <v>4</v>
      </c>
      <c r="I794" s="52">
        <f>J794/H794</f>
        <v>71990</v>
      </c>
      <c r="J794" s="52">
        <v>287960</v>
      </c>
      <c r="K794" s="51">
        <v>10</v>
      </c>
      <c r="L794" s="53">
        <f>K794/H794*30</f>
        <v>75</v>
      </c>
    </row>
    <row r="795" spans="1:12" s="2" customFormat="1" ht="13.95" customHeight="1" outlineLevel="2" x14ac:dyDescent="0.2">
      <c r="A795" s="50" t="s">
        <v>70</v>
      </c>
      <c r="B795" s="50" t="s">
        <v>4</v>
      </c>
      <c r="C795" s="50" t="s">
        <v>48</v>
      </c>
      <c r="D795" s="50" t="s">
        <v>312</v>
      </c>
      <c r="E795" s="50" t="s">
        <v>313</v>
      </c>
      <c r="F795" s="50" t="s">
        <v>73</v>
      </c>
      <c r="G795" s="50" t="s">
        <v>88</v>
      </c>
      <c r="H795" s="51">
        <v>1</v>
      </c>
      <c r="I795" s="52">
        <f>J795/H795</f>
        <v>269990</v>
      </c>
      <c r="J795" s="52">
        <v>269990</v>
      </c>
      <c r="K795" s="51">
        <v>13</v>
      </c>
      <c r="L795" s="53">
        <f>K795/H795*30</f>
        <v>390</v>
      </c>
    </row>
    <row r="796" spans="1:12" s="2" customFormat="1" ht="13.95" customHeight="1" outlineLevel="2" x14ac:dyDescent="0.2">
      <c r="A796" s="50" t="s">
        <v>70</v>
      </c>
      <c r="B796" s="50" t="s">
        <v>4</v>
      </c>
      <c r="C796" s="50" t="s">
        <v>48</v>
      </c>
      <c r="D796" s="50" t="s">
        <v>314</v>
      </c>
      <c r="E796" s="50" t="s">
        <v>313</v>
      </c>
      <c r="F796" s="50" t="s">
        <v>73</v>
      </c>
      <c r="G796" s="50" t="s">
        <v>84</v>
      </c>
      <c r="H796" s="51">
        <v>1</v>
      </c>
      <c r="I796" s="52">
        <f>J796/H796</f>
        <v>269990</v>
      </c>
      <c r="J796" s="52">
        <v>269990</v>
      </c>
      <c r="K796" s="51">
        <v>5</v>
      </c>
      <c r="L796" s="53">
        <f>K796/H796*30</f>
        <v>150</v>
      </c>
    </row>
    <row r="797" spans="1:12" s="2" customFormat="1" ht="13.95" customHeight="1" outlineLevel="2" x14ac:dyDescent="0.2">
      <c r="A797" s="50" t="s">
        <v>70</v>
      </c>
      <c r="B797" s="50" t="s">
        <v>4</v>
      </c>
      <c r="C797" s="50" t="s">
        <v>48</v>
      </c>
      <c r="D797" s="50" t="s">
        <v>315</v>
      </c>
      <c r="E797" s="50" t="s">
        <v>313</v>
      </c>
      <c r="F797" s="50" t="s">
        <v>128</v>
      </c>
      <c r="G797" s="50" t="s">
        <v>316</v>
      </c>
      <c r="H797" s="51">
        <v>1</v>
      </c>
      <c r="I797" s="52">
        <f>J797/H797</f>
        <v>269990</v>
      </c>
      <c r="J797" s="52">
        <v>269990</v>
      </c>
      <c r="K797" s="51">
        <v>10</v>
      </c>
      <c r="L797" s="53">
        <f>K797/H797*30</f>
        <v>300</v>
      </c>
    </row>
    <row r="798" spans="1:12" s="2" customFormat="1" ht="13.95" customHeight="1" outlineLevel="2" x14ac:dyDescent="0.2">
      <c r="A798" s="50" t="s">
        <v>70</v>
      </c>
      <c r="B798" s="50" t="s">
        <v>4</v>
      </c>
      <c r="C798" s="50" t="s">
        <v>48</v>
      </c>
      <c r="D798" s="50" t="s">
        <v>383</v>
      </c>
      <c r="E798" s="50" t="s">
        <v>384</v>
      </c>
      <c r="F798" s="50" t="s">
        <v>73</v>
      </c>
      <c r="G798" s="50" t="s">
        <v>88</v>
      </c>
      <c r="H798" s="51">
        <v>1</v>
      </c>
      <c r="I798" s="52">
        <f>J798/H798</f>
        <v>229990</v>
      </c>
      <c r="J798" s="52">
        <v>229990</v>
      </c>
      <c r="K798" s="51">
        <v>4</v>
      </c>
      <c r="L798" s="53">
        <f>K798/H798*30</f>
        <v>120</v>
      </c>
    </row>
    <row r="799" spans="1:12" s="2" customFormat="1" ht="13.95" customHeight="1" outlineLevel="2" x14ac:dyDescent="0.2">
      <c r="A799" s="50" t="s">
        <v>70</v>
      </c>
      <c r="B799" s="50" t="s">
        <v>4</v>
      </c>
      <c r="C799" s="50" t="s">
        <v>48</v>
      </c>
      <c r="D799" s="50" t="s">
        <v>385</v>
      </c>
      <c r="E799" s="50" t="s">
        <v>384</v>
      </c>
      <c r="F799" s="50" t="s">
        <v>73</v>
      </c>
      <c r="G799" s="50" t="s">
        <v>84</v>
      </c>
      <c r="H799" s="51">
        <v>1</v>
      </c>
      <c r="I799" s="52">
        <f>J799/H799</f>
        <v>229990</v>
      </c>
      <c r="J799" s="52">
        <v>229990</v>
      </c>
      <c r="K799" s="51">
        <v>9</v>
      </c>
      <c r="L799" s="53">
        <f>K799/H799*30</f>
        <v>270</v>
      </c>
    </row>
    <row r="800" spans="1:12" s="2" customFormat="1" ht="13.95" customHeight="1" outlineLevel="2" x14ac:dyDescent="0.2">
      <c r="A800" s="50" t="s">
        <v>70</v>
      </c>
      <c r="B800" s="50" t="s">
        <v>4</v>
      </c>
      <c r="C800" s="50" t="s">
        <v>48</v>
      </c>
      <c r="D800" s="50" t="s">
        <v>386</v>
      </c>
      <c r="E800" s="50" t="s">
        <v>96</v>
      </c>
      <c r="F800" s="50" t="s">
        <v>73</v>
      </c>
      <c r="G800" s="50" t="s">
        <v>74</v>
      </c>
      <c r="H800" s="51">
        <v>2</v>
      </c>
      <c r="I800" s="52">
        <f>J800/H800</f>
        <v>114990</v>
      </c>
      <c r="J800" s="52">
        <v>229980</v>
      </c>
      <c r="K800" s="51">
        <v>11</v>
      </c>
      <c r="L800" s="53">
        <f>K800/H800*30</f>
        <v>165</v>
      </c>
    </row>
    <row r="801" spans="1:12" s="2" customFormat="1" ht="13.95" customHeight="1" outlineLevel="2" x14ac:dyDescent="0.2">
      <c r="A801" s="50" t="s">
        <v>70</v>
      </c>
      <c r="B801" s="50" t="s">
        <v>4</v>
      </c>
      <c r="C801" s="50" t="s">
        <v>48</v>
      </c>
      <c r="D801" s="50" t="s">
        <v>387</v>
      </c>
      <c r="E801" s="50" t="s">
        <v>96</v>
      </c>
      <c r="F801" s="50" t="s">
        <v>73</v>
      </c>
      <c r="G801" s="50" t="s">
        <v>84</v>
      </c>
      <c r="H801" s="51">
        <v>2</v>
      </c>
      <c r="I801" s="52">
        <f>J801/H801</f>
        <v>114990</v>
      </c>
      <c r="J801" s="52">
        <v>229980</v>
      </c>
      <c r="K801" s="51">
        <v>11</v>
      </c>
      <c r="L801" s="53">
        <f>K801/H801*30</f>
        <v>165</v>
      </c>
    </row>
    <row r="802" spans="1:12" s="2" customFormat="1" ht="13.95" customHeight="1" outlineLevel="2" x14ac:dyDescent="0.2">
      <c r="A802" s="50" t="s">
        <v>70</v>
      </c>
      <c r="B802" s="50" t="s">
        <v>4</v>
      </c>
      <c r="C802" s="50" t="s">
        <v>48</v>
      </c>
      <c r="D802" s="50" t="s">
        <v>388</v>
      </c>
      <c r="E802" s="50" t="s">
        <v>96</v>
      </c>
      <c r="F802" s="50" t="s">
        <v>374</v>
      </c>
      <c r="G802" s="50" t="s">
        <v>140</v>
      </c>
      <c r="H802" s="51">
        <v>2</v>
      </c>
      <c r="I802" s="52">
        <f>J802/H802</f>
        <v>114990</v>
      </c>
      <c r="J802" s="52">
        <v>229980</v>
      </c>
      <c r="K802" s="51">
        <v>8</v>
      </c>
      <c r="L802" s="53">
        <f>K802/H802*30</f>
        <v>120</v>
      </c>
    </row>
    <row r="803" spans="1:12" s="2" customFormat="1" ht="13.95" customHeight="1" outlineLevel="2" x14ac:dyDescent="0.2">
      <c r="A803" s="50" t="s">
        <v>70</v>
      </c>
      <c r="B803" s="50" t="s">
        <v>4</v>
      </c>
      <c r="C803" s="50" t="s">
        <v>48</v>
      </c>
      <c r="D803" s="50" t="s">
        <v>389</v>
      </c>
      <c r="E803" s="50" t="s">
        <v>96</v>
      </c>
      <c r="F803" s="50" t="s">
        <v>374</v>
      </c>
      <c r="G803" s="50" t="s">
        <v>330</v>
      </c>
      <c r="H803" s="51">
        <v>2</v>
      </c>
      <c r="I803" s="52">
        <f>J803/H803</f>
        <v>114990</v>
      </c>
      <c r="J803" s="52">
        <v>229980</v>
      </c>
      <c r="K803" s="51">
        <v>7</v>
      </c>
      <c r="L803" s="53">
        <f>K803/H803*30</f>
        <v>105</v>
      </c>
    </row>
    <row r="804" spans="1:12" s="2" customFormat="1" ht="13.95" customHeight="1" outlineLevel="2" x14ac:dyDescent="0.2">
      <c r="A804" s="50" t="s">
        <v>70</v>
      </c>
      <c r="B804" s="50" t="s">
        <v>4</v>
      </c>
      <c r="C804" s="50" t="s">
        <v>48</v>
      </c>
      <c r="D804" s="50" t="s">
        <v>421</v>
      </c>
      <c r="E804" s="50" t="s">
        <v>203</v>
      </c>
      <c r="F804" s="50" t="s">
        <v>73</v>
      </c>
      <c r="G804" s="50" t="s">
        <v>90</v>
      </c>
      <c r="H804" s="51">
        <v>1</v>
      </c>
      <c r="I804" s="52">
        <f>J804/H804</f>
        <v>199990</v>
      </c>
      <c r="J804" s="52">
        <v>199990</v>
      </c>
      <c r="K804" s="51">
        <v>7</v>
      </c>
      <c r="L804" s="53">
        <f>K804/H804*30</f>
        <v>210</v>
      </c>
    </row>
    <row r="805" spans="1:12" s="2" customFormat="1" ht="13.95" customHeight="1" outlineLevel="2" x14ac:dyDescent="0.2">
      <c r="A805" s="50" t="s">
        <v>70</v>
      </c>
      <c r="B805" s="50" t="s">
        <v>4</v>
      </c>
      <c r="C805" s="50" t="s">
        <v>48</v>
      </c>
      <c r="D805" s="50" t="s">
        <v>422</v>
      </c>
      <c r="E805" s="50" t="s">
        <v>423</v>
      </c>
      <c r="F805" s="50" t="s">
        <v>73</v>
      </c>
      <c r="G805" s="50" t="s">
        <v>88</v>
      </c>
      <c r="H805" s="51">
        <v>1</v>
      </c>
      <c r="I805" s="52">
        <f>J805/H805</f>
        <v>199990</v>
      </c>
      <c r="J805" s="52">
        <v>199990</v>
      </c>
      <c r="K805" s="51">
        <v>13</v>
      </c>
      <c r="L805" s="53">
        <f>K805/H805*30</f>
        <v>390</v>
      </c>
    </row>
    <row r="806" spans="1:12" s="2" customFormat="1" ht="13.95" customHeight="1" outlineLevel="2" x14ac:dyDescent="0.2">
      <c r="A806" s="50" t="s">
        <v>70</v>
      </c>
      <c r="B806" s="50" t="s">
        <v>4</v>
      </c>
      <c r="C806" s="50" t="s">
        <v>48</v>
      </c>
      <c r="D806" s="50" t="s">
        <v>424</v>
      </c>
      <c r="E806" s="50" t="s">
        <v>205</v>
      </c>
      <c r="F806" s="50" t="s">
        <v>128</v>
      </c>
      <c r="G806" s="50" t="s">
        <v>425</v>
      </c>
      <c r="H806" s="51">
        <v>1</v>
      </c>
      <c r="I806" s="52">
        <f>J806/H806</f>
        <v>199990</v>
      </c>
      <c r="J806" s="52">
        <v>199990</v>
      </c>
      <c r="K806" s="51">
        <v>9</v>
      </c>
      <c r="L806" s="53">
        <f>K806/H806*30</f>
        <v>270</v>
      </c>
    </row>
    <row r="807" spans="1:12" s="2" customFormat="1" ht="13.95" customHeight="1" outlineLevel="2" x14ac:dyDescent="0.2">
      <c r="A807" s="50" t="s">
        <v>70</v>
      </c>
      <c r="B807" s="50" t="s">
        <v>4</v>
      </c>
      <c r="C807" s="50" t="s">
        <v>48</v>
      </c>
      <c r="D807" s="50" t="s">
        <v>688</v>
      </c>
      <c r="E807" s="50" t="s">
        <v>96</v>
      </c>
      <c r="F807" s="50" t="s">
        <v>73</v>
      </c>
      <c r="G807" s="50" t="s">
        <v>330</v>
      </c>
      <c r="H807" s="51">
        <v>2</v>
      </c>
      <c r="I807" s="52">
        <f>J807/H807</f>
        <v>97990</v>
      </c>
      <c r="J807" s="52">
        <v>195980</v>
      </c>
      <c r="K807" s="51">
        <v>1</v>
      </c>
      <c r="L807" s="53">
        <f>K807/H807*30</f>
        <v>15</v>
      </c>
    </row>
    <row r="808" spans="1:12" s="2" customFormat="1" ht="13.95" customHeight="1" outlineLevel="2" x14ac:dyDescent="0.2">
      <c r="A808" s="50" t="s">
        <v>70</v>
      </c>
      <c r="B808" s="50" t="s">
        <v>4</v>
      </c>
      <c r="C808" s="50" t="s">
        <v>48</v>
      </c>
      <c r="D808" s="50" t="s">
        <v>479</v>
      </c>
      <c r="E808" s="50" t="s">
        <v>480</v>
      </c>
      <c r="F808" s="50" t="s">
        <v>73</v>
      </c>
      <c r="G808" s="50" t="s">
        <v>88</v>
      </c>
      <c r="H808" s="51">
        <v>1</v>
      </c>
      <c r="I808" s="52">
        <f>J808/H808</f>
        <v>179990</v>
      </c>
      <c r="J808" s="52">
        <v>179990</v>
      </c>
      <c r="K808" s="51">
        <v>23</v>
      </c>
      <c r="L808" s="53">
        <f>K808/H808*30</f>
        <v>690</v>
      </c>
    </row>
    <row r="809" spans="1:12" s="2" customFormat="1" ht="13.95" customHeight="1" outlineLevel="2" x14ac:dyDescent="0.2">
      <c r="A809" s="50" t="s">
        <v>70</v>
      </c>
      <c r="B809" s="50" t="s">
        <v>4</v>
      </c>
      <c r="C809" s="50" t="s">
        <v>48</v>
      </c>
      <c r="D809" s="50" t="s">
        <v>481</v>
      </c>
      <c r="E809" s="50" t="s">
        <v>480</v>
      </c>
      <c r="F809" s="50" t="s">
        <v>73</v>
      </c>
      <c r="G809" s="50" t="s">
        <v>86</v>
      </c>
      <c r="H809" s="51">
        <v>1</v>
      </c>
      <c r="I809" s="52">
        <f>J809/H809</f>
        <v>179990</v>
      </c>
      <c r="J809" s="52">
        <v>179990</v>
      </c>
      <c r="K809" s="51">
        <v>9</v>
      </c>
      <c r="L809" s="53">
        <f>K809/H809*30</f>
        <v>270</v>
      </c>
    </row>
    <row r="810" spans="1:12" s="2" customFormat="1" ht="13.95" customHeight="1" outlineLevel="2" x14ac:dyDescent="0.2">
      <c r="A810" s="50" t="s">
        <v>70</v>
      </c>
      <c r="B810" s="50" t="s">
        <v>4</v>
      </c>
      <c r="C810" s="50" t="s">
        <v>48</v>
      </c>
      <c r="D810" s="50" t="s">
        <v>482</v>
      </c>
      <c r="E810" s="50" t="s">
        <v>480</v>
      </c>
      <c r="F810" s="50" t="s">
        <v>223</v>
      </c>
      <c r="G810" s="50" t="s">
        <v>224</v>
      </c>
      <c r="H810" s="51">
        <v>1</v>
      </c>
      <c r="I810" s="52">
        <f>J810/H810</f>
        <v>179990</v>
      </c>
      <c r="J810" s="52">
        <v>179990</v>
      </c>
      <c r="K810" s="51">
        <v>2</v>
      </c>
      <c r="L810" s="53">
        <f>K810/H810*30</f>
        <v>60</v>
      </c>
    </row>
    <row r="811" spans="1:12" s="2" customFormat="1" ht="13.95" customHeight="1" outlineLevel="2" x14ac:dyDescent="0.2">
      <c r="A811" s="50" t="s">
        <v>165</v>
      </c>
      <c r="B811" s="50" t="s">
        <v>4</v>
      </c>
      <c r="C811" s="50" t="s">
        <v>48</v>
      </c>
      <c r="D811" s="50" t="s">
        <v>486</v>
      </c>
      <c r="E811" s="50" t="s">
        <v>228</v>
      </c>
      <c r="F811" s="50" t="s">
        <v>484</v>
      </c>
      <c r="G811" s="50" t="s">
        <v>86</v>
      </c>
      <c r="H811" s="51">
        <v>2</v>
      </c>
      <c r="I811" s="52">
        <f>J811/H811</f>
        <v>89990</v>
      </c>
      <c r="J811" s="52">
        <v>179980</v>
      </c>
      <c r="K811" s="51">
        <v>23</v>
      </c>
      <c r="L811" s="53">
        <f>K811/H811*30</f>
        <v>345</v>
      </c>
    </row>
    <row r="812" spans="1:12" s="2" customFormat="1" ht="13.95" customHeight="1" outlineLevel="2" x14ac:dyDescent="0.2">
      <c r="A812" s="50" t="s">
        <v>70</v>
      </c>
      <c r="B812" s="50" t="s">
        <v>4</v>
      </c>
      <c r="C812" s="50" t="s">
        <v>48</v>
      </c>
      <c r="D812" s="50" t="s">
        <v>496</v>
      </c>
      <c r="E812" s="50" t="s">
        <v>110</v>
      </c>
      <c r="F812" s="50" t="s">
        <v>106</v>
      </c>
      <c r="G812" s="50" t="s">
        <v>88</v>
      </c>
      <c r="H812" s="51">
        <v>2</v>
      </c>
      <c r="I812" s="52">
        <f>J812/H812</f>
        <v>89990</v>
      </c>
      <c r="J812" s="52">
        <v>179980</v>
      </c>
      <c r="K812" s="51">
        <v>4</v>
      </c>
      <c r="L812" s="53">
        <f>K812/H812*30</f>
        <v>60</v>
      </c>
    </row>
    <row r="813" spans="1:12" s="2" customFormat="1" ht="13.95" customHeight="1" outlineLevel="2" x14ac:dyDescent="0.2">
      <c r="A813" s="50" t="s">
        <v>70</v>
      </c>
      <c r="B813" s="50" t="s">
        <v>4</v>
      </c>
      <c r="C813" s="50" t="s">
        <v>48</v>
      </c>
      <c r="D813" s="50" t="s">
        <v>504</v>
      </c>
      <c r="E813" s="50" t="s">
        <v>94</v>
      </c>
      <c r="F813" s="50" t="s">
        <v>137</v>
      </c>
      <c r="G813" s="50" t="s">
        <v>74</v>
      </c>
      <c r="H813" s="51">
        <v>1</v>
      </c>
      <c r="I813" s="52">
        <f>J813/H813</f>
        <v>167990</v>
      </c>
      <c r="J813" s="52">
        <v>167990</v>
      </c>
      <c r="K813" s="51">
        <v>0</v>
      </c>
      <c r="L813" s="53">
        <f>K813/H813*30</f>
        <v>0</v>
      </c>
    </row>
    <row r="814" spans="1:12" s="2" customFormat="1" ht="13.95" customHeight="1" outlineLevel="2" x14ac:dyDescent="0.2">
      <c r="A814" s="50" t="s">
        <v>70</v>
      </c>
      <c r="B814" s="50" t="s">
        <v>4</v>
      </c>
      <c r="C814" s="50" t="s">
        <v>48</v>
      </c>
      <c r="D814" s="50" t="s">
        <v>505</v>
      </c>
      <c r="E814" s="50" t="s">
        <v>136</v>
      </c>
      <c r="F814" s="50" t="s">
        <v>137</v>
      </c>
      <c r="G814" s="50" t="s">
        <v>74</v>
      </c>
      <c r="H814" s="51">
        <v>1</v>
      </c>
      <c r="I814" s="52">
        <f>J814/H814</f>
        <v>167990</v>
      </c>
      <c r="J814" s="52">
        <v>167990</v>
      </c>
      <c r="K814" s="51">
        <v>19</v>
      </c>
      <c r="L814" s="53">
        <f>K814/H814*30</f>
        <v>570</v>
      </c>
    </row>
    <row r="815" spans="1:12" s="2" customFormat="1" ht="13.95" customHeight="1" outlineLevel="2" x14ac:dyDescent="0.2">
      <c r="A815" s="50" t="s">
        <v>70</v>
      </c>
      <c r="B815" s="50" t="s">
        <v>4</v>
      </c>
      <c r="C815" s="50" t="s">
        <v>48</v>
      </c>
      <c r="D815" s="50" t="s">
        <v>509</v>
      </c>
      <c r="E815" s="50" t="s">
        <v>136</v>
      </c>
      <c r="F815" s="50" t="s">
        <v>73</v>
      </c>
      <c r="G815" s="50" t="s">
        <v>86</v>
      </c>
      <c r="H815" s="51">
        <v>1</v>
      </c>
      <c r="I815" s="52">
        <f>J815/H815</f>
        <v>165990</v>
      </c>
      <c r="J815" s="52">
        <v>165990</v>
      </c>
      <c r="K815" s="51">
        <v>52</v>
      </c>
      <c r="L815" s="53">
        <f>K815/H815*30</f>
        <v>1560</v>
      </c>
    </row>
    <row r="816" spans="1:12" s="2" customFormat="1" ht="13.95" customHeight="1" outlineLevel="2" x14ac:dyDescent="0.2">
      <c r="A816" s="50" t="s">
        <v>70</v>
      </c>
      <c r="B816" s="50" t="s">
        <v>4</v>
      </c>
      <c r="C816" s="50" t="s">
        <v>48</v>
      </c>
      <c r="D816" s="50" t="s">
        <v>510</v>
      </c>
      <c r="E816" s="50" t="s">
        <v>136</v>
      </c>
      <c r="F816" s="50" t="s">
        <v>73</v>
      </c>
      <c r="G816" s="50" t="s">
        <v>84</v>
      </c>
      <c r="H816" s="51">
        <v>1</v>
      </c>
      <c r="I816" s="52">
        <f>J816/H816</f>
        <v>165990</v>
      </c>
      <c r="J816" s="52">
        <v>165990</v>
      </c>
      <c r="K816" s="51">
        <v>19</v>
      </c>
      <c r="L816" s="53">
        <f>K816/H816*30</f>
        <v>570</v>
      </c>
    </row>
    <row r="817" spans="1:12" s="2" customFormat="1" ht="13.95" customHeight="1" outlineLevel="2" x14ac:dyDescent="0.2">
      <c r="A817" s="50" t="s">
        <v>70</v>
      </c>
      <c r="B817" s="50" t="s">
        <v>4</v>
      </c>
      <c r="C817" s="50" t="s">
        <v>48</v>
      </c>
      <c r="D817" s="50" t="s">
        <v>511</v>
      </c>
      <c r="E817" s="50" t="s">
        <v>136</v>
      </c>
      <c r="F817" s="50" t="s">
        <v>155</v>
      </c>
      <c r="G817" s="50" t="s">
        <v>512</v>
      </c>
      <c r="H817" s="51">
        <v>1</v>
      </c>
      <c r="I817" s="52">
        <f>J817/H817</f>
        <v>165990</v>
      </c>
      <c r="J817" s="52">
        <v>165990</v>
      </c>
      <c r="K817" s="51">
        <v>0</v>
      </c>
      <c r="L817" s="53">
        <f>K817/H817*30</f>
        <v>0</v>
      </c>
    </row>
    <row r="818" spans="1:12" s="2" customFormat="1" ht="13.95" customHeight="1" outlineLevel="2" x14ac:dyDescent="0.2">
      <c r="A818" s="50" t="s">
        <v>70</v>
      </c>
      <c r="B818" s="50" t="s">
        <v>4</v>
      </c>
      <c r="C818" s="50" t="s">
        <v>48</v>
      </c>
      <c r="D818" s="50" t="s">
        <v>513</v>
      </c>
      <c r="E818" s="50" t="s">
        <v>514</v>
      </c>
      <c r="F818" s="50" t="s">
        <v>73</v>
      </c>
      <c r="G818" s="50" t="s">
        <v>74</v>
      </c>
      <c r="H818" s="51">
        <v>1</v>
      </c>
      <c r="I818" s="52">
        <f>J818/H818</f>
        <v>165990</v>
      </c>
      <c r="J818" s="52">
        <v>165990</v>
      </c>
      <c r="K818" s="51">
        <v>7</v>
      </c>
      <c r="L818" s="53">
        <f>K818/H818*30</f>
        <v>210</v>
      </c>
    </row>
    <row r="819" spans="1:12" s="2" customFormat="1" ht="13.95" customHeight="1" outlineLevel="2" x14ac:dyDescent="0.2">
      <c r="A819" s="50" t="s">
        <v>70</v>
      </c>
      <c r="B819" s="50" t="s">
        <v>4</v>
      </c>
      <c r="C819" s="50" t="s">
        <v>48</v>
      </c>
      <c r="D819" s="50" t="s">
        <v>515</v>
      </c>
      <c r="E819" s="50" t="s">
        <v>514</v>
      </c>
      <c r="F819" s="50" t="s">
        <v>223</v>
      </c>
      <c r="G819" s="50" t="s">
        <v>224</v>
      </c>
      <c r="H819" s="51">
        <v>1</v>
      </c>
      <c r="I819" s="52">
        <f>J819/H819</f>
        <v>165990</v>
      </c>
      <c r="J819" s="52">
        <v>165990</v>
      </c>
      <c r="K819" s="51">
        <v>5</v>
      </c>
      <c r="L819" s="53">
        <f>K819/H819*30</f>
        <v>150</v>
      </c>
    </row>
    <row r="820" spans="1:12" s="2" customFormat="1" ht="13.95" customHeight="1" outlineLevel="2" x14ac:dyDescent="0.2">
      <c r="A820" s="50" t="s">
        <v>70</v>
      </c>
      <c r="B820" s="50" t="s">
        <v>4</v>
      </c>
      <c r="C820" s="50" t="s">
        <v>48</v>
      </c>
      <c r="D820" s="50" t="s">
        <v>516</v>
      </c>
      <c r="E820" s="50" t="s">
        <v>256</v>
      </c>
      <c r="F820" s="50" t="s">
        <v>73</v>
      </c>
      <c r="G820" s="50" t="s">
        <v>86</v>
      </c>
      <c r="H820" s="51">
        <v>1</v>
      </c>
      <c r="I820" s="52">
        <f>J820/H820</f>
        <v>165990</v>
      </c>
      <c r="J820" s="52">
        <v>165990</v>
      </c>
      <c r="K820" s="51">
        <v>75</v>
      </c>
      <c r="L820" s="53">
        <f>K820/H820*30</f>
        <v>2250</v>
      </c>
    </row>
    <row r="821" spans="1:12" s="2" customFormat="1" ht="13.95" customHeight="1" outlineLevel="2" x14ac:dyDescent="0.2">
      <c r="A821" s="50" t="s">
        <v>70</v>
      </c>
      <c r="B821" s="50" t="s">
        <v>4</v>
      </c>
      <c r="C821" s="50" t="s">
        <v>48</v>
      </c>
      <c r="D821" s="50" t="s">
        <v>517</v>
      </c>
      <c r="E821" s="50" t="s">
        <v>256</v>
      </c>
      <c r="F821" s="50" t="s">
        <v>73</v>
      </c>
      <c r="G821" s="50" t="s">
        <v>74</v>
      </c>
      <c r="H821" s="51">
        <v>1</v>
      </c>
      <c r="I821" s="52">
        <f>J821/H821</f>
        <v>165990</v>
      </c>
      <c r="J821" s="52">
        <v>165990</v>
      </c>
      <c r="K821" s="51">
        <v>19</v>
      </c>
      <c r="L821" s="53">
        <f>K821/H821*30</f>
        <v>570</v>
      </c>
    </row>
    <row r="822" spans="1:12" s="2" customFormat="1" ht="13.95" customHeight="1" outlineLevel="2" x14ac:dyDescent="0.2">
      <c r="A822" s="50" t="s">
        <v>70</v>
      </c>
      <c r="B822" s="50" t="s">
        <v>4</v>
      </c>
      <c r="C822" s="50" t="s">
        <v>48</v>
      </c>
      <c r="D822" s="50" t="s">
        <v>518</v>
      </c>
      <c r="E822" s="50" t="s">
        <v>256</v>
      </c>
      <c r="F822" s="50" t="s">
        <v>128</v>
      </c>
      <c r="G822" s="50" t="s">
        <v>150</v>
      </c>
      <c r="H822" s="51">
        <v>1</v>
      </c>
      <c r="I822" s="52">
        <f>J822/H822</f>
        <v>165990</v>
      </c>
      <c r="J822" s="52">
        <v>165990</v>
      </c>
      <c r="K822" s="51">
        <v>1</v>
      </c>
      <c r="L822" s="53">
        <f>K822/H822*30</f>
        <v>30</v>
      </c>
    </row>
    <row r="823" spans="1:12" s="2" customFormat="1" ht="13.95" customHeight="1" outlineLevel="2" x14ac:dyDescent="0.2">
      <c r="A823" s="50" t="s">
        <v>70</v>
      </c>
      <c r="B823" s="50" t="s">
        <v>4</v>
      </c>
      <c r="C823" s="50" t="s">
        <v>48</v>
      </c>
      <c r="D823" s="50" t="s">
        <v>519</v>
      </c>
      <c r="E823" s="50" t="s">
        <v>256</v>
      </c>
      <c r="F823" s="50" t="s">
        <v>128</v>
      </c>
      <c r="G823" s="50" t="s">
        <v>152</v>
      </c>
      <c r="H823" s="51">
        <v>1</v>
      </c>
      <c r="I823" s="52">
        <f>J823/H823</f>
        <v>165990</v>
      </c>
      <c r="J823" s="52">
        <v>165990</v>
      </c>
      <c r="K823" s="51">
        <v>19</v>
      </c>
      <c r="L823" s="53">
        <f>K823/H823*30</f>
        <v>570</v>
      </c>
    </row>
    <row r="824" spans="1:12" s="2" customFormat="1" ht="13.95" customHeight="1" outlineLevel="2" x14ac:dyDescent="0.2">
      <c r="A824" s="50" t="s">
        <v>70</v>
      </c>
      <c r="B824" s="50" t="s">
        <v>4</v>
      </c>
      <c r="C824" s="50" t="s">
        <v>48</v>
      </c>
      <c r="D824" s="50" t="s">
        <v>520</v>
      </c>
      <c r="E824" s="50" t="s">
        <v>256</v>
      </c>
      <c r="F824" s="50" t="s">
        <v>374</v>
      </c>
      <c r="G824" s="50" t="s">
        <v>140</v>
      </c>
      <c r="H824" s="51">
        <v>1</v>
      </c>
      <c r="I824" s="52">
        <f>J824/H824</f>
        <v>165990</v>
      </c>
      <c r="J824" s="52">
        <v>165990</v>
      </c>
      <c r="K824" s="51">
        <v>13</v>
      </c>
      <c r="L824" s="53">
        <f>K824/H824*30</f>
        <v>390</v>
      </c>
    </row>
    <row r="825" spans="1:12" s="2" customFormat="1" ht="13.95" customHeight="1" outlineLevel="2" x14ac:dyDescent="0.2">
      <c r="A825" s="50" t="s">
        <v>70</v>
      </c>
      <c r="B825" s="50" t="s">
        <v>4</v>
      </c>
      <c r="C825" s="50" t="s">
        <v>48</v>
      </c>
      <c r="D825" s="50" t="s">
        <v>536</v>
      </c>
      <c r="E825" s="50" t="s">
        <v>537</v>
      </c>
      <c r="F825" s="50" t="s">
        <v>137</v>
      </c>
      <c r="G825" s="50" t="s">
        <v>86</v>
      </c>
      <c r="H825" s="51">
        <v>2</v>
      </c>
      <c r="I825" s="52">
        <f>J825/H825</f>
        <v>79990</v>
      </c>
      <c r="J825" s="52">
        <v>159980</v>
      </c>
      <c r="K825" s="51">
        <v>30</v>
      </c>
      <c r="L825" s="53">
        <f>K825/H825*30</f>
        <v>450</v>
      </c>
    </row>
    <row r="826" spans="1:12" s="2" customFormat="1" ht="13.95" customHeight="1" outlineLevel="2" x14ac:dyDescent="0.2">
      <c r="A826" s="50" t="s">
        <v>70</v>
      </c>
      <c r="B826" s="50" t="s">
        <v>4</v>
      </c>
      <c r="C826" s="50" t="s">
        <v>48</v>
      </c>
      <c r="D826" s="50" t="s">
        <v>545</v>
      </c>
      <c r="E826" s="50" t="s">
        <v>275</v>
      </c>
      <c r="F826" s="50" t="s">
        <v>223</v>
      </c>
      <c r="G826" s="50" t="s">
        <v>224</v>
      </c>
      <c r="H826" s="51">
        <v>1</v>
      </c>
      <c r="I826" s="52">
        <f>J826/H826</f>
        <v>155990</v>
      </c>
      <c r="J826" s="52">
        <v>155990</v>
      </c>
      <c r="K826" s="51">
        <v>11</v>
      </c>
      <c r="L826" s="53">
        <f>K826/H826*30</f>
        <v>330</v>
      </c>
    </row>
    <row r="827" spans="1:12" s="2" customFormat="1" ht="13.95" customHeight="1" outlineLevel="2" x14ac:dyDescent="0.2">
      <c r="A827" s="50" t="s">
        <v>70</v>
      </c>
      <c r="B827" s="50" t="s">
        <v>4</v>
      </c>
      <c r="C827" s="50" t="s">
        <v>48</v>
      </c>
      <c r="D827" s="50" t="s">
        <v>553</v>
      </c>
      <c r="E827" s="50" t="s">
        <v>537</v>
      </c>
      <c r="F827" s="50" t="s">
        <v>223</v>
      </c>
      <c r="G827" s="50" t="s">
        <v>224</v>
      </c>
      <c r="H827" s="51">
        <v>2</v>
      </c>
      <c r="I827" s="52">
        <f>J827/H827</f>
        <v>75990</v>
      </c>
      <c r="J827" s="52">
        <v>151980</v>
      </c>
      <c r="K827" s="51">
        <v>11</v>
      </c>
      <c r="L827" s="53">
        <f>K827/H827*30</f>
        <v>165</v>
      </c>
    </row>
    <row r="828" spans="1:12" s="2" customFormat="1" ht="13.95" customHeight="1" outlineLevel="2" x14ac:dyDescent="0.2">
      <c r="A828" s="50" t="s">
        <v>70</v>
      </c>
      <c r="B828" s="50" t="s">
        <v>4</v>
      </c>
      <c r="C828" s="50" t="s">
        <v>48</v>
      </c>
      <c r="D828" s="50" t="s">
        <v>582</v>
      </c>
      <c r="E828" s="50" t="s">
        <v>296</v>
      </c>
      <c r="F828" s="50" t="s">
        <v>73</v>
      </c>
      <c r="G828" s="50" t="s">
        <v>97</v>
      </c>
      <c r="H828" s="51">
        <v>2</v>
      </c>
      <c r="I828" s="52">
        <f>J828/H828</f>
        <v>71990</v>
      </c>
      <c r="J828" s="52">
        <v>143980</v>
      </c>
      <c r="K828" s="51">
        <v>13</v>
      </c>
      <c r="L828" s="53">
        <f>K828/H828*30</f>
        <v>195</v>
      </c>
    </row>
    <row r="829" spans="1:12" s="2" customFormat="1" ht="13.95" customHeight="1" outlineLevel="2" x14ac:dyDescent="0.2">
      <c r="A829" s="50" t="s">
        <v>70</v>
      </c>
      <c r="B829" s="50" t="s">
        <v>4</v>
      </c>
      <c r="C829" s="50" t="s">
        <v>48</v>
      </c>
      <c r="D829" s="50" t="s">
        <v>583</v>
      </c>
      <c r="E829" s="50" t="s">
        <v>296</v>
      </c>
      <c r="F829" s="50" t="s">
        <v>73</v>
      </c>
      <c r="G829" s="50" t="s">
        <v>86</v>
      </c>
      <c r="H829" s="51">
        <v>2</v>
      </c>
      <c r="I829" s="52">
        <f>J829/H829</f>
        <v>71990</v>
      </c>
      <c r="J829" s="52">
        <v>143980</v>
      </c>
      <c r="K829" s="51">
        <v>49</v>
      </c>
      <c r="L829" s="53">
        <f>K829/H829*30</f>
        <v>735</v>
      </c>
    </row>
    <row r="830" spans="1:12" s="2" customFormat="1" ht="13.95" customHeight="1" outlineLevel="2" x14ac:dyDescent="0.2">
      <c r="A830" s="50" t="s">
        <v>70</v>
      </c>
      <c r="B830" s="50" t="s">
        <v>4</v>
      </c>
      <c r="C830" s="50" t="s">
        <v>48</v>
      </c>
      <c r="D830" s="50" t="s">
        <v>618</v>
      </c>
      <c r="E830" s="50" t="s">
        <v>619</v>
      </c>
      <c r="F830" s="50" t="s">
        <v>229</v>
      </c>
      <c r="G830" s="50" t="s">
        <v>88</v>
      </c>
      <c r="H830" s="51">
        <v>2</v>
      </c>
      <c r="I830" s="52">
        <f>J830/H830</f>
        <v>64990</v>
      </c>
      <c r="J830" s="52">
        <v>129980</v>
      </c>
      <c r="K830" s="51">
        <v>0</v>
      </c>
      <c r="L830" s="53">
        <f>K830/H830*30</f>
        <v>0</v>
      </c>
    </row>
    <row r="831" spans="1:12" s="2" customFormat="1" ht="13.95" customHeight="1" outlineLevel="2" x14ac:dyDescent="0.2">
      <c r="A831" s="50" t="s">
        <v>70</v>
      </c>
      <c r="B831" s="50" t="s">
        <v>4</v>
      </c>
      <c r="C831" s="50" t="s">
        <v>48</v>
      </c>
      <c r="D831" s="50" t="s">
        <v>643</v>
      </c>
      <c r="E831" s="50" t="s">
        <v>384</v>
      </c>
      <c r="F831" s="50" t="s">
        <v>73</v>
      </c>
      <c r="G831" s="50" t="s">
        <v>140</v>
      </c>
      <c r="H831" s="51">
        <v>1</v>
      </c>
      <c r="I831" s="52">
        <f>J831/H831</f>
        <v>119990</v>
      </c>
      <c r="J831" s="52">
        <v>119990</v>
      </c>
      <c r="K831" s="51">
        <v>-1</v>
      </c>
      <c r="L831" s="53">
        <f>K831/H831*30</f>
        <v>-30</v>
      </c>
    </row>
    <row r="832" spans="1:12" s="2" customFormat="1" ht="13.95" customHeight="1" outlineLevel="2" x14ac:dyDescent="0.2">
      <c r="A832" s="50" t="s">
        <v>70</v>
      </c>
      <c r="B832" s="50" t="s">
        <v>4</v>
      </c>
      <c r="C832" s="50" t="s">
        <v>48</v>
      </c>
      <c r="D832" s="50" t="s">
        <v>644</v>
      </c>
      <c r="E832" s="50" t="s">
        <v>384</v>
      </c>
      <c r="F832" s="50" t="s">
        <v>106</v>
      </c>
      <c r="G832" s="50" t="s">
        <v>86</v>
      </c>
      <c r="H832" s="51">
        <v>1</v>
      </c>
      <c r="I832" s="52">
        <f>J832/H832</f>
        <v>119990</v>
      </c>
      <c r="J832" s="52">
        <v>119990</v>
      </c>
      <c r="K832" s="51">
        <v>2</v>
      </c>
      <c r="L832" s="53">
        <f>K832/H832*30</f>
        <v>60</v>
      </c>
    </row>
    <row r="833" spans="1:12" s="2" customFormat="1" ht="13.95" customHeight="1" outlineLevel="2" x14ac:dyDescent="0.2">
      <c r="A833" s="50" t="s">
        <v>70</v>
      </c>
      <c r="B833" s="50" t="s">
        <v>4</v>
      </c>
      <c r="C833" s="50" t="s">
        <v>48</v>
      </c>
      <c r="D833" s="50" t="s">
        <v>645</v>
      </c>
      <c r="E833" s="50" t="s">
        <v>118</v>
      </c>
      <c r="F833" s="50" t="s">
        <v>106</v>
      </c>
      <c r="G833" s="50" t="s">
        <v>97</v>
      </c>
      <c r="H833" s="51">
        <v>1</v>
      </c>
      <c r="I833" s="52">
        <f>J833/H833</f>
        <v>119990</v>
      </c>
      <c r="J833" s="52">
        <v>119990</v>
      </c>
      <c r="K833" s="51">
        <v>7</v>
      </c>
      <c r="L833" s="53">
        <f>K833/H833*30</f>
        <v>210</v>
      </c>
    </row>
    <row r="834" spans="1:12" s="2" customFormat="1" ht="13.95" customHeight="1" outlineLevel="2" x14ac:dyDescent="0.2">
      <c r="A834" s="50" t="s">
        <v>70</v>
      </c>
      <c r="B834" s="50" t="s">
        <v>4</v>
      </c>
      <c r="C834" s="50" t="s">
        <v>48</v>
      </c>
      <c r="D834" s="50" t="s">
        <v>646</v>
      </c>
      <c r="E834" s="50" t="s">
        <v>118</v>
      </c>
      <c r="F834" s="50" t="s">
        <v>106</v>
      </c>
      <c r="G834" s="50" t="s">
        <v>74</v>
      </c>
      <c r="H834" s="51">
        <v>1</v>
      </c>
      <c r="I834" s="52">
        <f>J834/H834</f>
        <v>119990</v>
      </c>
      <c r="J834" s="52">
        <v>119990</v>
      </c>
      <c r="K834" s="51">
        <v>8</v>
      </c>
      <c r="L834" s="53">
        <f>K834/H834*30</f>
        <v>240</v>
      </c>
    </row>
    <row r="835" spans="1:12" s="2" customFormat="1" ht="13.95" customHeight="1" outlineLevel="2" x14ac:dyDescent="0.2">
      <c r="A835" s="50" t="s">
        <v>70</v>
      </c>
      <c r="B835" s="50" t="s">
        <v>4</v>
      </c>
      <c r="C835" s="50" t="s">
        <v>48</v>
      </c>
      <c r="D835" s="50" t="s">
        <v>647</v>
      </c>
      <c r="E835" s="50" t="s">
        <v>118</v>
      </c>
      <c r="F835" s="50" t="s">
        <v>106</v>
      </c>
      <c r="G835" s="50" t="s">
        <v>112</v>
      </c>
      <c r="H835" s="51">
        <v>1</v>
      </c>
      <c r="I835" s="52">
        <f>J835/H835</f>
        <v>119990</v>
      </c>
      <c r="J835" s="52">
        <v>119990</v>
      </c>
      <c r="K835" s="51">
        <v>14</v>
      </c>
      <c r="L835" s="53">
        <f>K835/H835*30</f>
        <v>420</v>
      </c>
    </row>
    <row r="836" spans="1:12" s="2" customFormat="1" ht="13.95" customHeight="1" outlineLevel="2" x14ac:dyDescent="0.2">
      <c r="A836" s="50" t="s">
        <v>70</v>
      </c>
      <c r="B836" s="50" t="s">
        <v>4</v>
      </c>
      <c r="C836" s="50" t="s">
        <v>48</v>
      </c>
      <c r="D836" s="50" t="s">
        <v>687</v>
      </c>
      <c r="E836" s="50" t="s">
        <v>96</v>
      </c>
      <c r="F836" s="50" t="s">
        <v>73</v>
      </c>
      <c r="G836" s="50" t="s">
        <v>140</v>
      </c>
      <c r="H836" s="51">
        <v>1</v>
      </c>
      <c r="I836" s="52">
        <f>J836/H836</f>
        <v>114990</v>
      </c>
      <c r="J836" s="52">
        <v>114990</v>
      </c>
      <c r="K836" s="51">
        <v>2</v>
      </c>
      <c r="L836" s="53">
        <f>K836/H836*30</f>
        <v>60</v>
      </c>
    </row>
    <row r="837" spans="1:12" s="2" customFormat="1" ht="13.95" customHeight="1" outlineLevel="2" x14ac:dyDescent="0.2">
      <c r="A837" s="50" t="s">
        <v>70</v>
      </c>
      <c r="B837" s="50" t="s">
        <v>4</v>
      </c>
      <c r="C837" s="50" t="s">
        <v>48</v>
      </c>
      <c r="D837" s="50" t="s">
        <v>834</v>
      </c>
      <c r="E837" s="50" t="s">
        <v>110</v>
      </c>
      <c r="F837" s="50" t="s">
        <v>177</v>
      </c>
      <c r="G837" s="50" t="s">
        <v>86</v>
      </c>
      <c r="H837" s="51">
        <v>1</v>
      </c>
      <c r="I837" s="52">
        <f>J837/H837</f>
        <v>89990</v>
      </c>
      <c r="J837" s="52">
        <v>89990</v>
      </c>
      <c r="K837" s="51">
        <v>5</v>
      </c>
      <c r="L837" s="53">
        <f>K837/H837*30</f>
        <v>150</v>
      </c>
    </row>
    <row r="838" spans="1:12" s="2" customFormat="1" ht="13.95" customHeight="1" outlineLevel="2" x14ac:dyDescent="0.2">
      <c r="A838" s="50" t="s">
        <v>70</v>
      </c>
      <c r="B838" s="50" t="s">
        <v>4</v>
      </c>
      <c r="C838" s="50" t="s">
        <v>48</v>
      </c>
      <c r="D838" s="50" t="s">
        <v>877</v>
      </c>
      <c r="E838" s="50" t="s">
        <v>537</v>
      </c>
      <c r="F838" s="50" t="s">
        <v>137</v>
      </c>
      <c r="G838" s="50" t="s">
        <v>74</v>
      </c>
      <c r="H838" s="51">
        <v>1</v>
      </c>
      <c r="I838" s="52">
        <f>J838/H838</f>
        <v>79990</v>
      </c>
      <c r="J838" s="52">
        <v>79990</v>
      </c>
      <c r="K838" s="51">
        <v>30</v>
      </c>
      <c r="L838" s="53">
        <f>K838/H838*30</f>
        <v>900</v>
      </c>
    </row>
    <row r="839" spans="1:12" s="2" customFormat="1" ht="13.95" customHeight="1" outlineLevel="2" x14ac:dyDescent="0.2">
      <c r="A839" s="50" t="s">
        <v>70</v>
      </c>
      <c r="B839" s="50" t="s">
        <v>4</v>
      </c>
      <c r="C839" s="50" t="s">
        <v>48</v>
      </c>
      <c r="D839" s="50" t="s">
        <v>911</v>
      </c>
      <c r="E839" s="50" t="s">
        <v>537</v>
      </c>
      <c r="F839" s="50" t="s">
        <v>128</v>
      </c>
      <c r="G839" s="50" t="s">
        <v>206</v>
      </c>
      <c r="H839" s="51">
        <v>1</v>
      </c>
      <c r="I839" s="52">
        <f>J839/H839</f>
        <v>75990</v>
      </c>
      <c r="J839" s="52">
        <v>75990</v>
      </c>
      <c r="K839" s="51">
        <v>30</v>
      </c>
      <c r="L839" s="53">
        <f>K839/H839*30</f>
        <v>900</v>
      </c>
    </row>
    <row r="840" spans="1:12" s="2" customFormat="1" ht="13.95" customHeight="1" outlineLevel="2" x14ac:dyDescent="0.2">
      <c r="A840" s="50" t="s">
        <v>70</v>
      </c>
      <c r="B840" s="50" t="s">
        <v>4</v>
      </c>
      <c r="C840" s="50" t="s">
        <v>48</v>
      </c>
      <c r="D840" s="50" t="s">
        <v>912</v>
      </c>
      <c r="E840" s="50" t="s">
        <v>537</v>
      </c>
      <c r="F840" s="50" t="s">
        <v>106</v>
      </c>
      <c r="G840" s="50" t="s">
        <v>97</v>
      </c>
      <c r="H840" s="51">
        <v>1</v>
      </c>
      <c r="I840" s="52">
        <f>J840/H840</f>
        <v>75990</v>
      </c>
      <c r="J840" s="52">
        <v>75990</v>
      </c>
      <c r="K840" s="51">
        <v>10</v>
      </c>
      <c r="L840" s="53">
        <f>K840/H840*30</f>
        <v>300</v>
      </c>
    </row>
    <row r="841" spans="1:12" s="2" customFormat="1" ht="13.95" customHeight="1" outlineLevel="2" x14ac:dyDescent="0.2">
      <c r="A841" s="50" t="s">
        <v>70</v>
      </c>
      <c r="B841" s="50" t="s">
        <v>4</v>
      </c>
      <c r="C841" s="50" t="s">
        <v>48</v>
      </c>
      <c r="D841" s="50" t="s">
        <v>918</v>
      </c>
      <c r="E841" s="50" t="s">
        <v>296</v>
      </c>
      <c r="F841" s="50" t="s">
        <v>73</v>
      </c>
      <c r="G841" s="50" t="s">
        <v>330</v>
      </c>
      <c r="H841" s="51">
        <v>1</v>
      </c>
      <c r="I841" s="52">
        <f>J841/H841</f>
        <v>71990</v>
      </c>
      <c r="J841" s="52">
        <v>71990</v>
      </c>
      <c r="K841" s="51">
        <v>11</v>
      </c>
      <c r="L841" s="53">
        <f>K841/H841*30</f>
        <v>330</v>
      </c>
    </row>
    <row r="842" spans="1:12" s="2" customFormat="1" ht="13.95" customHeight="1" outlineLevel="2" x14ac:dyDescent="0.2">
      <c r="A842" s="50" t="s">
        <v>70</v>
      </c>
      <c r="B842" s="50" t="s">
        <v>4</v>
      </c>
      <c r="C842" s="50" t="s">
        <v>48</v>
      </c>
      <c r="D842" s="50" t="s">
        <v>1279</v>
      </c>
      <c r="E842" s="50" t="s">
        <v>537</v>
      </c>
      <c r="F842" s="50" t="s">
        <v>137</v>
      </c>
      <c r="G842" s="50" t="s">
        <v>140</v>
      </c>
      <c r="H842" s="51">
        <v>1</v>
      </c>
      <c r="I842" s="52">
        <f>J842/H842</f>
        <v>29990</v>
      </c>
      <c r="J842" s="52">
        <v>29990</v>
      </c>
      <c r="K842" s="51">
        <v>16</v>
      </c>
      <c r="L842" s="53">
        <f>K842/H842*30</f>
        <v>480</v>
      </c>
    </row>
    <row r="843" spans="1:12" s="2" customFormat="1" ht="13.95" customHeight="1" outlineLevel="1" x14ac:dyDescent="0.2">
      <c r="A843" s="50"/>
      <c r="B843" s="50"/>
      <c r="C843" s="58" t="s">
        <v>1455</v>
      </c>
      <c r="D843" s="50"/>
      <c r="E843" s="50"/>
      <c r="F843" s="50"/>
      <c r="G843" s="50"/>
      <c r="H843" s="51">
        <f>SUBTOTAL(9,H761:H842)</f>
        <v>196</v>
      </c>
      <c r="I843" s="52"/>
      <c r="J843" s="52">
        <f>SUBTOTAL(9,J761:J842)</f>
        <v>27505045</v>
      </c>
      <c r="K843" s="51"/>
      <c r="L843" s="53"/>
    </row>
    <row r="844" spans="1:12" s="2" customFormat="1" ht="13.95" customHeight="1" outlineLevel="2" x14ac:dyDescent="0.2">
      <c r="A844" s="50" t="s">
        <v>404</v>
      </c>
      <c r="B844" s="50" t="s">
        <v>4</v>
      </c>
      <c r="C844" s="50" t="s">
        <v>12</v>
      </c>
      <c r="D844" s="50" t="s">
        <v>405</v>
      </c>
      <c r="E844" s="50" t="s">
        <v>406</v>
      </c>
      <c r="F844" s="50" t="s">
        <v>73</v>
      </c>
      <c r="G844" s="50" t="s">
        <v>86</v>
      </c>
      <c r="H844" s="51">
        <v>1</v>
      </c>
      <c r="I844" s="52">
        <f>J844/H844</f>
        <v>214990</v>
      </c>
      <c r="J844" s="52">
        <v>214990</v>
      </c>
      <c r="K844" s="51">
        <v>8</v>
      </c>
      <c r="L844" s="53">
        <f>K844/H844*30</f>
        <v>240</v>
      </c>
    </row>
    <row r="845" spans="1:12" s="2" customFormat="1" ht="13.95" customHeight="1" outlineLevel="2" x14ac:dyDescent="0.2">
      <c r="A845" s="50" t="s">
        <v>404</v>
      </c>
      <c r="B845" s="50" t="s">
        <v>4</v>
      </c>
      <c r="C845" s="50" t="s">
        <v>12</v>
      </c>
      <c r="D845" s="50" t="s">
        <v>407</v>
      </c>
      <c r="E845" s="50" t="s">
        <v>406</v>
      </c>
      <c r="F845" s="50" t="s">
        <v>73</v>
      </c>
      <c r="G845" s="50" t="s">
        <v>84</v>
      </c>
      <c r="H845" s="51">
        <v>1</v>
      </c>
      <c r="I845" s="52">
        <f>J845/H845</f>
        <v>214990</v>
      </c>
      <c r="J845" s="52">
        <v>214990</v>
      </c>
      <c r="K845" s="51">
        <v>9</v>
      </c>
      <c r="L845" s="53">
        <f>K845/H845*30</f>
        <v>270</v>
      </c>
    </row>
    <row r="846" spans="1:12" s="2" customFormat="1" ht="13.95" customHeight="1" outlineLevel="1" x14ac:dyDescent="0.2">
      <c r="A846" s="50"/>
      <c r="B846" s="50"/>
      <c r="C846" s="58" t="s">
        <v>1470</v>
      </c>
      <c r="D846" s="50"/>
      <c r="E846" s="50"/>
      <c r="F846" s="50"/>
      <c r="G846" s="50"/>
      <c r="H846" s="51">
        <f>SUBTOTAL(9,H844:H845)</f>
        <v>2</v>
      </c>
      <c r="I846" s="52"/>
      <c r="J846" s="52">
        <f>SUBTOTAL(9,J844:J845)</f>
        <v>429980</v>
      </c>
      <c r="K846" s="51"/>
      <c r="L846" s="53"/>
    </row>
    <row r="847" spans="1:12" s="2" customFormat="1" ht="13.95" customHeight="1" outlineLevel="2" x14ac:dyDescent="0.2">
      <c r="A847" s="50" t="s">
        <v>70</v>
      </c>
      <c r="B847" s="50" t="s">
        <v>4</v>
      </c>
      <c r="C847" s="50" t="s">
        <v>49</v>
      </c>
      <c r="D847" s="50" t="s">
        <v>131</v>
      </c>
      <c r="E847" s="50" t="s">
        <v>132</v>
      </c>
      <c r="F847" s="50" t="s">
        <v>73</v>
      </c>
      <c r="G847" s="50" t="s">
        <v>90</v>
      </c>
      <c r="H847" s="51">
        <v>2</v>
      </c>
      <c r="I847" s="52">
        <f>J847/H847</f>
        <v>279990</v>
      </c>
      <c r="J847" s="52">
        <v>559980</v>
      </c>
      <c r="K847" s="51">
        <v>4</v>
      </c>
      <c r="L847" s="53">
        <f>K847/H847*30</f>
        <v>60</v>
      </c>
    </row>
    <row r="848" spans="1:12" s="2" customFormat="1" ht="13.95" customHeight="1" outlineLevel="2" x14ac:dyDescent="0.2">
      <c r="A848" s="50" t="s">
        <v>70</v>
      </c>
      <c r="B848" s="50" t="s">
        <v>4</v>
      </c>
      <c r="C848" s="50" t="s">
        <v>49</v>
      </c>
      <c r="D848" s="50" t="s">
        <v>133</v>
      </c>
      <c r="E848" s="50" t="s">
        <v>132</v>
      </c>
      <c r="F848" s="50" t="s">
        <v>73</v>
      </c>
      <c r="G848" s="50" t="s">
        <v>84</v>
      </c>
      <c r="H848" s="51">
        <v>2</v>
      </c>
      <c r="I848" s="52">
        <f>J848/H848</f>
        <v>279990</v>
      </c>
      <c r="J848" s="52">
        <v>559980</v>
      </c>
      <c r="K848" s="51">
        <v>12</v>
      </c>
      <c r="L848" s="53">
        <f>K848/H848*30</f>
        <v>180</v>
      </c>
    </row>
    <row r="849" spans="1:12" s="2" customFormat="1" ht="13.95" customHeight="1" outlineLevel="2" x14ac:dyDescent="0.2">
      <c r="A849" s="50" t="s">
        <v>165</v>
      </c>
      <c r="B849" s="50" t="s">
        <v>4</v>
      </c>
      <c r="C849" s="50" t="s">
        <v>49</v>
      </c>
      <c r="D849" s="50" t="s">
        <v>166</v>
      </c>
      <c r="E849" s="50" t="s">
        <v>167</v>
      </c>
      <c r="F849" s="50" t="s">
        <v>168</v>
      </c>
      <c r="G849" s="50" t="s">
        <v>86</v>
      </c>
      <c r="H849" s="51">
        <v>3</v>
      </c>
      <c r="I849" s="52">
        <f>J849/H849</f>
        <v>149990</v>
      </c>
      <c r="J849" s="52">
        <v>449970</v>
      </c>
      <c r="K849" s="51">
        <v>5</v>
      </c>
      <c r="L849" s="53">
        <f>K849/H849*30</f>
        <v>50</v>
      </c>
    </row>
    <row r="850" spans="1:12" s="2" customFormat="1" ht="13.95" customHeight="1" outlineLevel="2" x14ac:dyDescent="0.2">
      <c r="A850" s="50" t="s">
        <v>70</v>
      </c>
      <c r="B850" s="50" t="s">
        <v>4</v>
      </c>
      <c r="C850" s="50" t="s">
        <v>49</v>
      </c>
      <c r="D850" s="50" t="s">
        <v>197</v>
      </c>
      <c r="E850" s="50" t="s">
        <v>198</v>
      </c>
      <c r="F850" s="50" t="s">
        <v>73</v>
      </c>
      <c r="G850" s="50" t="s">
        <v>86</v>
      </c>
      <c r="H850" s="51">
        <v>1</v>
      </c>
      <c r="I850" s="52">
        <f>J850/H850</f>
        <v>399990</v>
      </c>
      <c r="J850" s="52">
        <v>399990</v>
      </c>
      <c r="K850" s="51">
        <v>12</v>
      </c>
      <c r="L850" s="53">
        <f>K850/H850*30</f>
        <v>360</v>
      </c>
    </row>
    <row r="851" spans="1:12" s="2" customFormat="1" ht="13.95" customHeight="1" outlineLevel="2" x14ac:dyDescent="0.2">
      <c r="A851" s="50" t="s">
        <v>70</v>
      </c>
      <c r="B851" s="50" t="s">
        <v>4</v>
      </c>
      <c r="C851" s="50" t="s">
        <v>49</v>
      </c>
      <c r="D851" s="50" t="s">
        <v>199</v>
      </c>
      <c r="E851" s="50" t="s">
        <v>198</v>
      </c>
      <c r="F851" s="50" t="s">
        <v>73</v>
      </c>
      <c r="G851" s="50" t="s">
        <v>84</v>
      </c>
      <c r="H851" s="51">
        <v>1</v>
      </c>
      <c r="I851" s="52">
        <f>J851/H851</f>
        <v>399990</v>
      </c>
      <c r="J851" s="52">
        <v>399990</v>
      </c>
      <c r="K851" s="51">
        <v>7</v>
      </c>
      <c r="L851" s="53">
        <f>K851/H851*30</f>
        <v>210</v>
      </c>
    </row>
    <row r="852" spans="1:12" s="2" customFormat="1" ht="13.95" customHeight="1" outlineLevel="2" x14ac:dyDescent="0.2">
      <c r="A852" s="50" t="s">
        <v>70</v>
      </c>
      <c r="B852" s="50" t="s">
        <v>4</v>
      </c>
      <c r="C852" s="50" t="s">
        <v>49</v>
      </c>
      <c r="D852" s="50" t="s">
        <v>209</v>
      </c>
      <c r="E852" s="50" t="s">
        <v>210</v>
      </c>
      <c r="F852" s="50" t="s">
        <v>73</v>
      </c>
      <c r="G852" s="50" t="s">
        <v>90</v>
      </c>
      <c r="H852" s="51">
        <v>1</v>
      </c>
      <c r="I852" s="52">
        <f>J852/H852</f>
        <v>389990</v>
      </c>
      <c r="J852" s="52">
        <v>389990</v>
      </c>
      <c r="K852" s="51">
        <v>7</v>
      </c>
      <c r="L852" s="53">
        <f>K852/H852*30</f>
        <v>210</v>
      </c>
    </row>
    <row r="853" spans="1:12" s="2" customFormat="1" ht="13.95" customHeight="1" outlineLevel="2" x14ac:dyDescent="0.2">
      <c r="A853" s="50" t="s">
        <v>70</v>
      </c>
      <c r="B853" s="50" t="s">
        <v>4</v>
      </c>
      <c r="C853" s="50" t="s">
        <v>49</v>
      </c>
      <c r="D853" s="50" t="s">
        <v>301</v>
      </c>
      <c r="E853" s="50" t="s">
        <v>302</v>
      </c>
      <c r="F853" s="50" t="s">
        <v>73</v>
      </c>
      <c r="G853" s="50" t="s">
        <v>88</v>
      </c>
      <c r="H853" s="51">
        <v>1</v>
      </c>
      <c r="I853" s="52">
        <f>J853/H853</f>
        <v>279990</v>
      </c>
      <c r="J853" s="52">
        <v>279990</v>
      </c>
      <c r="K853" s="51">
        <v>8</v>
      </c>
      <c r="L853" s="53">
        <f>K853/H853*30</f>
        <v>240</v>
      </c>
    </row>
    <row r="854" spans="1:12" s="2" customFormat="1" ht="13.95" customHeight="1" outlineLevel="2" x14ac:dyDescent="0.2">
      <c r="A854" s="50" t="s">
        <v>70</v>
      </c>
      <c r="B854" s="50" t="s">
        <v>4</v>
      </c>
      <c r="C854" s="50" t="s">
        <v>49</v>
      </c>
      <c r="D854" s="50" t="s">
        <v>303</v>
      </c>
      <c r="E854" s="50" t="s">
        <v>302</v>
      </c>
      <c r="F854" s="50" t="s">
        <v>73</v>
      </c>
      <c r="G854" s="50" t="s">
        <v>86</v>
      </c>
      <c r="H854" s="51">
        <v>1</v>
      </c>
      <c r="I854" s="52">
        <f>J854/H854</f>
        <v>279990</v>
      </c>
      <c r="J854" s="52">
        <v>279990</v>
      </c>
      <c r="K854" s="51">
        <v>15</v>
      </c>
      <c r="L854" s="53">
        <f>K854/H854*30</f>
        <v>450</v>
      </c>
    </row>
    <row r="855" spans="1:12" s="2" customFormat="1" ht="13.95" customHeight="1" outlineLevel="2" x14ac:dyDescent="0.2">
      <c r="A855" s="50" t="s">
        <v>70</v>
      </c>
      <c r="B855" s="50" t="s">
        <v>4</v>
      </c>
      <c r="C855" s="50" t="s">
        <v>49</v>
      </c>
      <c r="D855" s="50" t="s">
        <v>304</v>
      </c>
      <c r="E855" s="50" t="s">
        <v>132</v>
      </c>
      <c r="F855" s="50" t="s">
        <v>106</v>
      </c>
      <c r="G855" s="50" t="s">
        <v>112</v>
      </c>
      <c r="H855" s="51">
        <v>1</v>
      </c>
      <c r="I855" s="52">
        <f>J855/H855</f>
        <v>279990</v>
      </c>
      <c r="J855" s="52">
        <v>279990</v>
      </c>
      <c r="K855" s="51">
        <v>8</v>
      </c>
      <c r="L855" s="53">
        <f>K855/H855*30</f>
        <v>240</v>
      </c>
    </row>
    <row r="856" spans="1:12" s="2" customFormat="1" ht="13.95" customHeight="1" outlineLevel="2" x14ac:dyDescent="0.2">
      <c r="A856" s="50" t="s">
        <v>70</v>
      </c>
      <c r="B856" s="50" t="s">
        <v>4</v>
      </c>
      <c r="C856" s="50" t="s">
        <v>49</v>
      </c>
      <c r="D856" s="50" t="s">
        <v>377</v>
      </c>
      <c r="E856" s="50" t="s">
        <v>378</v>
      </c>
      <c r="F856" s="50" t="s">
        <v>73</v>
      </c>
      <c r="G856" s="50" t="s">
        <v>88</v>
      </c>
      <c r="H856" s="51">
        <v>1</v>
      </c>
      <c r="I856" s="52">
        <f>J856/H856</f>
        <v>232990</v>
      </c>
      <c r="J856" s="52">
        <v>232990</v>
      </c>
      <c r="K856" s="51">
        <v>21</v>
      </c>
      <c r="L856" s="53">
        <f>K856/H856*30</f>
        <v>630</v>
      </c>
    </row>
    <row r="857" spans="1:12" s="2" customFormat="1" ht="13.95" customHeight="1" outlineLevel="2" x14ac:dyDescent="0.2">
      <c r="A857" s="50" t="s">
        <v>70</v>
      </c>
      <c r="B857" s="50" t="s">
        <v>4</v>
      </c>
      <c r="C857" s="50" t="s">
        <v>49</v>
      </c>
      <c r="D857" s="50" t="s">
        <v>379</v>
      </c>
      <c r="E857" s="50" t="s">
        <v>378</v>
      </c>
      <c r="F857" s="50" t="s">
        <v>73</v>
      </c>
      <c r="G857" s="50" t="s">
        <v>97</v>
      </c>
      <c r="H857" s="51">
        <v>1</v>
      </c>
      <c r="I857" s="52">
        <f>J857/H857</f>
        <v>232990</v>
      </c>
      <c r="J857" s="52">
        <v>232990</v>
      </c>
      <c r="K857" s="51">
        <v>12</v>
      </c>
      <c r="L857" s="53">
        <f>K857/H857*30</f>
        <v>360</v>
      </c>
    </row>
    <row r="858" spans="1:12" s="2" customFormat="1" ht="13.95" customHeight="1" outlineLevel="2" x14ac:dyDescent="0.2">
      <c r="A858" s="50" t="s">
        <v>70</v>
      </c>
      <c r="B858" s="50" t="s">
        <v>4</v>
      </c>
      <c r="C858" s="50" t="s">
        <v>49</v>
      </c>
      <c r="D858" s="50" t="s">
        <v>380</v>
      </c>
      <c r="E858" s="50" t="s">
        <v>378</v>
      </c>
      <c r="F858" s="50" t="s">
        <v>73</v>
      </c>
      <c r="G858" s="50" t="s">
        <v>74</v>
      </c>
      <c r="H858" s="51">
        <v>1</v>
      </c>
      <c r="I858" s="52">
        <f>J858/H858</f>
        <v>232990</v>
      </c>
      <c r="J858" s="52">
        <v>232990</v>
      </c>
      <c r="K858" s="51">
        <v>13</v>
      </c>
      <c r="L858" s="53">
        <f>K858/H858*30</f>
        <v>390</v>
      </c>
    </row>
    <row r="859" spans="1:12" s="2" customFormat="1" ht="13.95" customHeight="1" outlineLevel="2" x14ac:dyDescent="0.2">
      <c r="A859" s="50" t="s">
        <v>70</v>
      </c>
      <c r="B859" s="50" t="s">
        <v>4</v>
      </c>
      <c r="C859" s="50" t="s">
        <v>49</v>
      </c>
      <c r="D859" s="50" t="s">
        <v>381</v>
      </c>
      <c r="E859" s="50" t="s">
        <v>378</v>
      </c>
      <c r="F859" s="50" t="s">
        <v>73</v>
      </c>
      <c r="G859" s="50" t="s">
        <v>84</v>
      </c>
      <c r="H859" s="51">
        <v>1</v>
      </c>
      <c r="I859" s="52">
        <f>J859/H859</f>
        <v>232990</v>
      </c>
      <c r="J859" s="52">
        <v>232990</v>
      </c>
      <c r="K859" s="51">
        <v>8</v>
      </c>
      <c r="L859" s="53">
        <f>K859/H859*30</f>
        <v>240</v>
      </c>
    </row>
    <row r="860" spans="1:12" s="2" customFormat="1" ht="13.95" customHeight="1" outlineLevel="2" x14ac:dyDescent="0.2">
      <c r="A860" s="50" t="s">
        <v>70</v>
      </c>
      <c r="B860" s="50" t="s">
        <v>4</v>
      </c>
      <c r="C860" s="50" t="s">
        <v>49</v>
      </c>
      <c r="D860" s="50" t="s">
        <v>382</v>
      </c>
      <c r="E860" s="50" t="s">
        <v>378</v>
      </c>
      <c r="F860" s="50" t="s">
        <v>223</v>
      </c>
      <c r="G860" s="50" t="s">
        <v>224</v>
      </c>
      <c r="H860" s="51">
        <v>1</v>
      </c>
      <c r="I860" s="52">
        <f>J860/H860</f>
        <v>232990</v>
      </c>
      <c r="J860" s="52">
        <v>232990</v>
      </c>
      <c r="K860" s="51">
        <v>13</v>
      </c>
      <c r="L860" s="53">
        <f>K860/H860*30</f>
        <v>390</v>
      </c>
    </row>
    <row r="861" spans="1:12" s="2" customFormat="1" ht="13.95" customHeight="1" outlineLevel="2" x14ac:dyDescent="0.2">
      <c r="A861" s="50" t="s">
        <v>165</v>
      </c>
      <c r="B861" s="50" t="s">
        <v>4</v>
      </c>
      <c r="C861" s="50" t="s">
        <v>49</v>
      </c>
      <c r="D861" s="50" t="s">
        <v>555</v>
      </c>
      <c r="E861" s="50" t="s">
        <v>167</v>
      </c>
      <c r="F861" s="50" t="s">
        <v>428</v>
      </c>
      <c r="G861" s="50" t="s">
        <v>463</v>
      </c>
      <c r="H861" s="51">
        <v>1</v>
      </c>
      <c r="I861" s="52">
        <f>J861/H861</f>
        <v>149990</v>
      </c>
      <c r="J861" s="52">
        <v>149990</v>
      </c>
      <c r="K861" s="51">
        <v>10</v>
      </c>
      <c r="L861" s="53">
        <f>K861/H861*30</f>
        <v>300</v>
      </c>
    </row>
    <row r="862" spans="1:12" s="2" customFormat="1" ht="13.95" customHeight="1" outlineLevel="2" x14ac:dyDescent="0.2">
      <c r="A862" s="50" t="s">
        <v>165</v>
      </c>
      <c r="B862" s="50" t="s">
        <v>4</v>
      </c>
      <c r="C862" s="50" t="s">
        <v>49</v>
      </c>
      <c r="D862" s="50" t="s">
        <v>556</v>
      </c>
      <c r="E862" s="50" t="s">
        <v>167</v>
      </c>
      <c r="F862" s="50" t="s">
        <v>168</v>
      </c>
      <c r="G862" s="50" t="s">
        <v>112</v>
      </c>
      <c r="H862" s="51">
        <v>1</v>
      </c>
      <c r="I862" s="52">
        <f>J862/H862</f>
        <v>149990</v>
      </c>
      <c r="J862" s="52">
        <v>149990</v>
      </c>
      <c r="K862" s="51">
        <v>5</v>
      </c>
      <c r="L862" s="53">
        <f>K862/H862*30</f>
        <v>150</v>
      </c>
    </row>
    <row r="863" spans="1:12" s="2" customFormat="1" ht="13.95" customHeight="1" outlineLevel="2" x14ac:dyDescent="0.2">
      <c r="A863" s="50" t="s">
        <v>165</v>
      </c>
      <c r="B863" s="50" t="s">
        <v>4</v>
      </c>
      <c r="C863" s="50" t="s">
        <v>49</v>
      </c>
      <c r="D863" s="50" t="s">
        <v>557</v>
      </c>
      <c r="E863" s="50" t="s">
        <v>558</v>
      </c>
      <c r="F863" s="50" t="s">
        <v>168</v>
      </c>
      <c r="G863" s="50" t="s">
        <v>559</v>
      </c>
      <c r="H863" s="51">
        <v>1</v>
      </c>
      <c r="I863" s="52">
        <f>J863/H863</f>
        <v>149990</v>
      </c>
      <c r="J863" s="52">
        <v>149990</v>
      </c>
      <c r="K863" s="51">
        <v>4</v>
      </c>
      <c r="L863" s="53">
        <f>K863/H863*30</f>
        <v>120</v>
      </c>
    </row>
    <row r="864" spans="1:12" s="2" customFormat="1" ht="13.95" customHeight="1" outlineLevel="1" x14ac:dyDescent="0.2">
      <c r="A864" s="50"/>
      <c r="B864" s="50"/>
      <c r="C864" s="58" t="s">
        <v>1463</v>
      </c>
      <c r="D864" s="50"/>
      <c r="E864" s="50"/>
      <c r="F864" s="50"/>
      <c r="G864" s="50"/>
      <c r="H864" s="51">
        <f>SUBTOTAL(9,H847:H863)</f>
        <v>21</v>
      </c>
      <c r="I864" s="52"/>
      <c r="J864" s="52">
        <f>SUBTOTAL(9,J847:J863)</f>
        <v>5214790</v>
      </c>
      <c r="K864" s="51"/>
      <c r="L864" s="53"/>
    </row>
    <row r="865" spans="1:12" s="2" customFormat="1" ht="13.95" customHeight="1" outlineLevel="2" x14ac:dyDescent="0.2">
      <c r="A865" s="50" t="s">
        <v>70</v>
      </c>
      <c r="B865" s="50" t="s">
        <v>4</v>
      </c>
      <c r="C865" s="50" t="s">
        <v>50</v>
      </c>
      <c r="D865" s="50" t="s">
        <v>107</v>
      </c>
      <c r="E865" s="50" t="s">
        <v>108</v>
      </c>
      <c r="F865" s="50" t="s">
        <v>73</v>
      </c>
      <c r="G865" s="50" t="s">
        <v>90</v>
      </c>
      <c r="H865" s="51">
        <v>4</v>
      </c>
      <c r="I865" s="52">
        <f>J865/H865</f>
        <v>189990</v>
      </c>
      <c r="J865" s="52">
        <v>759960</v>
      </c>
      <c r="K865" s="51">
        <v>6</v>
      </c>
      <c r="L865" s="53">
        <f>K865/H865*30</f>
        <v>45</v>
      </c>
    </row>
    <row r="866" spans="1:12" s="2" customFormat="1" ht="13.95" customHeight="1" outlineLevel="2" x14ac:dyDescent="0.2">
      <c r="A866" s="50" t="s">
        <v>70</v>
      </c>
      <c r="B866" s="50" t="s">
        <v>4</v>
      </c>
      <c r="C866" s="50" t="s">
        <v>50</v>
      </c>
      <c r="D866" s="50" t="s">
        <v>124</v>
      </c>
      <c r="E866" s="50" t="s">
        <v>125</v>
      </c>
      <c r="F866" s="50" t="s">
        <v>73</v>
      </c>
      <c r="G866" s="50" t="s">
        <v>84</v>
      </c>
      <c r="H866" s="51">
        <v>3</v>
      </c>
      <c r="I866" s="52">
        <f>J866/H866</f>
        <v>189990</v>
      </c>
      <c r="J866" s="52">
        <v>569970</v>
      </c>
      <c r="K866" s="51">
        <v>4</v>
      </c>
      <c r="L866" s="53">
        <f>K866/H866*30</f>
        <v>40</v>
      </c>
    </row>
    <row r="867" spans="1:12" s="2" customFormat="1" ht="13.95" customHeight="1" outlineLevel="2" x14ac:dyDescent="0.2">
      <c r="A867" s="50" t="s">
        <v>70</v>
      </c>
      <c r="B867" s="50" t="s">
        <v>4</v>
      </c>
      <c r="C867" s="50" t="s">
        <v>50</v>
      </c>
      <c r="D867" s="50" t="s">
        <v>218</v>
      </c>
      <c r="E867" s="50" t="s">
        <v>125</v>
      </c>
      <c r="F867" s="50" t="s">
        <v>73</v>
      </c>
      <c r="G867" s="50" t="s">
        <v>88</v>
      </c>
      <c r="H867" s="51">
        <v>2</v>
      </c>
      <c r="I867" s="52">
        <f>J867/H867</f>
        <v>189990</v>
      </c>
      <c r="J867" s="52">
        <v>379980</v>
      </c>
      <c r="K867" s="51">
        <v>7</v>
      </c>
      <c r="L867" s="53">
        <f>K867/H867*30</f>
        <v>105</v>
      </c>
    </row>
    <row r="868" spans="1:12" s="2" customFormat="1" ht="13.95" customHeight="1" outlineLevel="2" x14ac:dyDescent="0.2">
      <c r="A868" s="50" t="s">
        <v>70</v>
      </c>
      <c r="B868" s="50" t="s">
        <v>4</v>
      </c>
      <c r="C868" s="50" t="s">
        <v>50</v>
      </c>
      <c r="D868" s="50" t="s">
        <v>297</v>
      </c>
      <c r="E868" s="50" t="s">
        <v>298</v>
      </c>
      <c r="F868" s="50" t="s">
        <v>73</v>
      </c>
      <c r="G868" s="50" t="s">
        <v>84</v>
      </c>
      <c r="H868" s="51">
        <v>1</v>
      </c>
      <c r="I868" s="52">
        <f>J868/H868</f>
        <v>284990</v>
      </c>
      <c r="J868" s="52">
        <v>284990</v>
      </c>
      <c r="K868" s="51">
        <v>6</v>
      </c>
      <c r="L868" s="53">
        <f>K868/H868*30</f>
        <v>180</v>
      </c>
    </row>
    <row r="869" spans="1:12" s="2" customFormat="1" ht="13.95" customHeight="1" outlineLevel="2" x14ac:dyDescent="0.2">
      <c r="A869" s="50" t="s">
        <v>70</v>
      </c>
      <c r="B869" s="50" t="s">
        <v>4</v>
      </c>
      <c r="C869" s="50" t="s">
        <v>50</v>
      </c>
      <c r="D869" s="50" t="s">
        <v>308</v>
      </c>
      <c r="E869" s="50" t="s">
        <v>309</v>
      </c>
      <c r="F869" s="50" t="s">
        <v>73</v>
      </c>
      <c r="G869" s="50" t="s">
        <v>88</v>
      </c>
      <c r="H869" s="51">
        <v>1</v>
      </c>
      <c r="I869" s="52">
        <f>J869/H869</f>
        <v>275990</v>
      </c>
      <c r="J869" s="52">
        <v>275990</v>
      </c>
      <c r="K869" s="51">
        <v>7</v>
      </c>
      <c r="L869" s="53">
        <f>K869/H869*30</f>
        <v>210</v>
      </c>
    </row>
    <row r="870" spans="1:12" s="2" customFormat="1" ht="13.95" customHeight="1" outlineLevel="2" x14ac:dyDescent="0.2">
      <c r="A870" s="50" t="s">
        <v>70</v>
      </c>
      <c r="B870" s="50" t="s">
        <v>4</v>
      </c>
      <c r="C870" s="50" t="s">
        <v>50</v>
      </c>
      <c r="D870" s="50" t="s">
        <v>310</v>
      </c>
      <c r="E870" s="50" t="s">
        <v>309</v>
      </c>
      <c r="F870" s="50" t="s">
        <v>73</v>
      </c>
      <c r="G870" s="50" t="s">
        <v>90</v>
      </c>
      <c r="H870" s="51">
        <v>1</v>
      </c>
      <c r="I870" s="52">
        <f>J870/H870</f>
        <v>275990</v>
      </c>
      <c r="J870" s="52">
        <v>275990</v>
      </c>
      <c r="K870" s="51">
        <v>3</v>
      </c>
      <c r="L870" s="53">
        <f>K870/H870*30</f>
        <v>90</v>
      </c>
    </row>
    <row r="871" spans="1:12" s="2" customFormat="1" ht="13.95" customHeight="1" outlineLevel="2" x14ac:dyDescent="0.2">
      <c r="A871" s="50" t="s">
        <v>70</v>
      </c>
      <c r="B871" s="50" t="s">
        <v>4</v>
      </c>
      <c r="C871" s="50" t="s">
        <v>50</v>
      </c>
      <c r="D871" s="50" t="s">
        <v>311</v>
      </c>
      <c r="E871" s="50" t="s">
        <v>309</v>
      </c>
      <c r="F871" s="50" t="s">
        <v>73</v>
      </c>
      <c r="G871" s="50" t="s">
        <v>84</v>
      </c>
      <c r="H871" s="51">
        <v>1</v>
      </c>
      <c r="I871" s="52">
        <f>J871/H871</f>
        <v>275990</v>
      </c>
      <c r="J871" s="52">
        <v>275990</v>
      </c>
      <c r="K871" s="51">
        <v>10</v>
      </c>
      <c r="L871" s="53">
        <f>K871/H871*30</f>
        <v>300</v>
      </c>
    </row>
    <row r="872" spans="1:12" s="2" customFormat="1" ht="13.95" customHeight="1" outlineLevel="2" x14ac:dyDescent="0.2">
      <c r="A872" s="50" t="s">
        <v>70</v>
      </c>
      <c r="B872" s="50" t="s">
        <v>4</v>
      </c>
      <c r="C872" s="50" t="s">
        <v>50</v>
      </c>
      <c r="D872" s="50" t="s">
        <v>391</v>
      </c>
      <c r="E872" s="50" t="s">
        <v>392</v>
      </c>
      <c r="F872" s="50" t="s">
        <v>73</v>
      </c>
      <c r="G872" s="50" t="s">
        <v>90</v>
      </c>
      <c r="H872" s="51">
        <v>1</v>
      </c>
      <c r="I872" s="52">
        <f>J872/H872</f>
        <v>224990</v>
      </c>
      <c r="J872" s="52">
        <v>224990</v>
      </c>
      <c r="K872" s="51">
        <v>2</v>
      </c>
      <c r="L872" s="53">
        <f>K872/H872*30</f>
        <v>60</v>
      </c>
    </row>
    <row r="873" spans="1:12" s="2" customFormat="1" ht="13.95" customHeight="1" outlineLevel="2" x14ac:dyDescent="0.2">
      <c r="A873" s="50" t="s">
        <v>70</v>
      </c>
      <c r="B873" s="50" t="s">
        <v>4</v>
      </c>
      <c r="C873" s="50" t="s">
        <v>50</v>
      </c>
      <c r="D873" s="50" t="s">
        <v>393</v>
      </c>
      <c r="E873" s="50" t="s">
        <v>392</v>
      </c>
      <c r="F873" s="50" t="s">
        <v>73</v>
      </c>
      <c r="G873" s="50" t="s">
        <v>86</v>
      </c>
      <c r="H873" s="51">
        <v>1</v>
      </c>
      <c r="I873" s="52">
        <f>J873/H873</f>
        <v>224990</v>
      </c>
      <c r="J873" s="52">
        <v>224990</v>
      </c>
      <c r="K873" s="51">
        <v>12</v>
      </c>
      <c r="L873" s="53">
        <f>K873/H873*30</f>
        <v>360</v>
      </c>
    </row>
    <row r="874" spans="1:12" s="2" customFormat="1" ht="13.95" customHeight="1" outlineLevel="2" x14ac:dyDescent="0.2">
      <c r="A874" s="50" t="s">
        <v>70</v>
      </c>
      <c r="B874" s="50" t="s">
        <v>4</v>
      </c>
      <c r="C874" s="50" t="s">
        <v>50</v>
      </c>
      <c r="D874" s="50" t="s">
        <v>466</v>
      </c>
      <c r="E874" s="50" t="s">
        <v>125</v>
      </c>
      <c r="F874" s="50" t="s">
        <v>73</v>
      </c>
      <c r="G874" s="50" t="s">
        <v>86</v>
      </c>
      <c r="H874" s="51">
        <v>1</v>
      </c>
      <c r="I874" s="52">
        <f>J874/H874</f>
        <v>189990</v>
      </c>
      <c r="J874" s="52">
        <v>189990</v>
      </c>
      <c r="K874" s="51">
        <v>9</v>
      </c>
      <c r="L874" s="53">
        <f>K874/H874*30</f>
        <v>270</v>
      </c>
    </row>
    <row r="875" spans="1:12" s="2" customFormat="1" ht="13.95" customHeight="1" outlineLevel="2" x14ac:dyDescent="0.2">
      <c r="A875" s="50" t="s">
        <v>70</v>
      </c>
      <c r="B875" s="50" t="s">
        <v>4</v>
      </c>
      <c r="C875" s="50" t="s">
        <v>50</v>
      </c>
      <c r="D875" s="50" t="s">
        <v>467</v>
      </c>
      <c r="E875" s="50" t="s">
        <v>125</v>
      </c>
      <c r="F875" s="50" t="s">
        <v>128</v>
      </c>
      <c r="G875" s="50" t="s">
        <v>254</v>
      </c>
      <c r="H875" s="51">
        <v>1</v>
      </c>
      <c r="I875" s="52">
        <f>J875/H875</f>
        <v>189990</v>
      </c>
      <c r="J875" s="52">
        <v>189990</v>
      </c>
      <c r="K875" s="51">
        <v>4</v>
      </c>
      <c r="L875" s="53">
        <f>K875/H875*30</f>
        <v>120</v>
      </c>
    </row>
    <row r="876" spans="1:12" s="2" customFormat="1" ht="13.95" customHeight="1" outlineLevel="2" x14ac:dyDescent="0.2">
      <c r="A876" s="50" t="s">
        <v>70</v>
      </c>
      <c r="B876" s="50" t="s">
        <v>4</v>
      </c>
      <c r="C876" s="50" t="s">
        <v>50</v>
      </c>
      <c r="D876" s="50" t="s">
        <v>468</v>
      </c>
      <c r="E876" s="50" t="s">
        <v>108</v>
      </c>
      <c r="F876" s="50" t="s">
        <v>73</v>
      </c>
      <c r="G876" s="50" t="s">
        <v>86</v>
      </c>
      <c r="H876" s="51">
        <v>1</v>
      </c>
      <c r="I876" s="52">
        <f>J876/H876</f>
        <v>189990</v>
      </c>
      <c r="J876" s="52">
        <v>189990</v>
      </c>
      <c r="K876" s="51">
        <v>8</v>
      </c>
      <c r="L876" s="53">
        <f>K876/H876*30</f>
        <v>240</v>
      </c>
    </row>
    <row r="877" spans="1:12" s="2" customFormat="1" ht="13.95" customHeight="1" outlineLevel="1" x14ac:dyDescent="0.2">
      <c r="A877" s="50"/>
      <c r="B877" s="50"/>
      <c r="C877" s="58" t="s">
        <v>1460</v>
      </c>
      <c r="D877" s="50"/>
      <c r="E877" s="50"/>
      <c r="F877" s="50"/>
      <c r="G877" s="50"/>
      <c r="H877" s="51">
        <f>SUBTOTAL(9,H865:H876)</f>
        <v>18</v>
      </c>
      <c r="I877" s="52"/>
      <c r="J877" s="52">
        <f>SUBTOTAL(9,J865:J876)</f>
        <v>3842820</v>
      </c>
      <c r="K877" s="51"/>
      <c r="L877" s="53"/>
    </row>
    <row r="878" spans="1:12" s="2" customFormat="1" ht="13.95" customHeight="1" outlineLevel="2" x14ac:dyDescent="0.2">
      <c r="A878" s="50" t="s">
        <v>70</v>
      </c>
      <c r="B878" s="50" t="s">
        <v>4</v>
      </c>
      <c r="C878" s="50" t="s">
        <v>51</v>
      </c>
      <c r="D878" s="50" t="s">
        <v>498</v>
      </c>
      <c r="E878" s="50" t="s">
        <v>499</v>
      </c>
      <c r="F878" s="50" t="s">
        <v>73</v>
      </c>
      <c r="G878" s="50" t="s">
        <v>86</v>
      </c>
      <c r="H878" s="51">
        <v>2</v>
      </c>
      <c r="I878" s="52">
        <f>J878/H878</f>
        <v>88990</v>
      </c>
      <c r="J878" s="52">
        <v>177980</v>
      </c>
      <c r="K878" s="51">
        <v>10</v>
      </c>
      <c r="L878" s="53">
        <f>K878/H878*30</f>
        <v>150</v>
      </c>
    </row>
    <row r="879" spans="1:12" s="2" customFormat="1" ht="13.95" customHeight="1" outlineLevel="2" x14ac:dyDescent="0.2">
      <c r="A879" s="50" t="s">
        <v>70</v>
      </c>
      <c r="B879" s="50" t="s">
        <v>4</v>
      </c>
      <c r="C879" s="50" t="s">
        <v>51</v>
      </c>
      <c r="D879" s="50" t="s">
        <v>500</v>
      </c>
      <c r="E879" s="50" t="s">
        <v>501</v>
      </c>
      <c r="F879" s="50" t="s">
        <v>73</v>
      </c>
      <c r="G879" s="50" t="s">
        <v>86</v>
      </c>
      <c r="H879" s="51">
        <v>2</v>
      </c>
      <c r="I879" s="52">
        <f>J879/H879</f>
        <v>88990</v>
      </c>
      <c r="J879" s="52">
        <v>177980</v>
      </c>
      <c r="K879" s="51">
        <v>13</v>
      </c>
      <c r="L879" s="53">
        <f>K879/H879*30</f>
        <v>195</v>
      </c>
    </row>
    <row r="880" spans="1:12" s="2" customFormat="1" ht="13.95" customHeight="1" outlineLevel="2" x14ac:dyDescent="0.2">
      <c r="A880" s="50" t="s">
        <v>70</v>
      </c>
      <c r="B880" s="50" t="s">
        <v>4</v>
      </c>
      <c r="C880" s="50" t="s">
        <v>51</v>
      </c>
      <c r="D880" s="50" t="s">
        <v>541</v>
      </c>
      <c r="E880" s="50" t="s">
        <v>542</v>
      </c>
      <c r="F880" s="50" t="s">
        <v>73</v>
      </c>
      <c r="G880" s="50" t="s">
        <v>88</v>
      </c>
      <c r="H880" s="51">
        <v>4</v>
      </c>
      <c r="I880" s="52">
        <f>J880/H880</f>
        <v>39990</v>
      </c>
      <c r="J880" s="52">
        <v>159960</v>
      </c>
      <c r="K880" s="51">
        <v>11</v>
      </c>
      <c r="L880" s="53">
        <f>K880/H880*30</f>
        <v>82.5</v>
      </c>
    </row>
    <row r="881" spans="1:12" s="2" customFormat="1" ht="13.95" customHeight="1" outlineLevel="2" x14ac:dyDescent="0.2">
      <c r="A881" s="50" t="s">
        <v>70</v>
      </c>
      <c r="B881" s="50" t="s">
        <v>4</v>
      </c>
      <c r="C881" s="50" t="s">
        <v>51</v>
      </c>
      <c r="D881" s="50" t="s">
        <v>543</v>
      </c>
      <c r="E881" s="50" t="s">
        <v>542</v>
      </c>
      <c r="F881" s="50" t="s">
        <v>128</v>
      </c>
      <c r="G881" s="50" t="s">
        <v>129</v>
      </c>
      <c r="H881" s="51">
        <v>4</v>
      </c>
      <c r="I881" s="52">
        <f>J881/H881</f>
        <v>39990</v>
      </c>
      <c r="J881" s="52">
        <v>159960</v>
      </c>
      <c r="K881" s="51">
        <v>7</v>
      </c>
      <c r="L881" s="53">
        <f>K881/H881*30</f>
        <v>52.5</v>
      </c>
    </row>
    <row r="882" spans="1:12" s="2" customFormat="1" ht="13.95" customHeight="1" outlineLevel="2" x14ac:dyDescent="0.2">
      <c r="A882" s="50" t="s">
        <v>70</v>
      </c>
      <c r="B882" s="50" t="s">
        <v>4</v>
      </c>
      <c r="C882" s="50" t="s">
        <v>51</v>
      </c>
      <c r="D882" s="50" t="s">
        <v>858</v>
      </c>
      <c r="E882" s="50" t="s">
        <v>499</v>
      </c>
      <c r="F882" s="50" t="s">
        <v>73</v>
      </c>
      <c r="G882" s="50" t="s">
        <v>88</v>
      </c>
      <c r="H882" s="51">
        <v>1</v>
      </c>
      <c r="I882" s="52">
        <f>J882/H882</f>
        <v>88990</v>
      </c>
      <c r="J882" s="52">
        <v>88990</v>
      </c>
      <c r="K882" s="51">
        <v>8</v>
      </c>
      <c r="L882" s="53">
        <f>K882/H882*30</f>
        <v>240</v>
      </c>
    </row>
    <row r="883" spans="1:12" s="2" customFormat="1" ht="13.95" customHeight="1" outlineLevel="2" x14ac:dyDescent="0.2">
      <c r="A883" s="50" t="s">
        <v>70</v>
      </c>
      <c r="B883" s="50" t="s">
        <v>4</v>
      </c>
      <c r="C883" s="50" t="s">
        <v>51</v>
      </c>
      <c r="D883" s="50" t="s">
        <v>859</v>
      </c>
      <c r="E883" s="50" t="s">
        <v>499</v>
      </c>
      <c r="F883" s="50" t="s">
        <v>73</v>
      </c>
      <c r="G883" s="50" t="s">
        <v>84</v>
      </c>
      <c r="H883" s="51">
        <v>1</v>
      </c>
      <c r="I883" s="52">
        <f>J883/H883</f>
        <v>88990</v>
      </c>
      <c r="J883" s="52">
        <v>88990</v>
      </c>
      <c r="K883" s="51">
        <v>6</v>
      </c>
      <c r="L883" s="53">
        <f>K883/H883*30</f>
        <v>180</v>
      </c>
    </row>
    <row r="884" spans="1:12" s="2" customFormat="1" ht="13.95" customHeight="1" outlineLevel="2" x14ac:dyDescent="0.2">
      <c r="A884" s="50" t="s">
        <v>70</v>
      </c>
      <c r="B884" s="50" t="s">
        <v>4</v>
      </c>
      <c r="C884" s="50" t="s">
        <v>51</v>
      </c>
      <c r="D884" s="50" t="s">
        <v>895</v>
      </c>
      <c r="E884" s="50" t="s">
        <v>542</v>
      </c>
      <c r="F884" s="50" t="s">
        <v>73</v>
      </c>
      <c r="G884" s="50" t="s">
        <v>74</v>
      </c>
      <c r="H884" s="51">
        <v>2</v>
      </c>
      <c r="I884" s="52">
        <f>J884/H884</f>
        <v>39990</v>
      </c>
      <c r="J884" s="52">
        <v>79980</v>
      </c>
      <c r="K884" s="51">
        <v>15</v>
      </c>
      <c r="L884" s="53">
        <f>K884/H884*30</f>
        <v>225</v>
      </c>
    </row>
    <row r="885" spans="1:12" s="2" customFormat="1" ht="13.95" customHeight="1" outlineLevel="2" x14ac:dyDescent="0.2">
      <c r="A885" s="50" t="s">
        <v>70</v>
      </c>
      <c r="B885" s="50" t="s">
        <v>4</v>
      </c>
      <c r="C885" s="50" t="s">
        <v>51</v>
      </c>
      <c r="D885" s="50" t="s">
        <v>896</v>
      </c>
      <c r="E885" s="50" t="s">
        <v>542</v>
      </c>
      <c r="F885" s="50" t="s">
        <v>128</v>
      </c>
      <c r="G885" s="50" t="s">
        <v>316</v>
      </c>
      <c r="H885" s="51">
        <v>2</v>
      </c>
      <c r="I885" s="52">
        <f>J885/H885</f>
        <v>39990</v>
      </c>
      <c r="J885" s="52">
        <v>79980</v>
      </c>
      <c r="K885" s="51">
        <v>18</v>
      </c>
      <c r="L885" s="53">
        <f>K885/H885*30</f>
        <v>270</v>
      </c>
    </row>
    <row r="886" spans="1:12" s="2" customFormat="1" ht="13.95" customHeight="1" outlineLevel="2" x14ac:dyDescent="0.2">
      <c r="A886" s="50" t="s">
        <v>70</v>
      </c>
      <c r="B886" s="50" t="s">
        <v>4</v>
      </c>
      <c r="C886" s="50" t="s">
        <v>51</v>
      </c>
      <c r="D886" s="50" t="s">
        <v>1169</v>
      </c>
      <c r="E886" s="50" t="s">
        <v>542</v>
      </c>
      <c r="F886" s="50" t="s">
        <v>73</v>
      </c>
      <c r="G886" s="50" t="s">
        <v>86</v>
      </c>
      <c r="H886" s="51">
        <v>1</v>
      </c>
      <c r="I886" s="52">
        <f>J886/H886</f>
        <v>39990</v>
      </c>
      <c r="J886" s="52">
        <v>39990</v>
      </c>
      <c r="K886" s="51">
        <v>17</v>
      </c>
      <c r="L886" s="53">
        <f>K886/H886*30</f>
        <v>510</v>
      </c>
    </row>
    <row r="887" spans="1:12" s="2" customFormat="1" ht="13.95" customHeight="1" outlineLevel="2" x14ac:dyDescent="0.2">
      <c r="A887" s="50" t="s">
        <v>70</v>
      </c>
      <c r="B887" s="50" t="s">
        <v>4</v>
      </c>
      <c r="C887" s="50" t="s">
        <v>51</v>
      </c>
      <c r="D887" s="50" t="s">
        <v>1170</v>
      </c>
      <c r="E887" s="50" t="s">
        <v>542</v>
      </c>
      <c r="F887" s="50" t="s">
        <v>128</v>
      </c>
      <c r="G887" s="50" t="s">
        <v>140</v>
      </c>
      <c r="H887" s="51">
        <v>1</v>
      </c>
      <c r="I887" s="52">
        <f>J887/H887</f>
        <v>39990</v>
      </c>
      <c r="J887" s="52">
        <v>39990</v>
      </c>
      <c r="K887" s="51">
        <v>14</v>
      </c>
      <c r="L887" s="53">
        <f>K887/H887*30</f>
        <v>420</v>
      </c>
    </row>
    <row r="888" spans="1:12" s="2" customFormat="1" ht="13.95" customHeight="1" outlineLevel="2" x14ac:dyDescent="0.2">
      <c r="A888" s="50" t="s">
        <v>70</v>
      </c>
      <c r="B888" s="50" t="s">
        <v>4</v>
      </c>
      <c r="C888" s="50" t="s">
        <v>51</v>
      </c>
      <c r="D888" s="50" t="s">
        <v>1171</v>
      </c>
      <c r="E888" s="50" t="s">
        <v>542</v>
      </c>
      <c r="F888" s="50" t="s">
        <v>128</v>
      </c>
      <c r="G888" s="50" t="s">
        <v>1172</v>
      </c>
      <c r="H888" s="51">
        <v>1</v>
      </c>
      <c r="I888" s="52">
        <f>J888/H888</f>
        <v>39990</v>
      </c>
      <c r="J888" s="52">
        <v>39990</v>
      </c>
      <c r="K888" s="51">
        <v>9</v>
      </c>
      <c r="L888" s="53">
        <f>K888/H888*30</f>
        <v>270</v>
      </c>
    </row>
    <row r="889" spans="1:12" s="2" customFormat="1" ht="13.95" customHeight="1" outlineLevel="2" x14ac:dyDescent="0.2">
      <c r="A889" s="50" t="s">
        <v>70</v>
      </c>
      <c r="B889" s="50" t="s">
        <v>4</v>
      </c>
      <c r="C889" s="50" t="s">
        <v>51</v>
      </c>
      <c r="D889" s="50" t="s">
        <v>1173</v>
      </c>
      <c r="E889" s="50" t="s">
        <v>542</v>
      </c>
      <c r="F889" s="50" t="s">
        <v>128</v>
      </c>
      <c r="G889" s="50" t="s">
        <v>598</v>
      </c>
      <c r="H889" s="51">
        <v>1</v>
      </c>
      <c r="I889" s="52">
        <f>J889/H889</f>
        <v>39990</v>
      </c>
      <c r="J889" s="52">
        <v>39990</v>
      </c>
      <c r="K889" s="51">
        <v>2</v>
      </c>
      <c r="L889" s="53">
        <f>K889/H889*30</f>
        <v>60</v>
      </c>
    </row>
    <row r="890" spans="1:12" s="2" customFormat="1" ht="13.95" customHeight="1" outlineLevel="1" x14ac:dyDescent="0.2">
      <c r="A890" s="50"/>
      <c r="B890" s="50"/>
      <c r="C890" s="58" t="s">
        <v>1482</v>
      </c>
      <c r="D890" s="50"/>
      <c r="E890" s="50"/>
      <c r="F890" s="50"/>
      <c r="G890" s="50"/>
      <c r="H890" s="51">
        <f>SUBTOTAL(9,H878:H889)</f>
        <v>22</v>
      </c>
      <c r="I890" s="52"/>
      <c r="J890" s="52">
        <f>SUBTOTAL(9,J878:J889)</f>
        <v>1173780</v>
      </c>
      <c r="K890" s="51"/>
      <c r="L890" s="53"/>
    </row>
    <row r="891" spans="1:12" s="2" customFormat="1" ht="13.95" customHeight="1" outlineLevel="2" x14ac:dyDescent="0.2">
      <c r="A891" s="50" t="s">
        <v>70</v>
      </c>
      <c r="B891" s="50" t="s">
        <v>4</v>
      </c>
      <c r="C891" s="50" t="s">
        <v>52</v>
      </c>
      <c r="D891" s="50" t="s">
        <v>157</v>
      </c>
      <c r="E891" s="50" t="s">
        <v>158</v>
      </c>
      <c r="F891" s="50" t="s">
        <v>73</v>
      </c>
      <c r="G891" s="50" t="s">
        <v>90</v>
      </c>
      <c r="H891" s="51">
        <v>2</v>
      </c>
      <c r="I891" s="52">
        <f>J891/H891</f>
        <v>239990</v>
      </c>
      <c r="J891" s="52">
        <v>479980</v>
      </c>
      <c r="K891" s="51">
        <v>8</v>
      </c>
      <c r="L891" s="53">
        <f>K891/H891*30</f>
        <v>120</v>
      </c>
    </row>
    <row r="892" spans="1:12" s="2" customFormat="1" ht="13.95" customHeight="1" outlineLevel="2" x14ac:dyDescent="0.2">
      <c r="A892" s="50" t="s">
        <v>70</v>
      </c>
      <c r="B892" s="50" t="s">
        <v>4</v>
      </c>
      <c r="C892" s="50" t="s">
        <v>52</v>
      </c>
      <c r="D892" s="50" t="s">
        <v>159</v>
      </c>
      <c r="E892" s="50" t="s">
        <v>158</v>
      </c>
      <c r="F892" s="50" t="s">
        <v>73</v>
      </c>
      <c r="G892" s="50" t="s">
        <v>97</v>
      </c>
      <c r="H892" s="51">
        <v>2</v>
      </c>
      <c r="I892" s="52">
        <f>J892/H892</f>
        <v>239990</v>
      </c>
      <c r="J892" s="52">
        <v>479980</v>
      </c>
      <c r="K892" s="51">
        <v>12</v>
      </c>
      <c r="L892" s="53">
        <f>K892/H892*30</f>
        <v>180</v>
      </c>
    </row>
    <row r="893" spans="1:12" s="2" customFormat="1" ht="13.95" customHeight="1" outlineLevel="2" x14ac:dyDescent="0.2">
      <c r="A893" s="50" t="s">
        <v>70</v>
      </c>
      <c r="B893" s="50" t="s">
        <v>4</v>
      </c>
      <c r="C893" s="50" t="s">
        <v>52</v>
      </c>
      <c r="D893" s="50" t="s">
        <v>160</v>
      </c>
      <c r="E893" s="50" t="s">
        <v>158</v>
      </c>
      <c r="F893" s="50" t="s">
        <v>73</v>
      </c>
      <c r="G893" s="50" t="s">
        <v>84</v>
      </c>
      <c r="H893" s="51">
        <v>2</v>
      </c>
      <c r="I893" s="52">
        <f>J893/H893</f>
        <v>239990</v>
      </c>
      <c r="J893" s="52">
        <v>479980</v>
      </c>
      <c r="K893" s="51">
        <v>2</v>
      </c>
      <c r="L893" s="53">
        <f>K893/H893*30</f>
        <v>30</v>
      </c>
    </row>
    <row r="894" spans="1:12" s="2" customFormat="1" ht="13.95" customHeight="1" outlineLevel="2" x14ac:dyDescent="0.2">
      <c r="A894" s="50" t="s">
        <v>70</v>
      </c>
      <c r="B894" s="50" t="s">
        <v>4</v>
      </c>
      <c r="C894" s="50" t="s">
        <v>52</v>
      </c>
      <c r="D894" s="50" t="s">
        <v>200</v>
      </c>
      <c r="E894" s="50" t="s">
        <v>201</v>
      </c>
      <c r="F894" s="50" t="s">
        <v>73</v>
      </c>
      <c r="G894" s="50" t="s">
        <v>86</v>
      </c>
      <c r="H894" s="51">
        <v>1</v>
      </c>
      <c r="I894" s="52">
        <f>J894/H894</f>
        <v>399990</v>
      </c>
      <c r="J894" s="52">
        <v>399990</v>
      </c>
      <c r="K894" s="51">
        <v>22</v>
      </c>
      <c r="L894" s="53">
        <f>K894/H894*30</f>
        <v>660</v>
      </c>
    </row>
    <row r="895" spans="1:12" s="2" customFormat="1" ht="13.95" customHeight="1" outlineLevel="2" x14ac:dyDescent="0.2">
      <c r="A895" s="50" t="s">
        <v>121</v>
      </c>
      <c r="B895" s="50" t="s">
        <v>4</v>
      </c>
      <c r="C895" s="50" t="s">
        <v>52</v>
      </c>
      <c r="D895" s="50" t="s">
        <v>233</v>
      </c>
      <c r="E895" s="50" t="s">
        <v>234</v>
      </c>
      <c r="F895" s="50" t="s">
        <v>73</v>
      </c>
      <c r="G895" s="50" t="s">
        <v>86</v>
      </c>
      <c r="H895" s="51">
        <v>1</v>
      </c>
      <c r="I895" s="52">
        <f>J895/H895</f>
        <v>349990</v>
      </c>
      <c r="J895" s="52">
        <v>349990</v>
      </c>
      <c r="K895" s="51">
        <v>3</v>
      </c>
      <c r="L895" s="53">
        <f>K895/H895*30</f>
        <v>90</v>
      </c>
    </row>
    <row r="896" spans="1:12" s="2" customFormat="1" ht="13.95" customHeight="1" outlineLevel="2" x14ac:dyDescent="0.2">
      <c r="A896" s="50" t="s">
        <v>121</v>
      </c>
      <c r="B896" s="50" t="s">
        <v>4</v>
      </c>
      <c r="C896" s="50" t="s">
        <v>52</v>
      </c>
      <c r="D896" s="50" t="s">
        <v>235</v>
      </c>
      <c r="E896" s="50" t="s">
        <v>234</v>
      </c>
      <c r="F896" s="50" t="s">
        <v>73</v>
      </c>
      <c r="G896" s="50" t="s">
        <v>84</v>
      </c>
      <c r="H896" s="51">
        <v>1</v>
      </c>
      <c r="I896" s="52">
        <f>J896/H896</f>
        <v>349990</v>
      </c>
      <c r="J896" s="52">
        <v>349990</v>
      </c>
      <c r="K896" s="51">
        <v>3</v>
      </c>
      <c r="L896" s="53">
        <f>K896/H896*30</f>
        <v>90</v>
      </c>
    </row>
    <row r="897" spans="1:12" s="2" customFormat="1" ht="13.95" customHeight="1" outlineLevel="2" x14ac:dyDescent="0.2">
      <c r="A897" s="50" t="s">
        <v>70</v>
      </c>
      <c r="B897" s="50" t="s">
        <v>4</v>
      </c>
      <c r="C897" s="50" t="s">
        <v>52</v>
      </c>
      <c r="D897" s="50" t="s">
        <v>263</v>
      </c>
      <c r="E897" s="50" t="s">
        <v>264</v>
      </c>
      <c r="F897" s="50" t="s">
        <v>73</v>
      </c>
      <c r="G897" s="50" t="s">
        <v>88</v>
      </c>
      <c r="H897" s="51">
        <v>1</v>
      </c>
      <c r="I897" s="52">
        <f>J897/H897</f>
        <v>325990</v>
      </c>
      <c r="J897" s="52">
        <v>325990</v>
      </c>
      <c r="K897" s="51">
        <v>8</v>
      </c>
      <c r="L897" s="53">
        <f>K897/H897*30</f>
        <v>240</v>
      </c>
    </row>
    <row r="898" spans="1:12" s="2" customFormat="1" ht="13.95" customHeight="1" outlineLevel="2" x14ac:dyDescent="0.2">
      <c r="A898" s="50" t="s">
        <v>70</v>
      </c>
      <c r="B898" s="50" t="s">
        <v>4</v>
      </c>
      <c r="C898" s="50" t="s">
        <v>52</v>
      </c>
      <c r="D898" s="50" t="s">
        <v>334</v>
      </c>
      <c r="E898" s="50" t="s">
        <v>335</v>
      </c>
      <c r="F898" s="50" t="s">
        <v>73</v>
      </c>
      <c r="G898" s="50" t="s">
        <v>86</v>
      </c>
      <c r="H898" s="51">
        <v>1</v>
      </c>
      <c r="I898" s="52">
        <f>J898/H898</f>
        <v>259990</v>
      </c>
      <c r="J898" s="52">
        <v>259990</v>
      </c>
      <c r="K898" s="51">
        <v>8</v>
      </c>
      <c r="L898" s="53">
        <f>K898/H898*30</f>
        <v>240</v>
      </c>
    </row>
    <row r="899" spans="1:12" s="2" customFormat="1" ht="13.95" customHeight="1" outlineLevel="2" x14ac:dyDescent="0.2">
      <c r="A899" s="50" t="s">
        <v>70</v>
      </c>
      <c r="B899" s="50" t="s">
        <v>4</v>
      </c>
      <c r="C899" s="50" t="s">
        <v>52</v>
      </c>
      <c r="D899" s="50" t="s">
        <v>336</v>
      </c>
      <c r="E899" s="50" t="s">
        <v>335</v>
      </c>
      <c r="F899" s="50" t="s">
        <v>73</v>
      </c>
      <c r="G899" s="50" t="s">
        <v>84</v>
      </c>
      <c r="H899" s="51">
        <v>1</v>
      </c>
      <c r="I899" s="52">
        <f>J899/H899</f>
        <v>259990</v>
      </c>
      <c r="J899" s="52">
        <v>259990</v>
      </c>
      <c r="K899" s="51">
        <v>5</v>
      </c>
      <c r="L899" s="53">
        <f>K899/H899*30</f>
        <v>150</v>
      </c>
    </row>
    <row r="900" spans="1:12" s="2" customFormat="1" ht="13.95" customHeight="1" outlineLevel="2" x14ac:dyDescent="0.2">
      <c r="A900" s="50" t="s">
        <v>70</v>
      </c>
      <c r="B900" s="50" t="s">
        <v>4</v>
      </c>
      <c r="C900" s="50" t="s">
        <v>52</v>
      </c>
      <c r="D900" s="50" t="s">
        <v>357</v>
      </c>
      <c r="E900" s="50" t="s">
        <v>158</v>
      </c>
      <c r="F900" s="50" t="s">
        <v>73</v>
      </c>
      <c r="G900" s="50" t="s">
        <v>88</v>
      </c>
      <c r="H900" s="51">
        <v>1</v>
      </c>
      <c r="I900" s="52">
        <f>J900/H900</f>
        <v>239990</v>
      </c>
      <c r="J900" s="52">
        <v>239990</v>
      </c>
      <c r="K900" s="51">
        <v>13</v>
      </c>
      <c r="L900" s="53">
        <f>K900/H900*30</f>
        <v>390</v>
      </c>
    </row>
    <row r="901" spans="1:12" s="2" customFormat="1" ht="13.95" customHeight="1" outlineLevel="2" x14ac:dyDescent="0.2">
      <c r="A901" s="50" t="s">
        <v>70</v>
      </c>
      <c r="B901" s="50" t="s">
        <v>4</v>
      </c>
      <c r="C901" s="50" t="s">
        <v>52</v>
      </c>
      <c r="D901" s="50" t="s">
        <v>358</v>
      </c>
      <c r="E901" s="50" t="s">
        <v>158</v>
      </c>
      <c r="F901" s="50" t="s">
        <v>73</v>
      </c>
      <c r="G901" s="50" t="s">
        <v>86</v>
      </c>
      <c r="H901" s="51">
        <v>1</v>
      </c>
      <c r="I901" s="52">
        <f>J901/H901</f>
        <v>239990</v>
      </c>
      <c r="J901" s="52">
        <v>239990</v>
      </c>
      <c r="K901" s="51">
        <v>8</v>
      </c>
      <c r="L901" s="53">
        <f>K901/H901*30</f>
        <v>240</v>
      </c>
    </row>
    <row r="902" spans="1:12" s="2" customFormat="1" ht="13.95" customHeight="1" outlineLevel="2" x14ac:dyDescent="0.2">
      <c r="A902" s="50" t="s">
        <v>70</v>
      </c>
      <c r="B902" s="50" t="s">
        <v>4</v>
      </c>
      <c r="C902" s="50" t="s">
        <v>52</v>
      </c>
      <c r="D902" s="50" t="s">
        <v>359</v>
      </c>
      <c r="E902" s="50" t="s">
        <v>158</v>
      </c>
      <c r="F902" s="50" t="s">
        <v>223</v>
      </c>
      <c r="G902" s="50" t="s">
        <v>224</v>
      </c>
      <c r="H902" s="51">
        <v>1</v>
      </c>
      <c r="I902" s="52">
        <f>J902/H902</f>
        <v>239990</v>
      </c>
      <c r="J902" s="52">
        <v>239990</v>
      </c>
      <c r="K902" s="51">
        <v>4</v>
      </c>
      <c r="L902" s="53">
        <f>K902/H902*30</f>
        <v>120</v>
      </c>
    </row>
    <row r="903" spans="1:12" s="2" customFormat="1" ht="13.95" customHeight="1" outlineLevel="1" x14ac:dyDescent="0.2">
      <c r="A903" s="50"/>
      <c r="B903" s="50"/>
      <c r="C903" s="58" t="s">
        <v>1464</v>
      </c>
      <c r="D903" s="50"/>
      <c r="E903" s="50"/>
      <c r="F903" s="50"/>
      <c r="G903" s="50"/>
      <c r="H903" s="51">
        <f>SUBTOTAL(9,H891:H902)</f>
        <v>15</v>
      </c>
      <c r="I903" s="52"/>
      <c r="J903" s="52">
        <f>SUBTOTAL(9,J891:J902)</f>
        <v>4105850</v>
      </c>
      <c r="K903" s="51"/>
      <c r="L903" s="53"/>
    </row>
    <row r="904" spans="1:12" s="2" customFormat="1" ht="13.95" customHeight="1" outlineLevel="2" x14ac:dyDescent="0.2">
      <c r="A904" s="50" t="s">
        <v>70</v>
      </c>
      <c r="B904" s="50" t="s">
        <v>4</v>
      </c>
      <c r="C904" s="50" t="s">
        <v>53</v>
      </c>
      <c r="D904" s="50" t="s">
        <v>248</v>
      </c>
      <c r="E904" s="50" t="s">
        <v>249</v>
      </c>
      <c r="F904" s="50" t="s">
        <v>73</v>
      </c>
      <c r="G904" s="50" t="s">
        <v>86</v>
      </c>
      <c r="H904" s="51">
        <v>3</v>
      </c>
      <c r="I904" s="52">
        <f>J904/H904</f>
        <v>112990</v>
      </c>
      <c r="J904" s="52">
        <v>338970</v>
      </c>
      <c r="K904" s="51">
        <v>4</v>
      </c>
      <c r="L904" s="53">
        <f>K904/H904*30</f>
        <v>40</v>
      </c>
    </row>
    <row r="905" spans="1:12" s="2" customFormat="1" ht="13.95" customHeight="1" outlineLevel="2" x14ac:dyDescent="0.2">
      <c r="A905" s="50" t="s">
        <v>70</v>
      </c>
      <c r="B905" s="50" t="s">
        <v>4</v>
      </c>
      <c r="C905" s="50" t="s">
        <v>53</v>
      </c>
      <c r="D905" s="50" t="s">
        <v>506</v>
      </c>
      <c r="E905" s="50" t="s">
        <v>507</v>
      </c>
      <c r="F905" s="50" t="s">
        <v>223</v>
      </c>
      <c r="G905" s="50" t="s">
        <v>224</v>
      </c>
      <c r="H905" s="51">
        <v>2</v>
      </c>
      <c r="I905" s="52">
        <f>J905/H905</f>
        <v>83990</v>
      </c>
      <c r="J905" s="52">
        <v>167980</v>
      </c>
      <c r="K905" s="51">
        <v>19</v>
      </c>
      <c r="L905" s="53">
        <f>K905/H905*30</f>
        <v>285</v>
      </c>
    </row>
    <row r="906" spans="1:12" s="2" customFormat="1" ht="13.95" customHeight="1" outlineLevel="2" x14ac:dyDescent="0.2">
      <c r="A906" s="50" t="s">
        <v>70</v>
      </c>
      <c r="B906" s="50" t="s">
        <v>4</v>
      </c>
      <c r="C906" s="50" t="s">
        <v>53</v>
      </c>
      <c r="D906" s="50" t="s">
        <v>508</v>
      </c>
      <c r="E906" s="50" t="s">
        <v>507</v>
      </c>
      <c r="F906" s="50" t="s">
        <v>374</v>
      </c>
      <c r="G906" s="50" t="s">
        <v>86</v>
      </c>
      <c r="H906" s="51">
        <v>2</v>
      </c>
      <c r="I906" s="52">
        <f>J906/H906</f>
        <v>83990</v>
      </c>
      <c r="J906" s="52">
        <v>167980</v>
      </c>
      <c r="K906" s="51">
        <v>5</v>
      </c>
      <c r="L906" s="53">
        <f>K906/H906*30</f>
        <v>75</v>
      </c>
    </row>
    <row r="907" spans="1:12" s="2" customFormat="1" ht="13.95" customHeight="1" outlineLevel="2" x14ac:dyDescent="0.2">
      <c r="A907" s="50" t="s">
        <v>70</v>
      </c>
      <c r="B907" s="50" t="s">
        <v>4</v>
      </c>
      <c r="C907" s="50" t="s">
        <v>53</v>
      </c>
      <c r="D907" s="50" t="s">
        <v>588</v>
      </c>
      <c r="E907" s="50" t="s">
        <v>589</v>
      </c>
      <c r="F907" s="50" t="s">
        <v>223</v>
      </c>
      <c r="G907" s="50" t="s">
        <v>86</v>
      </c>
      <c r="H907" s="51">
        <v>2</v>
      </c>
      <c r="I907" s="52">
        <f>J907/H907</f>
        <v>69990</v>
      </c>
      <c r="J907" s="52">
        <v>139980</v>
      </c>
      <c r="K907" s="51">
        <v>1</v>
      </c>
      <c r="L907" s="53">
        <f>K907/H907*30</f>
        <v>15</v>
      </c>
    </row>
    <row r="908" spans="1:12" s="2" customFormat="1" ht="13.95" customHeight="1" outlineLevel="2" x14ac:dyDescent="0.2">
      <c r="A908" s="50" t="s">
        <v>70</v>
      </c>
      <c r="B908" s="50" t="s">
        <v>4</v>
      </c>
      <c r="C908" s="50" t="s">
        <v>53</v>
      </c>
      <c r="D908" s="50" t="s">
        <v>609</v>
      </c>
      <c r="E908" s="50" t="s">
        <v>610</v>
      </c>
      <c r="F908" s="50" t="s">
        <v>223</v>
      </c>
      <c r="G908" s="50" t="s">
        <v>86</v>
      </c>
      <c r="H908" s="51">
        <v>2</v>
      </c>
      <c r="I908" s="52">
        <f>J908/H908</f>
        <v>66990</v>
      </c>
      <c r="J908" s="52">
        <v>133980</v>
      </c>
      <c r="K908" s="51">
        <v>8</v>
      </c>
      <c r="L908" s="53">
        <f>K908/H908*30</f>
        <v>120</v>
      </c>
    </row>
    <row r="909" spans="1:12" s="2" customFormat="1" ht="13.95" customHeight="1" outlineLevel="2" x14ac:dyDescent="0.2">
      <c r="A909" s="50" t="s">
        <v>70</v>
      </c>
      <c r="B909" s="50" t="s">
        <v>4</v>
      </c>
      <c r="C909" s="50" t="s">
        <v>53</v>
      </c>
      <c r="D909" s="50" t="s">
        <v>611</v>
      </c>
      <c r="E909" s="50" t="s">
        <v>610</v>
      </c>
      <c r="F909" s="50" t="s">
        <v>374</v>
      </c>
      <c r="G909" s="50" t="s">
        <v>86</v>
      </c>
      <c r="H909" s="51">
        <v>2</v>
      </c>
      <c r="I909" s="52">
        <f>J909/H909</f>
        <v>66990</v>
      </c>
      <c r="J909" s="52">
        <v>133980</v>
      </c>
      <c r="K909" s="51">
        <v>5</v>
      </c>
      <c r="L909" s="53">
        <f>K909/H909*30</f>
        <v>75</v>
      </c>
    </row>
    <row r="910" spans="1:12" s="2" customFormat="1" ht="13.95" customHeight="1" outlineLevel="2" x14ac:dyDescent="0.2">
      <c r="A910" s="50" t="s">
        <v>70</v>
      </c>
      <c r="B910" s="50" t="s">
        <v>4</v>
      </c>
      <c r="C910" s="50" t="s">
        <v>53</v>
      </c>
      <c r="D910" s="50" t="s">
        <v>612</v>
      </c>
      <c r="E910" s="50" t="s">
        <v>610</v>
      </c>
      <c r="F910" s="50" t="s">
        <v>374</v>
      </c>
      <c r="G910" s="50" t="s">
        <v>84</v>
      </c>
      <c r="H910" s="51">
        <v>2</v>
      </c>
      <c r="I910" s="52">
        <f>J910/H910</f>
        <v>66990</v>
      </c>
      <c r="J910" s="52">
        <v>133980</v>
      </c>
      <c r="K910" s="51">
        <v>6</v>
      </c>
      <c r="L910" s="53">
        <f>K910/H910*30</f>
        <v>90</v>
      </c>
    </row>
    <row r="911" spans="1:12" s="2" customFormat="1" ht="13.95" customHeight="1" outlineLevel="2" x14ac:dyDescent="0.2">
      <c r="A911" s="50" t="s">
        <v>70</v>
      </c>
      <c r="B911" s="50" t="s">
        <v>4</v>
      </c>
      <c r="C911" s="50" t="s">
        <v>53</v>
      </c>
      <c r="D911" s="50" t="s">
        <v>695</v>
      </c>
      <c r="E911" s="50" t="s">
        <v>696</v>
      </c>
      <c r="F911" s="50" t="s">
        <v>73</v>
      </c>
      <c r="G911" s="50" t="s">
        <v>140</v>
      </c>
      <c r="H911" s="51">
        <v>1</v>
      </c>
      <c r="I911" s="52">
        <f>J911/H911</f>
        <v>112990</v>
      </c>
      <c r="J911" s="52">
        <v>112990</v>
      </c>
      <c r="K911" s="51">
        <v>0</v>
      </c>
      <c r="L911" s="53">
        <f>K911/H911*30</f>
        <v>0</v>
      </c>
    </row>
    <row r="912" spans="1:12" s="2" customFormat="1" ht="13.95" customHeight="1" outlineLevel="2" x14ac:dyDescent="0.2">
      <c r="A912" s="50" t="s">
        <v>70</v>
      </c>
      <c r="B912" s="50" t="s">
        <v>4</v>
      </c>
      <c r="C912" s="50" t="s">
        <v>53</v>
      </c>
      <c r="D912" s="50" t="s">
        <v>697</v>
      </c>
      <c r="E912" s="50" t="s">
        <v>696</v>
      </c>
      <c r="F912" s="50" t="s">
        <v>73</v>
      </c>
      <c r="G912" s="50" t="s">
        <v>88</v>
      </c>
      <c r="H912" s="51">
        <v>1</v>
      </c>
      <c r="I912" s="52">
        <f>J912/H912</f>
        <v>112990</v>
      </c>
      <c r="J912" s="52">
        <v>112990</v>
      </c>
      <c r="K912" s="51">
        <v>11</v>
      </c>
      <c r="L912" s="53">
        <f>K912/H912*30</f>
        <v>330</v>
      </c>
    </row>
    <row r="913" spans="1:12" s="2" customFormat="1" ht="13.95" customHeight="1" outlineLevel="2" x14ac:dyDescent="0.2">
      <c r="A913" s="50" t="s">
        <v>70</v>
      </c>
      <c r="B913" s="50" t="s">
        <v>4</v>
      </c>
      <c r="C913" s="50" t="s">
        <v>53</v>
      </c>
      <c r="D913" s="50" t="s">
        <v>698</v>
      </c>
      <c r="E913" s="50" t="s">
        <v>696</v>
      </c>
      <c r="F913" s="50" t="s">
        <v>73</v>
      </c>
      <c r="G913" s="50" t="s">
        <v>86</v>
      </c>
      <c r="H913" s="51">
        <v>1</v>
      </c>
      <c r="I913" s="52">
        <f>J913/H913</f>
        <v>112990</v>
      </c>
      <c r="J913" s="52">
        <v>112990</v>
      </c>
      <c r="K913" s="51">
        <v>33</v>
      </c>
      <c r="L913" s="53">
        <f>K913/H913*30</f>
        <v>990</v>
      </c>
    </row>
    <row r="914" spans="1:12" s="2" customFormat="1" ht="13.95" customHeight="1" outlineLevel="2" x14ac:dyDescent="0.2">
      <c r="A914" s="50" t="s">
        <v>70</v>
      </c>
      <c r="B914" s="50" t="s">
        <v>4</v>
      </c>
      <c r="C914" s="50" t="s">
        <v>53</v>
      </c>
      <c r="D914" s="50" t="s">
        <v>923</v>
      </c>
      <c r="E914" s="50" t="s">
        <v>589</v>
      </c>
      <c r="F914" s="50" t="s">
        <v>73</v>
      </c>
      <c r="G914" s="50" t="s">
        <v>97</v>
      </c>
      <c r="H914" s="51">
        <v>1</v>
      </c>
      <c r="I914" s="52">
        <f>J914/H914</f>
        <v>69990</v>
      </c>
      <c r="J914" s="52">
        <v>69990</v>
      </c>
      <c r="K914" s="51">
        <v>0</v>
      </c>
      <c r="L914" s="53">
        <f>K914/H914*30</f>
        <v>0</v>
      </c>
    </row>
    <row r="915" spans="1:12" s="2" customFormat="1" ht="13.95" customHeight="1" outlineLevel="2" x14ac:dyDescent="0.2">
      <c r="A915" s="50" t="s">
        <v>70</v>
      </c>
      <c r="B915" s="50" t="s">
        <v>4</v>
      </c>
      <c r="C915" s="50" t="s">
        <v>53</v>
      </c>
      <c r="D915" s="50" t="s">
        <v>924</v>
      </c>
      <c r="E915" s="50" t="s">
        <v>589</v>
      </c>
      <c r="F915" s="50" t="s">
        <v>73</v>
      </c>
      <c r="G915" s="50" t="s">
        <v>84</v>
      </c>
      <c r="H915" s="51">
        <v>1</v>
      </c>
      <c r="I915" s="52">
        <f>J915/H915</f>
        <v>69990</v>
      </c>
      <c r="J915" s="52">
        <v>69990</v>
      </c>
      <c r="K915" s="51">
        <v>11</v>
      </c>
      <c r="L915" s="53">
        <f>K915/H915*30</f>
        <v>330</v>
      </c>
    </row>
    <row r="916" spans="1:12" s="2" customFormat="1" ht="13.95" customHeight="1" outlineLevel="2" x14ac:dyDescent="0.2">
      <c r="A916" s="50" t="s">
        <v>70</v>
      </c>
      <c r="B916" s="50" t="s">
        <v>4</v>
      </c>
      <c r="C916" s="50" t="s">
        <v>53</v>
      </c>
      <c r="D916" s="50" t="s">
        <v>925</v>
      </c>
      <c r="E916" s="50" t="s">
        <v>589</v>
      </c>
      <c r="F916" s="50" t="s">
        <v>223</v>
      </c>
      <c r="G916" s="50" t="s">
        <v>224</v>
      </c>
      <c r="H916" s="51">
        <v>1</v>
      </c>
      <c r="I916" s="52">
        <f>J916/H916</f>
        <v>69990</v>
      </c>
      <c r="J916" s="52">
        <v>69990</v>
      </c>
      <c r="K916" s="51">
        <v>8</v>
      </c>
      <c r="L916" s="53">
        <f>K916/H916*30</f>
        <v>240</v>
      </c>
    </row>
    <row r="917" spans="1:12" s="2" customFormat="1" ht="13.95" customHeight="1" outlineLevel="2" x14ac:dyDescent="0.2">
      <c r="A917" s="50" t="s">
        <v>70</v>
      </c>
      <c r="B917" s="50" t="s">
        <v>4</v>
      </c>
      <c r="C917" s="50" t="s">
        <v>53</v>
      </c>
      <c r="D917" s="50" t="s">
        <v>934</v>
      </c>
      <c r="E917" s="50" t="s">
        <v>610</v>
      </c>
      <c r="F917" s="50" t="s">
        <v>223</v>
      </c>
      <c r="G917" s="50" t="s">
        <v>224</v>
      </c>
      <c r="H917" s="51">
        <v>1</v>
      </c>
      <c r="I917" s="52">
        <f>J917/H917</f>
        <v>66990</v>
      </c>
      <c r="J917" s="52">
        <v>66990</v>
      </c>
      <c r="K917" s="51">
        <v>15</v>
      </c>
      <c r="L917" s="53">
        <f>K917/H917*30</f>
        <v>450</v>
      </c>
    </row>
    <row r="918" spans="1:12" s="2" customFormat="1" ht="13.95" customHeight="1" outlineLevel="1" x14ac:dyDescent="0.2">
      <c r="A918" s="50"/>
      <c r="B918" s="50"/>
      <c r="C918" s="58" t="s">
        <v>1471</v>
      </c>
      <c r="D918" s="50"/>
      <c r="E918" s="50"/>
      <c r="F918" s="50"/>
      <c r="G918" s="50"/>
      <c r="H918" s="51">
        <f>SUBTOTAL(9,H904:H917)</f>
        <v>22</v>
      </c>
      <c r="I918" s="52"/>
      <c r="J918" s="52">
        <f>SUBTOTAL(9,J904:J917)</f>
        <v>1832780</v>
      </c>
      <c r="K918" s="51"/>
      <c r="L918" s="53"/>
    </row>
    <row r="919" spans="1:12" s="2" customFormat="1" ht="13.95" customHeight="1" outlineLevel="2" x14ac:dyDescent="0.2">
      <c r="A919" s="50" t="s">
        <v>70</v>
      </c>
      <c r="B919" s="50" t="s">
        <v>4</v>
      </c>
      <c r="C919" s="50" t="s">
        <v>54</v>
      </c>
      <c r="D919" s="50" t="s">
        <v>231</v>
      </c>
      <c r="E919" s="50" t="s">
        <v>232</v>
      </c>
      <c r="F919" s="50" t="s">
        <v>73</v>
      </c>
      <c r="G919" s="50" t="s">
        <v>90</v>
      </c>
      <c r="H919" s="51">
        <v>3</v>
      </c>
      <c r="I919" s="52">
        <f>J919/H919</f>
        <v>117990</v>
      </c>
      <c r="J919" s="52">
        <v>353970</v>
      </c>
      <c r="K919" s="51">
        <v>5</v>
      </c>
      <c r="L919" s="53">
        <f>K919/H919*30</f>
        <v>50</v>
      </c>
    </row>
    <row r="920" spans="1:12" s="2" customFormat="1" ht="13.95" customHeight="1" outlineLevel="2" x14ac:dyDescent="0.2">
      <c r="A920" s="50" t="s">
        <v>70</v>
      </c>
      <c r="B920" s="50" t="s">
        <v>4</v>
      </c>
      <c r="C920" s="50" t="s">
        <v>54</v>
      </c>
      <c r="D920" s="50" t="s">
        <v>341</v>
      </c>
      <c r="E920" s="50" t="s">
        <v>342</v>
      </c>
      <c r="F920" s="50" t="s">
        <v>73</v>
      </c>
      <c r="G920" s="50" t="s">
        <v>86</v>
      </c>
      <c r="H920" s="51">
        <v>2</v>
      </c>
      <c r="I920" s="52">
        <f>J920/H920</f>
        <v>127990</v>
      </c>
      <c r="J920" s="52">
        <v>255980</v>
      </c>
      <c r="K920" s="51">
        <v>2</v>
      </c>
      <c r="L920" s="53">
        <f>K920/H920*30</f>
        <v>30</v>
      </c>
    </row>
    <row r="921" spans="1:12" s="2" customFormat="1" ht="13.95" customHeight="1" outlineLevel="2" x14ac:dyDescent="0.2">
      <c r="A921" s="50" t="s">
        <v>70</v>
      </c>
      <c r="B921" s="50" t="s">
        <v>4</v>
      </c>
      <c r="C921" s="50" t="s">
        <v>54</v>
      </c>
      <c r="D921" s="50" t="s">
        <v>452</v>
      </c>
      <c r="E921" s="50" t="s">
        <v>453</v>
      </c>
      <c r="F921" s="50" t="s">
        <v>73</v>
      </c>
      <c r="G921" s="50" t="s">
        <v>84</v>
      </c>
      <c r="H921" s="51">
        <v>3</v>
      </c>
      <c r="I921" s="52">
        <f>J921/H921</f>
        <v>65990</v>
      </c>
      <c r="J921" s="52">
        <v>197970</v>
      </c>
      <c r="K921" s="51">
        <v>6</v>
      </c>
      <c r="L921" s="53">
        <f>K921/H921*30</f>
        <v>60</v>
      </c>
    </row>
    <row r="922" spans="1:12" s="2" customFormat="1" ht="13.95" customHeight="1" outlineLevel="2" x14ac:dyDescent="0.2">
      <c r="A922" s="50" t="s">
        <v>70</v>
      </c>
      <c r="B922" s="50" t="s">
        <v>4</v>
      </c>
      <c r="C922" s="50" t="s">
        <v>54</v>
      </c>
      <c r="D922" s="50" t="s">
        <v>454</v>
      </c>
      <c r="E922" s="50" t="s">
        <v>455</v>
      </c>
      <c r="F922" s="50" t="s">
        <v>73</v>
      </c>
      <c r="G922" s="50" t="s">
        <v>86</v>
      </c>
      <c r="H922" s="51">
        <v>3</v>
      </c>
      <c r="I922" s="52">
        <f>J922/H922</f>
        <v>65990</v>
      </c>
      <c r="J922" s="52">
        <v>197970</v>
      </c>
      <c r="K922" s="51">
        <v>2</v>
      </c>
      <c r="L922" s="53">
        <f>K922/H922*30</f>
        <v>20</v>
      </c>
    </row>
    <row r="923" spans="1:12" s="2" customFormat="1" ht="13.95" customHeight="1" outlineLevel="2" x14ac:dyDescent="0.2">
      <c r="A923" s="50" t="s">
        <v>70</v>
      </c>
      <c r="B923" s="50" t="s">
        <v>4</v>
      </c>
      <c r="C923" s="50" t="s">
        <v>54</v>
      </c>
      <c r="D923" s="50" t="s">
        <v>617</v>
      </c>
      <c r="E923" s="50" t="s">
        <v>455</v>
      </c>
      <c r="F923" s="50" t="s">
        <v>73</v>
      </c>
      <c r="G923" s="50" t="s">
        <v>84</v>
      </c>
      <c r="H923" s="51">
        <v>2</v>
      </c>
      <c r="I923" s="52">
        <f>J923/H923</f>
        <v>65990</v>
      </c>
      <c r="J923" s="52">
        <v>131980</v>
      </c>
      <c r="K923" s="51">
        <v>14</v>
      </c>
      <c r="L923" s="53">
        <f>K923/H923*30</f>
        <v>210</v>
      </c>
    </row>
    <row r="924" spans="1:12" s="2" customFormat="1" ht="13.95" customHeight="1" outlineLevel="2" x14ac:dyDescent="0.2">
      <c r="A924" s="50" t="s">
        <v>70</v>
      </c>
      <c r="B924" s="50" t="s">
        <v>4</v>
      </c>
      <c r="C924" s="50" t="s">
        <v>54</v>
      </c>
      <c r="D924" s="50" t="s">
        <v>624</v>
      </c>
      <c r="E924" s="50" t="s">
        <v>342</v>
      </c>
      <c r="F924" s="50" t="s">
        <v>73</v>
      </c>
      <c r="G924" s="50" t="s">
        <v>88</v>
      </c>
      <c r="H924" s="51">
        <v>1</v>
      </c>
      <c r="I924" s="52">
        <f>J924/H924</f>
        <v>127990</v>
      </c>
      <c r="J924" s="52">
        <v>127990</v>
      </c>
      <c r="K924" s="51">
        <v>5</v>
      </c>
      <c r="L924" s="53">
        <f>K924/H924*30</f>
        <v>150</v>
      </c>
    </row>
    <row r="925" spans="1:12" s="2" customFormat="1" ht="13.95" customHeight="1" outlineLevel="2" x14ac:dyDescent="0.2">
      <c r="A925" s="50" t="s">
        <v>70</v>
      </c>
      <c r="B925" s="50" t="s">
        <v>4</v>
      </c>
      <c r="C925" s="50" t="s">
        <v>54</v>
      </c>
      <c r="D925" s="50" t="s">
        <v>625</v>
      </c>
      <c r="E925" s="50" t="s">
        <v>342</v>
      </c>
      <c r="F925" s="50" t="s">
        <v>73</v>
      </c>
      <c r="G925" s="50" t="s">
        <v>90</v>
      </c>
      <c r="H925" s="51">
        <v>1</v>
      </c>
      <c r="I925" s="52">
        <f>J925/H925</f>
        <v>127990</v>
      </c>
      <c r="J925" s="52">
        <v>127990</v>
      </c>
      <c r="K925" s="51">
        <v>0</v>
      </c>
      <c r="L925" s="53">
        <f>K925/H925*30</f>
        <v>0</v>
      </c>
    </row>
    <row r="926" spans="1:12" s="2" customFormat="1" ht="13.95" customHeight="1" outlineLevel="2" x14ac:dyDescent="0.2">
      <c r="A926" s="50" t="s">
        <v>70</v>
      </c>
      <c r="B926" s="50" t="s">
        <v>4</v>
      </c>
      <c r="C926" s="50" t="s">
        <v>54</v>
      </c>
      <c r="D926" s="50" t="s">
        <v>626</v>
      </c>
      <c r="E926" s="50" t="s">
        <v>342</v>
      </c>
      <c r="F926" s="50" t="s">
        <v>73</v>
      </c>
      <c r="G926" s="50" t="s">
        <v>84</v>
      </c>
      <c r="H926" s="51">
        <v>1</v>
      </c>
      <c r="I926" s="52">
        <f>J926/H926</f>
        <v>127990</v>
      </c>
      <c r="J926" s="52">
        <v>127990</v>
      </c>
      <c r="K926" s="51">
        <v>3</v>
      </c>
      <c r="L926" s="53">
        <f>K926/H926*30</f>
        <v>90</v>
      </c>
    </row>
    <row r="927" spans="1:12" s="2" customFormat="1" ht="13.95" customHeight="1" outlineLevel="2" x14ac:dyDescent="0.2">
      <c r="A927" s="50" t="s">
        <v>70</v>
      </c>
      <c r="B927" s="50" t="s">
        <v>4</v>
      </c>
      <c r="C927" s="50" t="s">
        <v>54</v>
      </c>
      <c r="D927" s="50" t="s">
        <v>627</v>
      </c>
      <c r="E927" s="50" t="s">
        <v>628</v>
      </c>
      <c r="F927" s="50" t="s">
        <v>73</v>
      </c>
      <c r="G927" s="50" t="s">
        <v>86</v>
      </c>
      <c r="H927" s="51">
        <v>1</v>
      </c>
      <c r="I927" s="52">
        <f>J927/H927</f>
        <v>127990</v>
      </c>
      <c r="J927" s="52">
        <v>127990</v>
      </c>
      <c r="K927" s="51">
        <v>7</v>
      </c>
      <c r="L927" s="53">
        <f>K927/H927*30</f>
        <v>210</v>
      </c>
    </row>
    <row r="928" spans="1:12" s="2" customFormat="1" ht="13.95" customHeight="1" outlineLevel="2" x14ac:dyDescent="0.2">
      <c r="A928" s="50" t="s">
        <v>70</v>
      </c>
      <c r="B928" s="50" t="s">
        <v>4</v>
      </c>
      <c r="C928" s="50" t="s">
        <v>54</v>
      </c>
      <c r="D928" s="50" t="s">
        <v>683</v>
      </c>
      <c r="E928" s="50" t="s">
        <v>232</v>
      </c>
      <c r="F928" s="50" t="s">
        <v>73</v>
      </c>
      <c r="G928" s="50" t="s">
        <v>84</v>
      </c>
      <c r="H928" s="51">
        <v>1</v>
      </c>
      <c r="I928" s="52">
        <f>J928/H928</f>
        <v>117990</v>
      </c>
      <c r="J928" s="52">
        <v>117990</v>
      </c>
      <c r="K928" s="51">
        <v>5</v>
      </c>
      <c r="L928" s="53">
        <f>K928/H928*30</f>
        <v>150</v>
      </c>
    </row>
    <row r="929" spans="1:12" s="2" customFormat="1" ht="13.95" customHeight="1" outlineLevel="2" x14ac:dyDescent="0.2">
      <c r="A929" s="50" t="s">
        <v>70</v>
      </c>
      <c r="B929" s="50" t="s">
        <v>4</v>
      </c>
      <c r="C929" s="50" t="s">
        <v>54</v>
      </c>
      <c r="D929" s="50" t="s">
        <v>684</v>
      </c>
      <c r="E929" s="50" t="s">
        <v>232</v>
      </c>
      <c r="F929" s="50" t="s">
        <v>106</v>
      </c>
      <c r="G929" s="50" t="s">
        <v>86</v>
      </c>
      <c r="H929" s="51">
        <v>1</v>
      </c>
      <c r="I929" s="52">
        <f>J929/H929</f>
        <v>117990</v>
      </c>
      <c r="J929" s="52">
        <v>117990</v>
      </c>
      <c r="K929" s="51">
        <v>2</v>
      </c>
      <c r="L929" s="53">
        <f>K929/H929*30</f>
        <v>60</v>
      </c>
    </row>
    <row r="930" spans="1:12" s="2" customFormat="1" ht="13.95" customHeight="1" outlineLevel="2" x14ac:dyDescent="0.2">
      <c r="A930" s="50" t="s">
        <v>70</v>
      </c>
      <c r="B930" s="50" t="s">
        <v>4</v>
      </c>
      <c r="C930" s="50" t="s">
        <v>54</v>
      </c>
      <c r="D930" s="50" t="s">
        <v>862</v>
      </c>
      <c r="E930" s="50" t="s">
        <v>232</v>
      </c>
      <c r="F930" s="50" t="s">
        <v>73</v>
      </c>
      <c r="G930" s="50" t="s">
        <v>86</v>
      </c>
      <c r="H930" s="51">
        <v>1</v>
      </c>
      <c r="I930" s="52">
        <f>J930/H930</f>
        <v>83000</v>
      </c>
      <c r="J930" s="52">
        <v>83000</v>
      </c>
      <c r="K930" s="51">
        <v>5</v>
      </c>
      <c r="L930" s="53">
        <f>K930/H930*30</f>
        <v>150</v>
      </c>
    </row>
    <row r="931" spans="1:12" s="2" customFormat="1" ht="13.95" customHeight="1" outlineLevel="2" x14ac:dyDescent="0.2">
      <c r="A931" s="50" t="s">
        <v>70</v>
      </c>
      <c r="B931" s="50" t="s">
        <v>4</v>
      </c>
      <c r="C931" s="50" t="s">
        <v>54</v>
      </c>
      <c r="D931" s="50" t="s">
        <v>939</v>
      </c>
      <c r="E931" s="50" t="s">
        <v>453</v>
      </c>
      <c r="F931" s="50" t="s">
        <v>73</v>
      </c>
      <c r="G931" s="50" t="s">
        <v>88</v>
      </c>
      <c r="H931" s="51">
        <v>1</v>
      </c>
      <c r="I931" s="52">
        <f>J931/H931</f>
        <v>65990</v>
      </c>
      <c r="J931" s="52">
        <v>65990</v>
      </c>
      <c r="K931" s="51">
        <v>22</v>
      </c>
      <c r="L931" s="53">
        <f>K931/H931*30</f>
        <v>660</v>
      </c>
    </row>
    <row r="932" spans="1:12" s="2" customFormat="1" ht="13.95" customHeight="1" outlineLevel="2" x14ac:dyDescent="0.2">
      <c r="A932" s="50" t="s">
        <v>70</v>
      </c>
      <c r="B932" s="50" t="s">
        <v>4</v>
      </c>
      <c r="C932" s="50" t="s">
        <v>54</v>
      </c>
      <c r="D932" s="50" t="s">
        <v>940</v>
      </c>
      <c r="E932" s="50" t="s">
        <v>453</v>
      </c>
      <c r="F932" s="50" t="s">
        <v>223</v>
      </c>
      <c r="G932" s="50" t="s">
        <v>224</v>
      </c>
      <c r="H932" s="51">
        <v>1</v>
      </c>
      <c r="I932" s="52">
        <f>J932/H932</f>
        <v>65990</v>
      </c>
      <c r="J932" s="52">
        <v>65990</v>
      </c>
      <c r="K932" s="51">
        <v>12</v>
      </c>
      <c r="L932" s="53">
        <f>K932/H932*30</f>
        <v>360</v>
      </c>
    </row>
    <row r="933" spans="1:12" s="2" customFormat="1" ht="13.95" customHeight="1" outlineLevel="2" x14ac:dyDescent="0.2">
      <c r="A933" s="50" t="s">
        <v>70</v>
      </c>
      <c r="B933" s="50" t="s">
        <v>4</v>
      </c>
      <c r="C933" s="50" t="s">
        <v>54</v>
      </c>
      <c r="D933" s="50" t="s">
        <v>941</v>
      </c>
      <c r="E933" s="50" t="s">
        <v>455</v>
      </c>
      <c r="F933" s="50" t="s">
        <v>73</v>
      </c>
      <c r="G933" s="50" t="s">
        <v>88</v>
      </c>
      <c r="H933" s="51">
        <v>1</v>
      </c>
      <c r="I933" s="52">
        <f>J933/H933</f>
        <v>65990</v>
      </c>
      <c r="J933" s="52">
        <v>65990</v>
      </c>
      <c r="K933" s="51">
        <v>22</v>
      </c>
      <c r="L933" s="53">
        <f>K933/H933*30</f>
        <v>660</v>
      </c>
    </row>
    <row r="934" spans="1:12" s="2" customFormat="1" ht="13.95" customHeight="1" outlineLevel="2" x14ac:dyDescent="0.2">
      <c r="A934" s="50" t="s">
        <v>70</v>
      </c>
      <c r="B934" s="50" t="s">
        <v>4</v>
      </c>
      <c r="C934" s="50" t="s">
        <v>54</v>
      </c>
      <c r="D934" s="50" t="s">
        <v>942</v>
      </c>
      <c r="E934" s="50" t="s">
        <v>455</v>
      </c>
      <c r="F934" s="50" t="s">
        <v>73</v>
      </c>
      <c r="G934" s="50" t="s">
        <v>943</v>
      </c>
      <c r="H934" s="51">
        <v>1</v>
      </c>
      <c r="I934" s="52">
        <f>J934/H934</f>
        <v>65990</v>
      </c>
      <c r="J934" s="52">
        <v>65990</v>
      </c>
      <c r="K934" s="51">
        <v>18</v>
      </c>
      <c r="L934" s="53">
        <f>K934/H934*30</f>
        <v>540</v>
      </c>
    </row>
    <row r="935" spans="1:12" s="2" customFormat="1" ht="13.95" customHeight="1" outlineLevel="2" x14ac:dyDescent="0.2">
      <c r="A935" s="50" t="s">
        <v>70</v>
      </c>
      <c r="B935" s="50" t="s">
        <v>4</v>
      </c>
      <c r="C935" s="50" t="s">
        <v>54</v>
      </c>
      <c r="D935" s="50" t="s">
        <v>944</v>
      </c>
      <c r="E935" s="50" t="s">
        <v>455</v>
      </c>
      <c r="F935" s="50" t="s">
        <v>73</v>
      </c>
      <c r="G935" s="50" t="s">
        <v>74</v>
      </c>
      <c r="H935" s="51">
        <v>1</v>
      </c>
      <c r="I935" s="52">
        <f>J935/H935</f>
        <v>65990</v>
      </c>
      <c r="J935" s="52">
        <v>65990</v>
      </c>
      <c r="K935" s="51">
        <v>12</v>
      </c>
      <c r="L935" s="53">
        <f>K935/H935*30</f>
        <v>360</v>
      </c>
    </row>
    <row r="936" spans="1:12" s="2" customFormat="1" ht="13.95" customHeight="1" outlineLevel="1" x14ac:dyDescent="0.2">
      <c r="A936" s="50"/>
      <c r="B936" s="50"/>
      <c r="C936" s="58" t="s">
        <v>1468</v>
      </c>
      <c r="D936" s="50"/>
      <c r="E936" s="50"/>
      <c r="F936" s="50"/>
      <c r="G936" s="50"/>
      <c r="H936" s="51">
        <f>SUBTOTAL(9,H919:H935)</f>
        <v>25</v>
      </c>
      <c r="I936" s="52"/>
      <c r="J936" s="52">
        <f>SUBTOTAL(9,J919:J935)</f>
        <v>2298760</v>
      </c>
      <c r="K936" s="51"/>
      <c r="L936" s="53"/>
    </row>
    <row r="937" spans="1:12" s="2" customFormat="1" ht="13.95" customHeight="1" outlineLevel="2" x14ac:dyDescent="0.2">
      <c r="A937" s="50" t="s">
        <v>70</v>
      </c>
      <c r="B937" s="50" t="s">
        <v>4</v>
      </c>
      <c r="C937" s="50" t="s">
        <v>55</v>
      </c>
      <c r="D937" s="50" t="s">
        <v>662</v>
      </c>
      <c r="E937" s="50" t="s">
        <v>663</v>
      </c>
      <c r="F937" s="50" t="s">
        <v>128</v>
      </c>
      <c r="G937" s="50" t="s">
        <v>664</v>
      </c>
      <c r="H937" s="51">
        <v>2</v>
      </c>
      <c r="I937" s="52">
        <f>J937/H937</f>
        <v>59990</v>
      </c>
      <c r="J937" s="52">
        <v>119980</v>
      </c>
      <c r="K937" s="51">
        <v>19</v>
      </c>
      <c r="L937" s="53">
        <f>K937/H937*30</f>
        <v>285</v>
      </c>
    </row>
    <row r="938" spans="1:12" s="2" customFormat="1" ht="13.95" customHeight="1" outlineLevel="2" x14ac:dyDescent="0.2">
      <c r="A938" s="50" t="s">
        <v>70</v>
      </c>
      <c r="B938" s="50" t="s">
        <v>4</v>
      </c>
      <c r="C938" s="50" t="s">
        <v>55</v>
      </c>
      <c r="D938" s="50" t="s">
        <v>878</v>
      </c>
      <c r="E938" s="50" t="s">
        <v>879</v>
      </c>
      <c r="F938" s="50" t="s">
        <v>106</v>
      </c>
      <c r="G938" s="50" t="s">
        <v>330</v>
      </c>
      <c r="H938" s="51">
        <v>1</v>
      </c>
      <c r="I938" s="52">
        <f>J938/H938</f>
        <v>79990</v>
      </c>
      <c r="J938" s="52">
        <v>79990</v>
      </c>
      <c r="K938" s="51">
        <v>4</v>
      </c>
      <c r="L938" s="53">
        <f>K938/H938*30</f>
        <v>120</v>
      </c>
    </row>
    <row r="939" spans="1:12" s="2" customFormat="1" ht="13.95" customHeight="1" outlineLevel="2" x14ac:dyDescent="0.2">
      <c r="A939" s="50" t="s">
        <v>70</v>
      </c>
      <c r="B939" s="50" t="s">
        <v>4</v>
      </c>
      <c r="C939" s="50" t="s">
        <v>55</v>
      </c>
      <c r="D939" s="50" t="s">
        <v>976</v>
      </c>
      <c r="E939" s="50" t="s">
        <v>663</v>
      </c>
      <c r="F939" s="50" t="s">
        <v>73</v>
      </c>
      <c r="G939" s="50" t="s">
        <v>74</v>
      </c>
      <c r="H939" s="51">
        <v>1</v>
      </c>
      <c r="I939" s="52">
        <f>J939/H939</f>
        <v>59990</v>
      </c>
      <c r="J939" s="52">
        <v>59990</v>
      </c>
      <c r="K939" s="51">
        <v>3</v>
      </c>
      <c r="L939" s="53">
        <f>K939/H939*30</f>
        <v>90</v>
      </c>
    </row>
    <row r="940" spans="1:12" s="2" customFormat="1" ht="13.95" customHeight="1" outlineLevel="2" x14ac:dyDescent="0.2">
      <c r="A940" s="50" t="s">
        <v>70</v>
      </c>
      <c r="B940" s="50" t="s">
        <v>4</v>
      </c>
      <c r="C940" s="50" t="s">
        <v>55</v>
      </c>
      <c r="D940" s="50" t="s">
        <v>977</v>
      </c>
      <c r="E940" s="50" t="s">
        <v>663</v>
      </c>
      <c r="F940" s="50" t="s">
        <v>128</v>
      </c>
      <c r="G940" s="50" t="s">
        <v>598</v>
      </c>
      <c r="H940" s="51">
        <v>1</v>
      </c>
      <c r="I940" s="52">
        <f>J940/H940</f>
        <v>59990</v>
      </c>
      <c r="J940" s="52">
        <v>59990</v>
      </c>
      <c r="K940" s="51">
        <v>1</v>
      </c>
      <c r="L940" s="53">
        <f>K940/H940*30</f>
        <v>30</v>
      </c>
    </row>
    <row r="941" spans="1:12" s="2" customFormat="1" ht="13.95" customHeight="1" outlineLevel="1" x14ac:dyDescent="0.2">
      <c r="A941" s="50"/>
      <c r="B941" s="50"/>
      <c r="C941" s="58" t="s">
        <v>1488</v>
      </c>
      <c r="D941" s="50"/>
      <c r="E941" s="50"/>
      <c r="F941" s="50"/>
      <c r="G941" s="50"/>
      <c r="H941" s="51">
        <f>SUBTOTAL(9,H937:H940)</f>
        <v>5</v>
      </c>
      <c r="I941" s="52"/>
      <c r="J941" s="52">
        <f>SUBTOTAL(9,J937:J940)</f>
        <v>319950</v>
      </c>
      <c r="K941" s="51"/>
      <c r="L941" s="53"/>
    </row>
    <row r="942" spans="1:12" s="2" customFormat="1" ht="13.95" customHeight="1" outlineLevel="2" x14ac:dyDescent="0.2">
      <c r="A942" s="50" t="s">
        <v>70</v>
      </c>
      <c r="B942" s="50" t="s">
        <v>4</v>
      </c>
      <c r="C942" s="50" t="s">
        <v>56</v>
      </c>
      <c r="D942" s="50" t="s">
        <v>75</v>
      </c>
      <c r="E942" s="50" t="s">
        <v>76</v>
      </c>
      <c r="F942" s="50" t="s">
        <v>77</v>
      </c>
      <c r="G942" s="50" t="s">
        <v>78</v>
      </c>
      <c r="H942" s="51">
        <v>12</v>
      </c>
      <c r="I942" s="52">
        <f>J942/H942</f>
        <v>99990</v>
      </c>
      <c r="J942" s="52">
        <v>1199880</v>
      </c>
      <c r="K942" s="51">
        <v>2</v>
      </c>
      <c r="L942" s="53">
        <f>K942/H942*30</f>
        <v>5</v>
      </c>
    </row>
    <row r="943" spans="1:12" s="2" customFormat="1" ht="13.95" customHeight="1" outlineLevel="2" x14ac:dyDescent="0.2">
      <c r="A943" s="50" t="s">
        <v>70</v>
      </c>
      <c r="B943" s="50" t="s">
        <v>4</v>
      </c>
      <c r="C943" s="50" t="s">
        <v>56</v>
      </c>
      <c r="D943" s="50" t="s">
        <v>102</v>
      </c>
      <c r="E943" s="50" t="s">
        <v>76</v>
      </c>
      <c r="F943" s="50" t="s">
        <v>77</v>
      </c>
      <c r="G943" s="50" t="s">
        <v>103</v>
      </c>
      <c r="H943" s="51">
        <v>8</v>
      </c>
      <c r="I943" s="52">
        <f>J943/H943</f>
        <v>99990</v>
      </c>
      <c r="J943" s="52">
        <v>799920</v>
      </c>
      <c r="K943" s="51">
        <v>0</v>
      </c>
      <c r="L943" s="53">
        <f>K943/H943*30</f>
        <v>0</v>
      </c>
    </row>
    <row r="944" spans="1:12" s="2" customFormat="1" ht="13.95" customHeight="1" outlineLevel="2" x14ac:dyDescent="0.2">
      <c r="A944" s="50" t="s">
        <v>70</v>
      </c>
      <c r="B944" s="50" t="s">
        <v>4</v>
      </c>
      <c r="C944" s="50" t="s">
        <v>56</v>
      </c>
      <c r="D944" s="50" t="s">
        <v>142</v>
      </c>
      <c r="E944" s="50" t="s">
        <v>76</v>
      </c>
      <c r="F944" s="50" t="s">
        <v>77</v>
      </c>
      <c r="G944" s="50" t="s">
        <v>143</v>
      </c>
      <c r="H944" s="51">
        <v>5</v>
      </c>
      <c r="I944" s="52">
        <f>J944/H944</f>
        <v>99990</v>
      </c>
      <c r="J944" s="52">
        <v>499950</v>
      </c>
      <c r="K944" s="51">
        <v>2</v>
      </c>
      <c r="L944" s="53">
        <f>K944/H944*30</f>
        <v>12</v>
      </c>
    </row>
    <row r="945" spans="1:12" s="2" customFormat="1" ht="13.95" customHeight="1" outlineLevel="2" x14ac:dyDescent="0.2">
      <c r="A945" s="50" t="s">
        <v>70</v>
      </c>
      <c r="B945" s="50" t="s">
        <v>4</v>
      </c>
      <c r="C945" s="50" t="s">
        <v>56</v>
      </c>
      <c r="D945" s="50" t="s">
        <v>207</v>
      </c>
      <c r="E945" s="50" t="s">
        <v>76</v>
      </c>
      <c r="F945" s="50" t="s">
        <v>106</v>
      </c>
      <c r="G945" s="50" t="s">
        <v>86</v>
      </c>
      <c r="H945" s="51">
        <v>4</v>
      </c>
      <c r="I945" s="52">
        <f>J945/H945</f>
        <v>99990</v>
      </c>
      <c r="J945" s="52">
        <v>399960</v>
      </c>
      <c r="K945" s="51">
        <v>35</v>
      </c>
      <c r="L945" s="53">
        <f>K945/H945*30</f>
        <v>262.5</v>
      </c>
    </row>
    <row r="946" spans="1:12" s="2" customFormat="1" ht="13.95" customHeight="1" outlineLevel="2" x14ac:dyDescent="0.2">
      <c r="A946" s="50" t="s">
        <v>70</v>
      </c>
      <c r="B946" s="50" t="s">
        <v>4</v>
      </c>
      <c r="C946" s="50" t="s">
        <v>56</v>
      </c>
      <c r="D946" s="50" t="s">
        <v>208</v>
      </c>
      <c r="E946" s="50" t="s">
        <v>76</v>
      </c>
      <c r="F946" s="50" t="s">
        <v>106</v>
      </c>
      <c r="G946" s="50" t="s">
        <v>112</v>
      </c>
      <c r="H946" s="51">
        <v>4</v>
      </c>
      <c r="I946" s="52">
        <f>J946/H946</f>
        <v>99990</v>
      </c>
      <c r="J946" s="52">
        <v>399960</v>
      </c>
      <c r="K946" s="51">
        <v>24</v>
      </c>
      <c r="L946" s="53">
        <f>K946/H946*30</f>
        <v>180</v>
      </c>
    </row>
    <row r="947" spans="1:12" s="2" customFormat="1" ht="13.95" customHeight="1" outlineLevel="2" x14ac:dyDescent="0.2">
      <c r="A947" s="50" t="s">
        <v>70</v>
      </c>
      <c r="B947" s="50" t="s">
        <v>4</v>
      </c>
      <c r="C947" s="50" t="s">
        <v>56</v>
      </c>
      <c r="D947" s="50" t="s">
        <v>743</v>
      </c>
      <c r="E947" s="50" t="s">
        <v>76</v>
      </c>
      <c r="F947" s="50" t="s">
        <v>106</v>
      </c>
      <c r="G947" s="50" t="s">
        <v>88</v>
      </c>
      <c r="H947" s="51">
        <v>1</v>
      </c>
      <c r="I947" s="52">
        <f>J947/H947</f>
        <v>99990</v>
      </c>
      <c r="J947" s="52">
        <v>99990</v>
      </c>
      <c r="K947" s="51">
        <v>17</v>
      </c>
      <c r="L947" s="53">
        <f>K947/H947*30</f>
        <v>510</v>
      </c>
    </row>
    <row r="948" spans="1:12" s="2" customFormat="1" ht="13.95" customHeight="1" outlineLevel="2" x14ac:dyDescent="0.2">
      <c r="A948" s="50" t="s">
        <v>70</v>
      </c>
      <c r="B948" s="50" t="s">
        <v>4</v>
      </c>
      <c r="C948" s="50" t="s">
        <v>56</v>
      </c>
      <c r="D948" s="50" t="s">
        <v>744</v>
      </c>
      <c r="E948" s="50" t="s">
        <v>76</v>
      </c>
      <c r="F948" s="50" t="s">
        <v>106</v>
      </c>
      <c r="G948" s="50" t="s">
        <v>97</v>
      </c>
      <c r="H948" s="51">
        <v>1</v>
      </c>
      <c r="I948" s="52">
        <f>J948/H948</f>
        <v>99990</v>
      </c>
      <c r="J948" s="52">
        <v>99990</v>
      </c>
      <c r="K948" s="51">
        <v>18</v>
      </c>
      <c r="L948" s="53">
        <f>K948/H948*30</f>
        <v>540</v>
      </c>
    </row>
    <row r="949" spans="1:12" s="2" customFormat="1" ht="13.95" customHeight="1" outlineLevel="1" x14ac:dyDescent="0.2">
      <c r="A949" s="50"/>
      <c r="B949" s="50"/>
      <c r="C949" s="58" t="s">
        <v>1456</v>
      </c>
      <c r="D949" s="50"/>
      <c r="E949" s="50"/>
      <c r="F949" s="50"/>
      <c r="G949" s="50"/>
      <c r="H949" s="51">
        <f>SUBTOTAL(9,H942:H948)</f>
        <v>35</v>
      </c>
      <c r="I949" s="52"/>
      <c r="J949" s="52">
        <f>SUBTOTAL(9,J942:J948)</f>
        <v>3499650</v>
      </c>
      <c r="K949" s="51"/>
      <c r="L949" s="53"/>
    </row>
    <row r="950" spans="1:12" s="2" customFormat="1" ht="13.95" customHeight="1" outlineLevel="2" x14ac:dyDescent="0.2">
      <c r="A950" s="50" t="s">
        <v>70</v>
      </c>
      <c r="B950" s="50" t="s">
        <v>11</v>
      </c>
      <c r="C950" s="50" t="s">
        <v>11</v>
      </c>
      <c r="D950" s="50" t="s">
        <v>360</v>
      </c>
      <c r="E950" s="50" t="s">
        <v>361</v>
      </c>
      <c r="F950" s="50"/>
      <c r="G950" s="50"/>
      <c r="H950" s="51">
        <v>1</v>
      </c>
      <c r="I950" s="52">
        <f>J950/H950</f>
        <v>239990</v>
      </c>
      <c r="J950" s="52">
        <v>239990</v>
      </c>
      <c r="K950" s="51">
        <v>0</v>
      </c>
      <c r="L950" s="53">
        <f>K950/H950*30</f>
        <v>0</v>
      </c>
    </row>
    <row r="951" spans="1:12" s="2" customFormat="1" ht="13.95" customHeight="1" outlineLevel="2" x14ac:dyDescent="0.2">
      <c r="A951" s="50" t="s">
        <v>70</v>
      </c>
      <c r="B951" s="50" t="s">
        <v>11</v>
      </c>
      <c r="C951" s="50" t="s">
        <v>11</v>
      </c>
      <c r="D951" s="50" t="s">
        <v>1174</v>
      </c>
      <c r="E951" s="50" t="s">
        <v>1175</v>
      </c>
      <c r="F951" s="50" t="s">
        <v>1176</v>
      </c>
      <c r="G951" s="50" t="s">
        <v>1176</v>
      </c>
      <c r="H951" s="51">
        <v>1</v>
      </c>
      <c r="I951" s="52">
        <f>J951/H951</f>
        <v>39990</v>
      </c>
      <c r="J951" s="52">
        <v>39990</v>
      </c>
      <c r="K951" s="51">
        <v>1</v>
      </c>
      <c r="L951" s="53">
        <f>K951/H951*30</f>
        <v>30</v>
      </c>
    </row>
    <row r="952" spans="1:12" s="2" customFormat="1" ht="13.95" customHeight="1" outlineLevel="2" x14ac:dyDescent="0.2">
      <c r="A952" s="50" t="s">
        <v>70</v>
      </c>
      <c r="B952" s="50" t="s">
        <v>11</v>
      </c>
      <c r="C952" s="50" t="s">
        <v>11</v>
      </c>
      <c r="D952" s="50" t="s">
        <v>1280</v>
      </c>
      <c r="E952" s="50" t="s">
        <v>1281</v>
      </c>
      <c r="F952" s="50" t="s">
        <v>1176</v>
      </c>
      <c r="G952" s="50" t="s">
        <v>1176</v>
      </c>
      <c r="H952" s="51">
        <v>1</v>
      </c>
      <c r="I952" s="52">
        <f>J952/H952</f>
        <v>29990</v>
      </c>
      <c r="J952" s="52">
        <v>29990</v>
      </c>
      <c r="K952" s="51">
        <v>1</v>
      </c>
      <c r="L952" s="53">
        <f>K952/H952*30</f>
        <v>30</v>
      </c>
    </row>
    <row r="953" spans="1:12" s="2" customFormat="1" ht="13.95" customHeight="1" outlineLevel="2" x14ac:dyDescent="0.2">
      <c r="A953" s="50" t="s">
        <v>70</v>
      </c>
      <c r="B953" s="50" t="s">
        <v>11</v>
      </c>
      <c r="C953" s="50" t="s">
        <v>11</v>
      </c>
      <c r="D953" s="50" t="s">
        <v>1418</v>
      </c>
      <c r="E953" s="50" t="s">
        <v>1419</v>
      </c>
      <c r="F953" s="50" t="s">
        <v>1176</v>
      </c>
      <c r="G953" s="50" t="s">
        <v>1176</v>
      </c>
      <c r="H953" s="51">
        <v>1</v>
      </c>
      <c r="I953" s="52">
        <f>J953/H953</f>
        <v>11990</v>
      </c>
      <c r="J953" s="52">
        <v>11990</v>
      </c>
      <c r="K953" s="51">
        <v>0</v>
      </c>
      <c r="L953" s="53">
        <f>K953/H953*30</f>
        <v>0</v>
      </c>
    </row>
    <row r="954" spans="1:12" s="2" customFormat="1" ht="13.95" customHeight="1" outlineLevel="2" x14ac:dyDescent="0.2">
      <c r="A954" s="50" t="s">
        <v>70</v>
      </c>
      <c r="B954" s="50" t="s">
        <v>11</v>
      </c>
      <c r="C954" s="50" t="s">
        <v>11</v>
      </c>
      <c r="D954" s="50" t="s">
        <v>1430</v>
      </c>
      <c r="E954" s="50" t="s">
        <v>1431</v>
      </c>
      <c r="F954" s="50"/>
      <c r="G954" s="50"/>
      <c r="H954" s="51">
        <v>1</v>
      </c>
      <c r="I954" s="52">
        <f>J954/H954</f>
        <v>7990</v>
      </c>
      <c r="J954" s="52">
        <v>7990</v>
      </c>
      <c r="K954" s="51">
        <v>1</v>
      </c>
      <c r="L954" s="53">
        <f>K954/H954*30</f>
        <v>30</v>
      </c>
    </row>
    <row r="955" spans="1:12" s="2" customFormat="1" ht="13.95" customHeight="1" outlineLevel="2" x14ac:dyDescent="0.2">
      <c r="A955" s="50" t="s">
        <v>70</v>
      </c>
      <c r="B955" s="50" t="s">
        <v>11</v>
      </c>
      <c r="C955" s="50" t="s">
        <v>11</v>
      </c>
      <c r="D955" s="50" t="s">
        <v>1434</v>
      </c>
      <c r="E955" s="50" t="s">
        <v>1435</v>
      </c>
      <c r="F955" s="50"/>
      <c r="G955" s="50"/>
      <c r="H955" s="51">
        <v>1</v>
      </c>
      <c r="I955" s="52">
        <f>J955/H955</f>
        <v>6490</v>
      </c>
      <c r="J955" s="52">
        <v>6490</v>
      </c>
      <c r="K955" s="51">
        <v>0</v>
      </c>
      <c r="L955" s="53">
        <f>K955/H955*30</f>
        <v>0</v>
      </c>
    </row>
    <row r="956" spans="1:12" s="2" customFormat="1" ht="13.95" customHeight="1" outlineLevel="2" x14ac:dyDescent="0.2">
      <c r="A956" s="50" t="s">
        <v>70</v>
      </c>
      <c r="B956" s="50" t="s">
        <v>11</v>
      </c>
      <c r="C956" s="50" t="s">
        <v>11</v>
      </c>
      <c r="D956" s="50" t="s">
        <v>1442</v>
      </c>
      <c r="E956" s="50" t="s">
        <v>1443</v>
      </c>
      <c r="F956" s="50" t="s">
        <v>1176</v>
      </c>
      <c r="G956" s="50" t="s">
        <v>1176</v>
      </c>
      <c r="H956" s="51">
        <v>1</v>
      </c>
      <c r="I956" s="52">
        <f>J956/H956</f>
        <v>4990</v>
      </c>
      <c r="J956" s="52">
        <v>4990</v>
      </c>
      <c r="K956" s="51">
        <v>1</v>
      </c>
      <c r="L956" s="53">
        <f>K956/H956*30</f>
        <v>30</v>
      </c>
    </row>
    <row r="957" spans="1:12" s="2" customFormat="1" ht="13.95" customHeight="1" outlineLevel="1" x14ac:dyDescent="0.2">
      <c r="A957" s="50"/>
      <c r="B957" s="50"/>
      <c r="C957" s="58" t="s">
        <v>1477</v>
      </c>
      <c r="D957" s="50"/>
      <c r="E957" s="50"/>
      <c r="F957" s="50"/>
      <c r="G957" s="50"/>
      <c r="H957" s="51">
        <f>SUBTOTAL(9,H950:H956)</f>
        <v>7</v>
      </c>
      <c r="I957" s="52"/>
      <c r="J957" s="52">
        <f>SUBTOTAL(9,J950:J956)</f>
        <v>341430</v>
      </c>
      <c r="K957" s="51"/>
      <c r="L957" s="53"/>
    </row>
    <row r="958" spans="1:12" s="2" customFormat="1" ht="13.95" customHeight="1" outlineLevel="2" x14ac:dyDescent="0.2">
      <c r="A958" s="50" t="s">
        <v>900</v>
      </c>
      <c r="B958" s="50" t="s">
        <v>6</v>
      </c>
      <c r="C958" s="50" t="s">
        <v>57</v>
      </c>
      <c r="D958" s="50" t="s">
        <v>901</v>
      </c>
      <c r="E958" s="50" t="s">
        <v>902</v>
      </c>
      <c r="F958" s="50" t="s">
        <v>260</v>
      </c>
      <c r="G958" s="50" t="s">
        <v>903</v>
      </c>
      <c r="H958" s="51">
        <v>2</v>
      </c>
      <c r="I958" s="52">
        <f>J958/H958</f>
        <v>39990</v>
      </c>
      <c r="J958" s="52">
        <v>79980</v>
      </c>
      <c r="K958" s="51">
        <v>1</v>
      </c>
      <c r="L958" s="53">
        <f>K958/H958*30</f>
        <v>15</v>
      </c>
    </row>
    <row r="959" spans="1:12" s="2" customFormat="1" ht="13.95" customHeight="1" outlineLevel="2" x14ac:dyDescent="0.2">
      <c r="A959" s="50" t="s">
        <v>900</v>
      </c>
      <c r="B959" s="50" t="s">
        <v>6</v>
      </c>
      <c r="C959" s="50" t="s">
        <v>57</v>
      </c>
      <c r="D959" s="50" t="s">
        <v>904</v>
      </c>
      <c r="E959" s="50" t="s">
        <v>905</v>
      </c>
      <c r="F959" s="50" t="s">
        <v>260</v>
      </c>
      <c r="G959" s="50" t="s">
        <v>294</v>
      </c>
      <c r="H959" s="51">
        <v>2</v>
      </c>
      <c r="I959" s="52">
        <f>J959/H959</f>
        <v>39990</v>
      </c>
      <c r="J959" s="52">
        <v>79980</v>
      </c>
      <c r="K959" s="51">
        <v>6</v>
      </c>
      <c r="L959" s="53">
        <f>K959/H959*30</f>
        <v>90</v>
      </c>
    </row>
    <row r="960" spans="1:12" s="2" customFormat="1" ht="13.95" customHeight="1" outlineLevel="2" x14ac:dyDescent="0.2">
      <c r="A960" s="50" t="s">
        <v>900</v>
      </c>
      <c r="B960" s="50" t="s">
        <v>6</v>
      </c>
      <c r="C960" s="50" t="s">
        <v>57</v>
      </c>
      <c r="D960" s="50" t="s">
        <v>1116</v>
      </c>
      <c r="E960" s="50" t="s">
        <v>1117</v>
      </c>
      <c r="F960" s="50" t="s">
        <v>1118</v>
      </c>
      <c r="G960" s="50" t="s">
        <v>1119</v>
      </c>
      <c r="H960" s="51">
        <v>1</v>
      </c>
      <c r="I960" s="52">
        <f>J960/H960</f>
        <v>49990</v>
      </c>
      <c r="J960" s="52">
        <v>49990</v>
      </c>
      <c r="K960" s="51">
        <v>0</v>
      </c>
      <c r="L960" s="53">
        <f>K960/H960*30</f>
        <v>0</v>
      </c>
    </row>
    <row r="961" spans="1:12" s="2" customFormat="1" ht="13.95" customHeight="1" outlineLevel="2" x14ac:dyDescent="0.2">
      <c r="A961" s="50" t="s">
        <v>900</v>
      </c>
      <c r="B961" s="50" t="s">
        <v>6</v>
      </c>
      <c r="C961" s="50" t="s">
        <v>57</v>
      </c>
      <c r="D961" s="50" t="s">
        <v>1120</v>
      </c>
      <c r="E961" s="50" t="s">
        <v>1117</v>
      </c>
      <c r="F961" s="50" t="s">
        <v>1118</v>
      </c>
      <c r="G961" s="50" t="s">
        <v>1121</v>
      </c>
      <c r="H961" s="51">
        <v>1</v>
      </c>
      <c r="I961" s="52">
        <f>J961/H961</f>
        <v>49990</v>
      </c>
      <c r="J961" s="52">
        <v>49990</v>
      </c>
      <c r="K961" s="51">
        <v>3</v>
      </c>
      <c r="L961" s="53">
        <f>K961/H961*30</f>
        <v>90</v>
      </c>
    </row>
    <row r="962" spans="1:12" s="2" customFormat="1" ht="13.95" customHeight="1" outlineLevel="2" x14ac:dyDescent="0.2">
      <c r="A962" s="50" t="s">
        <v>900</v>
      </c>
      <c r="B962" s="50" t="s">
        <v>6</v>
      </c>
      <c r="C962" s="50" t="s">
        <v>57</v>
      </c>
      <c r="D962" s="50" t="s">
        <v>1122</v>
      </c>
      <c r="E962" s="50" t="s">
        <v>1117</v>
      </c>
      <c r="F962" s="50" t="s">
        <v>1118</v>
      </c>
      <c r="G962" s="50" t="s">
        <v>1123</v>
      </c>
      <c r="H962" s="51">
        <v>1</v>
      </c>
      <c r="I962" s="52">
        <f>J962/H962</f>
        <v>49990</v>
      </c>
      <c r="J962" s="52">
        <v>49990</v>
      </c>
      <c r="K962" s="51">
        <v>4</v>
      </c>
      <c r="L962" s="53">
        <f>K962/H962*30</f>
        <v>120</v>
      </c>
    </row>
    <row r="963" spans="1:12" s="2" customFormat="1" ht="13.95" customHeight="1" outlineLevel="2" x14ac:dyDescent="0.2">
      <c r="A963" s="50" t="s">
        <v>900</v>
      </c>
      <c r="B963" s="50" t="s">
        <v>6</v>
      </c>
      <c r="C963" s="50" t="s">
        <v>57</v>
      </c>
      <c r="D963" s="50" t="s">
        <v>1180</v>
      </c>
      <c r="E963" s="50" t="s">
        <v>1181</v>
      </c>
      <c r="F963" s="50" t="s">
        <v>260</v>
      </c>
      <c r="G963" s="50" t="s">
        <v>1182</v>
      </c>
      <c r="H963" s="51">
        <v>1</v>
      </c>
      <c r="I963" s="52">
        <f>J963/H963</f>
        <v>39990</v>
      </c>
      <c r="J963" s="52">
        <v>39990</v>
      </c>
      <c r="K963" s="51">
        <v>11</v>
      </c>
      <c r="L963" s="53">
        <f>K963/H963*30</f>
        <v>330</v>
      </c>
    </row>
    <row r="964" spans="1:12" s="2" customFormat="1" ht="13.95" customHeight="1" outlineLevel="2" x14ac:dyDescent="0.2">
      <c r="A964" s="50" t="s">
        <v>900</v>
      </c>
      <c r="B964" s="50" t="s">
        <v>6</v>
      </c>
      <c r="C964" s="50" t="s">
        <v>57</v>
      </c>
      <c r="D964" s="50" t="s">
        <v>1183</v>
      </c>
      <c r="E964" s="50" t="s">
        <v>1184</v>
      </c>
      <c r="F964" s="50" t="s">
        <v>260</v>
      </c>
      <c r="G964" s="50" t="s">
        <v>1185</v>
      </c>
      <c r="H964" s="51">
        <v>1</v>
      </c>
      <c r="I964" s="52">
        <f>J964/H964</f>
        <v>39990</v>
      </c>
      <c r="J964" s="52">
        <v>39990</v>
      </c>
      <c r="K964" s="51">
        <v>3</v>
      </c>
      <c r="L964" s="53">
        <f>K964/H964*30</f>
        <v>90</v>
      </c>
    </row>
    <row r="965" spans="1:12" s="2" customFormat="1" ht="13.95" customHeight="1" outlineLevel="2" x14ac:dyDescent="0.2">
      <c r="A965" s="50" t="s">
        <v>900</v>
      </c>
      <c r="B965" s="50" t="s">
        <v>6</v>
      </c>
      <c r="C965" s="50" t="s">
        <v>57</v>
      </c>
      <c r="D965" s="50" t="s">
        <v>1186</v>
      </c>
      <c r="E965" s="50" t="s">
        <v>1184</v>
      </c>
      <c r="F965" s="50" t="s">
        <v>260</v>
      </c>
      <c r="G965" s="50" t="s">
        <v>1185</v>
      </c>
      <c r="H965" s="51">
        <v>1</v>
      </c>
      <c r="I965" s="52">
        <f>J965/H965</f>
        <v>39990</v>
      </c>
      <c r="J965" s="52">
        <v>39990</v>
      </c>
      <c r="K965" s="51">
        <v>9</v>
      </c>
      <c r="L965" s="53">
        <f>K965/H965*30</f>
        <v>270</v>
      </c>
    </row>
    <row r="966" spans="1:12" s="2" customFormat="1" ht="13.95" customHeight="1" outlineLevel="2" x14ac:dyDescent="0.2">
      <c r="A966" s="50" t="s">
        <v>900</v>
      </c>
      <c r="B966" s="50" t="s">
        <v>6</v>
      </c>
      <c r="C966" s="50" t="s">
        <v>57</v>
      </c>
      <c r="D966" s="50" t="s">
        <v>1187</v>
      </c>
      <c r="E966" s="50" t="s">
        <v>1184</v>
      </c>
      <c r="F966" s="50" t="s">
        <v>260</v>
      </c>
      <c r="G966" s="50" t="s">
        <v>1185</v>
      </c>
      <c r="H966" s="51">
        <v>1</v>
      </c>
      <c r="I966" s="52">
        <f>J966/H966</f>
        <v>39990</v>
      </c>
      <c r="J966" s="52">
        <v>39990</v>
      </c>
      <c r="K966" s="51">
        <v>11</v>
      </c>
      <c r="L966" s="53">
        <f>K966/H966*30</f>
        <v>330</v>
      </c>
    </row>
    <row r="967" spans="1:12" s="2" customFormat="1" ht="13.95" customHeight="1" outlineLevel="2" x14ac:dyDescent="0.2">
      <c r="A967" s="50" t="s">
        <v>900</v>
      </c>
      <c r="B967" s="50" t="s">
        <v>6</v>
      </c>
      <c r="C967" s="50" t="s">
        <v>57</v>
      </c>
      <c r="D967" s="50" t="s">
        <v>1188</v>
      </c>
      <c r="E967" s="50" t="s">
        <v>1189</v>
      </c>
      <c r="F967" s="50" t="s">
        <v>260</v>
      </c>
      <c r="G967" s="50" t="s">
        <v>1121</v>
      </c>
      <c r="H967" s="51">
        <v>1</v>
      </c>
      <c r="I967" s="52">
        <f>J967/H967</f>
        <v>39990</v>
      </c>
      <c r="J967" s="52">
        <v>39990</v>
      </c>
      <c r="K967" s="51">
        <v>3</v>
      </c>
      <c r="L967" s="53">
        <f>K967/H967*30</f>
        <v>90</v>
      </c>
    </row>
    <row r="968" spans="1:12" s="2" customFormat="1" ht="13.95" customHeight="1" outlineLevel="2" x14ac:dyDescent="0.2">
      <c r="A968" s="50" t="s">
        <v>900</v>
      </c>
      <c r="B968" s="50" t="s">
        <v>6</v>
      </c>
      <c r="C968" s="50" t="s">
        <v>57</v>
      </c>
      <c r="D968" s="50" t="s">
        <v>1190</v>
      </c>
      <c r="E968" s="50" t="s">
        <v>1189</v>
      </c>
      <c r="F968" s="50" t="s">
        <v>260</v>
      </c>
      <c r="G968" s="50" t="s">
        <v>1121</v>
      </c>
      <c r="H968" s="51">
        <v>1</v>
      </c>
      <c r="I968" s="52">
        <f>J968/H968</f>
        <v>39990</v>
      </c>
      <c r="J968" s="52">
        <v>39990</v>
      </c>
      <c r="K968" s="51">
        <v>5</v>
      </c>
      <c r="L968" s="53">
        <f>K968/H968*30</f>
        <v>150</v>
      </c>
    </row>
    <row r="969" spans="1:12" s="2" customFormat="1" ht="13.95" customHeight="1" outlineLevel="2" x14ac:dyDescent="0.2">
      <c r="A969" s="50" t="s">
        <v>900</v>
      </c>
      <c r="B969" s="50" t="s">
        <v>6</v>
      </c>
      <c r="C969" s="50" t="s">
        <v>57</v>
      </c>
      <c r="D969" s="50" t="s">
        <v>1191</v>
      </c>
      <c r="E969" s="50" t="s">
        <v>1192</v>
      </c>
      <c r="F969" s="50" t="s">
        <v>1193</v>
      </c>
      <c r="G969" s="50" t="s">
        <v>1194</v>
      </c>
      <c r="H969" s="51">
        <v>1</v>
      </c>
      <c r="I969" s="52">
        <f>J969/H969</f>
        <v>39990</v>
      </c>
      <c r="J969" s="52">
        <v>39990</v>
      </c>
      <c r="K969" s="51">
        <v>2</v>
      </c>
      <c r="L969" s="53">
        <f>K969/H969*30</f>
        <v>60</v>
      </c>
    </row>
    <row r="970" spans="1:12" s="2" customFormat="1" ht="13.95" customHeight="1" outlineLevel="2" x14ac:dyDescent="0.2">
      <c r="A970" s="50" t="s">
        <v>900</v>
      </c>
      <c r="B970" s="50" t="s">
        <v>6</v>
      </c>
      <c r="C970" s="50" t="s">
        <v>57</v>
      </c>
      <c r="D970" s="50" t="s">
        <v>1195</v>
      </c>
      <c r="E970" s="50" t="s">
        <v>1192</v>
      </c>
      <c r="F970" s="50" t="s">
        <v>1193</v>
      </c>
      <c r="G970" s="50" t="s">
        <v>1194</v>
      </c>
      <c r="H970" s="51">
        <v>1</v>
      </c>
      <c r="I970" s="52">
        <f>J970/H970</f>
        <v>39990</v>
      </c>
      <c r="J970" s="52">
        <v>39990</v>
      </c>
      <c r="K970" s="51">
        <v>8</v>
      </c>
      <c r="L970" s="53">
        <f>K970/H970*30</f>
        <v>240</v>
      </c>
    </row>
    <row r="971" spans="1:12" s="2" customFormat="1" ht="13.95" customHeight="1" outlineLevel="1" x14ac:dyDescent="0.2">
      <c r="A971" s="50"/>
      <c r="B971" s="50"/>
      <c r="C971" s="58" t="s">
        <v>1497</v>
      </c>
      <c r="D971" s="50"/>
      <c r="E971" s="50"/>
      <c r="F971" s="50"/>
      <c r="G971" s="50"/>
      <c r="H971" s="51">
        <f>SUBTOTAL(9,H958:H970)</f>
        <v>15</v>
      </c>
      <c r="I971" s="52"/>
      <c r="J971" s="52">
        <f>SUBTOTAL(9,J958:J970)</f>
        <v>629850</v>
      </c>
      <c r="K971" s="51"/>
      <c r="L971" s="53"/>
    </row>
    <row r="972" spans="1:12" s="2" customFormat="1" ht="13.95" customHeight="1" outlineLevel="2" x14ac:dyDescent="0.2">
      <c r="A972" s="50" t="s">
        <v>277</v>
      </c>
      <c r="B972" s="50" t="s">
        <v>6</v>
      </c>
      <c r="C972" s="50" t="s">
        <v>58</v>
      </c>
      <c r="D972" s="50" t="s">
        <v>278</v>
      </c>
      <c r="E972" s="50" t="s">
        <v>279</v>
      </c>
      <c r="F972" s="50" t="s">
        <v>106</v>
      </c>
      <c r="G972" s="50" t="s">
        <v>280</v>
      </c>
      <c r="H972" s="51">
        <v>1</v>
      </c>
      <c r="I972" s="52">
        <f>J972/H972</f>
        <v>299990</v>
      </c>
      <c r="J972" s="52">
        <v>299990</v>
      </c>
      <c r="K972" s="51">
        <v>1</v>
      </c>
      <c r="L972" s="53">
        <f>K972/H972*30</f>
        <v>30</v>
      </c>
    </row>
    <row r="973" spans="1:12" s="2" customFormat="1" ht="13.95" customHeight="1" outlineLevel="2" x14ac:dyDescent="0.2">
      <c r="A973" s="50" t="s">
        <v>277</v>
      </c>
      <c r="B973" s="50" t="s">
        <v>6</v>
      </c>
      <c r="C973" s="50" t="s">
        <v>58</v>
      </c>
      <c r="D973" s="50" t="s">
        <v>281</v>
      </c>
      <c r="E973" s="50" t="s">
        <v>282</v>
      </c>
      <c r="F973" s="50" t="s">
        <v>106</v>
      </c>
      <c r="G973" s="50" t="s">
        <v>88</v>
      </c>
      <c r="H973" s="51">
        <v>1</v>
      </c>
      <c r="I973" s="52">
        <f>J973/H973</f>
        <v>299990</v>
      </c>
      <c r="J973" s="52">
        <v>299990</v>
      </c>
      <c r="K973" s="51">
        <v>0</v>
      </c>
      <c r="L973" s="53">
        <f>K973/H973*30</f>
        <v>0</v>
      </c>
    </row>
    <row r="974" spans="1:12" s="2" customFormat="1" ht="13.95" customHeight="1" outlineLevel="2" x14ac:dyDescent="0.2">
      <c r="A974" s="50" t="s">
        <v>277</v>
      </c>
      <c r="B974" s="50" t="s">
        <v>6</v>
      </c>
      <c r="C974" s="50" t="s">
        <v>58</v>
      </c>
      <c r="D974" s="50" t="s">
        <v>283</v>
      </c>
      <c r="E974" s="50" t="s">
        <v>284</v>
      </c>
      <c r="F974" s="50" t="s">
        <v>106</v>
      </c>
      <c r="G974" s="50" t="s">
        <v>86</v>
      </c>
      <c r="H974" s="51">
        <v>1</v>
      </c>
      <c r="I974" s="52">
        <f>J974/H974</f>
        <v>299990</v>
      </c>
      <c r="J974" s="52">
        <v>299990</v>
      </c>
      <c r="K974" s="51">
        <v>1</v>
      </c>
      <c r="L974" s="53">
        <f>K974/H974*30</f>
        <v>30</v>
      </c>
    </row>
    <row r="975" spans="1:12" s="2" customFormat="1" ht="13.95" customHeight="1" outlineLevel="2" x14ac:dyDescent="0.2">
      <c r="A975" s="50" t="s">
        <v>277</v>
      </c>
      <c r="B975" s="50" t="s">
        <v>6</v>
      </c>
      <c r="C975" s="50" t="s">
        <v>58</v>
      </c>
      <c r="D975" s="50" t="s">
        <v>410</v>
      </c>
      <c r="E975" s="50" t="s">
        <v>282</v>
      </c>
      <c r="F975" s="50" t="s">
        <v>106</v>
      </c>
      <c r="G975" s="50" t="s">
        <v>88</v>
      </c>
      <c r="H975" s="51">
        <v>1</v>
      </c>
      <c r="I975" s="52">
        <f>J975/H975</f>
        <v>209993</v>
      </c>
      <c r="J975" s="52">
        <v>209993</v>
      </c>
      <c r="K975" s="51">
        <v>1</v>
      </c>
      <c r="L975" s="53">
        <f>K975/H975*30</f>
        <v>30</v>
      </c>
    </row>
    <row r="976" spans="1:12" s="2" customFormat="1" ht="13.95" customHeight="1" outlineLevel="1" x14ac:dyDescent="0.2">
      <c r="A976" s="50"/>
      <c r="B976" s="50"/>
      <c r="C976" s="58" t="s">
        <v>1473</v>
      </c>
      <c r="D976" s="50"/>
      <c r="E976" s="50"/>
      <c r="F976" s="50"/>
      <c r="G976" s="50"/>
      <c r="H976" s="51">
        <f>SUBTOTAL(9,H972:H975)</f>
        <v>4</v>
      </c>
      <c r="I976" s="52"/>
      <c r="J976" s="52">
        <f>SUBTOTAL(9,J972:J975)</f>
        <v>1109963</v>
      </c>
      <c r="K976" s="51"/>
      <c r="L976" s="53"/>
    </row>
    <row r="977" spans="1:12" s="2" customFormat="1" ht="13.95" customHeight="1" outlineLevel="2" x14ac:dyDescent="0.2">
      <c r="A977" s="50" t="s">
        <v>532</v>
      </c>
      <c r="B977" s="50" t="s">
        <v>6</v>
      </c>
      <c r="C977" s="50" t="s">
        <v>59</v>
      </c>
      <c r="D977" s="50" t="s">
        <v>533</v>
      </c>
      <c r="E977" s="50" t="s">
        <v>534</v>
      </c>
      <c r="F977" s="50" t="s">
        <v>535</v>
      </c>
      <c r="G977" s="50" t="s">
        <v>86</v>
      </c>
      <c r="H977" s="51">
        <v>1</v>
      </c>
      <c r="I977" s="52">
        <f>J977/H977</f>
        <v>159990</v>
      </c>
      <c r="J977" s="52">
        <v>159990</v>
      </c>
      <c r="K977" s="51">
        <v>1</v>
      </c>
      <c r="L977" s="53">
        <f>K977/H977*30</f>
        <v>30</v>
      </c>
    </row>
    <row r="978" spans="1:12" s="2" customFormat="1" ht="13.95" customHeight="1" outlineLevel="1" x14ac:dyDescent="0.2">
      <c r="A978" s="50"/>
      <c r="B978" s="50"/>
      <c r="C978" s="58" t="s">
        <v>1483</v>
      </c>
      <c r="D978" s="50"/>
      <c r="E978" s="50"/>
      <c r="F978" s="50"/>
      <c r="G978" s="50"/>
      <c r="H978" s="51">
        <f>SUBTOTAL(9,H977:H977)</f>
        <v>1</v>
      </c>
      <c r="I978" s="52"/>
      <c r="J978" s="52">
        <f>SUBTOTAL(9,J977:J977)</f>
        <v>159990</v>
      </c>
      <c r="K978" s="51"/>
      <c r="L978" s="53"/>
    </row>
    <row r="979" spans="1:12" s="2" customFormat="1" ht="13.95" customHeight="1" outlineLevel="2" x14ac:dyDescent="0.2">
      <c r="A979" s="50" t="s">
        <v>257</v>
      </c>
      <c r="B979" s="50" t="s">
        <v>6</v>
      </c>
      <c r="C979" s="50" t="s">
        <v>60</v>
      </c>
      <c r="D979" s="50" t="s">
        <v>258</v>
      </c>
      <c r="E979" s="50" t="s">
        <v>259</v>
      </c>
      <c r="F979" s="50" t="s">
        <v>260</v>
      </c>
      <c r="G979" s="50" t="s">
        <v>86</v>
      </c>
      <c r="H979" s="51">
        <v>11</v>
      </c>
      <c r="I979" s="52">
        <f>J979/H979</f>
        <v>29990</v>
      </c>
      <c r="J979" s="52">
        <v>329890</v>
      </c>
      <c r="K979" s="51">
        <v>131</v>
      </c>
      <c r="L979" s="53">
        <f>K979/H979*30</f>
        <v>357.27272727272725</v>
      </c>
    </row>
    <row r="980" spans="1:12" s="2" customFormat="1" ht="13.95" customHeight="1" outlineLevel="2" x14ac:dyDescent="0.2">
      <c r="A980" s="50" t="s">
        <v>257</v>
      </c>
      <c r="B980" s="50" t="s">
        <v>6</v>
      </c>
      <c r="C980" s="50" t="s">
        <v>60</v>
      </c>
      <c r="D980" s="50" t="s">
        <v>371</v>
      </c>
      <c r="E980" s="50" t="s">
        <v>259</v>
      </c>
      <c r="F980" s="50" t="s">
        <v>260</v>
      </c>
      <c r="G980" s="50" t="s">
        <v>143</v>
      </c>
      <c r="H980" s="51">
        <v>8</v>
      </c>
      <c r="I980" s="52">
        <f>J980/H980</f>
        <v>29990</v>
      </c>
      <c r="J980" s="52">
        <v>239920</v>
      </c>
      <c r="K980" s="51">
        <v>138</v>
      </c>
      <c r="L980" s="53">
        <f>K980/H980*30</f>
        <v>517.5</v>
      </c>
    </row>
    <row r="981" spans="1:12" s="2" customFormat="1" ht="13.95" customHeight="1" outlineLevel="2" x14ac:dyDescent="0.2">
      <c r="A981" s="50" t="s">
        <v>257</v>
      </c>
      <c r="B981" s="50" t="s">
        <v>6</v>
      </c>
      <c r="C981" s="50" t="s">
        <v>60</v>
      </c>
      <c r="D981" s="50" t="s">
        <v>838</v>
      </c>
      <c r="E981" s="50" t="s">
        <v>259</v>
      </c>
      <c r="F981" s="50" t="s">
        <v>260</v>
      </c>
      <c r="G981" s="50" t="s">
        <v>839</v>
      </c>
      <c r="H981" s="51">
        <v>3</v>
      </c>
      <c r="I981" s="52">
        <f>J981/H981</f>
        <v>29990</v>
      </c>
      <c r="J981" s="52">
        <v>89970</v>
      </c>
      <c r="K981" s="51">
        <v>68</v>
      </c>
      <c r="L981" s="53">
        <f>K981/H981*30</f>
        <v>680</v>
      </c>
    </row>
    <row r="982" spans="1:12" s="2" customFormat="1" ht="13.95" customHeight="1" outlineLevel="2" x14ac:dyDescent="0.2">
      <c r="A982" s="50" t="s">
        <v>257</v>
      </c>
      <c r="B982" s="50" t="s">
        <v>6</v>
      </c>
      <c r="C982" s="50" t="s">
        <v>60</v>
      </c>
      <c r="D982" s="50" t="s">
        <v>978</v>
      </c>
      <c r="E982" s="50" t="s">
        <v>259</v>
      </c>
      <c r="F982" s="50" t="s">
        <v>260</v>
      </c>
      <c r="G982" s="50" t="s">
        <v>979</v>
      </c>
      <c r="H982" s="51">
        <v>2</v>
      </c>
      <c r="I982" s="52">
        <f>J982/H982</f>
        <v>29990</v>
      </c>
      <c r="J982" s="52">
        <v>59980</v>
      </c>
      <c r="K982" s="51">
        <v>131</v>
      </c>
      <c r="L982" s="53">
        <f>K982/H982*30</f>
        <v>1965</v>
      </c>
    </row>
    <row r="983" spans="1:12" s="2" customFormat="1" ht="13.95" customHeight="1" outlineLevel="1" x14ac:dyDescent="0.2">
      <c r="A983" s="50"/>
      <c r="B983" s="50"/>
      <c r="C983" s="58" t="s">
        <v>1472</v>
      </c>
      <c r="D983" s="50"/>
      <c r="E983" s="50"/>
      <c r="F983" s="50"/>
      <c r="G983" s="50"/>
      <c r="H983" s="51">
        <f>SUBTOTAL(9,H979:H982)</f>
        <v>24</v>
      </c>
      <c r="I983" s="52"/>
      <c r="J983" s="52">
        <f>SUBTOTAL(9,J979:J982)</f>
        <v>719760</v>
      </c>
      <c r="K983" s="51"/>
      <c r="L983" s="53"/>
    </row>
    <row r="984" spans="1:12" s="2" customFormat="1" ht="13.95" customHeight="1" outlineLevel="2" x14ac:dyDescent="0.2">
      <c r="A984" s="50" t="s">
        <v>573</v>
      </c>
      <c r="B984" s="50" t="s">
        <v>6</v>
      </c>
      <c r="C984" s="50" t="s">
        <v>61</v>
      </c>
      <c r="D984" s="50" t="s">
        <v>574</v>
      </c>
      <c r="E984" s="50" t="s">
        <v>575</v>
      </c>
      <c r="F984" s="50" t="s">
        <v>576</v>
      </c>
      <c r="G984" s="50" t="s">
        <v>577</v>
      </c>
      <c r="H984" s="51">
        <v>3</v>
      </c>
      <c r="I984" s="52">
        <f>J984/H984</f>
        <v>49990</v>
      </c>
      <c r="J984" s="52">
        <v>149970</v>
      </c>
      <c r="K984" s="51">
        <v>2</v>
      </c>
      <c r="L984" s="53">
        <f>K984/H984*30</f>
        <v>20</v>
      </c>
    </row>
    <row r="985" spans="1:12" s="2" customFormat="1" ht="13.95" customHeight="1" outlineLevel="2" x14ac:dyDescent="0.2">
      <c r="A985" s="50" t="s">
        <v>573</v>
      </c>
      <c r="B985" s="50" t="s">
        <v>6</v>
      </c>
      <c r="C985" s="50" t="s">
        <v>61</v>
      </c>
      <c r="D985" s="50" t="s">
        <v>776</v>
      </c>
      <c r="E985" s="50" t="s">
        <v>575</v>
      </c>
      <c r="F985" s="50" t="s">
        <v>576</v>
      </c>
      <c r="G985" s="50" t="s">
        <v>577</v>
      </c>
      <c r="H985" s="51">
        <v>2</v>
      </c>
      <c r="I985" s="52">
        <f>J985/H985</f>
        <v>49990</v>
      </c>
      <c r="J985" s="52">
        <v>99980</v>
      </c>
      <c r="K985" s="51">
        <v>3</v>
      </c>
      <c r="L985" s="53">
        <f>K985/H985*30</f>
        <v>45</v>
      </c>
    </row>
    <row r="986" spans="1:12" s="2" customFormat="1" ht="13.95" customHeight="1" outlineLevel="2" x14ac:dyDescent="0.2">
      <c r="A986" s="50" t="s">
        <v>573</v>
      </c>
      <c r="B986" s="50" t="s">
        <v>6</v>
      </c>
      <c r="C986" s="50" t="s">
        <v>61</v>
      </c>
      <c r="D986" s="50" t="s">
        <v>777</v>
      </c>
      <c r="E986" s="50" t="s">
        <v>575</v>
      </c>
      <c r="F986" s="50" t="s">
        <v>576</v>
      </c>
      <c r="G986" s="50" t="s">
        <v>778</v>
      </c>
      <c r="H986" s="51">
        <v>2</v>
      </c>
      <c r="I986" s="52">
        <f>J986/H986</f>
        <v>49990</v>
      </c>
      <c r="J986" s="52">
        <v>99980</v>
      </c>
      <c r="K986" s="51">
        <v>5</v>
      </c>
      <c r="L986" s="53">
        <f>K986/H986*30</f>
        <v>75</v>
      </c>
    </row>
    <row r="987" spans="1:12" s="2" customFormat="1" ht="13.95" customHeight="1" outlineLevel="2" x14ac:dyDescent="0.2">
      <c r="A987" s="50" t="s">
        <v>573</v>
      </c>
      <c r="B987" s="50" t="s">
        <v>6</v>
      </c>
      <c r="C987" s="50" t="s">
        <v>61</v>
      </c>
      <c r="D987" s="50" t="s">
        <v>1124</v>
      </c>
      <c r="E987" s="50" t="s">
        <v>575</v>
      </c>
      <c r="F987" s="50" t="s">
        <v>576</v>
      </c>
      <c r="G987" s="50" t="s">
        <v>778</v>
      </c>
      <c r="H987" s="51">
        <v>1</v>
      </c>
      <c r="I987" s="52">
        <f>J987/H987</f>
        <v>49990</v>
      </c>
      <c r="J987" s="52">
        <v>49990</v>
      </c>
      <c r="K987" s="51">
        <v>9</v>
      </c>
      <c r="L987" s="53">
        <f>K987/H987*30</f>
        <v>270</v>
      </c>
    </row>
    <row r="988" spans="1:12" s="2" customFormat="1" ht="13.95" customHeight="1" outlineLevel="2" x14ac:dyDescent="0.2">
      <c r="A988" s="50" t="s">
        <v>573</v>
      </c>
      <c r="B988" s="50" t="s">
        <v>6</v>
      </c>
      <c r="C988" s="50" t="s">
        <v>61</v>
      </c>
      <c r="D988" s="50" t="s">
        <v>1125</v>
      </c>
      <c r="E988" s="50" t="s">
        <v>575</v>
      </c>
      <c r="F988" s="50" t="s">
        <v>576</v>
      </c>
      <c r="G988" s="50" t="s">
        <v>778</v>
      </c>
      <c r="H988" s="51">
        <v>1</v>
      </c>
      <c r="I988" s="52">
        <f>J988/H988</f>
        <v>49990</v>
      </c>
      <c r="J988" s="52">
        <v>49990</v>
      </c>
      <c r="K988" s="51">
        <v>6</v>
      </c>
      <c r="L988" s="53">
        <f>K988/H988*30</f>
        <v>180</v>
      </c>
    </row>
    <row r="989" spans="1:12" s="2" customFormat="1" ht="13.95" customHeight="1" outlineLevel="2" x14ac:dyDescent="0.2">
      <c r="A989" s="50" t="s">
        <v>573</v>
      </c>
      <c r="B989" s="50" t="s">
        <v>6</v>
      </c>
      <c r="C989" s="50" t="s">
        <v>61</v>
      </c>
      <c r="D989" s="50" t="s">
        <v>1126</v>
      </c>
      <c r="E989" s="50" t="s">
        <v>575</v>
      </c>
      <c r="F989" s="50" t="s">
        <v>576</v>
      </c>
      <c r="G989" s="50" t="s">
        <v>86</v>
      </c>
      <c r="H989" s="51">
        <v>1</v>
      </c>
      <c r="I989" s="52">
        <f>J989/H989</f>
        <v>49990</v>
      </c>
      <c r="J989" s="52">
        <v>49990</v>
      </c>
      <c r="K989" s="51">
        <v>6</v>
      </c>
      <c r="L989" s="53">
        <f>K989/H989*30</f>
        <v>180</v>
      </c>
    </row>
    <row r="990" spans="1:12" s="2" customFormat="1" ht="13.95" customHeight="1" outlineLevel="1" x14ac:dyDescent="0.2">
      <c r="A990" s="50"/>
      <c r="B990" s="50"/>
      <c r="C990" s="58" t="s">
        <v>1485</v>
      </c>
      <c r="D990" s="50"/>
      <c r="E990" s="50"/>
      <c r="F990" s="50"/>
      <c r="G990" s="50"/>
      <c r="H990" s="51">
        <f>SUBTOTAL(9,H984:H989)</f>
        <v>10</v>
      </c>
      <c r="I990" s="52"/>
      <c r="J990" s="52">
        <f>SUBTOTAL(9,J984:J989)</f>
        <v>499900</v>
      </c>
      <c r="K990" s="51"/>
      <c r="L990" s="53"/>
    </row>
    <row r="991" spans="1:12" s="2" customFormat="1" ht="13.95" customHeight="1" outlineLevel="2" x14ac:dyDescent="0.2">
      <c r="A991" s="50" t="s">
        <v>445</v>
      </c>
      <c r="B991" s="50" t="s">
        <v>6</v>
      </c>
      <c r="C991" s="50" t="s">
        <v>62</v>
      </c>
      <c r="D991" s="50" t="s">
        <v>446</v>
      </c>
      <c r="E991" s="50" t="s">
        <v>447</v>
      </c>
      <c r="F991" s="50" t="s">
        <v>260</v>
      </c>
      <c r="G991" s="50" t="s">
        <v>448</v>
      </c>
      <c r="H991" s="51">
        <v>10</v>
      </c>
      <c r="I991" s="52">
        <f>J991/H991</f>
        <v>19990</v>
      </c>
      <c r="J991" s="52">
        <v>199900</v>
      </c>
      <c r="K991" s="51">
        <v>5</v>
      </c>
      <c r="L991" s="53">
        <f>K991/H991*30</f>
        <v>15</v>
      </c>
    </row>
    <row r="992" spans="1:12" s="2" customFormat="1" ht="13.95" customHeight="1" outlineLevel="2" x14ac:dyDescent="0.2">
      <c r="A992" s="50" t="s">
        <v>445</v>
      </c>
      <c r="B992" s="50" t="s">
        <v>6</v>
      </c>
      <c r="C992" s="50" t="s">
        <v>62</v>
      </c>
      <c r="D992" s="50" t="s">
        <v>779</v>
      </c>
      <c r="E992" s="50" t="s">
        <v>447</v>
      </c>
      <c r="F992" s="50" t="s">
        <v>260</v>
      </c>
      <c r="G992" s="50" t="s">
        <v>86</v>
      </c>
      <c r="H992" s="51">
        <v>5</v>
      </c>
      <c r="I992" s="52">
        <f>J992/H992</f>
        <v>19990</v>
      </c>
      <c r="J992" s="52">
        <v>99950</v>
      </c>
      <c r="K992" s="51">
        <v>15</v>
      </c>
      <c r="L992" s="53">
        <f>K992/H992*30</f>
        <v>90</v>
      </c>
    </row>
    <row r="993" spans="1:12" s="2" customFormat="1" ht="13.95" customHeight="1" outlineLevel="2" x14ac:dyDescent="0.2">
      <c r="A993" s="50" t="s">
        <v>445</v>
      </c>
      <c r="B993" s="50" t="s">
        <v>6</v>
      </c>
      <c r="C993" s="50" t="s">
        <v>62</v>
      </c>
      <c r="D993" s="50" t="s">
        <v>996</v>
      </c>
      <c r="E993" s="50" t="s">
        <v>997</v>
      </c>
      <c r="F993" s="50" t="s">
        <v>260</v>
      </c>
      <c r="G993" s="50" t="s">
        <v>448</v>
      </c>
      <c r="H993" s="51">
        <v>3</v>
      </c>
      <c r="I993" s="52">
        <f>J993/H993</f>
        <v>19990</v>
      </c>
      <c r="J993" s="52">
        <v>59970</v>
      </c>
      <c r="K993" s="51">
        <v>19</v>
      </c>
      <c r="L993" s="53">
        <f>K993/H993*30</f>
        <v>190</v>
      </c>
    </row>
    <row r="994" spans="1:12" s="2" customFormat="1" ht="13.95" customHeight="1" outlineLevel="2" x14ac:dyDescent="0.2">
      <c r="A994" s="50" t="s">
        <v>445</v>
      </c>
      <c r="B994" s="50" t="s">
        <v>6</v>
      </c>
      <c r="C994" s="50" t="s">
        <v>62</v>
      </c>
      <c r="D994" s="50" t="s">
        <v>998</v>
      </c>
      <c r="E994" s="50" t="s">
        <v>997</v>
      </c>
      <c r="F994" s="50" t="s">
        <v>260</v>
      </c>
      <c r="G994" s="50" t="s">
        <v>86</v>
      </c>
      <c r="H994" s="51">
        <v>3</v>
      </c>
      <c r="I994" s="52">
        <f>J994/H994</f>
        <v>19990</v>
      </c>
      <c r="J994" s="52">
        <v>59970</v>
      </c>
      <c r="K994" s="51">
        <v>22</v>
      </c>
      <c r="L994" s="53">
        <f>K994/H994*30</f>
        <v>220</v>
      </c>
    </row>
    <row r="995" spans="1:12" s="2" customFormat="1" ht="13.95" customHeight="1" outlineLevel="2" x14ac:dyDescent="0.2">
      <c r="A995" s="50" t="s">
        <v>1096</v>
      </c>
      <c r="B995" s="50" t="s">
        <v>6</v>
      </c>
      <c r="C995" s="50" t="s">
        <v>62</v>
      </c>
      <c r="D995" s="50" t="s">
        <v>1097</v>
      </c>
      <c r="E995" s="50" t="s">
        <v>1098</v>
      </c>
      <c r="F995" s="50" t="s">
        <v>1099</v>
      </c>
      <c r="G995" s="50" t="s">
        <v>577</v>
      </c>
      <c r="H995" s="51">
        <v>1</v>
      </c>
      <c r="I995" s="52">
        <f>J995/H995</f>
        <v>49990</v>
      </c>
      <c r="J995" s="52">
        <v>49990</v>
      </c>
      <c r="K995" s="51">
        <v>2</v>
      </c>
      <c r="L995" s="53">
        <f>K995/H995*30</f>
        <v>60</v>
      </c>
    </row>
    <row r="996" spans="1:12" s="2" customFormat="1" ht="13.95" customHeight="1" outlineLevel="2" x14ac:dyDescent="0.2">
      <c r="A996" s="50" t="s">
        <v>1096</v>
      </c>
      <c r="B996" s="50" t="s">
        <v>6</v>
      </c>
      <c r="C996" s="50" t="s">
        <v>62</v>
      </c>
      <c r="D996" s="50" t="s">
        <v>1100</v>
      </c>
      <c r="E996" s="50" t="s">
        <v>1098</v>
      </c>
      <c r="F996" s="50" t="s">
        <v>1099</v>
      </c>
      <c r="G996" s="50" t="s">
        <v>86</v>
      </c>
      <c r="H996" s="51">
        <v>1</v>
      </c>
      <c r="I996" s="52">
        <f>J996/H996</f>
        <v>49990</v>
      </c>
      <c r="J996" s="52">
        <v>49990</v>
      </c>
      <c r="K996" s="51">
        <v>2</v>
      </c>
      <c r="L996" s="53">
        <f>K996/H996*30</f>
        <v>60</v>
      </c>
    </row>
    <row r="997" spans="1:12" s="2" customFormat="1" ht="13.95" customHeight="1" outlineLevel="2" x14ac:dyDescent="0.2">
      <c r="A997" s="50" t="s">
        <v>532</v>
      </c>
      <c r="B997" s="50" t="s">
        <v>6</v>
      </c>
      <c r="C997" s="50" t="s">
        <v>62</v>
      </c>
      <c r="D997" s="50" t="s">
        <v>1113</v>
      </c>
      <c r="E997" s="50" t="s">
        <v>1114</v>
      </c>
      <c r="F997" s="50" t="s">
        <v>1115</v>
      </c>
      <c r="G997" s="50" t="s">
        <v>979</v>
      </c>
      <c r="H997" s="51">
        <v>1</v>
      </c>
      <c r="I997" s="52">
        <f>J997/H997</f>
        <v>49990</v>
      </c>
      <c r="J997" s="52">
        <v>49990</v>
      </c>
      <c r="K997" s="51">
        <v>1</v>
      </c>
      <c r="L997" s="53">
        <f>K997/H997*30</f>
        <v>30</v>
      </c>
    </row>
    <row r="998" spans="1:12" s="2" customFormat="1" ht="13.95" customHeight="1" outlineLevel="2" x14ac:dyDescent="0.2">
      <c r="A998" s="50" t="s">
        <v>880</v>
      </c>
      <c r="B998" s="50" t="s">
        <v>6</v>
      </c>
      <c r="C998" s="50" t="s">
        <v>62</v>
      </c>
      <c r="D998" s="50" t="s">
        <v>1127</v>
      </c>
      <c r="E998" s="50" t="s">
        <v>1128</v>
      </c>
      <c r="F998" s="50" t="s">
        <v>883</v>
      </c>
      <c r="G998" s="50" t="s">
        <v>448</v>
      </c>
      <c r="H998" s="51">
        <v>2</v>
      </c>
      <c r="I998" s="52">
        <f>J998/H998</f>
        <v>24990</v>
      </c>
      <c r="J998" s="52">
        <v>49980</v>
      </c>
      <c r="K998" s="51">
        <v>1</v>
      </c>
      <c r="L998" s="53">
        <f>K998/H998*30</f>
        <v>15</v>
      </c>
    </row>
    <row r="999" spans="1:12" s="2" customFormat="1" ht="13.95" customHeight="1" outlineLevel="1" x14ac:dyDescent="0.2">
      <c r="A999" s="50"/>
      <c r="B999" s="50"/>
      <c r="C999" s="58" t="s">
        <v>1481</v>
      </c>
      <c r="D999" s="50"/>
      <c r="E999" s="50"/>
      <c r="F999" s="50"/>
      <c r="G999" s="50"/>
      <c r="H999" s="51">
        <f>SUBTOTAL(9,H991:H998)</f>
        <v>26</v>
      </c>
      <c r="I999" s="52"/>
      <c r="J999" s="52">
        <f>SUBTOTAL(9,J991:J998)</f>
        <v>619740</v>
      </c>
      <c r="K999" s="51"/>
      <c r="L999" s="53"/>
    </row>
    <row r="1000" spans="1:12" s="2" customFormat="1" ht="13.95" customHeight="1" outlineLevel="2" x14ac:dyDescent="0.2">
      <c r="A1000" s="50" t="s">
        <v>880</v>
      </c>
      <c r="B1000" s="50" t="s">
        <v>6</v>
      </c>
      <c r="C1000" s="50" t="s">
        <v>63</v>
      </c>
      <c r="D1000" s="50" t="s">
        <v>1311</v>
      </c>
      <c r="E1000" s="50" t="s">
        <v>1312</v>
      </c>
      <c r="F1000" s="50" t="s">
        <v>1313</v>
      </c>
      <c r="G1000" s="50" t="s">
        <v>143</v>
      </c>
      <c r="H1000" s="51">
        <v>1</v>
      </c>
      <c r="I1000" s="52">
        <f>J1000/H1000</f>
        <v>24990</v>
      </c>
      <c r="J1000" s="52">
        <v>24990</v>
      </c>
      <c r="K1000" s="51">
        <v>0</v>
      </c>
      <c r="L1000" s="53">
        <f>K1000/H1000*30</f>
        <v>0</v>
      </c>
    </row>
    <row r="1001" spans="1:12" s="2" customFormat="1" ht="13.95" customHeight="1" outlineLevel="2" x14ac:dyDescent="0.2">
      <c r="A1001" s="50" t="s">
        <v>880</v>
      </c>
      <c r="B1001" s="50" t="s">
        <v>6</v>
      </c>
      <c r="C1001" s="50" t="s">
        <v>63</v>
      </c>
      <c r="D1001" s="50" t="s">
        <v>1314</v>
      </c>
      <c r="E1001" s="50" t="s">
        <v>1312</v>
      </c>
      <c r="F1001" s="50" t="s">
        <v>1313</v>
      </c>
      <c r="G1001" s="50" t="s">
        <v>813</v>
      </c>
      <c r="H1001" s="51">
        <v>1</v>
      </c>
      <c r="I1001" s="52">
        <f>J1001/H1001</f>
        <v>24990</v>
      </c>
      <c r="J1001" s="52">
        <v>24990</v>
      </c>
      <c r="K1001" s="51">
        <v>29</v>
      </c>
      <c r="L1001" s="53">
        <f>K1001/H1001*30</f>
        <v>870</v>
      </c>
    </row>
    <row r="1002" spans="1:12" s="2" customFormat="1" ht="13.95" customHeight="1" outlineLevel="1" x14ac:dyDescent="0.2">
      <c r="A1002" s="50"/>
      <c r="B1002" s="50"/>
      <c r="C1002" s="58" t="s">
        <v>1506</v>
      </c>
      <c r="D1002" s="50"/>
      <c r="E1002" s="50"/>
      <c r="F1002" s="50"/>
      <c r="G1002" s="50"/>
      <c r="H1002" s="51">
        <f>SUBTOTAL(9,H1000:H1001)</f>
        <v>2</v>
      </c>
      <c r="I1002" s="52"/>
      <c r="J1002" s="52">
        <f>SUBTOTAL(9,J1000:J1001)</f>
        <v>49980</v>
      </c>
      <c r="K1002" s="51"/>
      <c r="L1002" s="53"/>
    </row>
    <row r="1003" spans="1:12" s="2" customFormat="1" ht="13.95" customHeight="1" outlineLevel="2" x14ac:dyDescent="0.2">
      <c r="A1003" s="50" t="s">
        <v>1024</v>
      </c>
      <c r="B1003" s="50" t="s">
        <v>6</v>
      </c>
      <c r="C1003" s="50" t="s">
        <v>64</v>
      </c>
      <c r="D1003" s="50" t="s">
        <v>1025</v>
      </c>
      <c r="E1003" s="50" t="s">
        <v>1026</v>
      </c>
      <c r="F1003" s="50" t="s">
        <v>260</v>
      </c>
      <c r="G1003" s="50" t="s">
        <v>1027</v>
      </c>
      <c r="H1003" s="51">
        <v>8</v>
      </c>
      <c r="I1003" s="52">
        <f>J1003/H1003</f>
        <v>7492.5</v>
      </c>
      <c r="J1003" s="52">
        <v>59940</v>
      </c>
      <c r="K1003" s="51">
        <v>577</v>
      </c>
      <c r="L1003" s="53">
        <f>K1003/H1003*30</f>
        <v>2163.75</v>
      </c>
    </row>
    <row r="1004" spans="1:12" s="2" customFormat="1" ht="13.95" customHeight="1" outlineLevel="2" x14ac:dyDescent="0.2">
      <c r="A1004" s="50" t="s">
        <v>1024</v>
      </c>
      <c r="B1004" s="50" t="s">
        <v>6</v>
      </c>
      <c r="C1004" s="50" t="s">
        <v>64</v>
      </c>
      <c r="D1004" s="50" t="s">
        <v>1241</v>
      </c>
      <c r="E1004" s="50" t="s">
        <v>1026</v>
      </c>
      <c r="F1004" s="50" t="s">
        <v>260</v>
      </c>
      <c r="G1004" s="50" t="s">
        <v>1242</v>
      </c>
      <c r="H1004" s="51">
        <v>6</v>
      </c>
      <c r="I1004" s="52">
        <f>J1004/H1004</f>
        <v>6663.333333333333</v>
      </c>
      <c r="J1004" s="52">
        <v>39980</v>
      </c>
      <c r="K1004" s="51">
        <v>580</v>
      </c>
      <c r="L1004" s="53">
        <f>K1004/H1004*30</f>
        <v>2900</v>
      </c>
    </row>
    <row r="1005" spans="1:12" s="2" customFormat="1" ht="13.95" customHeight="1" outlineLevel="2" x14ac:dyDescent="0.2">
      <c r="A1005" s="50" t="s">
        <v>1329</v>
      </c>
      <c r="B1005" s="50" t="s">
        <v>6</v>
      </c>
      <c r="C1005" s="50" t="s">
        <v>64</v>
      </c>
      <c r="D1005" s="50" t="s">
        <v>1333</v>
      </c>
      <c r="E1005" s="50" t="s">
        <v>1331</v>
      </c>
      <c r="F1005" s="50" t="s">
        <v>1332</v>
      </c>
      <c r="G1005" s="50" t="s">
        <v>86</v>
      </c>
      <c r="H1005" s="51">
        <v>5</v>
      </c>
      <c r="I1005" s="52">
        <f>J1005/H1005</f>
        <v>6398</v>
      </c>
      <c r="J1005" s="52">
        <v>31990</v>
      </c>
      <c r="K1005" s="51">
        <v>92</v>
      </c>
      <c r="L1005" s="53">
        <f>K1005/H1005*30</f>
        <v>552</v>
      </c>
    </row>
    <row r="1006" spans="1:12" s="2" customFormat="1" ht="13.95" customHeight="1" outlineLevel="2" x14ac:dyDescent="0.2">
      <c r="A1006" s="50" t="s">
        <v>1024</v>
      </c>
      <c r="B1006" s="50" t="s">
        <v>6</v>
      </c>
      <c r="C1006" s="50" t="s">
        <v>64</v>
      </c>
      <c r="D1006" s="50" t="s">
        <v>1324</v>
      </c>
      <c r="E1006" s="50" t="s">
        <v>1026</v>
      </c>
      <c r="F1006" s="50" t="s">
        <v>260</v>
      </c>
      <c r="G1006" s="50" t="s">
        <v>1325</v>
      </c>
      <c r="H1006" s="51">
        <v>4</v>
      </c>
      <c r="I1006" s="52">
        <f>J1006/H1006</f>
        <v>6995</v>
      </c>
      <c r="J1006" s="52">
        <v>27980</v>
      </c>
      <c r="K1006" s="51">
        <v>582</v>
      </c>
      <c r="L1006" s="53">
        <f>K1006/H1006*30</f>
        <v>4365</v>
      </c>
    </row>
    <row r="1007" spans="1:12" s="2" customFormat="1" ht="13.95" customHeight="1" outlineLevel="2" x14ac:dyDescent="0.2">
      <c r="A1007" s="50" t="s">
        <v>1024</v>
      </c>
      <c r="B1007" s="50" t="s">
        <v>6</v>
      </c>
      <c r="C1007" s="50" t="s">
        <v>64</v>
      </c>
      <c r="D1007" s="50" t="s">
        <v>1326</v>
      </c>
      <c r="E1007" s="50" t="s">
        <v>1026</v>
      </c>
      <c r="F1007" s="50" t="s">
        <v>260</v>
      </c>
      <c r="G1007" s="50" t="s">
        <v>86</v>
      </c>
      <c r="H1007" s="51">
        <v>4</v>
      </c>
      <c r="I1007" s="52">
        <f>J1007/H1007</f>
        <v>6995</v>
      </c>
      <c r="J1007" s="52">
        <v>27980</v>
      </c>
      <c r="K1007" s="51">
        <v>1180</v>
      </c>
      <c r="L1007" s="53">
        <f>K1007/H1007*30</f>
        <v>8850</v>
      </c>
    </row>
    <row r="1008" spans="1:12" s="2" customFormat="1" ht="13.95" customHeight="1" outlineLevel="2" x14ac:dyDescent="0.2">
      <c r="A1008" s="50" t="s">
        <v>1329</v>
      </c>
      <c r="B1008" s="50" t="s">
        <v>6</v>
      </c>
      <c r="C1008" s="50" t="s">
        <v>64</v>
      </c>
      <c r="D1008" s="50" t="s">
        <v>1334</v>
      </c>
      <c r="E1008" s="50" t="s">
        <v>1335</v>
      </c>
      <c r="F1008" s="50" t="s">
        <v>260</v>
      </c>
      <c r="G1008" s="50" t="s">
        <v>86</v>
      </c>
      <c r="H1008" s="51">
        <v>4</v>
      </c>
      <c r="I1008" s="52">
        <f>J1008/H1008</f>
        <v>6995</v>
      </c>
      <c r="J1008" s="52">
        <v>27980</v>
      </c>
      <c r="K1008" s="51">
        <v>171</v>
      </c>
      <c r="L1008" s="53">
        <f>K1008/H1008*30</f>
        <v>1282.5</v>
      </c>
    </row>
    <row r="1009" spans="1:12" s="2" customFormat="1" ht="13.95" customHeight="1" outlineLevel="2" x14ac:dyDescent="0.2">
      <c r="A1009" s="50" t="s">
        <v>1329</v>
      </c>
      <c r="B1009" s="50" t="s">
        <v>6</v>
      </c>
      <c r="C1009" s="50" t="s">
        <v>64</v>
      </c>
      <c r="D1009" s="50" t="s">
        <v>1330</v>
      </c>
      <c r="E1009" s="50" t="s">
        <v>1331</v>
      </c>
      <c r="F1009" s="50" t="s">
        <v>1332</v>
      </c>
      <c r="G1009" s="50" t="s">
        <v>577</v>
      </c>
      <c r="H1009" s="51">
        <v>3</v>
      </c>
      <c r="I1009" s="52">
        <f>J1009/H1009</f>
        <v>7990</v>
      </c>
      <c r="J1009" s="52">
        <v>23970</v>
      </c>
      <c r="K1009" s="51">
        <v>101</v>
      </c>
      <c r="L1009" s="53">
        <f>K1009/H1009*30</f>
        <v>1009.9999999999999</v>
      </c>
    </row>
    <row r="1010" spans="1:12" s="2" customFormat="1" ht="13.95" customHeight="1" outlineLevel="2" x14ac:dyDescent="0.2">
      <c r="A1010" s="50" t="s">
        <v>1329</v>
      </c>
      <c r="B1010" s="50" t="s">
        <v>6</v>
      </c>
      <c r="C1010" s="50" t="s">
        <v>64</v>
      </c>
      <c r="D1010" s="50" t="s">
        <v>1393</v>
      </c>
      <c r="E1010" s="50" t="s">
        <v>1331</v>
      </c>
      <c r="F1010" s="50" t="s">
        <v>1332</v>
      </c>
      <c r="G1010" s="50" t="s">
        <v>90</v>
      </c>
      <c r="H1010" s="51">
        <v>2</v>
      </c>
      <c r="I1010" s="52">
        <f>J1010/H1010</f>
        <v>7990</v>
      </c>
      <c r="J1010" s="52">
        <v>15980</v>
      </c>
      <c r="K1010" s="51">
        <v>103</v>
      </c>
      <c r="L1010" s="53">
        <f>K1010/H1010*30</f>
        <v>1545</v>
      </c>
    </row>
    <row r="1011" spans="1:12" s="2" customFormat="1" ht="13.95" customHeight="1" outlineLevel="1" x14ac:dyDescent="0.2">
      <c r="A1011" s="50"/>
      <c r="B1011" s="50"/>
      <c r="C1011" s="58" t="s">
        <v>1500</v>
      </c>
      <c r="D1011" s="50"/>
      <c r="E1011" s="50"/>
      <c r="F1011" s="50"/>
      <c r="G1011" s="50"/>
      <c r="H1011" s="51">
        <f>SUBTOTAL(9,H1003:H1010)</f>
        <v>36</v>
      </c>
      <c r="I1011" s="52"/>
      <c r="J1011" s="52">
        <f>SUBTOTAL(9,J1003:J1010)</f>
        <v>255800</v>
      </c>
      <c r="K1011" s="51"/>
      <c r="L1011" s="53"/>
    </row>
    <row r="1012" spans="1:12" s="2" customFormat="1" ht="13.95" customHeight="1" outlineLevel="2" x14ac:dyDescent="0.2">
      <c r="A1012" s="50" t="s">
        <v>238</v>
      </c>
      <c r="B1012" s="50" t="s">
        <v>6</v>
      </c>
      <c r="C1012" s="50" t="s">
        <v>65</v>
      </c>
      <c r="D1012" s="50" t="s">
        <v>239</v>
      </c>
      <c r="E1012" s="50" t="s">
        <v>240</v>
      </c>
      <c r="F1012" s="50" t="s">
        <v>241</v>
      </c>
      <c r="G1012" s="50" t="s">
        <v>242</v>
      </c>
      <c r="H1012" s="51">
        <v>7</v>
      </c>
      <c r="I1012" s="52">
        <f>J1012/H1012</f>
        <v>49990</v>
      </c>
      <c r="J1012" s="52">
        <v>349930</v>
      </c>
      <c r="K1012" s="51">
        <v>171</v>
      </c>
      <c r="L1012" s="53">
        <f>K1012/H1012*30</f>
        <v>732.85714285714278</v>
      </c>
    </row>
    <row r="1013" spans="1:12" s="2" customFormat="1" ht="13.95" customHeight="1" outlineLevel="2" x14ac:dyDescent="0.2">
      <c r="A1013" s="50" t="s">
        <v>238</v>
      </c>
      <c r="B1013" s="50" t="s">
        <v>6</v>
      </c>
      <c r="C1013" s="50" t="s">
        <v>65</v>
      </c>
      <c r="D1013" s="50" t="s">
        <v>293</v>
      </c>
      <c r="E1013" s="50" t="s">
        <v>240</v>
      </c>
      <c r="F1013" s="50" t="s">
        <v>241</v>
      </c>
      <c r="G1013" s="50" t="s">
        <v>294</v>
      </c>
      <c r="H1013" s="51">
        <v>6</v>
      </c>
      <c r="I1013" s="52">
        <f>J1013/H1013</f>
        <v>49990</v>
      </c>
      <c r="J1013" s="52">
        <v>299940</v>
      </c>
      <c r="K1013" s="51">
        <v>87</v>
      </c>
      <c r="L1013" s="53">
        <f>K1013/H1013*30</f>
        <v>435</v>
      </c>
    </row>
    <row r="1014" spans="1:12" s="2" customFormat="1" ht="13.95" customHeight="1" outlineLevel="2" x14ac:dyDescent="0.2">
      <c r="A1014" s="50" t="s">
        <v>238</v>
      </c>
      <c r="B1014" s="50" t="s">
        <v>6</v>
      </c>
      <c r="C1014" s="50" t="s">
        <v>65</v>
      </c>
      <c r="D1014" s="50" t="s">
        <v>349</v>
      </c>
      <c r="E1014" s="50" t="s">
        <v>240</v>
      </c>
      <c r="F1014" s="50" t="s">
        <v>241</v>
      </c>
      <c r="G1014" s="50" t="s">
        <v>330</v>
      </c>
      <c r="H1014" s="51">
        <v>5</v>
      </c>
      <c r="I1014" s="52">
        <f>J1014/H1014</f>
        <v>49990</v>
      </c>
      <c r="J1014" s="52">
        <v>249950</v>
      </c>
      <c r="K1014" s="51">
        <v>3</v>
      </c>
      <c r="L1014" s="53">
        <f>K1014/H1014*30</f>
        <v>18</v>
      </c>
    </row>
    <row r="1015" spans="1:12" s="2" customFormat="1" ht="13.95" customHeight="1" outlineLevel="2" x14ac:dyDescent="0.2">
      <c r="A1015" s="50" t="s">
        <v>238</v>
      </c>
      <c r="B1015" s="50" t="s">
        <v>6</v>
      </c>
      <c r="C1015" s="50" t="s">
        <v>65</v>
      </c>
      <c r="D1015" s="50" t="s">
        <v>438</v>
      </c>
      <c r="E1015" s="50" t="s">
        <v>240</v>
      </c>
      <c r="F1015" s="50" t="s">
        <v>241</v>
      </c>
      <c r="G1015" s="50" t="s">
        <v>294</v>
      </c>
      <c r="H1015" s="51">
        <v>4</v>
      </c>
      <c r="I1015" s="52">
        <f>J1015/H1015</f>
        <v>49990</v>
      </c>
      <c r="J1015" s="52">
        <v>199960</v>
      </c>
      <c r="K1015" s="51">
        <v>107</v>
      </c>
      <c r="L1015" s="53">
        <f>K1015/H1015*30</f>
        <v>802.5</v>
      </c>
    </row>
    <row r="1016" spans="1:12" s="2" customFormat="1" ht="13.95" customHeight="1" outlineLevel="2" x14ac:dyDescent="0.2">
      <c r="A1016" s="50" t="s">
        <v>238</v>
      </c>
      <c r="B1016" s="50" t="s">
        <v>6</v>
      </c>
      <c r="C1016" s="50" t="s">
        <v>65</v>
      </c>
      <c r="D1016" s="50" t="s">
        <v>439</v>
      </c>
      <c r="E1016" s="50" t="s">
        <v>240</v>
      </c>
      <c r="F1016" s="50" t="s">
        <v>241</v>
      </c>
      <c r="G1016" s="50" t="s">
        <v>242</v>
      </c>
      <c r="H1016" s="51">
        <v>4</v>
      </c>
      <c r="I1016" s="52">
        <f>J1016/H1016</f>
        <v>49990</v>
      </c>
      <c r="J1016" s="52">
        <v>199960</v>
      </c>
      <c r="K1016" s="51">
        <v>157</v>
      </c>
      <c r="L1016" s="53">
        <f>K1016/H1016*30</f>
        <v>1177.5</v>
      </c>
    </row>
    <row r="1017" spans="1:12" s="2" customFormat="1" ht="13.95" customHeight="1" outlineLevel="2" x14ac:dyDescent="0.2">
      <c r="A1017" s="50" t="s">
        <v>238</v>
      </c>
      <c r="B1017" s="50" t="s">
        <v>6</v>
      </c>
      <c r="C1017" s="50" t="s">
        <v>65</v>
      </c>
      <c r="D1017" s="50" t="s">
        <v>440</v>
      </c>
      <c r="E1017" s="50" t="s">
        <v>240</v>
      </c>
      <c r="F1017" s="50" t="s">
        <v>241</v>
      </c>
      <c r="G1017" s="50" t="s">
        <v>86</v>
      </c>
      <c r="H1017" s="51">
        <v>4</v>
      </c>
      <c r="I1017" s="52">
        <f>J1017/H1017</f>
        <v>49990</v>
      </c>
      <c r="J1017" s="52">
        <v>199960</v>
      </c>
      <c r="K1017" s="51">
        <v>131</v>
      </c>
      <c r="L1017" s="53">
        <f>K1017/H1017*30</f>
        <v>982.5</v>
      </c>
    </row>
    <row r="1018" spans="1:12" s="2" customFormat="1" ht="13.95" customHeight="1" outlineLevel="2" x14ac:dyDescent="0.2">
      <c r="A1018" s="50" t="s">
        <v>238</v>
      </c>
      <c r="B1018" s="50" t="s">
        <v>6</v>
      </c>
      <c r="C1018" s="50" t="s">
        <v>65</v>
      </c>
      <c r="D1018" s="50" t="s">
        <v>441</v>
      </c>
      <c r="E1018" s="50" t="s">
        <v>240</v>
      </c>
      <c r="F1018" s="50" t="s">
        <v>241</v>
      </c>
      <c r="G1018" s="50" t="s">
        <v>86</v>
      </c>
      <c r="H1018" s="51">
        <v>4</v>
      </c>
      <c r="I1018" s="52">
        <f>J1018/H1018</f>
        <v>49990</v>
      </c>
      <c r="J1018" s="52">
        <v>199960</v>
      </c>
      <c r="K1018" s="51">
        <v>134</v>
      </c>
      <c r="L1018" s="53">
        <f>K1018/H1018*30</f>
        <v>1005</v>
      </c>
    </row>
    <row r="1019" spans="1:12" s="2" customFormat="1" ht="13.95" customHeight="1" outlineLevel="2" x14ac:dyDescent="0.2">
      <c r="A1019" s="50" t="s">
        <v>238</v>
      </c>
      <c r="B1019" s="50" t="s">
        <v>6</v>
      </c>
      <c r="C1019" s="50" t="s">
        <v>65</v>
      </c>
      <c r="D1019" s="50" t="s">
        <v>442</v>
      </c>
      <c r="E1019" s="50" t="s">
        <v>240</v>
      </c>
      <c r="F1019" s="50" t="s">
        <v>241</v>
      </c>
      <c r="G1019" s="50" t="s">
        <v>86</v>
      </c>
      <c r="H1019" s="51">
        <v>4</v>
      </c>
      <c r="I1019" s="52">
        <f>J1019/H1019</f>
        <v>49990</v>
      </c>
      <c r="J1019" s="52">
        <v>199960</v>
      </c>
      <c r="K1019" s="51">
        <v>88</v>
      </c>
      <c r="L1019" s="53">
        <f>K1019/H1019*30</f>
        <v>660</v>
      </c>
    </row>
    <row r="1020" spans="1:12" s="2" customFormat="1" ht="13.95" customHeight="1" outlineLevel="2" x14ac:dyDescent="0.2">
      <c r="A1020" s="50" t="s">
        <v>238</v>
      </c>
      <c r="B1020" s="50" t="s">
        <v>6</v>
      </c>
      <c r="C1020" s="50" t="s">
        <v>65</v>
      </c>
      <c r="D1020" s="50" t="s">
        <v>565</v>
      </c>
      <c r="E1020" s="50" t="s">
        <v>240</v>
      </c>
      <c r="F1020" s="50" t="s">
        <v>241</v>
      </c>
      <c r="G1020" s="50" t="s">
        <v>242</v>
      </c>
      <c r="H1020" s="51">
        <v>3</v>
      </c>
      <c r="I1020" s="52">
        <f>J1020/H1020</f>
        <v>49990</v>
      </c>
      <c r="J1020" s="52">
        <v>149970</v>
      </c>
      <c r="K1020" s="51">
        <v>90</v>
      </c>
      <c r="L1020" s="53">
        <f>K1020/H1020*30</f>
        <v>900</v>
      </c>
    </row>
    <row r="1021" spans="1:12" s="2" customFormat="1" ht="13.95" customHeight="1" outlineLevel="2" x14ac:dyDescent="0.2">
      <c r="A1021" s="50" t="s">
        <v>238</v>
      </c>
      <c r="B1021" s="50" t="s">
        <v>6</v>
      </c>
      <c r="C1021" s="50" t="s">
        <v>65</v>
      </c>
      <c r="D1021" s="50" t="s">
        <v>566</v>
      </c>
      <c r="E1021" s="50" t="s">
        <v>240</v>
      </c>
      <c r="F1021" s="50" t="s">
        <v>241</v>
      </c>
      <c r="G1021" s="50" t="s">
        <v>242</v>
      </c>
      <c r="H1021" s="51">
        <v>3</v>
      </c>
      <c r="I1021" s="52">
        <f>J1021/H1021</f>
        <v>49990</v>
      </c>
      <c r="J1021" s="52">
        <v>149970</v>
      </c>
      <c r="K1021" s="51">
        <v>58</v>
      </c>
      <c r="L1021" s="53">
        <f>K1021/H1021*30</f>
        <v>580</v>
      </c>
    </row>
    <row r="1022" spans="1:12" s="2" customFormat="1" ht="13.95" customHeight="1" outlineLevel="2" x14ac:dyDescent="0.2">
      <c r="A1022" s="50" t="s">
        <v>238</v>
      </c>
      <c r="B1022" s="50" t="s">
        <v>6</v>
      </c>
      <c r="C1022" s="50" t="s">
        <v>65</v>
      </c>
      <c r="D1022" s="50" t="s">
        <v>567</v>
      </c>
      <c r="E1022" s="50" t="s">
        <v>240</v>
      </c>
      <c r="F1022" s="50" t="s">
        <v>241</v>
      </c>
      <c r="G1022" s="50" t="s">
        <v>86</v>
      </c>
      <c r="H1022" s="51">
        <v>3</v>
      </c>
      <c r="I1022" s="52">
        <f>J1022/H1022</f>
        <v>49990</v>
      </c>
      <c r="J1022" s="52">
        <v>149970</v>
      </c>
      <c r="K1022" s="51">
        <v>96</v>
      </c>
      <c r="L1022" s="53">
        <f>K1022/H1022*30</f>
        <v>960</v>
      </c>
    </row>
    <row r="1023" spans="1:12" s="2" customFormat="1" ht="13.95" customHeight="1" outlineLevel="2" x14ac:dyDescent="0.2">
      <c r="A1023" s="50" t="s">
        <v>238</v>
      </c>
      <c r="B1023" s="50" t="s">
        <v>6</v>
      </c>
      <c r="C1023" s="50" t="s">
        <v>65</v>
      </c>
      <c r="D1023" s="50" t="s">
        <v>568</v>
      </c>
      <c r="E1023" s="50" t="s">
        <v>569</v>
      </c>
      <c r="F1023" s="50" t="s">
        <v>241</v>
      </c>
      <c r="G1023" s="50" t="s">
        <v>570</v>
      </c>
      <c r="H1023" s="51">
        <v>3</v>
      </c>
      <c r="I1023" s="52">
        <f>J1023/H1023</f>
        <v>49990</v>
      </c>
      <c r="J1023" s="52">
        <v>149970</v>
      </c>
      <c r="K1023" s="51">
        <v>58</v>
      </c>
      <c r="L1023" s="53">
        <f>K1023/H1023*30</f>
        <v>580</v>
      </c>
    </row>
    <row r="1024" spans="1:12" s="2" customFormat="1" ht="13.95" customHeight="1" outlineLevel="2" x14ac:dyDescent="0.2">
      <c r="A1024" s="50" t="s">
        <v>238</v>
      </c>
      <c r="B1024" s="50" t="s">
        <v>6</v>
      </c>
      <c r="C1024" s="50" t="s">
        <v>65</v>
      </c>
      <c r="D1024" s="50" t="s">
        <v>571</v>
      </c>
      <c r="E1024" s="50" t="s">
        <v>572</v>
      </c>
      <c r="F1024" s="50" t="s">
        <v>241</v>
      </c>
      <c r="G1024" s="50" t="s">
        <v>294</v>
      </c>
      <c r="H1024" s="51">
        <v>3</v>
      </c>
      <c r="I1024" s="52">
        <f>J1024/H1024</f>
        <v>49990</v>
      </c>
      <c r="J1024" s="52">
        <v>149970</v>
      </c>
      <c r="K1024" s="51">
        <v>79</v>
      </c>
      <c r="L1024" s="53">
        <f>K1024/H1024*30</f>
        <v>790</v>
      </c>
    </row>
    <row r="1025" spans="1:12" s="2" customFormat="1" ht="13.95" customHeight="1" outlineLevel="2" x14ac:dyDescent="0.2">
      <c r="A1025" s="50" t="s">
        <v>238</v>
      </c>
      <c r="B1025" s="50" t="s">
        <v>6</v>
      </c>
      <c r="C1025" s="50" t="s">
        <v>65</v>
      </c>
      <c r="D1025" s="50" t="s">
        <v>766</v>
      </c>
      <c r="E1025" s="50" t="s">
        <v>240</v>
      </c>
      <c r="F1025" s="50" t="s">
        <v>241</v>
      </c>
      <c r="G1025" s="50" t="s">
        <v>294</v>
      </c>
      <c r="H1025" s="51">
        <v>2</v>
      </c>
      <c r="I1025" s="52">
        <f>J1025/H1025</f>
        <v>49990</v>
      </c>
      <c r="J1025" s="52">
        <v>99980</v>
      </c>
      <c r="K1025" s="51">
        <v>70</v>
      </c>
      <c r="L1025" s="53">
        <f>K1025/H1025*30</f>
        <v>1050</v>
      </c>
    </row>
    <row r="1026" spans="1:12" s="2" customFormat="1" ht="13.95" customHeight="1" outlineLevel="2" x14ac:dyDescent="0.2">
      <c r="A1026" s="50" t="s">
        <v>238</v>
      </c>
      <c r="B1026" s="50" t="s">
        <v>6</v>
      </c>
      <c r="C1026" s="50" t="s">
        <v>65</v>
      </c>
      <c r="D1026" s="50" t="s">
        <v>767</v>
      </c>
      <c r="E1026" s="50" t="s">
        <v>240</v>
      </c>
      <c r="F1026" s="50" t="s">
        <v>241</v>
      </c>
      <c r="G1026" s="50" t="s">
        <v>294</v>
      </c>
      <c r="H1026" s="51">
        <v>2</v>
      </c>
      <c r="I1026" s="52">
        <f>J1026/H1026</f>
        <v>49990</v>
      </c>
      <c r="J1026" s="52">
        <v>99980</v>
      </c>
      <c r="K1026" s="51">
        <v>45</v>
      </c>
      <c r="L1026" s="53">
        <f>K1026/H1026*30</f>
        <v>675</v>
      </c>
    </row>
    <row r="1027" spans="1:12" s="2" customFormat="1" ht="13.95" customHeight="1" outlineLevel="2" x14ac:dyDescent="0.2">
      <c r="A1027" s="50" t="s">
        <v>238</v>
      </c>
      <c r="B1027" s="50" t="s">
        <v>6</v>
      </c>
      <c r="C1027" s="50" t="s">
        <v>65</v>
      </c>
      <c r="D1027" s="50" t="s">
        <v>768</v>
      </c>
      <c r="E1027" s="50" t="s">
        <v>240</v>
      </c>
      <c r="F1027" s="50" t="s">
        <v>241</v>
      </c>
      <c r="G1027" s="50" t="s">
        <v>242</v>
      </c>
      <c r="H1027" s="51">
        <v>2</v>
      </c>
      <c r="I1027" s="52">
        <f>J1027/H1027</f>
        <v>49990</v>
      </c>
      <c r="J1027" s="52">
        <v>99980</v>
      </c>
      <c r="K1027" s="51">
        <v>96</v>
      </c>
      <c r="L1027" s="53">
        <f>K1027/H1027*30</f>
        <v>1440</v>
      </c>
    </row>
    <row r="1028" spans="1:12" s="2" customFormat="1" ht="13.95" customHeight="1" outlineLevel="2" x14ac:dyDescent="0.2">
      <c r="A1028" s="50" t="s">
        <v>238</v>
      </c>
      <c r="B1028" s="50" t="s">
        <v>6</v>
      </c>
      <c r="C1028" s="50" t="s">
        <v>65</v>
      </c>
      <c r="D1028" s="50" t="s">
        <v>769</v>
      </c>
      <c r="E1028" s="50" t="s">
        <v>240</v>
      </c>
      <c r="F1028" s="50" t="s">
        <v>241</v>
      </c>
      <c r="G1028" s="50" t="s">
        <v>330</v>
      </c>
      <c r="H1028" s="51">
        <v>2</v>
      </c>
      <c r="I1028" s="52">
        <f>J1028/H1028</f>
        <v>49990</v>
      </c>
      <c r="J1028" s="52">
        <v>99980</v>
      </c>
      <c r="K1028" s="51">
        <v>11</v>
      </c>
      <c r="L1028" s="53">
        <f>K1028/H1028*30</f>
        <v>165</v>
      </c>
    </row>
    <row r="1029" spans="1:12" s="2" customFormat="1" ht="13.95" customHeight="1" outlineLevel="2" x14ac:dyDescent="0.2">
      <c r="A1029" s="50" t="s">
        <v>238</v>
      </c>
      <c r="B1029" s="50" t="s">
        <v>6</v>
      </c>
      <c r="C1029" s="50" t="s">
        <v>65</v>
      </c>
      <c r="D1029" s="50" t="s">
        <v>770</v>
      </c>
      <c r="E1029" s="50" t="s">
        <v>240</v>
      </c>
      <c r="F1029" s="50" t="s">
        <v>241</v>
      </c>
      <c r="G1029" s="50" t="s">
        <v>330</v>
      </c>
      <c r="H1029" s="51">
        <v>2</v>
      </c>
      <c r="I1029" s="52">
        <f>J1029/H1029</f>
        <v>49990</v>
      </c>
      <c r="J1029" s="52">
        <v>99980</v>
      </c>
      <c r="K1029" s="51">
        <v>6</v>
      </c>
      <c r="L1029" s="53">
        <f>K1029/H1029*30</f>
        <v>90</v>
      </c>
    </row>
    <row r="1030" spans="1:12" s="2" customFormat="1" ht="13.95" customHeight="1" outlineLevel="2" x14ac:dyDescent="0.2">
      <c r="A1030" s="50" t="s">
        <v>238</v>
      </c>
      <c r="B1030" s="50" t="s">
        <v>6</v>
      </c>
      <c r="C1030" s="50" t="s">
        <v>65</v>
      </c>
      <c r="D1030" s="50" t="s">
        <v>771</v>
      </c>
      <c r="E1030" s="50" t="s">
        <v>240</v>
      </c>
      <c r="F1030" s="50" t="s">
        <v>241</v>
      </c>
      <c r="G1030" s="50" t="s">
        <v>330</v>
      </c>
      <c r="H1030" s="51">
        <v>2</v>
      </c>
      <c r="I1030" s="52">
        <f>J1030/H1030</f>
        <v>49990</v>
      </c>
      <c r="J1030" s="52">
        <v>99980</v>
      </c>
      <c r="K1030" s="51">
        <v>6</v>
      </c>
      <c r="L1030" s="53">
        <f>K1030/H1030*30</f>
        <v>90</v>
      </c>
    </row>
    <row r="1031" spans="1:12" s="2" customFormat="1" ht="13.95" customHeight="1" outlineLevel="2" x14ac:dyDescent="0.2">
      <c r="A1031" s="50" t="s">
        <v>238</v>
      </c>
      <c r="B1031" s="50" t="s">
        <v>6</v>
      </c>
      <c r="C1031" s="50" t="s">
        <v>65</v>
      </c>
      <c r="D1031" s="50" t="s">
        <v>772</v>
      </c>
      <c r="E1031" s="50" t="s">
        <v>569</v>
      </c>
      <c r="F1031" s="50" t="s">
        <v>241</v>
      </c>
      <c r="G1031" s="50" t="s">
        <v>294</v>
      </c>
      <c r="H1031" s="51">
        <v>2</v>
      </c>
      <c r="I1031" s="52">
        <f>J1031/H1031</f>
        <v>49990</v>
      </c>
      <c r="J1031" s="52">
        <v>99980</v>
      </c>
      <c r="K1031" s="51">
        <v>41</v>
      </c>
      <c r="L1031" s="53">
        <f>K1031/H1031*30</f>
        <v>615</v>
      </c>
    </row>
    <row r="1032" spans="1:12" s="2" customFormat="1" ht="13.95" customHeight="1" outlineLevel="2" x14ac:dyDescent="0.2">
      <c r="A1032" s="50" t="s">
        <v>238</v>
      </c>
      <c r="B1032" s="50" t="s">
        <v>6</v>
      </c>
      <c r="C1032" s="50" t="s">
        <v>65</v>
      </c>
      <c r="D1032" s="50" t="s">
        <v>773</v>
      </c>
      <c r="E1032" s="50" t="s">
        <v>569</v>
      </c>
      <c r="F1032" s="50" t="s">
        <v>241</v>
      </c>
      <c r="G1032" s="50" t="s">
        <v>242</v>
      </c>
      <c r="H1032" s="51">
        <v>2</v>
      </c>
      <c r="I1032" s="52">
        <f>J1032/H1032</f>
        <v>49990</v>
      </c>
      <c r="J1032" s="52">
        <v>99980</v>
      </c>
      <c r="K1032" s="51">
        <v>50</v>
      </c>
      <c r="L1032" s="53">
        <f>K1032/H1032*30</f>
        <v>750</v>
      </c>
    </row>
    <row r="1033" spans="1:12" s="2" customFormat="1" ht="13.95" customHeight="1" outlineLevel="2" x14ac:dyDescent="0.2">
      <c r="A1033" s="50" t="s">
        <v>238</v>
      </c>
      <c r="B1033" s="50" t="s">
        <v>6</v>
      </c>
      <c r="C1033" s="50" t="s">
        <v>65</v>
      </c>
      <c r="D1033" s="50" t="s">
        <v>774</v>
      </c>
      <c r="E1033" s="50" t="s">
        <v>572</v>
      </c>
      <c r="F1033" s="50" t="s">
        <v>241</v>
      </c>
      <c r="G1033" s="50" t="s">
        <v>294</v>
      </c>
      <c r="H1033" s="51">
        <v>2</v>
      </c>
      <c r="I1033" s="52">
        <f>J1033/H1033</f>
        <v>49990</v>
      </c>
      <c r="J1033" s="52">
        <v>99980</v>
      </c>
      <c r="K1033" s="51">
        <v>20</v>
      </c>
      <c r="L1033" s="53">
        <f>K1033/H1033*30</f>
        <v>300</v>
      </c>
    </row>
    <row r="1034" spans="1:12" s="2" customFormat="1" ht="13.95" customHeight="1" outlineLevel="2" x14ac:dyDescent="0.2">
      <c r="A1034" s="50" t="s">
        <v>238</v>
      </c>
      <c r="B1034" s="50" t="s">
        <v>6</v>
      </c>
      <c r="C1034" s="50" t="s">
        <v>65</v>
      </c>
      <c r="D1034" s="50" t="s">
        <v>775</v>
      </c>
      <c r="E1034" s="50" t="s">
        <v>572</v>
      </c>
      <c r="F1034" s="50" t="s">
        <v>241</v>
      </c>
      <c r="G1034" s="50" t="s">
        <v>86</v>
      </c>
      <c r="H1034" s="51">
        <v>2</v>
      </c>
      <c r="I1034" s="52">
        <f>J1034/H1034</f>
        <v>49990</v>
      </c>
      <c r="J1034" s="52">
        <v>99980</v>
      </c>
      <c r="K1034" s="51">
        <v>76</v>
      </c>
      <c r="L1034" s="53">
        <f>K1034/H1034*30</f>
        <v>1140</v>
      </c>
    </row>
    <row r="1035" spans="1:12" s="2" customFormat="1" ht="13.95" customHeight="1" outlineLevel="2" x14ac:dyDescent="0.2">
      <c r="A1035" s="50" t="s">
        <v>238</v>
      </c>
      <c r="B1035" s="50" t="s">
        <v>6</v>
      </c>
      <c r="C1035" s="50" t="s">
        <v>65</v>
      </c>
      <c r="D1035" s="50" t="s">
        <v>1084</v>
      </c>
      <c r="E1035" s="50" t="s">
        <v>240</v>
      </c>
      <c r="F1035" s="50" t="s">
        <v>241</v>
      </c>
      <c r="G1035" s="50" t="s">
        <v>294</v>
      </c>
      <c r="H1035" s="51">
        <v>1</v>
      </c>
      <c r="I1035" s="52">
        <f>J1035/H1035</f>
        <v>49990</v>
      </c>
      <c r="J1035" s="52">
        <v>49990</v>
      </c>
      <c r="K1035" s="51">
        <v>25</v>
      </c>
      <c r="L1035" s="53">
        <f>K1035/H1035*30</f>
        <v>750</v>
      </c>
    </row>
    <row r="1036" spans="1:12" s="2" customFormat="1" ht="13.95" customHeight="1" outlineLevel="2" x14ac:dyDescent="0.2">
      <c r="A1036" s="50" t="s">
        <v>238</v>
      </c>
      <c r="B1036" s="50" t="s">
        <v>6</v>
      </c>
      <c r="C1036" s="50" t="s">
        <v>65</v>
      </c>
      <c r="D1036" s="50" t="s">
        <v>1085</v>
      </c>
      <c r="E1036" s="50" t="s">
        <v>240</v>
      </c>
      <c r="F1036" s="50" t="s">
        <v>241</v>
      </c>
      <c r="G1036" s="50" t="s">
        <v>86</v>
      </c>
      <c r="H1036" s="51">
        <v>1</v>
      </c>
      <c r="I1036" s="52">
        <f>J1036/H1036</f>
        <v>49990</v>
      </c>
      <c r="J1036" s="52">
        <v>49990</v>
      </c>
      <c r="K1036" s="51">
        <v>39</v>
      </c>
      <c r="L1036" s="53">
        <f>K1036/H1036*30</f>
        <v>1170</v>
      </c>
    </row>
    <row r="1037" spans="1:12" s="2" customFormat="1" ht="13.95" customHeight="1" outlineLevel="2" x14ac:dyDescent="0.2">
      <c r="A1037" s="50" t="s">
        <v>238</v>
      </c>
      <c r="B1037" s="50" t="s">
        <v>6</v>
      </c>
      <c r="C1037" s="50" t="s">
        <v>65</v>
      </c>
      <c r="D1037" s="50" t="s">
        <v>1086</v>
      </c>
      <c r="E1037" s="50" t="s">
        <v>240</v>
      </c>
      <c r="F1037" s="50" t="s">
        <v>241</v>
      </c>
      <c r="G1037" s="50" t="s">
        <v>330</v>
      </c>
      <c r="H1037" s="51">
        <v>1</v>
      </c>
      <c r="I1037" s="52">
        <f>J1037/H1037</f>
        <v>49990</v>
      </c>
      <c r="J1037" s="52">
        <v>49990</v>
      </c>
      <c r="K1037" s="51">
        <v>3</v>
      </c>
      <c r="L1037" s="53">
        <f>K1037/H1037*30</f>
        <v>90</v>
      </c>
    </row>
    <row r="1038" spans="1:12" s="2" customFormat="1" ht="13.95" customHeight="1" outlineLevel="2" x14ac:dyDescent="0.2">
      <c r="A1038" s="50" t="s">
        <v>238</v>
      </c>
      <c r="B1038" s="50" t="s">
        <v>6</v>
      </c>
      <c r="C1038" s="50" t="s">
        <v>65</v>
      </c>
      <c r="D1038" s="50" t="s">
        <v>1087</v>
      </c>
      <c r="E1038" s="50" t="s">
        <v>569</v>
      </c>
      <c r="F1038" s="50" t="s">
        <v>241</v>
      </c>
      <c r="G1038" s="50" t="s">
        <v>294</v>
      </c>
      <c r="H1038" s="51">
        <v>1</v>
      </c>
      <c r="I1038" s="52">
        <f>J1038/H1038</f>
        <v>49990</v>
      </c>
      <c r="J1038" s="52">
        <v>49990</v>
      </c>
      <c r="K1038" s="51">
        <v>126</v>
      </c>
      <c r="L1038" s="53">
        <f>K1038/H1038*30</f>
        <v>3780</v>
      </c>
    </row>
    <row r="1039" spans="1:12" s="2" customFormat="1" ht="13.95" customHeight="1" outlineLevel="2" x14ac:dyDescent="0.2">
      <c r="A1039" s="50" t="s">
        <v>238</v>
      </c>
      <c r="B1039" s="50" t="s">
        <v>6</v>
      </c>
      <c r="C1039" s="50" t="s">
        <v>65</v>
      </c>
      <c r="D1039" s="50" t="s">
        <v>1088</v>
      </c>
      <c r="E1039" s="50" t="s">
        <v>569</v>
      </c>
      <c r="F1039" s="50" t="s">
        <v>241</v>
      </c>
      <c r="G1039" s="50" t="s">
        <v>294</v>
      </c>
      <c r="H1039" s="51">
        <v>1</v>
      </c>
      <c r="I1039" s="52">
        <f>J1039/H1039</f>
        <v>49990</v>
      </c>
      <c r="J1039" s="52">
        <v>49990</v>
      </c>
      <c r="K1039" s="51">
        <v>130</v>
      </c>
      <c r="L1039" s="53">
        <f>K1039/H1039*30</f>
        <v>3900</v>
      </c>
    </row>
    <row r="1040" spans="1:12" s="2" customFormat="1" ht="13.95" customHeight="1" outlineLevel="2" x14ac:dyDescent="0.2">
      <c r="A1040" s="50" t="s">
        <v>238</v>
      </c>
      <c r="B1040" s="50" t="s">
        <v>6</v>
      </c>
      <c r="C1040" s="50" t="s">
        <v>65</v>
      </c>
      <c r="D1040" s="50" t="s">
        <v>1089</v>
      </c>
      <c r="E1040" s="50" t="s">
        <v>569</v>
      </c>
      <c r="F1040" s="50" t="s">
        <v>241</v>
      </c>
      <c r="G1040" s="50" t="s">
        <v>242</v>
      </c>
      <c r="H1040" s="51">
        <v>1</v>
      </c>
      <c r="I1040" s="52">
        <f>J1040/H1040</f>
        <v>49990</v>
      </c>
      <c r="J1040" s="52">
        <v>49990</v>
      </c>
      <c r="K1040" s="51">
        <v>42</v>
      </c>
      <c r="L1040" s="53">
        <f>K1040/H1040*30</f>
        <v>1260</v>
      </c>
    </row>
    <row r="1041" spans="1:12" s="2" customFormat="1" ht="13.95" customHeight="1" outlineLevel="2" x14ac:dyDescent="0.2">
      <c r="A1041" s="50" t="s">
        <v>238</v>
      </c>
      <c r="B1041" s="50" t="s">
        <v>6</v>
      </c>
      <c r="C1041" s="50" t="s">
        <v>65</v>
      </c>
      <c r="D1041" s="50" t="s">
        <v>1090</v>
      </c>
      <c r="E1041" s="50" t="s">
        <v>569</v>
      </c>
      <c r="F1041" s="50" t="s">
        <v>241</v>
      </c>
      <c r="G1041" s="50" t="s">
        <v>242</v>
      </c>
      <c r="H1041" s="51">
        <v>1</v>
      </c>
      <c r="I1041" s="52">
        <f>J1041/H1041</f>
        <v>49990</v>
      </c>
      <c r="J1041" s="52">
        <v>49990</v>
      </c>
      <c r="K1041" s="51">
        <v>8</v>
      </c>
      <c r="L1041" s="53">
        <f>K1041/H1041*30</f>
        <v>240</v>
      </c>
    </row>
    <row r="1042" spans="1:12" s="2" customFormat="1" ht="13.95" customHeight="1" outlineLevel="2" x14ac:dyDescent="0.2">
      <c r="A1042" s="50" t="s">
        <v>238</v>
      </c>
      <c r="B1042" s="50" t="s">
        <v>6</v>
      </c>
      <c r="C1042" s="50" t="s">
        <v>65</v>
      </c>
      <c r="D1042" s="50" t="s">
        <v>1091</v>
      </c>
      <c r="E1042" s="50" t="s">
        <v>569</v>
      </c>
      <c r="F1042" s="50" t="s">
        <v>241</v>
      </c>
      <c r="G1042" s="50" t="s">
        <v>570</v>
      </c>
      <c r="H1042" s="51">
        <v>1</v>
      </c>
      <c r="I1042" s="52">
        <f>J1042/H1042</f>
        <v>49990</v>
      </c>
      <c r="J1042" s="52">
        <v>49990</v>
      </c>
      <c r="K1042" s="51">
        <v>17</v>
      </c>
      <c r="L1042" s="53">
        <f>K1042/H1042*30</f>
        <v>510</v>
      </c>
    </row>
    <row r="1043" spans="1:12" s="2" customFormat="1" ht="13.95" customHeight="1" outlineLevel="2" x14ac:dyDescent="0.2">
      <c r="A1043" s="50" t="s">
        <v>238</v>
      </c>
      <c r="B1043" s="50" t="s">
        <v>6</v>
      </c>
      <c r="C1043" s="50" t="s">
        <v>65</v>
      </c>
      <c r="D1043" s="50" t="s">
        <v>1092</v>
      </c>
      <c r="E1043" s="50" t="s">
        <v>569</v>
      </c>
      <c r="F1043" s="50" t="s">
        <v>241</v>
      </c>
      <c r="G1043" s="50" t="s">
        <v>570</v>
      </c>
      <c r="H1043" s="51">
        <v>1</v>
      </c>
      <c r="I1043" s="52">
        <f>J1043/H1043</f>
        <v>49990</v>
      </c>
      <c r="J1043" s="52">
        <v>49990</v>
      </c>
      <c r="K1043" s="51">
        <v>62</v>
      </c>
      <c r="L1043" s="53">
        <f>K1043/H1043*30</f>
        <v>1860</v>
      </c>
    </row>
    <row r="1044" spans="1:12" s="2" customFormat="1" ht="13.95" customHeight="1" outlineLevel="2" x14ac:dyDescent="0.2">
      <c r="A1044" s="50" t="s">
        <v>238</v>
      </c>
      <c r="B1044" s="50" t="s">
        <v>6</v>
      </c>
      <c r="C1044" s="50" t="s">
        <v>65</v>
      </c>
      <c r="D1044" s="50" t="s">
        <v>1093</v>
      </c>
      <c r="E1044" s="50" t="s">
        <v>569</v>
      </c>
      <c r="F1044" s="50" t="s">
        <v>241</v>
      </c>
      <c r="G1044" s="50" t="s">
        <v>86</v>
      </c>
      <c r="H1044" s="51">
        <v>1</v>
      </c>
      <c r="I1044" s="52">
        <f>J1044/H1044</f>
        <v>49990</v>
      </c>
      <c r="J1044" s="52">
        <v>49990</v>
      </c>
      <c r="K1044" s="51">
        <v>31</v>
      </c>
      <c r="L1044" s="53">
        <f>K1044/H1044*30</f>
        <v>930</v>
      </c>
    </row>
    <row r="1045" spans="1:12" s="2" customFormat="1" ht="13.95" customHeight="1" outlineLevel="2" x14ac:dyDescent="0.2">
      <c r="A1045" s="50" t="s">
        <v>238</v>
      </c>
      <c r="B1045" s="50" t="s">
        <v>6</v>
      </c>
      <c r="C1045" s="50" t="s">
        <v>65</v>
      </c>
      <c r="D1045" s="50" t="s">
        <v>1094</v>
      </c>
      <c r="E1045" s="50" t="s">
        <v>569</v>
      </c>
      <c r="F1045" s="50" t="s">
        <v>241</v>
      </c>
      <c r="G1045" s="50" t="s">
        <v>86</v>
      </c>
      <c r="H1045" s="51">
        <v>1</v>
      </c>
      <c r="I1045" s="52">
        <f>J1045/H1045</f>
        <v>49990</v>
      </c>
      <c r="J1045" s="52">
        <v>49990</v>
      </c>
      <c r="K1045" s="51">
        <v>99</v>
      </c>
      <c r="L1045" s="53">
        <f>K1045/H1045*30</f>
        <v>2970</v>
      </c>
    </row>
    <row r="1046" spans="1:12" s="2" customFormat="1" ht="13.95" customHeight="1" outlineLevel="2" x14ac:dyDescent="0.2">
      <c r="A1046" s="50" t="s">
        <v>238</v>
      </c>
      <c r="B1046" s="50" t="s">
        <v>6</v>
      </c>
      <c r="C1046" s="50" t="s">
        <v>65</v>
      </c>
      <c r="D1046" s="50" t="s">
        <v>1095</v>
      </c>
      <c r="E1046" s="50" t="s">
        <v>572</v>
      </c>
      <c r="F1046" s="50" t="s">
        <v>241</v>
      </c>
      <c r="G1046" s="50" t="s">
        <v>86</v>
      </c>
      <c r="H1046" s="51">
        <v>1</v>
      </c>
      <c r="I1046" s="52">
        <f>J1046/H1046</f>
        <v>49990</v>
      </c>
      <c r="J1046" s="52">
        <v>49990</v>
      </c>
      <c r="K1046" s="51">
        <v>26</v>
      </c>
      <c r="L1046" s="53">
        <f>K1046/H1046*30</f>
        <v>780</v>
      </c>
    </row>
    <row r="1047" spans="1:12" s="2" customFormat="1" ht="13.95" customHeight="1" outlineLevel="1" x14ac:dyDescent="0.2">
      <c r="A1047" s="50"/>
      <c r="B1047" s="50"/>
      <c r="C1047" s="58" t="s">
        <v>1469</v>
      </c>
      <c r="D1047" s="50"/>
      <c r="E1047" s="50"/>
      <c r="F1047" s="50"/>
      <c r="G1047" s="50"/>
      <c r="H1047" s="51">
        <f>SUBTOTAL(9,H1012:H1046)</f>
        <v>85</v>
      </c>
      <c r="I1047" s="52"/>
      <c r="J1047" s="52">
        <f>SUBTOTAL(9,J1012:J1046)</f>
        <v>4249150</v>
      </c>
      <c r="K1047" s="51"/>
      <c r="L1047" s="53"/>
    </row>
    <row r="1048" spans="1:12" s="2" customFormat="1" ht="13.95" customHeight="1" outlineLevel="2" x14ac:dyDescent="0.2">
      <c r="A1048" s="50" t="s">
        <v>121</v>
      </c>
      <c r="B1048" s="50" t="s">
        <v>10</v>
      </c>
      <c r="C1048" s="50" t="s">
        <v>66</v>
      </c>
      <c r="D1048" s="50" t="s">
        <v>122</v>
      </c>
      <c r="E1048" s="50" t="s">
        <v>123</v>
      </c>
      <c r="F1048" s="50" t="s">
        <v>106</v>
      </c>
      <c r="G1048" s="50" t="s">
        <v>84</v>
      </c>
      <c r="H1048" s="51">
        <v>1</v>
      </c>
      <c r="I1048" s="52">
        <f>J1048/H1048</f>
        <v>584991</v>
      </c>
      <c r="J1048" s="52">
        <v>584991</v>
      </c>
      <c r="K1048" s="51">
        <v>1</v>
      </c>
      <c r="L1048" s="53">
        <f>K1048/H1048*30</f>
        <v>30</v>
      </c>
    </row>
    <row r="1049" spans="1:12" s="2" customFormat="1" ht="13.95" customHeight="1" outlineLevel="1" x14ac:dyDescent="0.2">
      <c r="A1049" s="59"/>
      <c r="B1049" s="59"/>
      <c r="C1049" s="63" t="s">
        <v>1462</v>
      </c>
      <c r="D1049" s="59"/>
      <c r="E1049" s="59"/>
      <c r="F1049" s="59"/>
      <c r="G1049" s="59"/>
      <c r="H1049" s="60">
        <f>SUBTOTAL(9,H1048:H1048)</f>
        <v>1</v>
      </c>
      <c r="I1049" s="61"/>
      <c r="J1049" s="61">
        <f>SUBTOTAL(9,J1048:J1048)</f>
        <v>584991</v>
      </c>
      <c r="K1049" s="60"/>
      <c r="L1049" s="62"/>
    </row>
    <row r="1050" spans="1:12" s="2" customFormat="1" ht="13.95" customHeight="1" x14ac:dyDescent="0.25">
      <c r="A1050" s="59"/>
      <c r="B1050" s="59"/>
      <c r="C1050" s="63" t="s">
        <v>1511</v>
      </c>
      <c r="D1050" s="59"/>
      <c r="E1050" s="59"/>
      <c r="F1050" s="59"/>
      <c r="G1050" s="59"/>
      <c r="H1050" s="60">
        <f>SUBTOTAL(9,H2:H1048)</f>
        <v>2411</v>
      </c>
      <c r="I1050" s="61"/>
      <c r="J1050" s="61">
        <f>SUBTOTAL(9,J2:J1048)</f>
        <v>139108894</v>
      </c>
      <c r="K1050" s="60"/>
      <c r="L1050" s="62"/>
    </row>
  </sheetData>
  <sortState xmlns:xlrd2="http://schemas.microsoft.com/office/spreadsheetml/2017/richdata2" ref="A2:L1048">
    <sortCondition ref="B2:B1048"/>
    <sortCondition ref="C2:C1048"/>
    <sortCondition descending="1" ref="J2:J1048"/>
  </sortState>
  <conditionalFormatting sqref="D1:D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4"/>
  <sheetViews>
    <sheetView showGridLines="0" workbookViewId="0">
      <selection activeCell="J18" sqref="J18"/>
    </sheetView>
  </sheetViews>
  <sheetFormatPr baseColWidth="10" defaultRowHeight="14.4" x14ac:dyDescent="0.3"/>
  <cols>
    <col min="1" max="1" width="13.44140625" bestFit="1" customWidth="1"/>
    <col min="2" max="2" width="14.109375" bestFit="1" customWidth="1"/>
    <col min="3" max="3" width="16.5546875" bestFit="1" customWidth="1"/>
    <col min="4" max="4" width="32.77734375" bestFit="1" customWidth="1"/>
    <col min="5" max="5" width="4.88671875" style="36" bestFit="1" customWidth="1"/>
    <col min="6" max="6" width="9" style="17" bestFit="1" customWidth="1"/>
    <col min="7" max="7" width="11.88671875" style="17" bestFit="1" customWidth="1"/>
  </cols>
  <sheetData>
    <row r="1" spans="1:7" s="37" customFormat="1" x14ac:dyDescent="0.3">
      <c r="A1" s="45" t="s">
        <v>1512</v>
      </c>
      <c r="B1" s="45" t="s">
        <v>1513</v>
      </c>
      <c r="C1" s="45" t="s">
        <v>1514</v>
      </c>
      <c r="D1" s="45" t="s">
        <v>1516</v>
      </c>
      <c r="E1" s="45" t="s">
        <v>1519</v>
      </c>
      <c r="F1" s="45" t="s">
        <v>1520</v>
      </c>
      <c r="G1" s="67" t="s">
        <v>3</v>
      </c>
    </row>
    <row r="2" spans="1:7" s="2" customFormat="1" ht="13.95" customHeight="1" x14ac:dyDescent="0.2">
      <c r="A2" s="64" t="s">
        <v>3</v>
      </c>
      <c r="B2" s="65"/>
      <c r="C2" s="65"/>
      <c r="D2" s="65"/>
      <c r="E2" s="65">
        <f>SUM(E3:E234)</f>
        <v>2411</v>
      </c>
      <c r="F2" s="65"/>
      <c r="G2" s="66">
        <f>SUM(G3:G234)</f>
        <v>139108894</v>
      </c>
    </row>
    <row r="3" spans="1:7" s="2" customFormat="1" ht="13.95" customHeight="1" x14ac:dyDescent="0.2">
      <c r="A3" s="50" t="s">
        <v>70</v>
      </c>
      <c r="B3" s="50" t="s">
        <v>4</v>
      </c>
      <c r="C3" s="50" t="s">
        <v>47</v>
      </c>
      <c r="D3" s="50" t="s">
        <v>80</v>
      </c>
      <c r="E3" s="51">
        <v>16</v>
      </c>
      <c r="F3" s="68">
        <v>397491</v>
      </c>
      <c r="G3" s="52">
        <v>6359850</v>
      </c>
    </row>
    <row r="4" spans="1:7" s="2" customFormat="1" ht="13.95" customHeight="1" x14ac:dyDescent="0.2">
      <c r="A4" s="50" t="s">
        <v>70</v>
      </c>
      <c r="B4" s="50" t="s">
        <v>4</v>
      </c>
      <c r="C4" s="50" t="s">
        <v>48</v>
      </c>
      <c r="D4" s="50" t="s">
        <v>72</v>
      </c>
      <c r="E4" s="51">
        <v>33</v>
      </c>
      <c r="F4" s="68">
        <v>169384</v>
      </c>
      <c r="G4" s="52">
        <v>5589675</v>
      </c>
    </row>
    <row r="5" spans="1:7" s="2" customFormat="1" ht="13.95" customHeight="1" x14ac:dyDescent="0.2">
      <c r="A5" s="50" t="s">
        <v>70</v>
      </c>
      <c r="B5" s="50" t="s">
        <v>4</v>
      </c>
      <c r="C5" s="50" t="s">
        <v>48</v>
      </c>
      <c r="D5" s="50" t="s">
        <v>136</v>
      </c>
      <c r="E5" s="51">
        <v>29</v>
      </c>
      <c r="F5" s="68">
        <v>166404</v>
      </c>
      <c r="G5" s="52">
        <v>4825710</v>
      </c>
    </row>
    <row r="6" spans="1:7" s="2" customFormat="1" ht="13.95" customHeight="1" x14ac:dyDescent="0.2">
      <c r="A6" s="50" t="s">
        <v>70</v>
      </c>
      <c r="B6" s="50" t="s">
        <v>4</v>
      </c>
      <c r="C6" s="50" t="s">
        <v>56</v>
      </c>
      <c r="D6" s="50" t="s">
        <v>76</v>
      </c>
      <c r="E6" s="51">
        <v>35</v>
      </c>
      <c r="F6" s="68">
        <v>99990</v>
      </c>
      <c r="G6" s="52">
        <v>3499650</v>
      </c>
    </row>
    <row r="7" spans="1:7" s="2" customFormat="1" ht="13.95" customHeight="1" x14ac:dyDescent="0.2">
      <c r="A7" s="50" t="s">
        <v>238</v>
      </c>
      <c r="B7" s="50" t="s">
        <v>6</v>
      </c>
      <c r="C7" s="50" t="s">
        <v>65</v>
      </c>
      <c r="D7" s="50" t="s">
        <v>240</v>
      </c>
      <c r="E7" s="51">
        <v>62</v>
      </c>
      <c r="F7" s="68">
        <v>49990</v>
      </c>
      <c r="G7" s="52">
        <v>3099380</v>
      </c>
    </row>
    <row r="8" spans="1:7" s="2" customFormat="1" ht="13.95" customHeight="1" x14ac:dyDescent="0.2">
      <c r="A8" s="50" t="s">
        <v>70</v>
      </c>
      <c r="B8" s="50" t="s">
        <v>4</v>
      </c>
      <c r="C8" s="50" t="s">
        <v>46</v>
      </c>
      <c r="D8" s="50" t="s">
        <v>127</v>
      </c>
      <c r="E8" s="51">
        <v>32</v>
      </c>
      <c r="F8" s="68">
        <v>95365</v>
      </c>
      <c r="G8" s="52">
        <v>3051680</v>
      </c>
    </row>
    <row r="9" spans="1:7" s="2" customFormat="1" ht="13.95" customHeight="1" x14ac:dyDescent="0.2">
      <c r="A9" s="50" t="s">
        <v>70</v>
      </c>
      <c r="B9" s="50" t="s">
        <v>4</v>
      </c>
      <c r="C9" s="50" t="s">
        <v>48</v>
      </c>
      <c r="D9" s="50" t="s">
        <v>96</v>
      </c>
      <c r="E9" s="51">
        <v>24</v>
      </c>
      <c r="F9" s="68">
        <v>113573</v>
      </c>
      <c r="G9" s="52">
        <v>2725760</v>
      </c>
    </row>
    <row r="10" spans="1:7" s="2" customFormat="1" ht="13.95" customHeight="1" x14ac:dyDescent="0.2">
      <c r="A10" s="50" t="s">
        <v>70</v>
      </c>
      <c r="B10" s="50" t="s">
        <v>4</v>
      </c>
      <c r="C10" s="50" t="s">
        <v>48</v>
      </c>
      <c r="D10" s="50" t="s">
        <v>110</v>
      </c>
      <c r="E10" s="51">
        <v>30</v>
      </c>
      <c r="F10" s="68">
        <v>89990</v>
      </c>
      <c r="G10" s="52">
        <v>2699700</v>
      </c>
    </row>
    <row r="11" spans="1:7" s="2" customFormat="1" ht="13.95" customHeight="1" x14ac:dyDescent="0.2">
      <c r="A11" s="50" t="s">
        <v>70</v>
      </c>
      <c r="B11" s="50" t="s">
        <v>4</v>
      </c>
      <c r="C11" s="50" t="s">
        <v>48</v>
      </c>
      <c r="D11" s="50" t="s">
        <v>94</v>
      </c>
      <c r="E11" s="51">
        <v>16</v>
      </c>
      <c r="F11" s="68">
        <v>166115</v>
      </c>
      <c r="G11" s="52">
        <v>2657840</v>
      </c>
    </row>
    <row r="12" spans="1:7" s="2" customFormat="1" ht="13.95" customHeight="1" x14ac:dyDescent="0.2">
      <c r="A12" s="50" t="s">
        <v>70</v>
      </c>
      <c r="B12" s="50" t="s">
        <v>5</v>
      </c>
      <c r="C12" s="50" t="s">
        <v>30</v>
      </c>
      <c r="D12" s="50" t="s">
        <v>92</v>
      </c>
      <c r="E12" s="51">
        <v>56</v>
      </c>
      <c r="F12" s="68">
        <v>45026</v>
      </c>
      <c r="G12" s="52">
        <v>2521440</v>
      </c>
    </row>
    <row r="13" spans="1:7" s="2" customFormat="1" ht="13.95" customHeight="1" x14ac:dyDescent="0.2">
      <c r="A13" s="50" t="s">
        <v>70</v>
      </c>
      <c r="B13" s="50" t="s">
        <v>4</v>
      </c>
      <c r="C13" s="50" t="s">
        <v>52</v>
      </c>
      <c r="D13" s="50" t="s">
        <v>158</v>
      </c>
      <c r="E13" s="51">
        <v>9</v>
      </c>
      <c r="F13" s="68">
        <v>239990</v>
      </c>
      <c r="G13" s="52">
        <v>2159910</v>
      </c>
    </row>
    <row r="14" spans="1:7" s="2" customFormat="1" ht="13.95" customHeight="1" x14ac:dyDescent="0.2">
      <c r="A14" s="50" t="s">
        <v>70</v>
      </c>
      <c r="B14" s="50" t="s">
        <v>5</v>
      </c>
      <c r="C14" s="50" t="s">
        <v>45</v>
      </c>
      <c r="D14" s="50" t="s">
        <v>173</v>
      </c>
      <c r="E14" s="51">
        <v>71</v>
      </c>
      <c r="F14" s="68">
        <v>26990</v>
      </c>
      <c r="G14" s="52">
        <v>1916290</v>
      </c>
    </row>
    <row r="15" spans="1:7" s="2" customFormat="1" ht="13.95" customHeight="1" x14ac:dyDescent="0.2">
      <c r="A15" s="50" t="s">
        <v>70</v>
      </c>
      <c r="B15" s="50" t="s">
        <v>4</v>
      </c>
      <c r="C15" s="50" t="s">
        <v>46</v>
      </c>
      <c r="D15" s="50" t="s">
        <v>179</v>
      </c>
      <c r="E15" s="51">
        <v>14</v>
      </c>
      <c r="F15" s="68">
        <v>134990</v>
      </c>
      <c r="G15" s="52">
        <v>1889860</v>
      </c>
    </row>
    <row r="16" spans="1:7" s="2" customFormat="1" ht="13.95" customHeight="1" x14ac:dyDescent="0.2">
      <c r="A16" s="50" t="s">
        <v>70</v>
      </c>
      <c r="B16" s="50" t="s">
        <v>5</v>
      </c>
      <c r="C16" s="50" t="s">
        <v>42</v>
      </c>
      <c r="D16" s="50" t="s">
        <v>373</v>
      </c>
      <c r="E16" s="51">
        <v>109</v>
      </c>
      <c r="F16" s="68">
        <v>16157</v>
      </c>
      <c r="G16" s="52">
        <v>1761113</v>
      </c>
    </row>
    <row r="17" spans="1:7" s="2" customFormat="1" ht="13.95" customHeight="1" x14ac:dyDescent="0.2">
      <c r="A17" s="50" t="s">
        <v>70</v>
      </c>
      <c r="B17" s="50" t="s">
        <v>5</v>
      </c>
      <c r="C17" s="50" t="s">
        <v>45</v>
      </c>
      <c r="D17" s="50" t="s">
        <v>356</v>
      </c>
      <c r="E17" s="51">
        <v>62</v>
      </c>
      <c r="F17" s="68">
        <v>26990</v>
      </c>
      <c r="G17" s="52">
        <v>1673380</v>
      </c>
    </row>
    <row r="18" spans="1:7" s="2" customFormat="1" ht="13.95" customHeight="1" x14ac:dyDescent="0.2">
      <c r="A18" s="50" t="s">
        <v>70</v>
      </c>
      <c r="B18" s="50" t="s">
        <v>4</v>
      </c>
      <c r="C18" s="50" t="s">
        <v>46</v>
      </c>
      <c r="D18" s="50" t="s">
        <v>105</v>
      </c>
      <c r="E18" s="51">
        <v>8</v>
      </c>
      <c r="F18" s="68">
        <v>189990</v>
      </c>
      <c r="G18" s="52">
        <v>1519920</v>
      </c>
    </row>
    <row r="19" spans="1:7" s="2" customFormat="1" ht="13.95" customHeight="1" x14ac:dyDescent="0.2">
      <c r="A19" s="50" t="s">
        <v>70</v>
      </c>
      <c r="B19" s="50" t="s">
        <v>4</v>
      </c>
      <c r="C19" s="50" t="s">
        <v>46</v>
      </c>
      <c r="D19" s="50" t="s">
        <v>270</v>
      </c>
      <c r="E19" s="51">
        <v>9</v>
      </c>
      <c r="F19" s="68">
        <v>160434</v>
      </c>
      <c r="G19" s="52">
        <v>1443910</v>
      </c>
    </row>
    <row r="20" spans="1:7" s="2" customFormat="1" ht="13.95" customHeight="1" x14ac:dyDescent="0.2">
      <c r="A20" s="50" t="s">
        <v>362</v>
      </c>
      <c r="B20" s="50" t="s">
        <v>9</v>
      </c>
      <c r="C20" s="50" t="s">
        <v>28</v>
      </c>
      <c r="D20" s="50" t="s">
        <v>364</v>
      </c>
      <c r="E20" s="51">
        <v>12</v>
      </c>
      <c r="F20" s="68">
        <v>119990</v>
      </c>
      <c r="G20" s="52">
        <v>1439880</v>
      </c>
    </row>
    <row r="21" spans="1:7" s="2" customFormat="1" ht="13.95" customHeight="1" x14ac:dyDescent="0.2">
      <c r="A21" s="50" t="s">
        <v>70</v>
      </c>
      <c r="B21" s="50" t="s">
        <v>4</v>
      </c>
      <c r="C21" s="50" t="s">
        <v>49</v>
      </c>
      <c r="D21" s="50" t="s">
        <v>132</v>
      </c>
      <c r="E21" s="51">
        <v>5</v>
      </c>
      <c r="F21" s="68">
        <v>279990</v>
      </c>
      <c r="G21" s="52">
        <v>1399950</v>
      </c>
    </row>
    <row r="22" spans="1:7" s="2" customFormat="1" ht="13.95" customHeight="1" x14ac:dyDescent="0.2">
      <c r="A22" s="50" t="s">
        <v>290</v>
      </c>
      <c r="B22" s="50" t="s">
        <v>8</v>
      </c>
      <c r="C22" s="50" t="s">
        <v>8</v>
      </c>
      <c r="D22" s="50" t="s">
        <v>292</v>
      </c>
      <c r="E22" s="51">
        <v>14</v>
      </c>
      <c r="F22" s="68">
        <v>99990</v>
      </c>
      <c r="G22" s="52">
        <v>1399860</v>
      </c>
    </row>
    <row r="23" spans="1:7" s="2" customFormat="1" ht="13.95" customHeight="1" x14ac:dyDescent="0.2">
      <c r="A23" s="50" t="s">
        <v>70</v>
      </c>
      <c r="B23" s="50" t="s">
        <v>4</v>
      </c>
      <c r="C23" s="50" t="s">
        <v>46</v>
      </c>
      <c r="D23" s="50" t="s">
        <v>237</v>
      </c>
      <c r="E23" s="51">
        <v>20</v>
      </c>
      <c r="F23" s="68">
        <v>69990</v>
      </c>
      <c r="G23" s="52">
        <v>1399800</v>
      </c>
    </row>
    <row r="24" spans="1:7" s="2" customFormat="1" ht="13.95" customHeight="1" x14ac:dyDescent="0.2">
      <c r="A24" s="50" t="s">
        <v>70</v>
      </c>
      <c r="B24" s="50" t="s">
        <v>4</v>
      </c>
      <c r="C24" s="50" t="s">
        <v>46</v>
      </c>
      <c r="D24" s="50" t="s">
        <v>139</v>
      </c>
      <c r="E24" s="51">
        <v>11</v>
      </c>
      <c r="F24" s="68">
        <v>124990</v>
      </c>
      <c r="G24" s="52">
        <v>1374890</v>
      </c>
    </row>
    <row r="25" spans="1:7" s="2" customFormat="1" ht="13.95" customHeight="1" x14ac:dyDescent="0.2">
      <c r="A25" s="50" t="s">
        <v>70</v>
      </c>
      <c r="B25" s="50" t="s">
        <v>5</v>
      </c>
      <c r="C25" s="50" t="s">
        <v>40</v>
      </c>
      <c r="D25" s="50" t="s">
        <v>340</v>
      </c>
      <c r="E25" s="51">
        <v>105</v>
      </c>
      <c r="F25" s="68">
        <v>12990</v>
      </c>
      <c r="G25" s="52">
        <v>1363950</v>
      </c>
    </row>
    <row r="26" spans="1:7" s="2" customFormat="1" ht="13.95" customHeight="1" x14ac:dyDescent="0.2">
      <c r="A26" s="50" t="s">
        <v>70</v>
      </c>
      <c r="B26" s="50" t="s">
        <v>4</v>
      </c>
      <c r="C26" s="50" t="s">
        <v>50</v>
      </c>
      <c r="D26" s="50" t="s">
        <v>125</v>
      </c>
      <c r="E26" s="51">
        <v>7</v>
      </c>
      <c r="F26" s="68">
        <v>189990</v>
      </c>
      <c r="G26" s="52">
        <v>1329930</v>
      </c>
    </row>
    <row r="27" spans="1:7" s="2" customFormat="1" ht="13.95" customHeight="1" x14ac:dyDescent="0.2">
      <c r="A27" s="50" t="s">
        <v>70</v>
      </c>
      <c r="B27" s="50" t="s">
        <v>4</v>
      </c>
      <c r="C27" s="50" t="s">
        <v>48</v>
      </c>
      <c r="D27" s="50" t="s">
        <v>118</v>
      </c>
      <c r="E27" s="51">
        <v>11</v>
      </c>
      <c r="F27" s="68">
        <v>119990</v>
      </c>
      <c r="G27" s="52">
        <v>1319890</v>
      </c>
    </row>
    <row r="28" spans="1:7" s="2" customFormat="1" ht="13.95" customHeight="1" x14ac:dyDescent="0.2">
      <c r="A28" s="50" t="s">
        <v>290</v>
      </c>
      <c r="B28" s="50" t="s">
        <v>8</v>
      </c>
      <c r="C28" s="50" t="s">
        <v>8</v>
      </c>
      <c r="D28" s="50" t="s">
        <v>435</v>
      </c>
      <c r="E28" s="51">
        <v>13</v>
      </c>
      <c r="F28" s="68">
        <v>99990</v>
      </c>
      <c r="G28" s="52">
        <v>1299870</v>
      </c>
    </row>
    <row r="29" spans="1:7" s="2" customFormat="1" ht="13.95" customHeight="1" x14ac:dyDescent="0.2">
      <c r="A29" s="50" t="s">
        <v>70</v>
      </c>
      <c r="B29" s="50" t="s">
        <v>5</v>
      </c>
      <c r="C29" s="50" t="s">
        <v>45</v>
      </c>
      <c r="D29" s="50" t="s">
        <v>592</v>
      </c>
      <c r="E29" s="51">
        <v>94</v>
      </c>
      <c r="F29" s="68">
        <v>13236</v>
      </c>
      <c r="G29" s="52">
        <v>1244163</v>
      </c>
    </row>
    <row r="30" spans="1:7" s="2" customFormat="1" ht="13.95" customHeight="1" x14ac:dyDescent="0.2">
      <c r="A30" s="50" t="s">
        <v>70</v>
      </c>
      <c r="B30" s="50" t="s">
        <v>5</v>
      </c>
      <c r="C30" s="50" t="s">
        <v>30</v>
      </c>
      <c r="D30" s="50" t="s">
        <v>324</v>
      </c>
      <c r="E30" s="51">
        <v>13</v>
      </c>
      <c r="F30" s="68">
        <v>89990</v>
      </c>
      <c r="G30" s="52">
        <v>1169870</v>
      </c>
    </row>
    <row r="31" spans="1:7" s="2" customFormat="1" ht="13.95" customHeight="1" x14ac:dyDescent="0.2">
      <c r="A31" s="50" t="s">
        <v>70</v>
      </c>
      <c r="B31" s="50" t="s">
        <v>4</v>
      </c>
      <c r="C31" s="50" t="s">
        <v>49</v>
      </c>
      <c r="D31" s="50" t="s">
        <v>378</v>
      </c>
      <c r="E31" s="51">
        <v>5</v>
      </c>
      <c r="F31" s="68">
        <v>232990</v>
      </c>
      <c r="G31" s="52">
        <v>1164950</v>
      </c>
    </row>
    <row r="32" spans="1:7" s="2" customFormat="1" ht="13.95" customHeight="1" x14ac:dyDescent="0.2">
      <c r="A32" s="50" t="s">
        <v>70</v>
      </c>
      <c r="B32" s="50" t="s">
        <v>4</v>
      </c>
      <c r="C32" s="50" t="s">
        <v>48</v>
      </c>
      <c r="D32" s="50" t="s">
        <v>256</v>
      </c>
      <c r="E32" s="51">
        <v>7</v>
      </c>
      <c r="F32" s="68">
        <v>165990</v>
      </c>
      <c r="G32" s="52">
        <v>1161930</v>
      </c>
    </row>
    <row r="33" spans="1:7" s="2" customFormat="1" ht="13.95" customHeight="1" x14ac:dyDescent="0.2">
      <c r="A33" s="50" t="s">
        <v>70</v>
      </c>
      <c r="B33" s="50" t="s">
        <v>5</v>
      </c>
      <c r="C33" s="50" t="s">
        <v>34</v>
      </c>
      <c r="D33" s="50" t="s">
        <v>220</v>
      </c>
      <c r="E33" s="51">
        <v>12</v>
      </c>
      <c r="F33" s="68">
        <v>94990</v>
      </c>
      <c r="G33" s="52">
        <v>1139880</v>
      </c>
    </row>
    <row r="34" spans="1:7" s="2" customFormat="1" ht="13.95" customHeight="1" x14ac:dyDescent="0.2">
      <c r="A34" s="50" t="s">
        <v>70</v>
      </c>
      <c r="B34" s="50" t="s">
        <v>4</v>
      </c>
      <c r="C34" s="50" t="s">
        <v>46</v>
      </c>
      <c r="D34" s="50" t="s">
        <v>328</v>
      </c>
      <c r="E34" s="51">
        <v>13</v>
      </c>
      <c r="F34" s="68">
        <v>87528</v>
      </c>
      <c r="G34" s="52">
        <v>1137870</v>
      </c>
    </row>
    <row r="35" spans="1:7" s="2" customFormat="1" ht="13.95" customHeight="1" x14ac:dyDescent="0.2">
      <c r="A35" s="50" t="s">
        <v>70</v>
      </c>
      <c r="B35" s="50" t="s">
        <v>4</v>
      </c>
      <c r="C35" s="50" t="s">
        <v>46</v>
      </c>
      <c r="D35" s="50" t="s">
        <v>164</v>
      </c>
      <c r="E35" s="51">
        <v>10</v>
      </c>
      <c r="F35" s="68">
        <v>112990</v>
      </c>
      <c r="G35" s="52">
        <v>1129900</v>
      </c>
    </row>
    <row r="36" spans="1:7" s="2" customFormat="1" ht="13.95" customHeight="1" x14ac:dyDescent="0.2">
      <c r="A36" s="50" t="s">
        <v>70</v>
      </c>
      <c r="B36" s="50" t="s">
        <v>5</v>
      </c>
      <c r="C36" s="50" t="s">
        <v>33</v>
      </c>
      <c r="D36" s="50" t="s">
        <v>120</v>
      </c>
      <c r="E36" s="51">
        <v>17</v>
      </c>
      <c r="F36" s="68">
        <v>65990</v>
      </c>
      <c r="G36" s="52">
        <v>1121830</v>
      </c>
    </row>
    <row r="37" spans="1:7" s="2" customFormat="1" ht="13.95" customHeight="1" x14ac:dyDescent="0.2">
      <c r="A37" s="50" t="s">
        <v>416</v>
      </c>
      <c r="B37" s="50" t="s">
        <v>8</v>
      </c>
      <c r="C37" s="50" t="s">
        <v>8</v>
      </c>
      <c r="D37" s="50" t="s">
        <v>444</v>
      </c>
      <c r="E37" s="51">
        <v>28</v>
      </c>
      <c r="F37" s="68">
        <v>39990</v>
      </c>
      <c r="G37" s="52">
        <v>1119720</v>
      </c>
    </row>
    <row r="38" spans="1:7" s="2" customFormat="1" ht="13.95" customHeight="1" x14ac:dyDescent="0.2">
      <c r="A38" s="50" t="s">
        <v>70</v>
      </c>
      <c r="B38" s="50" t="s">
        <v>5</v>
      </c>
      <c r="C38" s="50" t="s">
        <v>30</v>
      </c>
      <c r="D38" s="50" t="s">
        <v>171</v>
      </c>
      <c r="E38" s="51">
        <v>18</v>
      </c>
      <c r="F38" s="68">
        <v>61990</v>
      </c>
      <c r="G38" s="52">
        <v>1115820</v>
      </c>
    </row>
    <row r="39" spans="1:7" s="2" customFormat="1" ht="13.95" customHeight="1" x14ac:dyDescent="0.2">
      <c r="A39" s="50" t="s">
        <v>70</v>
      </c>
      <c r="B39" s="50" t="s">
        <v>5</v>
      </c>
      <c r="C39" s="50" t="s">
        <v>45</v>
      </c>
      <c r="D39" s="50" t="s">
        <v>614</v>
      </c>
      <c r="E39" s="51">
        <v>57</v>
      </c>
      <c r="F39" s="68">
        <v>19218</v>
      </c>
      <c r="G39" s="52">
        <v>1095430</v>
      </c>
    </row>
    <row r="40" spans="1:7" s="2" customFormat="1" ht="13.95" customHeight="1" x14ac:dyDescent="0.2">
      <c r="A40" s="50" t="s">
        <v>70</v>
      </c>
      <c r="B40" s="50" t="s">
        <v>5</v>
      </c>
      <c r="C40" s="50" t="s">
        <v>45</v>
      </c>
      <c r="D40" s="50" t="s">
        <v>474</v>
      </c>
      <c r="E40" s="51">
        <v>108</v>
      </c>
      <c r="F40" s="68">
        <v>9990</v>
      </c>
      <c r="G40" s="52">
        <v>1078920</v>
      </c>
    </row>
    <row r="41" spans="1:7" s="2" customFormat="1" ht="13.95" customHeight="1" x14ac:dyDescent="0.2">
      <c r="A41" s="50" t="s">
        <v>70</v>
      </c>
      <c r="B41" s="50" t="s">
        <v>4</v>
      </c>
      <c r="C41" s="50" t="s">
        <v>48</v>
      </c>
      <c r="D41" s="50" t="s">
        <v>116</v>
      </c>
      <c r="E41" s="51">
        <v>5</v>
      </c>
      <c r="F41" s="68">
        <v>210990</v>
      </c>
      <c r="G41" s="52">
        <v>1054950</v>
      </c>
    </row>
    <row r="42" spans="1:7" s="2" customFormat="1" ht="13.95" customHeight="1" x14ac:dyDescent="0.2">
      <c r="A42" s="50" t="s">
        <v>70</v>
      </c>
      <c r="B42" s="50" t="s">
        <v>5</v>
      </c>
      <c r="C42" s="50" t="s">
        <v>33</v>
      </c>
      <c r="D42" s="50" t="s">
        <v>333</v>
      </c>
      <c r="E42" s="51">
        <v>42</v>
      </c>
      <c r="F42" s="68">
        <v>24204</v>
      </c>
      <c r="G42" s="52">
        <v>1016580</v>
      </c>
    </row>
    <row r="43" spans="1:7" s="2" customFormat="1" ht="13.95" customHeight="1" x14ac:dyDescent="0.2">
      <c r="A43" s="50" t="s">
        <v>70</v>
      </c>
      <c r="B43" s="50" t="s">
        <v>5</v>
      </c>
      <c r="C43" s="50" t="s">
        <v>30</v>
      </c>
      <c r="D43" s="50" t="s">
        <v>262</v>
      </c>
      <c r="E43" s="51">
        <v>12</v>
      </c>
      <c r="F43" s="68">
        <v>81990</v>
      </c>
      <c r="G43" s="52">
        <v>983880</v>
      </c>
    </row>
    <row r="44" spans="1:7" s="2" customFormat="1" ht="13.95" customHeight="1" x14ac:dyDescent="0.2">
      <c r="A44" s="50" t="s">
        <v>70</v>
      </c>
      <c r="B44" s="50" t="s">
        <v>7</v>
      </c>
      <c r="C44" s="50" t="s">
        <v>21</v>
      </c>
      <c r="D44" s="50" t="s">
        <v>266</v>
      </c>
      <c r="E44" s="51">
        <v>15</v>
      </c>
      <c r="F44" s="68">
        <v>64990</v>
      </c>
      <c r="G44" s="52">
        <v>974850</v>
      </c>
    </row>
    <row r="45" spans="1:7" s="2" customFormat="1" ht="13.95" customHeight="1" x14ac:dyDescent="0.2">
      <c r="A45" s="50" t="s">
        <v>70</v>
      </c>
      <c r="B45" s="50" t="s">
        <v>4</v>
      </c>
      <c r="C45" s="50" t="s">
        <v>50</v>
      </c>
      <c r="D45" s="50" t="s">
        <v>108</v>
      </c>
      <c r="E45" s="51">
        <v>5</v>
      </c>
      <c r="F45" s="68">
        <v>189990</v>
      </c>
      <c r="G45" s="52">
        <v>949950</v>
      </c>
    </row>
    <row r="46" spans="1:7" s="2" customFormat="1" ht="13.95" customHeight="1" x14ac:dyDescent="0.2">
      <c r="A46" s="50" t="s">
        <v>70</v>
      </c>
      <c r="B46" s="50" t="s">
        <v>4</v>
      </c>
      <c r="C46" s="50" t="s">
        <v>48</v>
      </c>
      <c r="D46" s="50" t="s">
        <v>275</v>
      </c>
      <c r="E46" s="51">
        <v>6</v>
      </c>
      <c r="F46" s="68">
        <v>155990</v>
      </c>
      <c r="G46" s="52">
        <v>935940</v>
      </c>
    </row>
    <row r="47" spans="1:7" s="2" customFormat="1" ht="13.95" customHeight="1" x14ac:dyDescent="0.2">
      <c r="A47" s="50" t="s">
        <v>70</v>
      </c>
      <c r="B47" s="50" t="s">
        <v>5</v>
      </c>
      <c r="C47" s="50" t="s">
        <v>30</v>
      </c>
      <c r="D47" s="50" t="s">
        <v>162</v>
      </c>
      <c r="E47" s="51">
        <v>14</v>
      </c>
      <c r="F47" s="68">
        <v>65990</v>
      </c>
      <c r="G47" s="52">
        <v>923860</v>
      </c>
    </row>
    <row r="48" spans="1:7" s="2" customFormat="1" ht="13.95" customHeight="1" x14ac:dyDescent="0.2">
      <c r="A48" s="50" t="s">
        <v>70</v>
      </c>
      <c r="B48" s="50" t="s">
        <v>5</v>
      </c>
      <c r="C48" s="50" t="s">
        <v>42</v>
      </c>
      <c r="D48" s="50" t="s">
        <v>286</v>
      </c>
      <c r="E48" s="51">
        <v>6</v>
      </c>
      <c r="F48" s="68">
        <v>150157</v>
      </c>
      <c r="G48" s="52">
        <v>900940</v>
      </c>
    </row>
    <row r="49" spans="1:7" s="2" customFormat="1" ht="13.95" customHeight="1" x14ac:dyDescent="0.2">
      <c r="A49" s="50" t="s">
        <v>70</v>
      </c>
      <c r="B49" s="50" t="s">
        <v>5</v>
      </c>
      <c r="C49" s="50" t="s">
        <v>30</v>
      </c>
      <c r="D49" s="50" t="s">
        <v>288</v>
      </c>
      <c r="E49" s="51">
        <v>9</v>
      </c>
      <c r="F49" s="68">
        <v>99990</v>
      </c>
      <c r="G49" s="52">
        <v>899910</v>
      </c>
    </row>
    <row r="50" spans="1:7" s="2" customFormat="1" ht="13.95" customHeight="1" x14ac:dyDescent="0.2">
      <c r="A50" s="50" t="s">
        <v>70</v>
      </c>
      <c r="B50" s="50" t="s">
        <v>5</v>
      </c>
      <c r="C50" s="50" t="s">
        <v>30</v>
      </c>
      <c r="D50" s="50" t="s">
        <v>322</v>
      </c>
      <c r="E50" s="51">
        <v>10</v>
      </c>
      <c r="F50" s="68">
        <v>89990</v>
      </c>
      <c r="G50" s="52">
        <v>899900</v>
      </c>
    </row>
    <row r="51" spans="1:7" s="2" customFormat="1" ht="13.95" customHeight="1" x14ac:dyDescent="0.2">
      <c r="A51" s="50" t="s">
        <v>416</v>
      </c>
      <c r="B51" s="50" t="s">
        <v>8</v>
      </c>
      <c r="C51" s="50" t="s">
        <v>8</v>
      </c>
      <c r="D51" s="50" t="s">
        <v>418</v>
      </c>
      <c r="E51" s="51">
        <v>17</v>
      </c>
      <c r="F51" s="68">
        <v>51990</v>
      </c>
      <c r="G51" s="52">
        <v>883830</v>
      </c>
    </row>
    <row r="52" spans="1:7" s="2" customFormat="1" ht="13.95" customHeight="1" x14ac:dyDescent="0.2">
      <c r="A52" s="50" t="s">
        <v>70</v>
      </c>
      <c r="B52" s="50" t="s">
        <v>4</v>
      </c>
      <c r="C52" s="50" t="s">
        <v>50</v>
      </c>
      <c r="D52" s="50" t="s">
        <v>309</v>
      </c>
      <c r="E52" s="51">
        <v>3</v>
      </c>
      <c r="F52" s="68">
        <v>275990</v>
      </c>
      <c r="G52" s="52">
        <v>827970</v>
      </c>
    </row>
    <row r="53" spans="1:7" s="2" customFormat="1" ht="13.95" customHeight="1" x14ac:dyDescent="0.2">
      <c r="A53" s="50" t="s">
        <v>70</v>
      </c>
      <c r="B53" s="50" t="s">
        <v>4</v>
      </c>
      <c r="C53" s="50" t="s">
        <v>48</v>
      </c>
      <c r="D53" s="50" t="s">
        <v>313</v>
      </c>
      <c r="E53" s="51">
        <v>3</v>
      </c>
      <c r="F53" s="68">
        <v>269990</v>
      </c>
      <c r="G53" s="52">
        <v>809970</v>
      </c>
    </row>
    <row r="54" spans="1:7" s="2" customFormat="1" ht="13.95" customHeight="1" x14ac:dyDescent="0.2">
      <c r="A54" s="50" t="s">
        <v>165</v>
      </c>
      <c r="B54" s="50" t="s">
        <v>4</v>
      </c>
      <c r="C54" s="50" t="s">
        <v>48</v>
      </c>
      <c r="D54" s="50" t="s">
        <v>228</v>
      </c>
      <c r="E54" s="51">
        <v>9</v>
      </c>
      <c r="F54" s="68">
        <v>89990</v>
      </c>
      <c r="G54" s="52">
        <v>809910</v>
      </c>
    </row>
    <row r="55" spans="1:7" s="2" customFormat="1" ht="13.95" customHeight="1" x14ac:dyDescent="0.2">
      <c r="A55" s="50" t="s">
        <v>70</v>
      </c>
      <c r="B55" s="50" t="s">
        <v>4</v>
      </c>
      <c r="C55" s="50" t="s">
        <v>49</v>
      </c>
      <c r="D55" s="50" t="s">
        <v>198</v>
      </c>
      <c r="E55" s="51">
        <v>2</v>
      </c>
      <c r="F55" s="68">
        <v>399990</v>
      </c>
      <c r="G55" s="52">
        <v>799980</v>
      </c>
    </row>
    <row r="56" spans="1:7" s="2" customFormat="1" ht="13.95" customHeight="1" x14ac:dyDescent="0.2">
      <c r="A56" s="50" t="s">
        <v>70</v>
      </c>
      <c r="B56" s="50" t="s">
        <v>5</v>
      </c>
      <c r="C56" s="50" t="s">
        <v>40</v>
      </c>
      <c r="D56" s="50" t="s">
        <v>933</v>
      </c>
      <c r="E56" s="51">
        <v>58</v>
      </c>
      <c r="F56" s="68">
        <v>13300</v>
      </c>
      <c r="G56" s="52">
        <v>771420</v>
      </c>
    </row>
    <row r="57" spans="1:7" s="2" customFormat="1" ht="13.95" customHeight="1" x14ac:dyDescent="0.2">
      <c r="A57" s="50" t="s">
        <v>70</v>
      </c>
      <c r="B57" s="50" t="s">
        <v>7</v>
      </c>
      <c r="C57" s="50" t="s">
        <v>12</v>
      </c>
      <c r="D57" s="50" t="s">
        <v>246</v>
      </c>
      <c r="E57" s="51">
        <v>9</v>
      </c>
      <c r="F57" s="68">
        <v>84990</v>
      </c>
      <c r="G57" s="52">
        <v>764910</v>
      </c>
    </row>
    <row r="58" spans="1:7" s="2" customFormat="1" ht="13.95" customHeight="1" x14ac:dyDescent="0.2">
      <c r="A58" s="50" t="s">
        <v>70</v>
      </c>
      <c r="B58" s="50" t="s">
        <v>5</v>
      </c>
      <c r="C58" s="50" t="s">
        <v>30</v>
      </c>
      <c r="D58" s="50" t="s">
        <v>348</v>
      </c>
      <c r="E58" s="51">
        <v>12</v>
      </c>
      <c r="F58" s="68">
        <v>62990</v>
      </c>
      <c r="G58" s="52">
        <v>755880</v>
      </c>
    </row>
    <row r="59" spans="1:7" s="2" customFormat="1" ht="13.95" customHeight="1" x14ac:dyDescent="0.2">
      <c r="A59" s="50" t="s">
        <v>165</v>
      </c>
      <c r="B59" s="50" t="s">
        <v>4</v>
      </c>
      <c r="C59" s="50" t="s">
        <v>49</v>
      </c>
      <c r="D59" s="50" t="s">
        <v>167</v>
      </c>
      <c r="E59" s="51">
        <v>5</v>
      </c>
      <c r="F59" s="68">
        <v>149990</v>
      </c>
      <c r="G59" s="52">
        <v>749950</v>
      </c>
    </row>
    <row r="60" spans="1:7" s="2" customFormat="1" ht="13.95" customHeight="1" x14ac:dyDescent="0.2">
      <c r="A60" s="50" t="s">
        <v>238</v>
      </c>
      <c r="B60" s="50" t="s">
        <v>6</v>
      </c>
      <c r="C60" s="50" t="s">
        <v>65</v>
      </c>
      <c r="D60" s="50" t="s">
        <v>569</v>
      </c>
      <c r="E60" s="51">
        <v>15</v>
      </c>
      <c r="F60" s="68">
        <v>49990</v>
      </c>
      <c r="G60" s="52">
        <v>749850</v>
      </c>
    </row>
    <row r="61" spans="1:7" s="2" customFormat="1" ht="13.95" customHeight="1" x14ac:dyDescent="0.2">
      <c r="A61" s="50" t="s">
        <v>70</v>
      </c>
      <c r="B61" s="50" t="s">
        <v>5</v>
      </c>
      <c r="C61" s="50" t="s">
        <v>30</v>
      </c>
      <c r="D61" s="50" t="s">
        <v>397</v>
      </c>
      <c r="E61" s="51">
        <v>13</v>
      </c>
      <c r="F61" s="68">
        <v>55990</v>
      </c>
      <c r="G61" s="52">
        <v>727870</v>
      </c>
    </row>
    <row r="62" spans="1:7" s="2" customFormat="1" ht="13.95" customHeight="1" x14ac:dyDescent="0.2">
      <c r="A62" s="50" t="s">
        <v>70</v>
      </c>
      <c r="B62" s="50" t="s">
        <v>5</v>
      </c>
      <c r="C62" s="50" t="s">
        <v>30</v>
      </c>
      <c r="D62" s="50" t="s">
        <v>320</v>
      </c>
      <c r="E62" s="51">
        <v>8</v>
      </c>
      <c r="F62" s="68">
        <v>89990</v>
      </c>
      <c r="G62" s="52">
        <v>719920</v>
      </c>
    </row>
    <row r="63" spans="1:7" s="2" customFormat="1" ht="13.95" customHeight="1" x14ac:dyDescent="0.2">
      <c r="A63" s="50" t="s">
        <v>70</v>
      </c>
      <c r="B63" s="50" t="s">
        <v>4</v>
      </c>
      <c r="C63" s="50" t="s">
        <v>46</v>
      </c>
      <c r="D63" s="50" t="s">
        <v>326</v>
      </c>
      <c r="E63" s="51">
        <v>8</v>
      </c>
      <c r="F63" s="68">
        <v>89990</v>
      </c>
      <c r="G63" s="52">
        <v>719920</v>
      </c>
    </row>
    <row r="64" spans="1:7" s="2" customFormat="1" ht="13.95" customHeight="1" x14ac:dyDescent="0.2">
      <c r="A64" s="50" t="s">
        <v>257</v>
      </c>
      <c r="B64" s="50" t="s">
        <v>6</v>
      </c>
      <c r="C64" s="50" t="s">
        <v>60</v>
      </c>
      <c r="D64" s="50" t="s">
        <v>259</v>
      </c>
      <c r="E64" s="51">
        <v>24</v>
      </c>
      <c r="F64" s="68">
        <v>29990</v>
      </c>
      <c r="G64" s="52">
        <v>719760</v>
      </c>
    </row>
    <row r="65" spans="1:7" s="2" customFormat="1" ht="13.95" customHeight="1" x14ac:dyDescent="0.2">
      <c r="A65" s="50" t="s">
        <v>121</v>
      </c>
      <c r="B65" s="50" t="s">
        <v>4</v>
      </c>
      <c r="C65" s="50" t="s">
        <v>52</v>
      </c>
      <c r="D65" s="50" t="s">
        <v>234</v>
      </c>
      <c r="E65" s="51">
        <v>2</v>
      </c>
      <c r="F65" s="68">
        <v>349990</v>
      </c>
      <c r="G65" s="52">
        <v>699980</v>
      </c>
    </row>
    <row r="66" spans="1:7" s="2" customFormat="1" ht="13.95" customHeight="1" x14ac:dyDescent="0.2">
      <c r="A66" s="50" t="s">
        <v>70</v>
      </c>
      <c r="B66" s="50" t="s">
        <v>4</v>
      </c>
      <c r="C66" s="50" t="s">
        <v>48</v>
      </c>
      <c r="D66" s="50" t="s">
        <v>384</v>
      </c>
      <c r="E66" s="51">
        <v>4</v>
      </c>
      <c r="F66" s="68">
        <v>174990</v>
      </c>
      <c r="G66" s="52">
        <v>699960</v>
      </c>
    </row>
    <row r="67" spans="1:7" s="2" customFormat="1" ht="13.95" customHeight="1" x14ac:dyDescent="0.2">
      <c r="A67" s="50" t="s">
        <v>70</v>
      </c>
      <c r="B67" s="50" t="s">
        <v>4</v>
      </c>
      <c r="C67" s="50" t="s">
        <v>54</v>
      </c>
      <c r="D67" s="50" t="s">
        <v>232</v>
      </c>
      <c r="E67" s="51">
        <v>6</v>
      </c>
      <c r="F67" s="68">
        <v>112158</v>
      </c>
      <c r="G67" s="52">
        <v>672950</v>
      </c>
    </row>
    <row r="68" spans="1:7" s="2" customFormat="1" ht="13.95" customHeight="1" x14ac:dyDescent="0.2">
      <c r="A68" s="50" t="s">
        <v>70</v>
      </c>
      <c r="B68" s="50" t="s">
        <v>4</v>
      </c>
      <c r="C68" s="50" t="s">
        <v>48</v>
      </c>
      <c r="D68" s="50" t="s">
        <v>296</v>
      </c>
      <c r="E68" s="51">
        <v>9</v>
      </c>
      <c r="F68" s="68">
        <v>71990</v>
      </c>
      <c r="G68" s="52">
        <v>647910</v>
      </c>
    </row>
    <row r="69" spans="1:7" s="2" customFormat="1" ht="13.95" customHeight="1" x14ac:dyDescent="0.2">
      <c r="A69" s="50" t="s">
        <v>70</v>
      </c>
      <c r="B69" s="50" t="s">
        <v>4</v>
      </c>
      <c r="C69" s="50" t="s">
        <v>54</v>
      </c>
      <c r="D69" s="50" t="s">
        <v>342</v>
      </c>
      <c r="E69" s="51">
        <v>5</v>
      </c>
      <c r="F69" s="68">
        <v>127990</v>
      </c>
      <c r="G69" s="52">
        <v>639950</v>
      </c>
    </row>
    <row r="70" spans="1:7" s="2" customFormat="1" ht="13.95" customHeight="1" x14ac:dyDescent="0.2">
      <c r="A70" s="50" t="s">
        <v>70</v>
      </c>
      <c r="B70" s="50" t="s">
        <v>4</v>
      </c>
      <c r="C70" s="50" t="s">
        <v>51</v>
      </c>
      <c r="D70" s="50" t="s">
        <v>542</v>
      </c>
      <c r="E70" s="51">
        <v>16</v>
      </c>
      <c r="F70" s="68">
        <v>39990</v>
      </c>
      <c r="G70" s="52">
        <v>639840</v>
      </c>
    </row>
    <row r="71" spans="1:7" s="2" customFormat="1" ht="13.95" customHeight="1" x14ac:dyDescent="0.2">
      <c r="A71" s="50" t="s">
        <v>70</v>
      </c>
      <c r="B71" s="50" t="s">
        <v>5</v>
      </c>
      <c r="C71" s="50" t="s">
        <v>34</v>
      </c>
      <c r="D71" s="50" t="s">
        <v>346</v>
      </c>
      <c r="E71" s="51">
        <v>5</v>
      </c>
      <c r="F71" s="68">
        <v>125990</v>
      </c>
      <c r="G71" s="52">
        <v>629950</v>
      </c>
    </row>
    <row r="72" spans="1:7" s="2" customFormat="1" ht="13.95" customHeight="1" x14ac:dyDescent="0.2">
      <c r="A72" s="50" t="s">
        <v>70</v>
      </c>
      <c r="B72" s="50" t="s">
        <v>4</v>
      </c>
      <c r="C72" s="50" t="s">
        <v>48</v>
      </c>
      <c r="D72" s="50" t="s">
        <v>203</v>
      </c>
      <c r="E72" s="51">
        <v>3</v>
      </c>
      <c r="F72" s="68">
        <v>199990</v>
      </c>
      <c r="G72" s="52">
        <v>599970</v>
      </c>
    </row>
    <row r="73" spans="1:7" s="2" customFormat="1" ht="13.95" customHeight="1" x14ac:dyDescent="0.2">
      <c r="A73" s="50" t="s">
        <v>70</v>
      </c>
      <c r="B73" s="50" t="s">
        <v>4</v>
      </c>
      <c r="C73" s="50" t="s">
        <v>48</v>
      </c>
      <c r="D73" s="50" t="s">
        <v>205</v>
      </c>
      <c r="E73" s="51">
        <v>3</v>
      </c>
      <c r="F73" s="68">
        <v>199990</v>
      </c>
      <c r="G73" s="52">
        <v>599970</v>
      </c>
    </row>
    <row r="74" spans="1:7" s="2" customFormat="1" ht="13.95" customHeight="1" x14ac:dyDescent="0.2">
      <c r="A74" s="50" t="s">
        <v>362</v>
      </c>
      <c r="B74" s="50" t="s">
        <v>9</v>
      </c>
      <c r="C74" s="50" t="s">
        <v>28</v>
      </c>
      <c r="D74" s="50" t="s">
        <v>368</v>
      </c>
      <c r="E74" s="51">
        <v>5</v>
      </c>
      <c r="F74" s="68">
        <v>119990</v>
      </c>
      <c r="G74" s="52">
        <v>599950</v>
      </c>
    </row>
    <row r="75" spans="1:7" s="2" customFormat="1" ht="13.95" customHeight="1" x14ac:dyDescent="0.2">
      <c r="A75" s="50" t="s">
        <v>70</v>
      </c>
      <c r="B75" s="50" t="s">
        <v>5</v>
      </c>
      <c r="C75" s="50" t="s">
        <v>40</v>
      </c>
      <c r="D75" s="50" t="s">
        <v>524</v>
      </c>
      <c r="E75" s="51">
        <v>22</v>
      </c>
      <c r="F75" s="68">
        <v>26990</v>
      </c>
      <c r="G75" s="52">
        <v>593780</v>
      </c>
    </row>
    <row r="76" spans="1:7" s="2" customFormat="1" ht="13.95" customHeight="1" x14ac:dyDescent="0.2">
      <c r="A76" s="50" t="s">
        <v>121</v>
      </c>
      <c r="B76" s="50" t="s">
        <v>10</v>
      </c>
      <c r="C76" s="50" t="s">
        <v>66</v>
      </c>
      <c r="D76" s="50" t="s">
        <v>123</v>
      </c>
      <c r="E76" s="51">
        <v>1</v>
      </c>
      <c r="F76" s="68">
        <v>584991</v>
      </c>
      <c r="G76" s="52">
        <v>584991</v>
      </c>
    </row>
    <row r="77" spans="1:7" s="2" customFormat="1" ht="13.95" customHeight="1" x14ac:dyDescent="0.2">
      <c r="A77" s="50" t="s">
        <v>70</v>
      </c>
      <c r="B77" s="50" t="s">
        <v>5</v>
      </c>
      <c r="C77" s="50" t="s">
        <v>34</v>
      </c>
      <c r="D77" s="50" t="s">
        <v>212</v>
      </c>
      <c r="E77" s="51">
        <v>9</v>
      </c>
      <c r="F77" s="68">
        <v>64990</v>
      </c>
      <c r="G77" s="52">
        <v>584910</v>
      </c>
    </row>
    <row r="78" spans="1:7" s="2" customFormat="1" ht="13.95" customHeight="1" x14ac:dyDescent="0.2">
      <c r="A78" s="50" t="s">
        <v>70</v>
      </c>
      <c r="B78" s="50" t="s">
        <v>5</v>
      </c>
      <c r="C78" s="50" t="s">
        <v>31</v>
      </c>
      <c r="D78" s="50" t="s">
        <v>710</v>
      </c>
      <c r="E78" s="51">
        <v>17</v>
      </c>
      <c r="F78" s="68">
        <v>34373</v>
      </c>
      <c r="G78" s="52">
        <v>584333</v>
      </c>
    </row>
    <row r="79" spans="1:7" s="2" customFormat="1" ht="13.95" customHeight="1" x14ac:dyDescent="0.2">
      <c r="A79" s="50" t="s">
        <v>70</v>
      </c>
      <c r="B79" s="50" t="s">
        <v>5</v>
      </c>
      <c r="C79" s="50" t="s">
        <v>30</v>
      </c>
      <c r="D79" s="50" t="s">
        <v>459</v>
      </c>
      <c r="E79" s="51">
        <v>6</v>
      </c>
      <c r="F79" s="68">
        <v>96323</v>
      </c>
      <c r="G79" s="52">
        <v>577940</v>
      </c>
    </row>
    <row r="80" spans="1:7" s="2" customFormat="1" ht="13.95" customHeight="1" x14ac:dyDescent="0.2">
      <c r="A80" s="50" t="s">
        <v>70</v>
      </c>
      <c r="B80" s="50" t="s">
        <v>4</v>
      </c>
      <c r="C80" s="50" t="s">
        <v>48</v>
      </c>
      <c r="D80" s="50" t="s">
        <v>537</v>
      </c>
      <c r="E80" s="51">
        <v>8</v>
      </c>
      <c r="F80" s="68">
        <v>71740</v>
      </c>
      <c r="G80" s="52">
        <v>573920</v>
      </c>
    </row>
    <row r="81" spans="1:7" s="2" customFormat="1" ht="13.95" customHeight="1" x14ac:dyDescent="0.2">
      <c r="A81" s="50" t="s">
        <v>416</v>
      </c>
      <c r="B81" s="50" t="s">
        <v>8</v>
      </c>
      <c r="C81" s="50" t="s">
        <v>8</v>
      </c>
      <c r="D81" s="50" t="s">
        <v>547</v>
      </c>
      <c r="E81" s="51">
        <v>11</v>
      </c>
      <c r="F81" s="68">
        <v>51990</v>
      </c>
      <c r="G81" s="52">
        <v>571890</v>
      </c>
    </row>
    <row r="82" spans="1:7" s="2" customFormat="1" ht="13.95" customHeight="1" x14ac:dyDescent="0.2">
      <c r="A82" s="50" t="s">
        <v>416</v>
      </c>
      <c r="B82" s="50" t="s">
        <v>8</v>
      </c>
      <c r="C82" s="50" t="s">
        <v>8</v>
      </c>
      <c r="D82" s="50" t="s">
        <v>715</v>
      </c>
      <c r="E82" s="51">
        <v>11</v>
      </c>
      <c r="F82" s="68">
        <v>51990</v>
      </c>
      <c r="G82" s="52">
        <v>571890</v>
      </c>
    </row>
    <row r="83" spans="1:7" s="2" customFormat="1" ht="13.95" customHeight="1" x14ac:dyDescent="0.2">
      <c r="A83" s="50" t="s">
        <v>70</v>
      </c>
      <c r="B83" s="50" t="s">
        <v>4</v>
      </c>
      <c r="C83" s="50" t="s">
        <v>49</v>
      </c>
      <c r="D83" s="50" t="s">
        <v>302</v>
      </c>
      <c r="E83" s="51">
        <v>2</v>
      </c>
      <c r="F83" s="68">
        <v>279990</v>
      </c>
      <c r="G83" s="52">
        <v>559980</v>
      </c>
    </row>
    <row r="84" spans="1:7" s="2" customFormat="1" ht="13.95" customHeight="1" x14ac:dyDescent="0.2">
      <c r="A84" s="50" t="s">
        <v>70</v>
      </c>
      <c r="B84" s="50" t="s">
        <v>4</v>
      </c>
      <c r="C84" s="50" t="s">
        <v>48</v>
      </c>
      <c r="D84" s="50" t="s">
        <v>480</v>
      </c>
      <c r="E84" s="51">
        <v>3</v>
      </c>
      <c r="F84" s="68">
        <v>179990</v>
      </c>
      <c r="G84" s="52">
        <v>539970</v>
      </c>
    </row>
    <row r="85" spans="1:7" s="2" customFormat="1" ht="13.95" customHeight="1" x14ac:dyDescent="0.2">
      <c r="A85" s="50" t="s">
        <v>70</v>
      </c>
      <c r="B85" s="50" t="s">
        <v>4</v>
      </c>
      <c r="C85" s="50" t="s">
        <v>54</v>
      </c>
      <c r="D85" s="50" t="s">
        <v>455</v>
      </c>
      <c r="E85" s="51">
        <v>8</v>
      </c>
      <c r="F85" s="68">
        <v>65990</v>
      </c>
      <c r="G85" s="52">
        <v>527920</v>
      </c>
    </row>
    <row r="86" spans="1:7" s="2" customFormat="1" ht="13.95" customHeight="1" x14ac:dyDescent="0.2">
      <c r="A86" s="50" t="s">
        <v>70</v>
      </c>
      <c r="B86" s="50" t="s">
        <v>5</v>
      </c>
      <c r="C86" s="50" t="s">
        <v>40</v>
      </c>
      <c r="D86" s="50" t="s">
        <v>946</v>
      </c>
      <c r="E86" s="51">
        <v>16</v>
      </c>
      <c r="F86" s="68">
        <v>32990</v>
      </c>
      <c r="G86" s="52">
        <v>527840</v>
      </c>
    </row>
    <row r="87" spans="1:7" s="2" customFormat="1" ht="13.95" customHeight="1" x14ac:dyDescent="0.2">
      <c r="A87" s="50" t="s">
        <v>70</v>
      </c>
      <c r="B87" s="50" t="s">
        <v>5</v>
      </c>
      <c r="C87" s="50" t="s">
        <v>33</v>
      </c>
      <c r="D87" s="50" t="s">
        <v>409</v>
      </c>
      <c r="E87" s="51">
        <v>12</v>
      </c>
      <c r="F87" s="68">
        <v>43865</v>
      </c>
      <c r="G87" s="52">
        <v>526383</v>
      </c>
    </row>
    <row r="88" spans="1:7" s="2" customFormat="1" ht="13.95" customHeight="1" x14ac:dyDescent="0.2">
      <c r="A88" s="50" t="s">
        <v>70</v>
      </c>
      <c r="B88" s="50" t="s">
        <v>7</v>
      </c>
      <c r="C88" s="50" t="s">
        <v>21</v>
      </c>
      <c r="D88" s="50" t="s">
        <v>215</v>
      </c>
      <c r="E88" s="51">
        <v>15</v>
      </c>
      <c r="F88" s="68">
        <v>34990</v>
      </c>
      <c r="G88" s="52">
        <v>524850</v>
      </c>
    </row>
    <row r="89" spans="1:7" s="2" customFormat="1" ht="13.95" customHeight="1" x14ac:dyDescent="0.2">
      <c r="A89" s="50" t="s">
        <v>70</v>
      </c>
      <c r="B89" s="50" t="s">
        <v>4</v>
      </c>
      <c r="C89" s="50" t="s">
        <v>52</v>
      </c>
      <c r="D89" s="50" t="s">
        <v>335</v>
      </c>
      <c r="E89" s="51">
        <v>2</v>
      </c>
      <c r="F89" s="68">
        <v>259990</v>
      </c>
      <c r="G89" s="52">
        <v>519980</v>
      </c>
    </row>
    <row r="90" spans="1:7" s="2" customFormat="1" ht="13.95" customHeight="1" x14ac:dyDescent="0.2">
      <c r="A90" s="50" t="s">
        <v>416</v>
      </c>
      <c r="B90" s="50" t="s">
        <v>8</v>
      </c>
      <c r="C90" s="50" t="s">
        <v>8</v>
      </c>
      <c r="D90" s="50" t="s">
        <v>718</v>
      </c>
      <c r="E90" s="51">
        <v>10</v>
      </c>
      <c r="F90" s="68">
        <v>51990</v>
      </c>
      <c r="G90" s="52">
        <v>519900</v>
      </c>
    </row>
    <row r="91" spans="1:7" s="2" customFormat="1" ht="13.95" customHeight="1" x14ac:dyDescent="0.2">
      <c r="A91" s="50" t="s">
        <v>70</v>
      </c>
      <c r="B91" s="50" t="s">
        <v>5</v>
      </c>
      <c r="C91" s="50" t="s">
        <v>34</v>
      </c>
      <c r="D91" s="50" t="s">
        <v>338</v>
      </c>
      <c r="E91" s="51">
        <v>10</v>
      </c>
      <c r="F91" s="68">
        <v>51990</v>
      </c>
      <c r="G91" s="52">
        <v>519900</v>
      </c>
    </row>
    <row r="92" spans="1:7" s="2" customFormat="1" ht="13.95" customHeight="1" x14ac:dyDescent="0.2">
      <c r="A92" s="50" t="s">
        <v>70</v>
      </c>
      <c r="B92" s="50" t="s">
        <v>5</v>
      </c>
      <c r="C92" s="50" t="s">
        <v>45</v>
      </c>
      <c r="D92" s="50" t="s">
        <v>690</v>
      </c>
      <c r="E92" s="51">
        <v>9</v>
      </c>
      <c r="F92" s="68">
        <v>56990</v>
      </c>
      <c r="G92" s="52">
        <v>512910</v>
      </c>
    </row>
    <row r="93" spans="1:7" s="2" customFormat="1" ht="13.95" customHeight="1" x14ac:dyDescent="0.2">
      <c r="A93" s="50" t="s">
        <v>277</v>
      </c>
      <c r="B93" s="50" t="s">
        <v>6</v>
      </c>
      <c r="C93" s="50" t="s">
        <v>58</v>
      </c>
      <c r="D93" s="50" t="s">
        <v>282</v>
      </c>
      <c r="E93" s="51">
        <v>2</v>
      </c>
      <c r="F93" s="68">
        <v>254992</v>
      </c>
      <c r="G93" s="52">
        <v>509983</v>
      </c>
    </row>
    <row r="94" spans="1:7" s="2" customFormat="1" ht="13.95" customHeight="1" x14ac:dyDescent="0.2">
      <c r="A94" s="50" t="s">
        <v>573</v>
      </c>
      <c r="B94" s="50" t="s">
        <v>6</v>
      </c>
      <c r="C94" s="50" t="s">
        <v>61</v>
      </c>
      <c r="D94" s="50" t="s">
        <v>575</v>
      </c>
      <c r="E94" s="51">
        <v>10</v>
      </c>
      <c r="F94" s="68">
        <v>49990</v>
      </c>
      <c r="G94" s="52">
        <v>499900</v>
      </c>
    </row>
    <row r="95" spans="1:7" s="2" customFormat="1" ht="13.95" customHeight="1" x14ac:dyDescent="0.2">
      <c r="A95" s="50" t="s">
        <v>165</v>
      </c>
      <c r="B95" s="50" t="s">
        <v>4</v>
      </c>
      <c r="C95" s="50" t="s">
        <v>46</v>
      </c>
      <c r="D95" s="50" t="s">
        <v>462</v>
      </c>
      <c r="E95" s="51">
        <v>5</v>
      </c>
      <c r="F95" s="68">
        <v>95990</v>
      </c>
      <c r="G95" s="52">
        <v>479950</v>
      </c>
    </row>
    <row r="96" spans="1:7" s="2" customFormat="1" ht="13.95" customHeight="1" x14ac:dyDescent="0.2">
      <c r="A96" s="50" t="s">
        <v>70</v>
      </c>
      <c r="B96" s="50" t="s">
        <v>12</v>
      </c>
      <c r="C96" s="50" t="s">
        <v>17</v>
      </c>
      <c r="D96" s="50" t="s">
        <v>540</v>
      </c>
      <c r="E96" s="51">
        <v>12</v>
      </c>
      <c r="F96" s="68">
        <v>39990</v>
      </c>
      <c r="G96" s="52">
        <v>479880</v>
      </c>
    </row>
    <row r="97" spans="1:7" s="2" customFormat="1" ht="13.95" customHeight="1" x14ac:dyDescent="0.2">
      <c r="A97" s="50" t="s">
        <v>70</v>
      </c>
      <c r="B97" s="50" t="s">
        <v>12</v>
      </c>
      <c r="C97" s="50" t="s">
        <v>20</v>
      </c>
      <c r="D97" s="50" t="s">
        <v>20</v>
      </c>
      <c r="E97" s="51">
        <v>28</v>
      </c>
      <c r="F97" s="68">
        <v>16990</v>
      </c>
      <c r="G97" s="52">
        <v>475720</v>
      </c>
    </row>
    <row r="98" spans="1:7" s="2" customFormat="1" ht="13.95" customHeight="1" x14ac:dyDescent="0.2">
      <c r="A98" s="50" t="s">
        <v>70</v>
      </c>
      <c r="B98" s="50" t="s">
        <v>4</v>
      </c>
      <c r="C98" s="50" t="s">
        <v>53</v>
      </c>
      <c r="D98" s="50" t="s">
        <v>610</v>
      </c>
      <c r="E98" s="51">
        <v>7</v>
      </c>
      <c r="F98" s="68">
        <v>66990</v>
      </c>
      <c r="G98" s="52">
        <v>468930</v>
      </c>
    </row>
    <row r="99" spans="1:7" s="2" customFormat="1" ht="13.95" customHeight="1" x14ac:dyDescent="0.2">
      <c r="A99" s="50" t="s">
        <v>416</v>
      </c>
      <c r="B99" s="50" t="s">
        <v>8</v>
      </c>
      <c r="C99" s="50" t="s">
        <v>8</v>
      </c>
      <c r="D99" s="50" t="s">
        <v>551</v>
      </c>
      <c r="E99" s="51">
        <v>9</v>
      </c>
      <c r="F99" s="68">
        <v>51990</v>
      </c>
      <c r="G99" s="52">
        <v>467910</v>
      </c>
    </row>
    <row r="100" spans="1:7" s="2" customFormat="1" ht="13.95" customHeight="1" x14ac:dyDescent="0.2">
      <c r="A100" s="50" t="s">
        <v>70</v>
      </c>
      <c r="B100" s="50" t="s">
        <v>4</v>
      </c>
      <c r="C100" s="50" t="s">
        <v>50</v>
      </c>
      <c r="D100" s="50" t="s">
        <v>392</v>
      </c>
      <c r="E100" s="51">
        <v>2</v>
      </c>
      <c r="F100" s="68">
        <v>224990</v>
      </c>
      <c r="G100" s="52">
        <v>449980</v>
      </c>
    </row>
    <row r="101" spans="1:7" s="2" customFormat="1" ht="13.95" customHeight="1" x14ac:dyDescent="0.2">
      <c r="A101" s="50" t="s">
        <v>165</v>
      </c>
      <c r="B101" s="50" t="s">
        <v>4</v>
      </c>
      <c r="C101" s="50" t="s">
        <v>46</v>
      </c>
      <c r="D101" s="50" t="s">
        <v>804</v>
      </c>
      <c r="E101" s="51">
        <v>5</v>
      </c>
      <c r="F101" s="68">
        <v>89990</v>
      </c>
      <c r="G101" s="52">
        <v>449950</v>
      </c>
    </row>
    <row r="102" spans="1:7" s="2" customFormat="1" ht="13.95" customHeight="1" x14ac:dyDescent="0.2">
      <c r="A102" s="50" t="s">
        <v>70</v>
      </c>
      <c r="B102" s="50" t="s">
        <v>5</v>
      </c>
      <c r="C102" s="50" t="s">
        <v>40</v>
      </c>
      <c r="D102" s="50" t="s">
        <v>708</v>
      </c>
      <c r="E102" s="51">
        <v>25</v>
      </c>
      <c r="F102" s="68">
        <v>17990</v>
      </c>
      <c r="G102" s="52">
        <v>449750</v>
      </c>
    </row>
    <row r="103" spans="1:7" s="2" customFormat="1" ht="13.95" customHeight="1" x14ac:dyDescent="0.2">
      <c r="A103" s="50" t="s">
        <v>70</v>
      </c>
      <c r="B103" s="50" t="s">
        <v>7</v>
      </c>
      <c r="C103" s="50" t="s">
        <v>18</v>
      </c>
      <c r="D103" s="50" t="s">
        <v>967</v>
      </c>
      <c r="E103" s="51">
        <v>21</v>
      </c>
      <c r="F103" s="68">
        <v>20990</v>
      </c>
      <c r="G103" s="52">
        <v>440790</v>
      </c>
    </row>
    <row r="104" spans="1:7" s="2" customFormat="1" ht="13.95" customHeight="1" x14ac:dyDescent="0.2">
      <c r="A104" s="50" t="s">
        <v>404</v>
      </c>
      <c r="B104" s="50" t="s">
        <v>4</v>
      </c>
      <c r="C104" s="50" t="s">
        <v>12</v>
      </c>
      <c r="D104" s="50" t="s">
        <v>406</v>
      </c>
      <c r="E104" s="51">
        <v>2</v>
      </c>
      <c r="F104" s="68">
        <v>214990</v>
      </c>
      <c r="G104" s="52">
        <v>429980</v>
      </c>
    </row>
    <row r="105" spans="1:7" s="2" customFormat="1" ht="13.95" customHeight="1" x14ac:dyDescent="0.2">
      <c r="A105" s="50" t="s">
        <v>70</v>
      </c>
      <c r="B105" s="50" t="s">
        <v>4</v>
      </c>
      <c r="C105" s="50" t="s">
        <v>47</v>
      </c>
      <c r="D105" s="50" t="s">
        <v>175</v>
      </c>
      <c r="E105" s="51">
        <v>2</v>
      </c>
      <c r="F105" s="68">
        <v>214990</v>
      </c>
      <c r="G105" s="52">
        <v>429980</v>
      </c>
    </row>
    <row r="106" spans="1:7" s="2" customFormat="1" ht="13.95" customHeight="1" x14ac:dyDescent="0.2">
      <c r="A106" s="50" t="s">
        <v>70</v>
      </c>
      <c r="B106" s="50" t="s">
        <v>7</v>
      </c>
      <c r="C106" s="50" t="s">
        <v>21</v>
      </c>
      <c r="D106" s="50" t="s">
        <v>413</v>
      </c>
      <c r="E106" s="51">
        <v>12</v>
      </c>
      <c r="F106" s="68">
        <v>34990</v>
      </c>
      <c r="G106" s="52">
        <v>419880</v>
      </c>
    </row>
    <row r="107" spans="1:7" s="2" customFormat="1" ht="13.95" customHeight="1" x14ac:dyDescent="0.2">
      <c r="A107" s="50" t="s">
        <v>70</v>
      </c>
      <c r="B107" s="50" t="s">
        <v>4</v>
      </c>
      <c r="C107" s="50" t="s">
        <v>52</v>
      </c>
      <c r="D107" s="50" t="s">
        <v>201</v>
      </c>
      <c r="E107" s="51">
        <v>1</v>
      </c>
      <c r="F107" s="68">
        <v>399990</v>
      </c>
      <c r="G107" s="52">
        <v>399990</v>
      </c>
    </row>
    <row r="108" spans="1:7" s="2" customFormat="1" ht="13.95" customHeight="1" x14ac:dyDescent="0.2">
      <c r="A108" s="50" t="s">
        <v>165</v>
      </c>
      <c r="B108" s="50" t="s">
        <v>4</v>
      </c>
      <c r="C108" s="50" t="s">
        <v>46</v>
      </c>
      <c r="D108" s="50" t="s">
        <v>427</v>
      </c>
      <c r="E108" s="51">
        <v>4</v>
      </c>
      <c r="F108" s="68">
        <v>99990</v>
      </c>
      <c r="G108" s="52">
        <v>399960</v>
      </c>
    </row>
    <row r="109" spans="1:7" s="2" customFormat="1" ht="13.95" customHeight="1" x14ac:dyDescent="0.2">
      <c r="A109" s="50" t="s">
        <v>238</v>
      </c>
      <c r="B109" s="50" t="s">
        <v>6</v>
      </c>
      <c r="C109" s="50" t="s">
        <v>65</v>
      </c>
      <c r="D109" s="50" t="s">
        <v>572</v>
      </c>
      <c r="E109" s="51">
        <v>8</v>
      </c>
      <c r="F109" s="68">
        <v>49990</v>
      </c>
      <c r="G109" s="52">
        <v>399920</v>
      </c>
    </row>
    <row r="110" spans="1:7" s="2" customFormat="1" ht="13.95" customHeight="1" x14ac:dyDescent="0.2">
      <c r="A110" s="50" t="s">
        <v>70</v>
      </c>
      <c r="B110" s="50" t="s">
        <v>4</v>
      </c>
      <c r="C110" s="50" t="s">
        <v>49</v>
      </c>
      <c r="D110" s="50" t="s">
        <v>210</v>
      </c>
      <c r="E110" s="51">
        <v>1</v>
      </c>
      <c r="F110" s="68">
        <v>389990</v>
      </c>
      <c r="G110" s="52">
        <v>389990</v>
      </c>
    </row>
    <row r="111" spans="1:7" s="2" customFormat="1" ht="13.95" customHeight="1" x14ac:dyDescent="0.2">
      <c r="A111" s="50" t="s">
        <v>70</v>
      </c>
      <c r="B111" s="50" t="s">
        <v>5</v>
      </c>
      <c r="C111" s="50" t="s">
        <v>42</v>
      </c>
      <c r="D111" s="50" t="s">
        <v>680</v>
      </c>
      <c r="E111" s="51">
        <v>24</v>
      </c>
      <c r="F111" s="68">
        <v>15198</v>
      </c>
      <c r="G111" s="52">
        <v>364760</v>
      </c>
    </row>
    <row r="112" spans="1:7" s="2" customFormat="1" ht="13.95" customHeight="1" x14ac:dyDescent="0.2">
      <c r="A112" s="50" t="s">
        <v>70</v>
      </c>
      <c r="B112" s="50" t="s">
        <v>5</v>
      </c>
      <c r="C112" s="50" t="s">
        <v>45</v>
      </c>
      <c r="D112" s="50" t="s">
        <v>661</v>
      </c>
      <c r="E112" s="51">
        <v>6</v>
      </c>
      <c r="F112" s="68">
        <v>59990</v>
      </c>
      <c r="G112" s="52">
        <v>359940</v>
      </c>
    </row>
    <row r="113" spans="1:7" s="2" customFormat="1" ht="13.95" customHeight="1" x14ac:dyDescent="0.2">
      <c r="A113" s="50" t="s">
        <v>416</v>
      </c>
      <c r="B113" s="50" t="s">
        <v>8</v>
      </c>
      <c r="C113" s="50" t="s">
        <v>8</v>
      </c>
      <c r="D113" s="50" t="s">
        <v>981</v>
      </c>
      <c r="E113" s="51">
        <v>12</v>
      </c>
      <c r="F113" s="68">
        <v>29990</v>
      </c>
      <c r="G113" s="52">
        <v>359880</v>
      </c>
    </row>
    <row r="114" spans="1:7" s="2" customFormat="1" ht="13.95" customHeight="1" x14ac:dyDescent="0.2">
      <c r="A114" s="50" t="s">
        <v>70</v>
      </c>
      <c r="B114" s="50" t="s">
        <v>7</v>
      </c>
      <c r="C114" s="50" t="s">
        <v>18</v>
      </c>
      <c r="D114" s="50" t="s">
        <v>669</v>
      </c>
      <c r="E114" s="51">
        <v>12</v>
      </c>
      <c r="F114" s="68">
        <v>29990</v>
      </c>
      <c r="G114" s="52">
        <v>359880</v>
      </c>
    </row>
    <row r="115" spans="1:7" s="2" customFormat="1" ht="13.95" customHeight="1" x14ac:dyDescent="0.2">
      <c r="A115" s="50" t="s">
        <v>70</v>
      </c>
      <c r="B115" s="50" t="s">
        <v>4</v>
      </c>
      <c r="C115" s="50" t="s">
        <v>51</v>
      </c>
      <c r="D115" s="50" t="s">
        <v>499</v>
      </c>
      <c r="E115" s="51">
        <v>4</v>
      </c>
      <c r="F115" s="68">
        <v>88990</v>
      </c>
      <c r="G115" s="52">
        <v>355960</v>
      </c>
    </row>
    <row r="116" spans="1:7" s="2" customFormat="1" ht="13.95" customHeight="1" x14ac:dyDescent="0.2">
      <c r="A116" s="50" t="s">
        <v>70</v>
      </c>
      <c r="B116" s="50" t="s">
        <v>4</v>
      </c>
      <c r="C116" s="50" t="s">
        <v>53</v>
      </c>
      <c r="D116" s="50" t="s">
        <v>589</v>
      </c>
      <c r="E116" s="51">
        <v>5</v>
      </c>
      <c r="F116" s="68">
        <v>69990</v>
      </c>
      <c r="G116" s="52">
        <v>349950</v>
      </c>
    </row>
    <row r="117" spans="1:7" s="2" customFormat="1" ht="13.95" customHeight="1" x14ac:dyDescent="0.2">
      <c r="A117" s="50" t="s">
        <v>532</v>
      </c>
      <c r="B117" s="50" t="s">
        <v>7</v>
      </c>
      <c r="C117" s="50" t="s">
        <v>23</v>
      </c>
      <c r="D117" s="50" t="s">
        <v>1102</v>
      </c>
      <c r="E117" s="51">
        <v>7</v>
      </c>
      <c r="F117" s="68">
        <v>49990</v>
      </c>
      <c r="G117" s="52">
        <v>349930</v>
      </c>
    </row>
    <row r="118" spans="1:7" s="2" customFormat="1" ht="13.95" customHeight="1" x14ac:dyDescent="0.2">
      <c r="A118" s="50" t="s">
        <v>70</v>
      </c>
      <c r="B118" s="50" t="s">
        <v>5</v>
      </c>
      <c r="C118" s="50" t="s">
        <v>33</v>
      </c>
      <c r="D118" s="50" t="s">
        <v>857</v>
      </c>
      <c r="E118" s="51">
        <v>23</v>
      </c>
      <c r="F118" s="68">
        <v>14990</v>
      </c>
      <c r="G118" s="52">
        <v>344770</v>
      </c>
    </row>
    <row r="119" spans="1:7" s="2" customFormat="1" ht="13.95" customHeight="1" x14ac:dyDescent="0.2">
      <c r="A119" s="50" t="s">
        <v>70</v>
      </c>
      <c r="B119" s="50" t="s">
        <v>4</v>
      </c>
      <c r="C119" s="50" t="s">
        <v>53</v>
      </c>
      <c r="D119" s="50" t="s">
        <v>696</v>
      </c>
      <c r="E119" s="51">
        <v>3</v>
      </c>
      <c r="F119" s="68">
        <v>112990</v>
      </c>
      <c r="G119" s="52">
        <v>338970</v>
      </c>
    </row>
    <row r="120" spans="1:7" s="2" customFormat="1" ht="13.95" customHeight="1" x14ac:dyDescent="0.2">
      <c r="A120" s="50" t="s">
        <v>70</v>
      </c>
      <c r="B120" s="50" t="s">
        <v>4</v>
      </c>
      <c r="C120" s="50" t="s">
        <v>53</v>
      </c>
      <c r="D120" s="50" t="s">
        <v>249</v>
      </c>
      <c r="E120" s="51">
        <v>3</v>
      </c>
      <c r="F120" s="68">
        <v>112990</v>
      </c>
      <c r="G120" s="52">
        <v>338970</v>
      </c>
    </row>
    <row r="121" spans="1:7" s="2" customFormat="1" ht="13.95" customHeight="1" x14ac:dyDescent="0.2">
      <c r="A121" s="50" t="s">
        <v>70</v>
      </c>
      <c r="B121" s="50" t="s">
        <v>4</v>
      </c>
      <c r="C121" s="50" t="s">
        <v>53</v>
      </c>
      <c r="D121" s="50" t="s">
        <v>507</v>
      </c>
      <c r="E121" s="51">
        <v>4</v>
      </c>
      <c r="F121" s="68">
        <v>83990</v>
      </c>
      <c r="G121" s="52">
        <v>335960</v>
      </c>
    </row>
    <row r="122" spans="1:7" s="2" customFormat="1" ht="13.95" customHeight="1" x14ac:dyDescent="0.2">
      <c r="A122" s="50" t="s">
        <v>70</v>
      </c>
      <c r="B122" s="50" t="s">
        <v>5</v>
      </c>
      <c r="C122" s="50" t="s">
        <v>30</v>
      </c>
      <c r="D122" s="50" t="s">
        <v>252</v>
      </c>
      <c r="E122" s="51">
        <v>6</v>
      </c>
      <c r="F122" s="68">
        <v>55990</v>
      </c>
      <c r="G122" s="52">
        <v>335940</v>
      </c>
    </row>
    <row r="123" spans="1:7" s="2" customFormat="1" ht="13.95" customHeight="1" x14ac:dyDescent="0.2">
      <c r="A123" s="50" t="s">
        <v>70</v>
      </c>
      <c r="B123" s="50" t="s">
        <v>5</v>
      </c>
      <c r="C123" s="50" t="s">
        <v>45</v>
      </c>
      <c r="D123" s="50" t="s">
        <v>922</v>
      </c>
      <c r="E123" s="51">
        <v>28</v>
      </c>
      <c r="F123" s="68">
        <v>11990</v>
      </c>
      <c r="G123" s="52">
        <v>335720</v>
      </c>
    </row>
    <row r="124" spans="1:7" s="2" customFormat="1" ht="13.95" customHeight="1" x14ac:dyDescent="0.2">
      <c r="A124" s="50" t="s">
        <v>70</v>
      </c>
      <c r="B124" s="50" t="s">
        <v>4</v>
      </c>
      <c r="C124" s="50" t="s">
        <v>48</v>
      </c>
      <c r="D124" s="50" t="s">
        <v>514</v>
      </c>
      <c r="E124" s="51">
        <v>2</v>
      </c>
      <c r="F124" s="68">
        <v>165990</v>
      </c>
      <c r="G124" s="52">
        <v>331980</v>
      </c>
    </row>
    <row r="125" spans="1:7" s="2" customFormat="1" ht="13.95" customHeight="1" x14ac:dyDescent="0.2">
      <c r="A125" s="50" t="s">
        <v>70</v>
      </c>
      <c r="B125" s="50" t="s">
        <v>4</v>
      </c>
      <c r="C125" s="50" t="s">
        <v>54</v>
      </c>
      <c r="D125" s="50" t="s">
        <v>453</v>
      </c>
      <c r="E125" s="51">
        <v>5</v>
      </c>
      <c r="F125" s="68">
        <v>65990</v>
      </c>
      <c r="G125" s="52">
        <v>329950</v>
      </c>
    </row>
    <row r="126" spans="1:7" s="2" customFormat="1" ht="13.95" customHeight="1" x14ac:dyDescent="0.2">
      <c r="A126" s="50" t="s">
        <v>70</v>
      </c>
      <c r="B126" s="50" t="s">
        <v>4</v>
      </c>
      <c r="C126" s="50" t="s">
        <v>52</v>
      </c>
      <c r="D126" s="50" t="s">
        <v>264</v>
      </c>
      <c r="E126" s="51">
        <v>1</v>
      </c>
      <c r="F126" s="68">
        <v>325990</v>
      </c>
      <c r="G126" s="52">
        <v>325990</v>
      </c>
    </row>
    <row r="127" spans="1:7" s="2" customFormat="1" ht="13.95" customHeight="1" x14ac:dyDescent="0.2">
      <c r="A127" s="50" t="s">
        <v>70</v>
      </c>
      <c r="B127" s="50" t="s">
        <v>5</v>
      </c>
      <c r="C127" s="50" t="s">
        <v>30</v>
      </c>
      <c r="D127" s="50" t="s">
        <v>457</v>
      </c>
      <c r="E127" s="51">
        <v>5</v>
      </c>
      <c r="F127" s="68">
        <v>64990</v>
      </c>
      <c r="G127" s="52">
        <v>324950</v>
      </c>
    </row>
    <row r="128" spans="1:7" s="2" customFormat="1" ht="13.95" customHeight="1" x14ac:dyDescent="0.2">
      <c r="A128" s="50" t="s">
        <v>70</v>
      </c>
      <c r="B128" s="50" t="s">
        <v>8</v>
      </c>
      <c r="C128" s="50" t="s">
        <v>8</v>
      </c>
      <c r="D128" s="50" t="s">
        <v>873</v>
      </c>
      <c r="E128" s="51">
        <v>4</v>
      </c>
      <c r="F128" s="68">
        <v>79990</v>
      </c>
      <c r="G128" s="52">
        <v>319960</v>
      </c>
    </row>
    <row r="129" spans="1:7" s="2" customFormat="1" ht="13.95" customHeight="1" x14ac:dyDescent="0.2">
      <c r="A129" s="50" t="s">
        <v>277</v>
      </c>
      <c r="B129" s="50" t="s">
        <v>6</v>
      </c>
      <c r="C129" s="50" t="s">
        <v>58</v>
      </c>
      <c r="D129" s="50" t="s">
        <v>279</v>
      </c>
      <c r="E129" s="51">
        <v>1</v>
      </c>
      <c r="F129" s="68">
        <v>299990</v>
      </c>
      <c r="G129" s="52">
        <v>299990</v>
      </c>
    </row>
    <row r="130" spans="1:7" s="2" customFormat="1" ht="13.95" customHeight="1" x14ac:dyDescent="0.2">
      <c r="A130" s="50" t="s">
        <v>277</v>
      </c>
      <c r="B130" s="50" t="s">
        <v>6</v>
      </c>
      <c r="C130" s="50" t="s">
        <v>58</v>
      </c>
      <c r="D130" s="50" t="s">
        <v>284</v>
      </c>
      <c r="E130" s="51">
        <v>1</v>
      </c>
      <c r="F130" s="68">
        <v>299990</v>
      </c>
      <c r="G130" s="52">
        <v>299990</v>
      </c>
    </row>
    <row r="131" spans="1:7" s="2" customFormat="1" ht="13.95" customHeight="1" x14ac:dyDescent="0.2">
      <c r="A131" s="50" t="s">
        <v>70</v>
      </c>
      <c r="B131" s="50" t="s">
        <v>5</v>
      </c>
      <c r="C131" s="50" t="s">
        <v>34</v>
      </c>
      <c r="D131" s="50" t="s">
        <v>738</v>
      </c>
      <c r="E131" s="51">
        <v>3</v>
      </c>
      <c r="F131" s="68">
        <v>99990</v>
      </c>
      <c r="G131" s="52">
        <v>299970</v>
      </c>
    </row>
    <row r="132" spans="1:7" s="2" customFormat="1" ht="13.95" customHeight="1" x14ac:dyDescent="0.2">
      <c r="A132" s="50" t="s">
        <v>70</v>
      </c>
      <c r="B132" s="50" t="s">
        <v>5</v>
      </c>
      <c r="C132" s="50" t="s">
        <v>34</v>
      </c>
      <c r="D132" s="50" t="s">
        <v>658</v>
      </c>
      <c r="E132" s="51">
        <v>5</v>
      </c>
      <c r="F132" s="68">
        <v>59990</v>
      </c>
      <c r="G132" s="52">
        <v>299950</v>
      </c>
    </row>
    <row r="133" spans="1:7" s="2" customFormat="1" ht="13.95" customHeight="1" x14ac:dyDescent="0.2">
      <c r="A133" s="50" t="s">
        <v>445</v>
      </c>
      <c r="B133" s="50" t="s">
        <v>6</v>
      </c>
      <c r="C133" s="50" t="s">
        <v>62</v>
      </c>
      <c r="D133" s="50" t="s">
        <v>447</v>
      </c>
      <c r="E133" s="51">
        <v>15</v>
      </c>
      <c r="F133" s="68">
        <v>19990</v>
      </c>
      <c r="G133" s="52">
        <v>299850</v>
      </c>
    </row>
    <row r="134" spans="1:7" s="2" customFormat="1" ht="13.95" customHeight="1" x14ac:dyDescent="0.2">
      <c r="A134" s="50" t="s">
        <v>70</v>
      </c>
      <c r="B134" s="50" t="s">
        <v>4</v>
      </c>
      <c r="C134" s="50" t="s">
        <v>50</v>
      </c>
      <c r="D134" s="50" t="s">
        <v>298</v>
      </c>
      <c r="E134" s="51">
        <v>1</v>
      </c>
      <c r="F134" s="68">
        <v>284990</v>
      </c>
      <c r="G134" s="52">
        <v>284990</v>
      </c>
    </row>
    <row r="135" spans="1:7" s="2" customFormat="1" ht="13.95" customHeight="1" x14ac:dyDescent="0.2">
      <c r="A135" s="50" t="s">
        <v>70</v>
      </c>
      <c r="B135" s="50" t="s">
        <v>4</v>
      </c>
      <c r="C135" s="50" t="s">
        <v>46</v>
      </c>
      <c r="D135" s="50" t="s">
        <v>586</v>
      </c>
      <c r="E135" s="51">
        <v>2</v>
      </c>
      <c r="F135" s="68">
        <v>139990</v>
      </c>
      <c r="G135" s="52">
        <v>279980</v>
      </c>
    </row>
    <row r="136" spans="1:7" s="2" customFormat="1" ht="13.95" customHeight="1" x14ac:dyDescent="0.2">
      <c r="A136" s="50" t="s">
        <v>70</v>
      </c>
      <c r="B136" s="50" t="s">
        <v>5</v>
      </c>
      <c r="C136" s="50" t="s">
        <v>43</v>
      </c>
      <c r="D136" s="50" t="s">
        <v>894</v>
      </c>
      <c r="E136" s="51">
        <v>7</v>
      </c>
      <c r="F136" s="68">
        <v>39990</v>
      </c>
      <c r="G136" s="52">
        <v>279930</v>
      </c>
    </row>
    <row r="137" spans="1:7" s="2" customFormat="1" ht="13.95" customHeight="1" x14ac:dyDescent="0.2">
      <c r="A137" s="50" t="s">
        <v>70</v>
      </c>
      <c r="B137" s="50" t="s">
        <v>4</v>
      </c>
      <c r="C137" s="50" t="s">
        <v>46</v>
      </c>
      <c r="D137" s="50" t="s">
        <v>353</v>
      </c>
      <c r="E137" s="51">
        <v>1</v>
      </c>
      <c r="F137" s="68">
        <v>244990</v>
      </c>
      <c r="G137" s="52">
        <v>244990</v>
      </c>
    </row>
    <row r="138" spans="1:7" s="2" customFormat="1" ht="13.95" customHeight="1" x14ac:dyDescent="0.2">
      <c r="A138" s="50" t="s">
        <v>70</v>
      </c>
      <c r="B138" s="50" t="s">
        <v>11</v>
      </c>
      <c r="C138" s="50" t="s">
        <v>11</v>
      </c>
      <c r="D138" s="50" t="s">
        <v>361</v>
      </c>
      <c r="E138" s="51">
        <v>1</v>
      </c>
      <c r="F138" s="68">
        <v>239990</v>
      </c>
      <c r="G138" s="52">
        <v>239990</v>
      </c>
    </row>
    <row r="139" spans="1:7" s="2" customFormat="1" ht="13.95" customHeight="1" x14ac:dyDescent="0.2">
      <c r="A139" s="50" t="s">
        <v>639</v>
      </c>
      <c r="B139" s="50" t="s">
        <v>9</v>
      </c>
      <c r="C139" s="50" t="s">
        <v>24</v>
      </c>
      <c r="D139" s="50" t="s">
        <v>641</v>
      </c>
      <c r="E139" s="51">
        <v>2</v>
      </c>
      <c r="F139" s="68">
        <v>119990</v>
      </c>
      <c r="G139" s="52">
        <v>239980</v>
      </c>
    </row>
    <row r="140" spans="1:7" s="2" customFormat="1" ht="13.95" customHeight="1" x14ac:dyDescent="0.2">
      <c r="A140" s="50" t="s">
        <v>70</v>
      </c>
      <c r="B140" s="50" t="s">
        <v>4</v>
      </c>
      <c r="C140" s="50" t="s">
        <v>55</v>
      </c>
      <c r="D140" s="50" t="s">
        <v>663</v>
      </c>
      <c r="E140" s="51">
        <v>4</v>
      </c>
      <c r="F140" s="68">
        <v>59990</v>
      </c>
      <c r="G140" s="52">
        <v>239960</v>
      </c>
    </row>
    <row r="141" spans="1:7" s="2" customFormat="1" ht="13.95" customHeight="1" x14ac:dyDescent="0.2">
      <c r="A141" s="50" t="s">
        <v>70</v>
      </c>
      <c r="B141" s="50" t="s">
        <v>7</v>
      </c>
      <c r="C141" s="50" t="s">
        <v>18</v>
      </c>
      <c r="D141" s="50" t="s">
        <v>848</v>
      </c>
      <c r="E141" s="51">
        <v>8</v>
      </c>
      <c r="F141" s="68">
        <v>29990</v>
      </c>
      <c r="G141" s="52">
        <v>239920</v>
      </c>
    </row>
    <row r="142" spans="1:7" s="2" customFormat="1" ht="13.95" customHeight="1" x14ac:dyDescent="0.2">
      <c r="A142" s="50" t="s">
        <v>70</v>
      </c>
      <c r="B142" s="50" t="s">
        <v>7</v>
      </c>
      <c r="C142" s="50" t="s">
        <v>18</v>
      </c>
      <c r="D142" s="50" t="s">
        <v>675</v>
      </c>
      <c r="E142" s="51">
        <v>8</v>
      </c>
      <c r="F142" s="68">
        <v>29990</v>
      </c>
      <c r="G142" s="52">
        <v>239920</v>
      </c>
    </row>
    <row r="143" spans="1:7" s="2" customFormat="1" ht="13.95" customHeight="1" x14ac:dyDescent="0.2">
      <c r="A143" s="50" t="s">
        <v>70</v>
      </c>
      <c r="B143" s="50" t="s">
        <v>5</v>
      </c>
      <c r="C143" s="50" t="s">
        <v>32</v>
      </c>
      <c r="D143" s="50" t="s">
        <v>376</v>
      </c>
      <c r="E143" s="51">
        <v>2</v>
      </c>
      <c r="F143" s="68">
        <v>116990</v>
      </c>
      <c r="G143" s="52">
        <v>233980</v>
      </c>
    </row>
    <row r="144" spans="1:7" s="2" customFormat="1" ht="13.95" customHeight="1" x14ac:dyDescent="0.2">
      <c r="A144" s="50" t="s">
        <v>416</v>
      </c>
      <c r="B144" s="50" t="s">
        <v>8</v>
      </c>
      <c r="C144" s="50" t="s">
        <v>8</v>
      </c>
      <c r="D144" s="50" t="s">
        <v>700</v>
      </c>
      <c r="E144" s="51">
        <v>4</v>
      </c>
      <c r="F144" s="68">
        <v>55990</v>
      </c>
      <c r="G144" s="52">
        <v>223960</v>
      </c>
    </row>
    <row r="145" spans="1:7" s="2" customFormat="1" ht="13.95" customHeight="1" x14ac:dyDescent="0.2">
      <c r="A145" s="50" t="s">
        <v>70</v>
      </c>
      <c r="B145" s="50" t="s">
        <v>5</v>
      </c>
      <c r="C145" s="50" t="s">
        <v>30</v>
      </c>
      <c r="D145" s="50" t="s">
        <v>1017</v>
      </c>
      <c r="E145" s="51">
        <v>4</v>
      </c>
      <c r="F145" s="68">
        <v>55990</v>
      </c>
      <c r="G145" s="52">
        <v>223960</v>
      </c>
    </row>
    <row r="146" spans="1:7" s="2" customFormat="1" ht="13.95" customHeight="1" x14ac:dyDescent="0.2">
      <c r="A146" s="50" t="s">
        <v>121</v>
      </c>
      <c r="B146" s="50" t="s">
        <v>7</v>
      </c>
      <c r="C146" s="50" t="s">
        <v>19</v>
      </c>
      <c r="D146" s="50" t="s">
        <v>400</v>
      </c>
      <c r="E146" s="51">
        <v>1</v>
      </c>
      <c r="F146" s="68">
        <v>219990</v>
      </c>
      <c r="G146" s="52">
        <v>219990</v>
      </c>
    </row>
    <row r="147" spans="1:7" s="2" customFormat="1" ht="13.95" customHeight="1" x14ac:dyDescent="0.2">
      <c r="A147" s="50" t="s">
        <v>70</v>
      </c>
      <c r="B147" s="50" t="s">
        <v>7</v>
      </c>
      <c r="C147" s="50" t="s">
        <v>18</v>
      </c>
      <c r="D147" s="50" t="s">
        <v>579</v>
      </c>
      <c r="E147" s="51">
        <v>7</v>
      </c>
      <c r="F147" s="68">
        <v>29990</v>
      </c>
      <c r="G147" s="52">
        <v>209930</v>
      </c>
    </row>
    <row r="148" spans="1:7" s="2" customFormat="1" ht="13.95" customHeight="1" x14ac:dyDescent="0.2">
      <c r="A148" s="50" t="s">
        <v>70</v>
      </c>
      <c r="B148" s="50" t="s">
        <v>7</v>
      </c>
      <c r="C148" s="50" t="s">
        <v>18</v>
      </c>
      <c r="D148" s="50" t="s">
        <v>673</v>
      </c>
      <c r="E148" s="51">
        <v>7</v>
      </c>
      <c r="F148" s="68">
        <v>29990</v>
      </c>
      <c r="G148" s="52">
        <v>209930</v>
      </c>
    </row>
    <row r="149" spans="1:7" s="2" customFormat="1" ht="13.95" customHeight="1" x14ac:dyDescent="0.2">
      <c r="A149" s="50" t="s">
        <v>70</v>
      </c>
      <c r="B149" s="50" t="s">
        <v>7</v>
      </c>
      <c r="C149" s="50" t="s">
        <v>18</v>
      </c>
      <c r="D149" s="50" t="s">
        <v>851</v>
      </c>
      <c r="E149" s="51">
        <v>7</v>
      </c>
      <c r="F149" s="68">
        <v>29990</v>
      </c>
      <c r="G149" s="52">
        <v>209930</v>
      </c>
    </row>
    <row r="150" spans="1:7" s="2" customFormat="1" ht="13.95" customHeight="1" x14ac:dyDescent="0.2">
      <c r="A150" s="50" t="s">
        <v>70</v>
      </c>
      <c r="B150" s="50" t="s">
        <v>4</v>
      </c>
      <c r="C150" s="50" t="s">
        <v>48</v>
      </c>
      <c r="D150" s="50" t="s">
        <v>423</v>
      </c>
      <c r="E150" s="51">
        <v>1</v>
      </c>
      <c r="F150" s="68">
        <v>199990</v>
      </c>
      <c r="G150" s="52">
        <v>199990</v>
      </c>
    </row>
    <row r="151" spans="1:7" s="2" customFormat="1" ht="13.95" customHeight="1" x14ac:dyDescent="0.2">
      <c r="A151" s="50" t="s">
        <v>70</v>
      </c>
      <c r="B151" s="50" t="s">
        <v>5</v>
      </c>
      <c r="C151" s="50" t="s">
        <v>34</v>
      </c>
      <c r="D151" s="50" t="s">
        <v>431</v>
      </c>
      <c r="E151" s="51">
        <v>2</v>
      </c>
      <c r="F151" s="68">
        <v>99990</v>
      </c>
      <c r="G151" s="52">
        <v>199980</v>
      </c>
    </row>
    <row r="152" spans="1:7" s="2" customFormat="1" ht="13.95" customHeight="1" x14ac:dyDescent="0.2">
      <c r="A152" s="50" t="s">
        <v>532</v>
      </c>
      <c r="B152" s="50" t="s">
        <v>7</v>
      </c>
      <c r="C152" s="50" t="s">
        <v>23</v>
      </c>
      <c r="D152" s="50" t="s">
        <v>898</v>
      </c>
      <c r="E152" s="51">
        <v>5</v>
      </c>
      <c r="F152" s="68">
        <v>39990</v>
      </c>
      <c r="G152" s="52">
        <v>199950</v>
      </c>
    </row>
    <row r="153" spans="1:7" s="2" customFormat="1" ht="13.95" customHeight="1" x14ac:dyDescent="0.2">
      <c r="A153" s="50" t="s">
        <v>70</v>
      </c>
      <c r="B153" s="50" t="s">
        <v>5</v>
      </c>
      <c r="C153" s="50" t="s">
        <v>32</v>
      </c>
      <c r="D153" s="50" t="s">
        <v>450</v>
      </c>
      <c r="E153" s="51">
        <v>3</v>
      </c>
      <c r="F153" s="68">
        <v>65990</v>
      </c>
      <c r="G153" s="52">
        <v>197970</v>
      </c>
    </row>
    <row r="154" spans="1:7" s="2" customFormat="1" ht="13.95" customHeight="1" x14ac:dyDescent="0.2">
      <c r="A154" s="50" t="s">
        <v>70</v>
      </c>
      <c r="B154" s="50" t="s">
        <v>5</v>
      </c>
      <c r="C154" s="50" t="s">
        <v>34</v>
      </c>
      <c r="D154" s="50" t="s">
        <v>470</v>
      </c>
      <c r="E154" s="51">
        <v>2</v>
      </c>
      <c r="F154" s="68">
        <v>94990</v>
      </c>
      <c r="G154" s="52">
        <v>189980</v>
      </c>
    </row>
    <row r="155" spans="1:7" s="2" customFormat="1" ht="13.95" customHeight="1" x14ac:dyDescent="0.2">
      <c r="A155" s="50" t="s">
        <v>70</v>
      </c>
      <c r="B155" s="50" t="s">
        <v>7</v>
      </c>
      <c r="C155" s="50" t="s">
        <v>18</v>
      </c>
      <c r="D155" s="50" t="s">
        <v>855</v>
      </c>
      <c r="E155" s="51">
        <v>6</v>
      </c>
      <c r="F155" s="68">
        <v>29990</v>
      </c>
      <c r="G155" s="52">
        <v>179940</v>
      </c>
    </row>
    <row r="156" spans="1:7" s="2" customFormat="1" ht="13.95" customHeight="1" x14ac:dyDescent="0.2">
      <c r="A156" s="50" t="s">
        <v>70</v>
      </c>
      <c r="B156" s="50" t="s">
        <v>4</v>
      </c>
      <c r="C156" s="50" t="s">
        <v>51</v>
      </c>
      <c r="D156" s="50" t="s">
        <v>501</v>
      </c>
      <c r="E156" s="51">
        <v>2</v>
      </c>
      <c r="F156" s="68">
        <v>88990</v>
      </c>
      <c r="G156" s="52">
        <v>177980</v>
      </c>
    </row>
    <row r="157" spans="1:7" s="2" customFormat="1" ht="13.95" customHeight="1" x14ac:dyDescent="0.2">
      <c r="A157" s="50" t="s">
        <v>532</v>
      </c>
      <c r="B157" s="50" t="s">
        <v>6</v>
      </c>
      <c r="C157" s="50" t="s">
        <v>59</v>
      </c>
      <c r="D157" s="50" t="s">
        <v>534</v>
      </c>
      <c r="E157" s="51">
        <v>1</v>
      </c>
      <c r="F157" s="68">
        <v>159990</v>
      </c>
      <c r="G157" s="52">
        <v>159990</v>
      </c>
    </row>
    <row r="158" spans="1:7" s="2" customFormat="1" ht="13.95" customHeight="1" x14ac:dyDescent="0.2">
      <c r="A158" s="50" t="s">
        <v>70</v>
      </c>
      <c r="B158" s="50" t="s">
        <v>7</v>
      </c>
      <c r="C158" s="50" t="s">
        <v>17</v>
      </c>
      <c r="D158" s="50" t="s">
        <v>889</v>
      </c>
      <c r="E158" s="51">
        <v>4</v>
      </c>
      <c r="F158" s="68">
        <v>39990</v>
      </c>
      <c r="G158" s="52">
        <v>159960</v>
      </c>
    </row>
    <row r="159" spans="1:7" s="2" customFormat="1" ht="13.95" customHeight="1" x14ac:dyDescent="0.2">
      <c r="A159" s="50" t="s">
        <v>70</v>
      </c>
      <c r="B159" s="50" t="s">
        <v>5</v>
      </c>
      <c r="C159" s="50" t="s">
        <v>34</v>
      </c>
      <c r="D159" s="50" t="s">
        <v>724</v>
      </c>
      <c r="E159" s="51">
        <v>3</v>
      </c>
      <c r="F159" s="68">
        <v>51990</v>
      </c>
      <c r="G159" s="52">
        <v>155970</v>
      </c>
    </row>
    <row r="160" spans="1:7" s="2" customFormat="1" ht="13.95" customHeight="1" x14ac:dyDescent="0.2">
      <c r="A160" s="50" t="s">
        <v>1024</v>
      </c>
      <c r="B160" s="50" t="s">
        <v>6</v>
      </c>
      <c r="C160" s="50" t="s">
        <v>64</v>
      </c>
      <c r="D160" s="50" t="s">
        <v>1026</v>
      </c>
      <c r="E160" s="51">
        <v>22</v>
      </c>
      <c r="F160" s="68">
        <v>7085</v>
      </c>
      <c r="G160" s="52">
        <v>155880</v>
      </c>
    </row>
    <row r="161" spans="1:7" s="2" customFormat="1" ht="13.95" customHeight="1" x14ac:dyDescent="0.2">
      <c r="A161" s="50" t="s">
        <v>165</v>
      </c>
      <c r="B161" s="50" t="s">
        <v>4</v>
      </c>
      <c r="C161" s="50" t="s">
        <v>49</v>
      </c>
      <c r="D161" s="50" t="s">
        <v>558</v>
      </c>
      <c r="E161" s="51">
        <v>1</v>
      </c>
      <c r="F161" s="68">
        <v>149990</v>
      </c>
      <c r="G161" s="52">
        <v>149990</v>
      </c>
    </row>
    <row r="162" spans="1:7" s="2" customFormat="1" ht="13.95" customHeight="1" x14ac:dyDescent="0.2">
      <c r="A162" s="50" t="s">
        <v>70</v>
      </c>
      <c r="B162" s="50" t="s">
        <v>5</v>
      </c>
      <c r="C162" s="50" t="s">
        <v>33</v>
      </c>
      <c r="D162" s="50" t="s">
        <v>564</v>
      </c>
      <c r="E162" s="51">
        <v>3</v>
      </c>
      <c r="F162" s="68">
        <v>49990</v>
      </c>
      <c r="G162" s="52">
        <v>149970</v>
      </c>
    </row>
    <row r="163" spans="1:7" s="2" customFormat="1" ht="13.95" customHeight="1" x14ac:dyDescent="0.2">
      <c r="A163" s="50" t="s">
        <v>900</v>
      </c>
      <c r="B163" s="50" t="s">
        <v>6</v>
      </c>
      <c r="C163" s="50" t="s">
        <v>57</v>
      </c>
      <c r="D163" s="50" t="s">
        <v>1117</v>
      </c>
      <c r="E163" s="51">
        <v>3</v>
      </c>
      <c r="F163" s="68">
        <v>49990</v>
      </c>
      <c r="G163" s="52">
        <v>149970</v>
      </c>
    </row>
    <row r="164" spans="1:7" s="2" customFormat="1" ht="13.95" customHeight="1" x14ac:dyDescent="0.2">
      <c r="A164" s="50" t="s">
        <v>70</v>
      </c>
      <c r="B164" s="50" t="s">
        <v>5</v>
      </c>
      <c r="C164" s="50" t="s">
        <v>39</v>
      </c>
      <c r="D164" s="50" t="s">
        <v>1073</v>
      </c>
      <c r="E164" s="51">
        <v>11</v>
      </c>
      <c r="F164" s="68">
        <v>12990</v>
      </c>
      <c r="G164" s="52">
        <v>142890</v>
      </c>
    </row>
    <row r="165" spans="1:7" s="2" customFormat="1" ht="13.95" customHeight="1" x14ac:dyDescent="0.2">
      <c r="A165" s="50" t="s">
        <v>70</v>
      </c>
      <c r="B165" s="50" t="s">
        <v>5</v>
      </c>
      <c r="C165" s="50" t="s">
        <v>45</v>
      </c>
      <c r="D165" s="50" t="s">
        <v>931</v>
      </c>
      <c r="E165" s="51">
        <v>4</v>
      </c>
      <c r="F165" s="68">
        <v>34990</v>
      </c>
      <c r="G165" s="52">
        <v>139960</v>
      </c>
    </row>
    <row r="166" spans="1:7" s="2" customFormat="1" ht="13.95" customHeight="1" x14ac:dyDescent="0.2">
      <c r="A166" s="50" t="s">
        <v>70</v>
      </c>
      <c r="B166" s="50" t="s">
        <v>4</v>
      </c>
      <c r="C166" s="50" t="s">
        <v>48</v>
      </c>
      <c r="D166" s="50" t="s">
        <v>619</v>
      </c>
      <c r="E166" s="51">
        <v>2</v>
      </c>
      <c r="F166" s="68">
        <v>64990</v>
      </c>
      <c r="G166" s="52">
        <v>129980</v>
      </c>
    </row>
    <row r="167" spans="1:7" s="2" customFormat="1" ht="13.95" customHeight="1" x14ac:dyDescent="0.2">
      <c r="A167" s="50" t="s">
        <v>70</v>
      </c>
      <c r="B167" s="50" t="s">
        <v>4</v>
      </c>
      <c r="C167" s="50" t="s">
        <v>54</v>
      </c>
      <c r="D167" s="50" t="s">
        <v>628</v>
      </c>
      <c r="E167" s="51">
        <v>1</v>
      </c>
      <c r="F167" s="68">
        <v>127990</v>
      </c>
      <c r="G167" s="52">
        <v>127990</v>
      </c>
    </row>
    <row r="168" spans="1:7" s="2" customFormat="1" ht="13.95" customHeight="1" x14ac:dyDescent="0.2">
      <c r="A168" s="50" t="s">
        <v>70</v>
      </c>
      <c r="B168" s="50" t="s">
        <v>7</v>
      </c>
      <c r="C168" s="50" t="s">
        <v>18</v>
      </c>
      <c r="D168" s="50" t="s">
        <v>790</v>
      </c>
      <c r="E168" s="51">
        <v>8</v>
      </c>
      <c r="F168" s="68">
        <v>15990</v>
      </c>
      <c r="G168" s="52">
        <v>127920</v>
      </c>
    </row>
    <row r="169" spans="1:7" s="2" customFormat="1" ht="13.95" customHeight="1" x14ac:dyDescent="0.2">
      <c r="A169" s="50" t="s">
        <v>70</v>
      </c>
      <c r="B169" s="50" t="s">
        <v>5</v>
      </c>
      <c r="C169" s="50" t="s">
        <v>36</v>
      </c>
      <c r="D169" s="50" t="s">
        <v>892</v>
      </c>
      <c r="E169" s="51">
        <v>3</v>
      </c>
      <c r="F169" s="68">
        <v>39990</v>
      </c>
      <c r="G169" s="52">
        <v>119970</v>
      </c>
    </row>
    <row r="170" spans="1:7" s="2" customFormat="1" ht="13.95" customHeight="1" x14ac:dyDescent="0.2">
      <c r="A170" s="50" t="s">
        <v>900</v>
      </c>
      <c r="B170" s="50" t="s">
        <v>6</v>
      </c>
      <c r="C170" s="50" t="s">
        <v>57</v>
      </c>
      <c r="D170" s="50" t="s">
        <v>1184</v>
      </c>
      <c r="E170" s="51">
        <v>3</v>
      </c>
      <c r="F170" s="68">
        <v>39990</v>
      </c>
      <c r="G170" s="52">
        <v>119970</v>
      </c>
    </row>
    <row r="171" spans="1:7" s="2" customFormat="1" ht="13.95" customHeight="1" x14ac:dyDescent="0.2">
      <c r="A171" s="50" t="s">
        <v>70</v>
      </c>
      <c r="B171" s="50" t="s">
        <v>7</v>
      </c>
      <c r="C171" s="50" t="s">
        <v>18</v>
      </c>
      <c r="D171" s="50" t="s">
        <v>844</v>
      </c>
      <c r="E171" s="51">
        <v>4</v>
      </c>
      <c r="F171" s="68">
        <v>29990</v>
      </c>
      <c r="G171" s="52">
        <v>119960</v>
      </c>
    </row>
    <row r="172" spans="1:7" s="2" customFormat="1" ht="13.95" customHeight="1" x14ac:dyDescent="0.2">
      <c r="A172" s="50" t="s">
        <v>70</v>
      </c>
      <c r="B172" s="50" t="s">
        <v>7</v>
      </c>
      <c r="C172" s="50" t="s">
        <v>18</v>
      </c>
      <c r="D172" s="50" t="s">
        <v>991</v>
      </c>
      <c r="E172" s="51">
        <v>4</v>
      </c>
      <c r="F172" s="68">
        <v>29990</v>
      </c>
      <c r="G172" s="52">
        <v>119960</v>
      </c>
    </row>
    <row r="173" spans="1:7" s="2" customFormat="1" ht="13.95" customHeight="1" x14ac:dyDescent="0.2">
      <c r="A173" s="50" t="s">
        <v>445</v>
      </c>
      <c r="B173" s="50" t="s">
        <v>6</v>
      </c>
      <c r="C173" s="50" t="s">
        <v>62</v>
      </c>
      <c r="D173" s="50" t="s">
        <v>997</v>
      </c>
      <c r="E173" s="51">
        <v>6</v>
      </c>
      <c r="F173" s="68">
        <v>19990</v>
      </c>
      <c r="G173" s="52">
        <v>119940</v>
      </c>
    </row>
    <row r="174" spans="1:7" s="2" customFormat="1" ht="13.95" customHeight="1" x14ac:dyDescent="0.2">
      <c r="A174" s="50" t="s">
        <v>70</v>
      </c>
      <c r="B174" s="50" t="s">
        <v>5</v>
      </c>
      <c r="C174" s="50" t="s">
        <v>37</v>
      </c>
      <c r="D174" s="50" t="s">
        <v>1202</v>
      </c>
      <c r="E174" s="51">
        <v>23</v>
      </c>
      <c r="F174" s="68">
        <v>4990</v>
      </c>
      <c r="G174" s="52">
        <v>114770</v>
      </c>
    </row>
    <row r="175" spans="1:7" s="2" customFormat="1" ht="13.95" customHeight="1" x14ac:dyDescent="0.2">
      <c r="A175" s="50" t="s">
        <v>70</v>
      </c>
      <c r="B175" s="50" t="s">
        <v>4</v>
      </c>
      <c r="C175" s="50" t="s">
        <v>46</v>
      </c>
      <c r="D175" s="50" t="s">
        <v>704</v>
      </c>
      <c r="E175" s="51">
        <v>1</v>
      </c>
      <c r="F175" s="68">
        <v>109990</v>
      </c>
      <c r="G175" s="52">
        <v>109990</v>
      </c>
    </row>
    <row r="176" spans="1:7" s="2" customFormat="1" ht="13.95" customHeight="1" x14ac:dyDescent="0.2">
      <c r="A176" s="50" t="s">
        <v>70</v>
      </c>
      <c r="B176" s="50" t="s">
        <v>7</v>
      </c>
      <c r="C176" s="50" t="s">
        <v>15</v>
      </c>
      <c r="D176" s="50" t="s">
        <v>1029</v>
      </c>
      <c r="E176" s="51">
        <v>4</v>
      </c>
      <c r="F176" s="68">
        <v>26990</v>
      </c>
      <c r="G176" s="52">
        <v>107960</v>
      </c>
    </row>
    <row r="177" spans="1:7" s="2" customFormat="1" ht="13.95" customHeight="1" x14ac:dyDescent="0.2">
      <c r="A177" s="50" t="s">
        <v>70</v>
      </c>
      <c r="B177" s="50" t="s">
        <v>5</v>
      </c>
      <c r="C177" s="50" t="s">
        <v>42</v>
      </c>
      <c r="D177" s="50" t="s">
        <v>742</v>
      </c>
      <c r="E177" s="51">
        <v>1</v>
      </c>
      <c r="F177" s="68">
        <v>99990</v>
      </c>
      <c r="G177" s="52">
        <v>99990</v>
      </c>
    </row>
    <row r="178" spans="1:7" s="2" customFormat="1" ht="13.95" customHeight="1" x14ac:dyDescent="0.2">
      <c r="A178" s="50" t="s">
        <v>759</v>
      </c>
      <c r="B178" s="50" t="s">
        <v>9</v>
      </c>
      <c r="C178" s="50" t="s">
        <v>27</v>
      </c>
      <c r="D178" s="50" t="s">
        <v>761</v>
      </c>
      <c r="E178" s="51">
        <v>1</v>
      </c>
      <c r="F178" s="68">
        <v>99990</v>
      </c>
      <c r="G178" s="52">
        <v>99990</v>
      </c>
    </row>
    <row r="179" spans="1:7" s="2" customFormat="1" ht="13.95" customHeight="1" x14ac:dyDescent="0.2">
      <c r="A179" s="50" t="s">
        <v>759</v>
      </c>
      <c r="B179" s="50" t="s">
        <v>9</v>
      </c>
      <c r="C179" s="50" t="s">
        <v>27</v>
      </c>
      <c r="D179" s="50" t="s">
        <v>763</v>
      </c>
      <c r="E179" s="51">
        <v>1</v>
      </c>
      <c r="F179" s="68">
        <v>99990</v>
      </c>
      <c r="G179" s="52">
        <v>99990</v>
      </c>
    </row>
    <row r="180" spans="1:7" s="2" customFormat="1" ht="13.95" customHeight="1" x14ac:dyDescent="0.2">
      <c r="A180" s="50" t="s">
        <v>362</v>
      </c>
      <c r="B180" s="50" t="s">
        <v>9</v>
      </c>
      <c r="C180" s="50" t="s">
        <v>25</v>
      </c>
      <c r="D180" s="50" t="s">
        <v>765</v>
      </c>
      <c r="E180" s="51">
        <v>1</v>
      </c>
      <c r="F180" s="68">
        <v>99990</v>
      </c>
      <c r="G180" s="52">
        <v>99990</v>
      </c>
    </row>
    <row r="181" spans="1:7" s="2" customFormat="1" ht="13.95" customHeight="1" x14ac:dyDescent="0.2">
      <c r="A181" s="50" t="s">
        <v>1096</v>
      </c>
      <c r="B181" s="50" t="s">
        <v>6</v>
      </c>
      <c r="C181" s="50" t="s">
        <v>62</v>
      </c>
      <c r="D181" s="50" t="s">
        <v>1098</v>
      </c>
      <c r="E181" s="51">
        <v>2</v>
      </c>
      <c r="F181" s="68">
        <v>49990</v>
      </c>
      <c r="G181" s="52">
        <v>99980</v>
      </c>
    </row>
    <row r="182" spans="1:7" s="2" customFormat="1" ht="13.95" customHeight="1" x14ac:dyDescent="0.2">
      <c r="A182" s="50" t="s">
        <v>70</v>
      </c>
      <c r="B182" s="50" t="s">
        <v>5</v>
      </c>
      <c r="C182" s="50" t="s">
        <v>44</v>
      </c>
      <c r="D182" s="50" t="s">
        <v>1373</v>
      </c>
      <c r="E182" s="51">
        <v>11</v>
      </c>
      <c r="F182" s="68">
        <v>8990</v>
      </c>
      <c r="G182" s="52">
        <v>98890</v>
      </c>
    </row>
    <row r="183" spans="1:7" s="2" customFormat="1" ht="13.95" customHeight="1" x14ac:dyDescent="0.2">
      <c r="A183" s="50" t="s">
        <v>791</v>
      </c>
      <c r="B183" s="50" t="s">
        <v>4</v>
      </c>
      <c r="C183" s="50" t="s">
        <v>46</v>
      </c>
      <c r="D183" s="50" t="s">
        <v>793</v>
      </c>
      <c r="E183" s="51">
        <v>1</v>
      </c>
      <c r="F183" s="68">
        <v>94990</v>
      </c>
      <c r="G183" s="52">
        <v>94990</v>
      </c>
    </row>
    <row r="184" spans="1:7" s="2" customFormat="1" ht="13.95" customHeight="1" x14ac:dyDescent="0.2">
      <c r="A184" s="50" t="s">
        <v>639</v>
      </c>
      <c r="B184" s="50" t="s">
        <v>9</v>
      </c>
      <c r="C184" s="50" t="s">
        <v>25</v>
      </c>
      <c r="D184" s="50" t="s">
        <v>815</v>
      </c>
      <c r="E184" s="51">
        <v>1</v>
      </c>
      <c r="F184" s="68">
        <v>89990</v>
      </c>
      <c r="G184" s="52">
        <v>89990</v>
      </c>
    </row>
    <row r="185" spans="1:7" s="2" customFormat="1" ht="13.95" customHeight="1" x14ac:dyDescent="0.2">
      <c r="A185" s="50" t="s">
        <v>639</v>
      </c>
      <c r="B185" s="50" t="s">
        <v>9</v>
      </c>
      <c r="C185" s="50" t="s">
        <v>25</v>
      </c>
      <c r="D185" s="50" t="s">
        <v>817</v>
      </c>
      <c r="E185" s="51">
        <v>1</v>
      </c>
      <c r="F185" s="68">
        <v>89990</v>
      </c>
      <c r="G185" s="52">
        <v>89990</v>
      </c>
    </row>
    <row r="186" spans="1:7" s="2" customFormat="1" ht="13.95" customHeight="1" x14ac:dyDescent="0.2">
      <c r="A186" s="50" t="s">
        <v>70</v>
      </c>
      <c r="B186" s="50" t="s">
        <v>7</v>
      </c>
      <c r="C186" s="50" t="s">
        <v>15</v>
      </c>
      <c r="D186" s="50" t="s">
        <v>1253</v>
      </c>
      <c r="E186" s="51">
        <v>3</v>
      </c>
      <c r="F186" s="68">
        <v>29990</v>
      </c>
      <c r="G186" s="52">
        <v>89970</v>
      </c>
    </row>
    <row r="187" spans="1:7" s="2" customFormat="1" ht="13.95" customHeight="1" x14ac:dyDescent="0.2">
      <c r="A187" s="50" t="s">
        <v>70</v>
      </c>
      <c r="B187" s="50" t="s">
        <v>7</v>
      </c>
      <c r="C187" s="50" t="s">
        <v>18</v>
      </c>
      <c r="D187" s="50" t="s">
        <v>841</v>
      </c>
      <c r="E187" s="51">
        <v>3</v>
      </c>
      <c r="F187" s="68">
        <v>29990</v>
      </c>
      <c r="G187" s="52">
        <v>89970</v>
      </c>
    </row>
    <row r="188" spans="1:7" s="2" customFormat="1" ht="13.95" customHeight="1" x14ac:dyDescent="0.2">
      <c r="A188" s="50" t="s">
        <v>70</v>
      </c>
      <c r="B188" s="50" t="s">
        <v>7</v>
      </c>
      <c r="C188" s="50" t="s">
        <v>18</v>
      </c>
      <c r="D188" s="50" t="s">
        <v>985</v>
      </c>
      <c r="E188" s="51">
        <v>3</v>
      </c>
      <c r="F188" s="68">
        <v>29990</v>
      </c>
      <c r="G188" s="52">
        <v>89970</v>
      </c>
    </row>
    <row r="189" spans="1:7" s="2" customFormat="1" ht="13.95" customHeight="1" x14ac:dyDescent="0.2">
      <c r="A189" s="50" t="s">
        <v>70</v>
      </c>
      <c r="B189" s="50" t="s">
        <v>7</v>
      </c>
      <c r="C189" s="50" t="s">
        <v>18</v>
      </c>
      <c r="D189" s="50" t="s">
        <v>1261</v>
      </c>
      <c r="E189" s="51">
        <v>3</v>
      </c>
      <c r="F189" s="68">
        <v>29990</v>
      </c>
      <c r="G189" s="52">
        <v>89970</v>
      </c>
    </row>
    <row r="190" spans="1:7" s="2" customFormat="1" ht="13.95" customHeight="1" x14ac:dyDescent="0.2">
      <c r="A190" s="50" t="s">
        <v>70</v>
      </c>
      <c r="B190" s="50" t="s">
        <v>7</v>
      </c>
      <c r="C190" s="50" t="s">
        <v>18</v>
      </c>
      <c r="D190" s="50" t="s">
        <v>853</v>
      </c>
      <c r="E190" s="51">
        <v>3</v>
      </c>
      <c r="F190" s="68">
        <v>29990</v>
      </c>
      <c r="G190" s="52">
        <v>89970</v>
      </c>
    </row>
    <row r="191" spans="1:7" s="2" customFormat="1" ht="13.95" customHeight="1" x14ac:dyDescent="0.2">
      <c r="A191" s="50" t="s">
        <v>70</v>
      </c>
      <c r="B191" s="50" t="s">
        <v>7</v>
      </c>
      <c r="C191" s="50" t="s">
        <v>18</v>
      </c>
      <c r="D191" s="50" t="s">
        <v>995</v>
      </c>
      <c r="E191" s="51">
        <v>3</v>
      </c>
      <c r="F191" s="68">
        <v>29990</v>
      </c>
      <c r="G191" s="52">
        <v>89970</v>
      </c>
    </row>
    <row r="192" spans="1:7" s="2" customFormat="1" ht="13.95" customHeight="1" x14ac:dyDescent="0.2">
      <c r="A192" s="50" t="s">
        <v>70</v>
      </c>
      <c r="B192" s="50" t="s">
        <v>7</v>
      </c>
      <c r="C192" s="50" t="s">
        <v>18</v>
      </c>
      <c r="D192" s="50" t="s">
        <v>1274</v>
      </c>
      <c r="E192" s="51">
        <v>3</v>
      </c>
      <c r="F192" s="68">
        <v>29990</v>
      </c>
      <c r="G192" s="52">
        <v>89970</v>
      </c>
    </row>
    <row r="193" spans="1:7" s="2" customFormat="1" ht="13.95" customHeight="1" x14ac:dyDescent="0.2">
      <c r="A193" s="50" t="s">
        <v>70</v>
      </c>
      <c r="B193" s="50" t="s">
        <v>4</v>
      </c>
      <c r="C193" s="50" t="s">
        <v>55</v>
      </c>
      <c r="D193" s="50" t="s">
        <v>879</v>
      </c>
      <c r="E193" s="51">
        <v>1</v>
      </c>
      <c r="F193" s="68">
        <v>79990</v>
      </c>
      <c r="G193" s="52">
        <v>79990</v>
      </c>
    </row>
    <row r="194" spans="1:7" s="2" customFormat="1" ht="13.95" customHeight="1" x14ac:dyDescent="0.2">
      <c r="A194" s="50" t="s">
        <v>880</v>
      </c>
      <c r="B194" s="50" t="s">
        <v>7</v>
      </c>
      <c r="C194" s="50" t="s">
        <v>14</v>
      </c>
      <c r="D194" s="50" t="s">
        <v>882</v>
      </c>
      <c r="E194" s="51">
        <v>1</v>
      </c>
      <c r="F194" s="68">
        <v>79990</v>
      </c>
      <c r="G194" s="52">
        <v>79990</v>
      </c>
    </row>
    <row r="195" spans="1:7" s="2" customFormat="1" ht="13.95" customHeight="1" x14ac:dyDescent="0.2">
      <c r="A195" s="50" t="s">
        <v>900</v>
      </c>
      <c r="B195" s="50" t="s">
        <v>6</v>
      </c>
      <c r="C195" s="50" t="s">
        <v>57</v>
      </c>
      <c r="D195" s="50" t="s">
        <v>902</v>
      </c>
      <c r="E195" s="51">
        <v>2</v>
      </c>
      <c r="F195" s="68">
        <v>39990</v>
      </c>
      <c r="G195" s="52">
        <v>79980</v>
      </c>
    </row>
    <row r="196" spans="1:7" s="2" customFormat="1" ht="13.95" customHeight="1" x14ac:dyDescent="0.2">
      <c r="A196" s="50" t="s">
        <v>900</v>
      </c>
      <c r="B196" s="50" t="s">
        <v>6</v>
      </c>
      <c r="C196" s="50" t="s">
        <v>57</v>
      </c>
      <c r="D196" s="50" t="s">
        <v>1189</v>
      </c>
      <c r="E196" s="51">
        <v>2</v>
      </c>
      <c r="F196" s="68">
        <v>39990</v>
      </c>
      <c r="G196" s="52">
        <v>79980</v>
      </c>
    </row>
    <row r="197" spans="1:7" s="2" customFormat="1" ht="13.95" customHeight="1" x14ac:dyDescent="0.2">
      <c r="A197" s="50" t="s">
        <v>900</v>
      </c>
      <c r="B197" s="50" t="s">
        <v>6</v>
      </c>
      <c r="C197" s="50" t="s">
        <v>57</v>
      </c>
      <c r="D197" s="50" t="s">
        <v>1192</v>
      </c>
      <c r="E197" s="51">
        <v>2</v>
      </c>
      <c r="F197" s="68">
        <v>39990</v>
      </c>
      <c r="G197" s="52">
        <v>79980</v>
      </c>
    </row>
    <row r="198" spans="1:7" s="2" customFormat="1" ht="13.95" customHeight="1" x14ac:dyDescent="0.2">
      <c r="A198" s="50" t="s">
        <v>900</v>
      </c>
      <c r="B198" s="50" t="s">
        <v>6</v>
      </c>
      <c r="C198" s="50" t="s">
        <v>57</v>
      </c>
      <c r="D198" s="50" t="s">
        <v>905</v>
      </c>
      <c r="E198" s="51">
        <v>2</v>
      </c>
      <c r="F198" s="68">
        <v>39990</v>
      </c>
      <c r="G198" s="52">
        <v>79980</v>
      </c>
    </row>
    <row r="199" spans="1:7" s="2" customFormat="1" ht="13.95" customHeight="1" x14ac:dyDescent="0.2">
      <c r="A199" s="50" t="s">
        <v>70</v>
      </c>
      <c r="B199" s="50" t="s">
        <v>7</v>
      </c>
      <c r="C199" s="50" t="s">
        <v>18</v>
      </c>
      <c r="D199" s="50" t="s">
        <v>1297</v>
      </c>
      <c r="E199" s="51">
        <v>6</v>
      </c>
      <c r="F199" s="68">
        <v>12990</v>
      </c>
      <c r="G199" s="52">
        <v>77940</v>
      </c>
    </row>
    <row r="200" spans="1:7" s="2" customFormat="1" ht="13.95" customHeight="1" x14ac:dyDescent="0.2">
      <c r="A200" s="50" t="s">
        <v>70</v>
      </c>
      <c r="B200" s="50" t="s">
        <v>5</v>
      </c>
      <c r="C200" s="50" t="s">
        <v>32</v>
      </c>
      <c r="D200" s="50" t="s">
        <v>917</v>
      </c>
      <c r="E200" s="51">
        <v>2</v>
      </c>
      <c r="F200" s="68">
        <v>36990</v>
      </c>
      <c r="G200" s="52">
        <v>73980</v>
      </c>
    </row>
    <row r="201" spans="1:7" s="2" customFormat="1" ht="13.95" customHeight="1" x14ac:dyDescent="0.2">
      <c r="A201" s="50" t="s">
        <v>70</v>
      </c>
      <c r="B201" s="50" t="s">
        <v>5</v>
      </c>
      <c r="C201" s="50" t="s">
        <v>43</v>
      </c>
      <c r="D201" s="50" t="s">
        <v>1211</v>
      </c>
      <c r="E201" s="51">
        <v>2</v>
      </c>
      <c r="F201" s="68">
        <v>35990</v>
      </c>
      <c r="G201" s="52">
        <v>71980</v>
      </c>
    </row>
    <row r="202" spans="1:7" s="2" customFormat="1" ht="13.95" customHeight="1" x14ac:dyDescent="0.2">
      <c r="A202" s="50" t="s">
        <v>1329</v>
      </c>
      <c r="B202" s="50" t="s">
        <v>6</v>
      </c>
      <c r="C202" s="50" t="s">
        <v>64</v>
      </c>
      <c r="D202" s="50" t="s">
        <v>1331</v>
      </c>
      <c r="E202" s="51">
        <v>10</v>
      </c>
      <c r="F202" s="68">
        <v>7194</v>
      </c>
      <c r="G202" s="52">
        <v>71940</v>
      </c>
    </row>
    <row r="203" spans="1:7" s="2" customFormat="1" ht="13.95" customHeight="1" x14ac:dyDescent="0.2">
      <c r="A203" s="50" t="s">
        <v>70</v>
      </c>
      <c r="B203" s="50" t="s">
        <v>5</v>
      </c>
      <c r="C203" s="50" t="s">
        <v>37</v>
      </c>
      <c r="D203" s="50" t="s">
        <v>1219</v>
      </c>
      <c r="E203" s="51">
        <v>12</v>
      </c>
      <c r="F203" s="68">
        <v>5990</v>
      </c>
      <c r="G203" s="52">
        <v>71880</v>
      </c>
    </row>
    <row r="204" spans="1:7" s="2" customFormat="1" ht="13.95" customHeight="1" x14ac:dyDescent="0.2">
      <c r="A204" s="50" t="s">
        <v>70</v>
      </c>
      <c r="B204" s="50" t="s">
        <v>5</v>
      </c>
      <c r="C204" s="50" t="s">
        <v>35</v>
      </c>
      <c r="D204" s="50" t="s">
        <v>35</v>
      </c>
      <c r="E204" s="51">
        <v>2</v>
      </c>
      <c r="F204" s="68">
        <v>34990</v>
      </c>
      <c r="G204" s="52">
        <v>69980</v>
      </c>
    </row>
    <row r="205" spans="1:7" s="2" customFormat="1" ht="13.95" customHeight="1" x14ac:dyDescent="0.2">
      <c r="A205" s="50" t="s">
        <v>70</v>
      </c>
      <c r="B205" s="50" t="s">
        <v>5</v>
      </c>
      <c r="C205" s="50" t="s">
        <v>41</v>
      </c>
      <c r="D205" s="50" t="s">
        <v>929</v>
      </c>
      <c r="E205" s="51">
        <v>2</v>
      </c>
      <c r="F205" s="68">
        <v>34990</v>
      </c>
      <c r="G205" s="52">
        <v>69980</v>
      </c>
    </row>
    <row r="206" spans="1:7" s="2" customFormat="1" ht="13.95" customHeight="1" x14ac:dyDescent="0.2">
      <c r="A206" s="50" t="s">
        <v>70</v>
      </c>
      <c r="B206" s="50" t="s">
        <v>7</v>
      </c>
      <c r="C206" s="50" t="s">
        <v>16</v>
      </c>
      <c r="D206" s="50" t="s">
        <v>1197</v>
      </c>
      <c r="E206" s="51">
        <v>3</v>
      </c>
      <c r="F206" s="68">
        <v>19990</v>
      </c>
      <c r="G206" s="52">
        <v>59970</v>
      </c>
    </row>
    <row r="207" spans="1:7" s="2" customFormat="1" ht="13.95" customHeight="1" x14ac:dyDescent="0.2">
      <c r="A207" s="50" t="s">
        <v>70</v>
      </c>
      <c r="B207" s="50" t="s">
        <v>5</v>
      </c>
      <c r="C207" s="50" t="s">
        <v>38</v>
      </c>
      <c r="D207" s="50" t="s">
        <v>1356</v>
      </c>
      <c r="E207" s="51">
        <v>3</v>
      </c>
      <c r="F207" s="68">
        <v>19990</v>
      </c>
      <c r="G207" s="52">
        <v>59970</v>
      </c>
    </row>
    <row r="208" spans="1:7" s="2" customFormat="1" ht="13.95" customHeight="1" x14ac:dyDescent="0.2">
      <c r="A208" s="50" t="s">
        <v>880</v>
      </c>
      <c r="B208" s="50" t="s">
        <v>7</v>
      </c>
      <c r="C208" s="50" t="s">
        <v>14</v>
      </c>
      <c r="D208" s="50" t="s">
        <v>1010</v>
      </c>
      <c r="E208" s="51">
        <v>1</v>
      </c>
      <c r="F208" s="68">
        <v>55993</v>
      </c>
      <c r="G208" s="52">
        <v>55993</v>
      </c>
    </row>
    <row r="209" spans="1:7" s="2" customFormat="1" ht="13.95" customHeight="1" x14ac:dyDescent="0.2">
      <c r="A209" s="50" t="s">
        <v>70</v>
      </c>
      <c r="B209" s="50" t="s">
        <v>5</v>
      </c>
      <c r="C209" s="50" t="s">
        <v>37</v>
      </c>
      <c r="D209" s="50" t="s">
        <v>1328</v>
      </c>
      <c r="E209" s="51">
        <v>7</v>
      </c>
      <c r="F209" s="68">
        <v>7990</v>
      </c>
      <c r="G209" s="52">
        <v>55930</v>
      </c>
    </row>
    <row r="210" spans="1:7" s="2" customFormat="1" ht="13.95" customHeight="1" x14ac:dyDescent="0.2">
      <c r="A210" s="50" t="s">
        <v>416</v>
      </c>
      <c r="B210" s="50" t="s">
        <v>7</v>
      </c>
      <c r="C210" s="50" t="s">
        <v>18</v>
      </c>
      <c r="D210" s="50" t="s">
        <v>1228</v>
      </c>
      <c r="E210" s="51">
        <v>3</v>
      </c>
      <c r="F210" s="68">
        <v>16990</v>
      </c>
      <c r="G210" s="52">
        <v>50970</v>
      </c>
    </row>
    <row r="211" spans="1:7" s="2" customFormat="1" ht="13.95" customHeight="1" x14ac:dyDescent="0.2">
      <c r="A211" s="50" t="s">
        <v>416</v>
      </c>
      <c r="B211" s="50" t="s">
        <v>7</v>
      </c>
      <c r="C211" s="50" t="s">
        <v>18</v>
      </c>
      <c r="D211" s="50" t="s">
        <v>1380</v>
      </c>
      <c r="E211" s="51">
        <v>3</v>
      </c>
      <c r="F211" s="68">
        <v>16990</v>
      </c>
      <c r="G211" s="52">
        <v>50970</v>
      </c>
    </row>
    <row r="212" spans="1:7" s="2" customFormat="1" ht="13.95" customHeight="1" x14ac:dyDescent="0.2">
      <c r="A212" s="50" t="s">
        <v>70</v>
      </c>
      <c r="B212" s="50" t="s">
        <v>5</v>
      </c>
      <c r="C212" s="50" t="s">
        <v>41</v>
      </c>
      <c r="D212" s="50" t="s">
        <v>1083</v>
      </c>
      <c r="E212" s="51">
        <v>1</v>
      </c>
      <c r="F212" s="68">
        <v>49990</v>
      </c>
      <c r="G212" s="52">
        <v>49990</v>
      </c>
    </row>
    <row r="213" spans="1:7" s="2" customFormat="1" ht="13.95" customHeight="1" x14ac:dyDescent="0.2">
      <c r="A213" s="50" t="s">
        <v>532</v>
      </c>
      <c r="B213" s="50" t="s">
        <v>6</v>
      </c>
      <c r="C213" s="50" t="s">
        <v>62</v>
      </c>
      <c r="D213" s="50" t="s">
        <v>1114</v>
      </c>
      <c r="E213" s="51">
        <v>1</v>
      </c>
      <c r="F213" s="68">
        <v>49990</v>
      </c>
      <c r="G213" s="52">
        <v>49990</v>
      </c>
    </row>
    <row r="214" spans="1:7" s="2" customFormat="1" ht="13.95" customHeight="1" x14ac:dyDescent="0.2">
      <c r="A214" s="50" t="s">
        <v>880</v>
      </c>
      <c r="B214" s="50" t="s">
        <v>6</v>
      </c>
      <c r="C214" s="50" t="s">
        <v>62</v>
      </c>
      <c r="D214" s="50" t="s">
        <v>1128</v>
      </c>
      <c r="E214" s="51">
        <v>2</v>
      </c>
      <c r="F214" s="68">
        <v>24990</v>
      </c>
      <c r="G214" s="52">
        <v>49980</v>
      </c>
    </row>
    <row r="215" spans="1:7" s="2" customFormat="1" ht="13.95" customHeight="1" x14ac:dyDescent="0.2">
      <c r="A215" s="50" t="s">
        <v>880</v>
      </c>
      <c r="B215" s="50" t="s">
        <v>6</v>
      </c>
      <c r="C215" s="50" t="s">
        <v>63</v>
      </c>
      <c r="D215" s="50" t="s">
        <v>1312</v>
      </c>
      <c r="E215" s="51">
        <v>2</v>
      </c>
      <c r="F215" s="68">
        <v>24990</v>
      </c>
      <c r="G215" s="52">
        <v>49980</v>
      </c>
    </row>
    <row r="216" spans="1:7" s="2" customFormat="1" ht="13.95" customHeight="1" x14ac:dyDescent="0.2">
      <c r="A216" s="50" t="s">
        <v>70</v>
      </c>
      <c r="B216" s="50" t="s">
        <v>7</v>
      </c>
      <c r="C216" s="50" t="s">
        <v>18</v>
      </c>
      <c r="D216" s="50" t="s">
        <v>1237</v>
      </c>
      <c r="E216" s="51">
        <v>3</v>
      </c>
      <c r="F216" s="68">
        <v>15990</v>
      </c>
      <c r="G216" s="52">
        <v>47970</v>
      </c>
    </row>
    <row r="217" spans="1:7" s="2" customFormat="1" ht="13.95" customHeight="1" x14ac:dyDescent="0.2">
      <c r="A217" s="50" t="s">
        <v>70</v>
      </c>
      <c r="B217" s="50" t="s">
        <v>11</v>
      </c>
      <c r="C217" s="50" t="s">
        <v>11</v>
      </c>
      <c r="D217" s="50" t="s">
        <v>1175</v>
      </c>
      <c r="E217" s="51">
        <v>1</v>
      </c>
      <c r="F217" s="68">
        <v>39990</v>
      </c>
      <c r="G217" s="52">
        <v>39990</v>
      </c>
    </row>
    <row r="218" spans="1:7" s="2" customFormat="1" ht="13.95" customHeight="1" x14ac:dyDescent="0.2">
      <c r="A218" s="50" t="s">
        <v>900</v>
      </c>
      <c r="B218" s="50" t="s">
        <v>6</v>
      </c>
      <c r="C218" s="50" t="s">
        <v>57</v>
      </c>
      <c r="D218" s="50" t="s">
        <v>1181</v>
      </c>
      <c r="E218" s="51">
        <v>1</v>
      </c>
      <c r="F218" s="68">
        <v>39990</v>
      </c>
      <c r="G218" s="52">
        <v>39990</v>
      </c>
    </row>
    <row r="219" spans="1:7" s="2" customFormat="1" ht="13.95" customHeight="1" x14ac:dyDescent="0.2">
      <c r="A219" s="50" t="s">
        <v>70</v>
      </c>
      <c r="B219" s="50" t="s">
        <v>5</v>
      </c>
      <c r="C219" s="50" t="s">
        <v>31</v>
      </c>
      <c r="D219" s="50" t="s">
        <v>1224</v>
      </c>
      <c r="E219" s="51">
        <v>1</v>
      </c>
      <c r="F219" s="68">
        <v>34990</v>
      </c>
      <c r="G219" s="52">
        <v>34990</v>
      </c>
    </row>
    <row r="220" spans="1:7" s="2" customFormat="1" ht="13.95" customHeight="1" x14ac:dyDescent="0.2">
      <c r="A220" s="50" t="s">
        <v>15</v>
      </c>
      <c r="B220" s="50" t="s">
        <v>9</v>
      </c>
      <c r="C220" s="50" t="s">
        <v>29</v>
      </c>
      <c r="D220" s="50" t="s">
        <v>1250</v>
      </c>
      <c r="E220" s="51">
        <v>1</v>
      </c>
      <c r="F220" s="68">
        <v>29990</v>
      </c>
      <c r="G220" s="52">
        <v>29990</v>
      </c>
    </row>
    <row r="221" spans="1:7" s="2" customFormat="1" ht="13.95" customHeight="1" x14ac:dyDescent="0.2">
      <c r="A221" s="50" t="s">
        <v>70</v>
      </c>
      <c r="B221" s="50" t="s">
        <v>7</v>
      </c>
      <c r="C221" s="50" t="s">
        <v>18</v>
      </c>
      <c r="D221" s="50" t="s">
        <v>1278</v>
      </c>
      <c r="E221" s="51">
        <v>1</v>
      </c>
      <c r="F221" s="68">
        <v>29990</v>
      </c>
      <c r="G221" s="52">
        <v>29990</v>
      </c>
    </row>
    <row r="222" spans="1:7" s="2" customFormat="1" ht="13.95" customHeight="1" x14ac:dyDescent="0.2">
      <c r="A222" s="50" t="s">
        <v>70</v>
      </c>
      <c r="B222" s="50" t="s">
        <v>11</v>
      </c>
      <c r="C222" s="50" t="s">
        <v>11</v>
      </c>
      <c r="D222" s="50" t="s">
        <v>1281</v>
      </c>
      <c r="E222" s="51">
        <v>1</v>
      </c>
      <c r="F222" s="68">
        <v>29990</v>
      </c>
      <c r="G222" s="52">
        <v>29990</v>
      </c>
    </row>
    <row r="223" spans="1:7" s="2" customFormat="1" ht="13.95" customHeight="1" x14ac:dyDescent="0.2">
      <c r="A223" s="50" t="s">
        <v>1329</v>
      </c>
      <c r="B223" s="50" t="s">
        <v>6</v>
      </c>
      <c r="C223" s="50" t="s">
        <v>64</v>
      </c>
      <c r="D223" s="50" t="s">
        <v>1335</v>
      </c>
      <c r="E223" s="51">
        <v>4</v>
      </c>
      <c r="F223" s="68">
        <v>6995</v>
      </c>
      <c r="G223" s="52">
        <v>27980</v>
      </c>
    </row>
    <row r="224" spans="1:7" s="2" customFormat="1" ht="13.95" customHeight="1" x14ac:dyDescent="0.2">
      <c r="A224" s="50" t="s">
        <v>70</v>
      </c>
      <c r="B224" s="50" t="s">
        <v>5</v>
      </c>
      <c r="C224" s="50" t="s">
        <v>44</v>
      </c>
      <c r="D224" s="50" t="s">
        <v>1415</v>
      </c>
      <c r="E224" s="51">
        <v>2</v>
      </c>
      <c r="F224" s="68">
        <v>12990</v>
      </c>
      <c r="G224" s="52">
        <v>25980</v>
      </c>
    </row>
    <row r="225" spans="1:7" s="2" customFormat="1" ht="13.95" customHeight="1" x14ac:dyDescent="0.2">
      <c r="A225" s="50" t="s">
        <v>70</v>
      </c>
      <c r="B225" s="50" t="s">
        <v>7</v>
      </c>
      <c r="C225" s="50" t="s">
        <v>15</v>
      </c>
      <c r="D225" s="50" t="s">
        <v>1309</v>
      </c>
      <c r="E225" s="51">
        <v>1</v>
      </c>
      <c r="F225" s="68">
        <v>24990</v>
      </c>
      <c r="G225" s="52">
        <v>24990</v>
      </c>
    </row>
    <row r="226" spans="1:7" s="2" customFormat="1" ht="13.95" customHeight="1" x14ac:dyDescent="0.2">
      <c r="A226" s="50" t="s">
        <v>70</v>
      </c>
      <c r="B226" s="50" t="s">
        <v>5</v>
      </c>
      <c r="C226" s="50" t="s">
        <v>44</v>
      </c>
      <c r="D226" s="50" t="s">
        <v>1445</v>
      </c>
      <c r="E226" s="51">
        <v>5</v>
      </c>
      <c r="F226" s="68">
        <v>3990</v>
      </c>
      <c r="G226" s="52">
        <v>19950</v>
      </c>
    </row>
    <row r="227" spans="1:7" s="2" customFormat="1" ht="13.95" customHeight="1" x14ac:dyDescent="0.2">
      <c r="A227" s="50" t="s">
        <v>1096</v>
      </c>
      <c r="B227" s="50" t="s">
        <v>9</v>
      </c>
      <c r="C227" s="50" t="s">
        <v>26</v>
      </c>
      <c r="D227" s="50" t="s">
        <v>1402</v>
      </c>
      <c r="E227" s="51">
        <v>1</v>
      </c>
      <c r="F227" s="68">
        <v>14990</v>
      </c>
      <c r="G227" s="52">
        <v>14990</v>
      </c>
    </row>
    <row r="228" spans="1:7" s="2" customFormat="1" ht="13.95" customHeight="1" x14ac:dyDescent="0.2">
      <c r="A228" s="50" t="s">
        <v>70</v>
      </c>
      <c r="B228" s="50" t="s">
        <v>11</v>
      </c>
      <c r="C228" s="50" t="s">
        <v>11</v>
      </c>
      <c r="D228" s="50" t="s">
        <v>1419</v>
      </c>
      <c r="E228" s="51">
        <v>1</v>
      </c>
      <c r="F228" s="68">
        <v>11990</v>
      </c>
      <c r="G228" s="52">
        <v>11990</v>
      </c>
    </row>
    <row r="229" spans="1:7" s="2" customFormat="1" ht="13.95" customHeight="1" x14ac:dyDescent="0.2">
      <c r="A229" s="50" t="s">
        <v>70</v>
      </c>
      <c r="B229" s="50" t="s">
        <v>5</v>
      </c>
      <c r="C229" s="50" t="s">
        <v>45</v>
      </c>
      <c r="D229" s="50" t="s">
        <v>1429</v>
      </c>
      <c r="E229" s="51">
        <v>1</v>
      </c>
      <c r="F229" s="68">
        <v>7990</v>
      </c>
      <c r="G229" s="52">
        <v>7990</v>
      </c>
    </row>
    <row r="230" spans="1:7" s="2" customFormat="1" ht="13.95" customHeight="1" x14ac:dyDescent="0.2">
      <c r="A230" s="50" t="s">
        <v>70</v>
      </c>
      <c r="B230" s="50" t="s">
        <v>11</v>
      </c>
      <c r="C230" s="50" t="s">
        <v>11</v>
      </c>
      <c r="D230" s="50" t="s">
        <v>1431</v>
      </c>
      <c r="E230" s="51">
        <v>1</v>
      </c>
      <c r="F230" s="68">
        <v>7990</v>
      </c>
      <c r="G230" s="52">
        <v>7990</v>
      </c>
    </row>
    <row r="231" spans="1:7" s="2" customFormat="1" ht="13.95" customHeight="1" x14ac:dyDescent="0.2">
      <c r="A231" s="50" t="s">
        <v>70</v>
      </c>
      <c r="B231" s="50" t="s">
        <v>5</v>
      </c>
      <c r="C231" s="50" t="s">
        <v>45</v>
      </c>
      <c r="D231" s="50" t="s">
        <v>1433</v>
      </c>
      <c r="E231" s="51">
        <v>1</v>
      </c>
      <c r="F231" s="68">
        <v>6990</v>
      </c>
      <c r="G231" s="52">
        <v>6990</v>
      </c>
    </row>
    <row r="232" spans="1:7" s="2" customFormat="1" ht="13.95" customHeight="1" x14ac:dyDescent="0.2">
      <c r="A232" s="50" t="s">
        <v>70</v>
      </c>
      <c r="B232" s="50" t="s">
        <v>11</v>
      </c>
      <c r="C232" s="50" t="s">
        <v>11</v>
      </c>
      <c r="D232" s="50" t="s">
        <v>1435</v>
      </c>
      <c r="E232" s="51">
        <v>1</v>
      </c>
      <c r="F232" s="68">
        <v>6490</v>
      </c>
      <c r="G232" s="52">
        <v>6490</v>
      </c>
    </row>
    <row r="233" spans="1:7" s="2" customFormat="1" ht="13.95" customHeight="1" x14ac:dyDescent="0.2">
      <c r="A233" s="50" t="s">
        <v>70</v>
      </c>
      <c r="B233" s="50" t="s">
        <v>7</v>
      </c>
      <c r="C233" s="50" t="s">
        <v>22</v>
      </c>
      <c r="D233" s="50" t="s">
        <v>22</v>
      </c>
      <c r="E233" s="51">
        <v>2</v>
      </c>
      <c r="F233" s="68">
        <v>2990</v>
      </c>
      <c r="G233" s="52">
        <v>5980</v>
      </c>
    </row>
    <row r="234" spans="1:7" s="2" customFormat="1" ht="13.95" customHeight="1" x14ac:dyDescent="0.2">
      <c r="A234" s="50" t="s">
        <v>70</v>
      </c>
      <c r="B234" s="50" t="s">
        <v>11</v>
      </c>
      <c r="C234" s="50" t="s">
        <v>11</v>
      </c>
      <c r="D234" s="50" t="s">
        <v>1443</v>
      </c>
      <c r="E234" s="51">
        <v>1</v>
      </c>
      <c r="F234" s="68">
        <v>4990</v>
      </c>
      <c r="G234" s="52">
        <v>4990</v>
      </c>
    </row>
  </sheetData>
  <sortState xmlns:xlrd2="http://schemas.microsoft.com/office/spreadsheetml/2017/richdata2" ref="A3:M234">
    <sortCondition descending="1" ref="G3:G234"/>
  </sortState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59"/>
  <sheetViews>
    <sheetView workbookViewId="0"/>
  </sheetViews>
  <sheetFormatPr baseColWidth="10" defaultRowHeight="14.4" x14ac:dyDescent="0.3"/>
  <cols>
    <col min="1" max="1" width="16.77734375" bestFit="1" customWidth="1"/>
    <col min="3" max="3" width="15.109375" style="17" bestFit="1" customWidth="1"/>
  </cols>
  <sheetData>
    <row r="2" spans="1:5" x14ac:dyDescent="0.3">
      <c r="A2" s="24" t="s">
        <v>13</v>
      </c>
      <c r="B2" s="22" t="s">
        <v>67</v>
      </c>
      <c r="C2" s="23" t="s">
        <v>1452</v>
      </c>
      <c r="D2" s="22" t="s">
        <v>1453</v>
      </c>
    </row>
    <row r="3" spans="1:5" x14ac:dyDescent="0.3">
      <c r="A3" s="19" t="s">
        <v>48</v>
      </c>
      <c r="B3" s="20">
        <v>196</v>
      </c>
      <c r="C3" s="18">
        <v>27505045</v>
      </c>
      <c r="D3" s="21">
        <f t="shared" ref="D3:D34" si="0">C3/SUM($C$3:$C$58)</f>
        <v>0.19772312329648742</v>
      </c>
      <c r="E3" s="6"/>
    </row>
    <row r="4" spans="1:5" x14ac:dyDescent="0.3">
      <c r="A4" s="19" t="s">
        <v>46</v>
      </c>
      <c r="B4" s="20">
        <v>151</v>
      </c>
      <c r="C4" s="18">
        <v>16357490</v>
      </c>
      <c r="D4" s="21">
        <f t="shared" si="0"/>
        <v>0.11758766481171218</v>
      </c>
    </row>
    <row r="5" spans="1:5" x14ac:dyDescent="0.3">
      <c r="A5" s="19" t="s">
        <v>30</v>
      </c>
      <c r="B5" s="20">
        <v>186</v>
      </c>
      <c r="C5" s="18">
        <v>12181140</v>
      </c>
      <c r="D5" s="21">
        <f t="shared" si="0"/>
        <v>8.7565501023967596E-2</v>
      </c>
    </row>
    <row r="6" spans="1:5" x14ac:dyDescent="0.3">
      <c r="A6" s="19" t="s">
        <v>45</v>
      </c>
      <c r="B6" s="20">
        <v>441</v>
      </c>
      <c r="C6" s="18">
        <v>8371693</v>
      </c>
      <c r="D6" s="21">
        <f t="shared" si="0"/>
        <v>6.0180860901676063E-2</v>
      </c>
    </row>
    <row r="7" spans="1:5" x14ac:dyDescent="0.3">
      <c r="A7" s="19" t="s">
        <v>8</v>
      </c>
      <c r="B7" s="20">
        <v>133</v>
      </c>
      <c r="C7" s="18">
        <v>7738670</v>
      </c>
      <c r="D7" s="21">
        <f t="shared" si="0"/>
        <v>5.5630303551978497E-2</v>
      </c>
    </row>
    <row r="8" spans="1:5" x14ac:dyDescent="0.3">
      <c r="A8" s="19" t="s">
        <v>47</v>
      </c>
      <c r="B8" s="20">
        <v>23</v>
      </c>
      <c r="C8" s="18">
        <v>7569780</v>
      </c>
      <c r="D8" s="21">
        <f t="shared" si="0"/>
        <v>5.4416218707051184E-2</v>
      </c>
    </row>
    <row r="9" spans="1:5" x14ac:dyDescent="0.3">
      <c r="A9" s="19" t="s">
        <v>49</v>
      </c>
      <c r="B9" s="20">
        <v>21</v>
      </c>
      <c r="C9" s="18">
        <v>5214790</v>
      </c>
      <c r="D9" s="21">
        <f t="shared" si="0"/>
        <v>3.748710704291848E-2</v>
      </c>
    </row>
    <row r="10" spans="1:5" x14ac:dyDescent="0.3">
      <c r="A10" s="19" t="s">
        <v>65</v>
      </c>
      <c r="B10" s="20">
        <v>85</v>
      </c>
      <c r="C10" s="18">
        <v>4249150</v>
      </c>
      <c r="D10" s="21">
        <f t="shared" si="0"/>
        <v>3.0545494812143355E-2</v>
      </c>
    </row>
    <row r="11" spans="1:5" x14ac:dyDescent="0.3">
      <c r="A11" s="19" t="s">
        <v>52</v>
      </c>
      <c r="B11" s="20">
        <v>15</v>
      </c>
      <c r="C11" s="18">
        <v>4105850</v>
      </c>
      <c r="D11" s="21">
        <f t="shared" si="0"/>
        <v>2.9515366573182589E-2</v>
      </c>
    </row>
    <row r="12" spans="1:5" x14ac:dyDescent="0.3">
      <c r="A12" s="19" t="s">
        <v>34</v>
      </c>
      <c r="B12" s="20">
        <v>51</v>
      </c>
      <c r="C12" s="18">
        <v>4020490</v>
      </c>
      <c r="D12" s="21">
        <f t="shared" si="0"/>
        <v>2.8901746569849084E-2</v>
      </c>
    </row>
    <row r="13" spans="1:5" x14ac:dyDescent="0.3">
      <c r="A13" s="19" t="s">
        <v>50</v>
      </c>
      <c r="B13" s="20">
        <v>18</v>
      </c>
      <c r="C13" s="18">
        <v>3842820</v>
      </c>
      <c r="D13" s="21">
        <f t="shared" si="0"/>
        <v>2.762454570302313E-2</v>
      </c>
    </row>
    <row r="14" spans="1:5" x14ac:dyDescent="0.3">
      <c r="A14" s="19" t="s">
        <v>40</v>
      </c>
      <c r="B14" s="20">
        <v>226</v>
      </c>
      <c r="C14" s="18">
        <v>3706740</v>
      </c>
      <c r="D14" s="21">
        <f t="shared" si="0"/>
        <v>2.6646319249723889E-2</v>
      </c>
    </row>
    <row r="15" spans="1:5" x14ac:dyDescent="0.3">
      <c r="A15" s="19" t="s">
        <v>56</v>
      </c>
      <c r="B15" s="20">
        <v>35</v>
      </c>
      <c r="C15" s="18">
        <v>3499650</v>
      </c>
      <c r="D15" s="21">
        <f t="shared" si="0"/>
        <v>2.515762938924667E-2</v>
      </c>
    </row>
    <row r="16" spans="1:5" x14ac:dyDescent="0.3">
      <c r="A16" s="19" t="s">
        <v>18</v>
      </c>
      <c r="B16" s="20">
        <v>126</v>
      </c>
      <c r="C16" s="18">
        <v>3255740</v>
      </c>
      <c r="D16" s="21">
        <f t="shared" si="0"/>
        <v>2.3404254799121615E-2</v>
      </c>
    </row>
    <row r="17" spans="1:4" x14ac:dyDescent="0.3">
      <c r="A17" s="19" t="s">
        <v>33</v>
      </c>
      <c r="B17" s="20">
        <v>97</v>
      </c>
      <c r="C17" s="18">
        <v>3159533</v>
      </c>
      <c r="D17" s="21">
        <f t="shared" si="0"/>
        <v>2.2712659910875288E-2</v>
      </c>
    </row>
    <row r="18" spans="1:4" x14ac:dyDescent="0.3">
      <c r="A18" s="19" t="s">
        <v>42</v>
      </c>
      <c r="B18" s="20">
        <v>140</v>
      </c>
      <c r="C18" s="18">
        <v>3126803</v>
      </c>
      <c r="D18" s="21">
        <f t="shared" si="0"/>
        <v>2.2477376608285016E-2</v>
      </c>
    </row>
    <row r="19" spans="1:4" x14ac:dyDescent="0.3">
      <c r="A19" s="19" t="s">
        <v>54</v>
      </c>
      <c r="B19" s="20">
        <v>25</v>
      </c>
      <c r="C19" s="18">
        <v>2298760</v>
      </c>
      <c r="D19" s="21">
        <f t="shared" si="0"/>
        <v>1.6524895956688435E-2</v>
      </c>
    </row>
    <row r="20" spans="1:4" x14ac:dyDescent="0.3">
      <c r="A20" s="19" t="s">
        <v>28</v>
      </c>
      <c r="B20" s="20">
        <v>17</v>
      </c>
      <c r="C20" s="18">
        <v>2039830</v>
      </c>
      <c r="D20" s="21">
        <f t="shared" si="0"/>
        <v>1.4663548399716269E-2</v>
      </c>
    </row>
    <row r="21" spans="1:4" x14ac:dyDescent="0.3">
      <c r="A21" s="19" t="s">
        <v>21</v>
      </c>
      <c r="B21" s="20">
        <v>42</v>
      </c>
      <c r="C21" s="18">
        <v>1919580</v>
      </c>
      <c r="D21" s="21">
        <f t="shared" si="0"/>
        <v>1.3799117689771871E-2</v>
      </c>
    </row>
    <row r="22" spans="1:4" x14ac:dyDescent="0.3">
      <c r="A22" s="19" t="s">
        <v>53</v>
      </c>
      <c r="B22" s="20">
        <v>22</v>
      </c>
      <c r="C22" s="18">
        <v>1832780</v>
      </c>
      <c r="D22" s="21">
        <f t="shared" si="0"/>
        <v>1.3175146083757952E-2</v>
      </c>
    </row>
    <row r="23" spans="1:4" x14ac:dyDescent="0.3">
      <c r="A23" s="19" t="s">
        <v>12</v>
      </c>
      <c r="B23" s="20">
        <v>11</v>
      </c>
      <c r="C23" s="18">
        <v>1194890</v>
      </c>
      <c r="D23" s="21">
        <f t="shared" si="0"/>
        <v>8.5896017547231734E-3</v>
      </c>
    </row>
    <row r="24" spans="1:4" x14ac:dyDescent="0.3">
      <c r="A24" s="19" t="s">
        <v>51</v>
      </c>
      <c r="B24" s="20">
        <v>22</v>
      </c>
      <c r="C24" s="18">
        <v>1173780</v>
      </c>
      <c r="D24" s="21">
        <f t="shared" si="0"/>
        <v>8.4378501348734754E-3</v>
      </c>
    </row>
    <row r="25" spans="1:4" x14ac:dyDescent="0.3">
      <c r="A25" s="19" t="s">
        <v>58</v>
      </c>
      <c r="B25" s="20">
        <v>4</v>
      </c>
      <c r="C25" s="18">
        <v>1109963</v>
      </c>
      <c r="D25" s="21">
        <f t="shared" si="0"/>
        <v>7.979094420806767E-3</v>
      </c>
    </row>
    <row r="26" spans="1:4" x14ac:dyDescent="0.3">
      <c r="A26" s="19" t="s">
        <v>60</v>
      </c>
      <c r="B26" s="20">
        <v>24</v>
      </c>
      <c r="C26" s="18">
        <v>719760</v>
      </c>
      <c r="D26" s="21">
        <f t="shared" si="0"/>
        <v>5.1740760730942196E-3</v>
      </c>
    </row>
    <row r="27" spans="1:4" x14ac:dyDescent="0.3">
      <c r="A27" s="19" t="s">
        <v>17</v>
      </c>
      <c r="B27" s="20">
        <v>16</v>
      </c>
      <c r="C27" s="18">
        <v>639840</v>
      </c>
      <c r="D27" s="21">
        <f t="shared" si="0"/>
        <v>4.5995621243311736E-3</v>
      </c>
    </row>
    <row r="28" spans="1:4" x14ac:dyDescent="0.3">
      <c r="A28" s="19" t="s">
        <v>57</v>
      </c>
      <c r="B28" s="20">
        <v>15</v>
      </c>
      <c r="C28" s="18">
        <v>629850</v>
      </c>
      <c r="D28" s="21">
        <f t="shared" si="0"/>
        <v>4.5277478807357928E-3</v>
      </c>
    </row>
    <row r="29" spans="1:4" x14ac:dyDescent="0.3">
      <c r="A29" s="19" t="s">
        <v>62</v>
      </c>
      <c r="B29" s="20">
        <v>26</v>
      </c>
      <c r="C29" s="18">
        <v>619740</v>
      </c>
      <c r="D29" s="21">
        <f t="shared" si="0"/>
        <v>4.4550710035837103E-3</v>
      </c>
    </row>
    <row r="30" spans="1:4" x14ac:dyDescent="0.3">
      <c r="A30" s="19" t="s">
        <v>31</v>
      </c>
      <c r="B30" s="20">
        <v>18</v>
      </c>
      <c r="C30" s="18">
        <v>619323</v>
      </c>
      <c r="D30" s="21">
        <f t="shared" si="0"/>
        <v>4.4520733519741737E-3</v>
      </c>
    </row>
    <row r="31" spans="1:4" x14ac:dyDescent="0.3">
      <c r="A31" s="19" t="s">
        <v>66</v>
      </c>
      <c r="B31" s="20">
        <v>1</v>
      </c>
      <c r="C31" s="18">
        <v>584991</v>
      </c>
      <c r="D31" s="21">
        <f t="shared" si="0"/>
        <v>4.2052738914019399E-3</v>
      </c>
    </row>
    <row r="32" spans="1:4" x14ac:dyDescent="0.3">
      <c r="A32" s="19" t="s">
        <v>23</v>
      </c>
      <c r="B32" s="20">
        <v>12</v>
      </c>
      <c r="C32" s="18">
        <v>549880</v>
      </c>
      <c r="D32" s="21">
        <f t="shared" si="0"/>
        <v>3.9528745013241206E-3</v>
      </c>
    </row>
    <row r="33" spans="1:4" x14ac:dyDescent="0.3">
      <c r="A33" s="19" t="s">
        <v>32</v>
      </c>
      <c r="B33" s="20">
        <v>7</v>
      </c>
      <c r="C33" s="18">
        <v>505930</v>
      </c>
      <c r="D33" s="21">
        <f t="shared" si="0"/>
        <v>3.6369349611822806E-3</v>
      </c>
    </row>
    <row r="34" spans="1:4" x14ac:dyDescent="0.3">
      <c r="A34" s="19" t="s">
        <v>61</v>
      </c>
      <c r="B34" s="20">
        <v>10</v>
      </c>
      <c r="C34" s="18">
        <v>499900</v>
      </c>
      <c r="D34" s="21">
        <f t="shared" si="0"/>
        <v>3.593587624958042E-3</v>
      </c>
    </row>
    <row r="35" spans="1:4" x14ac:dyDescent="0.3">
      <c r="A35" s="19" t="s">
        <v>20</v>
      </c>
      <c r="B35" s="20">
        <v>28</v>
      </c>
      <c r="C35" s="18">
        <v>475720</v>
      </c>
      <c r="D35" s="21">
        <f t="shared" ref="D35:D58" si="1">C35/SUM($C$3:$C$58)</f>
        <v>3.419766963282736E-3</v>
      </c>
    </row>
    <row r="36" spans="1:4" x14ac:dyDescent="0.3">
      <c r="A36" s="19" t="s">
        <v>43</v>
      </c>
      <c r="B36" s="20">
        <v>9</v>
      </c>
      <c r="C36" s="18">
        <v>351910</v>
      </c>
      <c r="D36" s="21">
        <f t="shared" si="1"/>
        <v>2.5297447911562005E-3</v>
      </c>
    </row>
    <row r="37" spans="1:4" x14ac:dyDescent="0.3">
      <c r="A37" s="19" t="s">
        <v>11</v>
      </c>
      <c r="B37" s="20">
        <v>7</v>
      </c>
      <c r="C37" s="18">
        <v>341430</v>
      </c>
      <c r="D37" s="21">
        <f t="shared" si="1"/>
        <v>2.4544081272042891E-3</v>
      </c>
    </row>
    <row r="38" spans="1:4" x14ac:dyDescent="0.3">
      <c r="A38" s="19" t="s">
        <v>55</v>
      </c>
      <c r="B38" s="20">
        <v>5</v>
      </c>
      <c r="C38" s="18">
        <v>319950</v>
      </c>
      <c r="D38" s="21">
        <f t="shared" si="1"/>
        <v>2.299996720554762E-3</v>
      </c>
    </row>
    <row r="39" spans="1:4" x14ac:dyDescent="0.3">
      <c r="A39" s="19" t="s">
        <v>25</v>
      </c>
      <c r="B39" s="20">
        <v>3</v>
      </c>
      <c r="C39" s="18">
        <v>279970</v>
      </c>
      <c r="D39" s="21">
        <f t="shared" si="1"/>
        <v>2.0125959739137889E-3</v>
      </c>
    </row>
    <row r="40" spans="1:4" x14ac:dyDescent="0.3">
      <c r="A40" s="19" t="s">
        <v>64</v>
      </c>
      <c r="B40" s="20">
        <v>36</v>
      </c>
      <c r="C40" s="18">
        <v>255800</v>
      </c>
      <c r="D40" s="21">
        <f t="shared" si="1"/>
        <v>1.8388471983682079E-3</v>
      </c>
    </row>
    <row r="41" spans="1:4" x14ac:dyDescent="0.3">
      <c r="A41" s="19" t="s">
        <v>37</v>
      </c>
      <c r="B41" s="20">
        <v>42</v>
      </c>
      <c r="C41" s="18">
        <v>242580</v>
      </c>
      <c r="D41" s="21">
        <f t="shared" si="1"/>
        <v>1.7438137348716179E-3</v>
      </c>
    </row>
    <row r="42" spans="1:4" x14ac:dyDescent="0.3">
      <c r="A42" s="19" t="s">
        <v>24</v>
      </c>
      <c r="B42" s="20">
        <v>2</v>
      </c>
      <c r="C42" s="18">
        <v>239980</v>
      </c>
      <c r="D42" s="21">
        <f t="shared" si="1"/>
        <v>1.7251233411430904E-3</v>
      </c>
    </row>
    <row r="43" spans="1:4" x14ac:dyDescent="0.3">
      <c r="A43" s="19" t="s">
        <v>15</v>
      </c>
      <c r="B43" s="20">
        <v>8</v>
      </c>
      <c r="C43" s="18">
        <v>222920</v>
      </c>
      <c r="D43" s="21">
        <f t="shared" si="1"/>
        <v>1.6024856038320597E-3</v>
      </c>
    </row>
    <row r="44" spans="1:4" x14ac:dyDescent="0.3">
      <c r="A44" s="19" t="s">
        <v>19</v>
      </c>
      <c r="B44" s="20">
        <v>1</v>
      </c>
      <c r="C44" s="18">
        <v>219990</v>
      </c>
      <c r="D44" s="21">
        <f t="shared" si="1"/>
        <v>1.5814229678226038E-3</v>
      </c>
    </row>
    <row r="45" spans="1:4" x14ac:dyDescent="0.3">
      <c r="A45" s="19" t="s">
        <v>27</v>
      </c>
      <c r="B45" s="20">
        <v>2</v>
      </c>
      <c r="C45" s="18">
        <v>199980</v>
      </c>
      <c r="D45" s="21">
        <f t="shared" si="1"/>
        <v>1.4375788222426669E-3</v>
      </c>
    </row>
    <row r="46" spans="1:4" x14ac:dyDescent="0.3">
      <c r="A46" s="19" t="s">
        <v>59</v>
      </c>
      <c r="B46" s="20">
        <v>1</v>
      </c>
      <c r="C46" s="18">
        <v>159990</v>
      </c>
      <c r="D46" s="21">
        <f t="shared" si="1"/>
        <v>1.1501061894719686E-3</v>
      </c>
    </row>
    <row r="47" spans="1:4" x14ac:dyDescent="0.3">
      <c r="A47" s="19" t="s">
        <v>44</v>
      </c>
      <c r="B47" s="20">
        <v>18</v>
      </c>
      <c r="C47" s="18">
        <v>144820</v>
      </c>
      <c r="D47" s="21">
        <f t="shared" si="1"/>
        <v>1.0410549306789831E-3</v>
      </c>
    </row>
    <row r="48" spans="1:4" x14ac:dyDescent="0.3">
      <c r="A48" s="19" t="s">
        <v>39</v>
      </c>
      <c r="B48" s="20">
        <v>11</v>
      </c>
      <c r="C48" s="18">
        <v>142890</v>
      </c>
      <c r="D48" s="21">
        <f t="shared" si="1"/>
        <v>1.0271809076420376E-3</v>
      </c>
    </row>
    <row r="49" spans="1:4" x14ac:dyDescent="0.3">
      <c r="A49" s="19" t="s">
        <v>14</v>
      </c>
      <c r="B49" s="20">
        <v>2</v>
      </c>
      <c r="C49" s="18">
        <v>135983</v>
      </c>
      <c r="D49" s="21">
        <f t="shared" si="1"/>
        <v>9.77529157840907E-4</v>
      </c>
    </row>
    <row r="50" spans="1:4" x14ac:dyDescent="0.3">
      <c r="A50" s="19" t="s">
        <v>36</v>
      </c>
      <c r="B50" s="20">
        <v>3</v>
      </c>
      <c r="C50" s="18">
        <v>119970</v>
      </c>
      <c r="D50" s="21">
        <f t="shared" si="1"/>
        <v>8.6241789831209494E-4</v>
      </c>
    </row>
    <row r="51" spans="1:4" x14ac:dyDescent="0.3">
      <c r="A51" s="19" t="s">
        <v>41</v>
      </c>
      <c r="B51" s="20">
        <v>3</v>
      </c>
      <c r="C51" s="18">
        <v>119970</v>
      </c>
      <c r="D51" s="21">
        <f t="shared" si="1"/>
        <v>8.6241789831209494E-4</v>
      </c>
    </row>
    <row r="52" spans="1:4" x14ac:dyDescent="0.3">
      <c r="A52" s="19" t="s">
        <v>35</v>
      </c>
      <c r="B52" s="20">
        <v>2</v>
      </c>
      <c r="C52" s="18">
        <v>69980</v>
      </c>
      <c r="D52" s="21">
        <f t="shared" si="1"/>
        <v>5.0305913581629076E-4</v>
      </c>
    </row>
    <row r="53" spans="1:4" x14ac:dyDescent="0.3">
      <c r="A53" s="19" t="s">
        <v>16</v>
      </c>
      <c r="B53" s="20">
        <v>3</v>
      </c>
      <c r="C53" s="18">
        <v>59970</v>
      </c>
      <c r="D53" s="21">
        <f t="shared" si="1"/>
        <v>4.3110111996145985E-4</v>
      </c>
    </row>
    <row r="54" spans="1:4" x14ac:dyDescent="0.3">
      <c r="A54" s="19" t="s">
        <v>38</v>
      </c>
      <c r="B54" s="20">
        <v>3</v>
      </c>
      <c r="C54" s="18">
        <v>59970</v>
      </c>
      <c r="D54" s="21">
        <f t="shared" si="1"/>
        <v>4.3110111996145985E-4</v>
      </c>
    </row>
    <row r="55" spans="1:4" x14ac:dyDescent="0.3">
      <c r="A55" s="19" t="s">
        <v>63</v>
      </c>
      <c r="B55" s="20">
        <v>2</v>
      </c>
      <c r="C55" s="18">
        <v>49980</v>
      </c>
      <c r="D55" s="21">
        <f t="shared" si="1"/>
        <v>3.592868763660791E-4</v>
      </c>
    </row>
    <row r="56" spans="1:4" x14ac:dyDescent="0.3">
      <c r="A56" s="19" t="s">
        <v>29</v>
      </c>
      <c r="B56" s="20">
        <v>1</v>
      </c>
      <c r="C56" s="18">
        <v>29990</v>
      </c>
      <c r="D56" s="21">
        <f t="shared" si="1"/>
        <v>2.1558650304559246E-4</v>
      </c>
    </row>
    <row r="57" spans="1:4" x14ac:dyDescent="0.3">
      <c r="A57" s="19" t="s">
        <v>26</v>
      </c>
      <c r="B57" s="20">
        <v>1</v>
      </c>
      <c r="C57" s="18">
        <v>14990</v>
      </c>
      <c r="D57" s="21">
        <f t="shared" si="1"/>
        <v>1.0775730845793368E-4</v>
      </c>
    </row>
    <row r="58" spans="1:4" x14ac:dyDescent="0.3">
      <c r="A58" s="19" t="s">
        <v>22</v>
      </c>
      <c r="B58" s="20">
        <v>2</v>
      </c>
      <c r="C58" s="18">
        <v>5980</v>
      </c>
      <c r="D58" s="21">
        <f t="shared" si="1"/>
        <v>4.2987905575613304E-5</v>
      </c>
    </row>
    <row r="59" spans="1:4" x14ac:dyDescent="0.3">
      <c r="A59" s="16"/>
    </row>
  </sheetData>
  <sortState xmlns:xlrd2="http://schemas.microsoft.com/office/spreadsheetml/2017/richdata2" ref="A3:D59">
    <sortCondition descending="1" ref="C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Rubros y familias</vt:lpstr>
      <vt:lpstr>SKU</vt:lpstr>
      <vt:lpstr>SKU-Familia</vt:lpstr>
      <vt:lpstr>Modelos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Rocío Martínez</cp:lastModifiedBy>
  <dcterms:created xsi:type="dcterms:W3CDTF">2025-04-07T17:59:54Z</dcterms:created>
  <dcterms:modified xsi:type="dcterms:W3CDTF">2025-04-22T18:15:16Z</dcterms:modified>
</cp:coreProperties>
</file>