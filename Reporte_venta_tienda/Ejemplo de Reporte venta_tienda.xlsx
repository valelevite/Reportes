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c0a2f725aa4268/Escritorio/"/>
    </mc:Choice>
  </mc:AlternateContent>
  <xr:revisionPtr revIDLastSave="9" documentId="8_{40DF3853-8621-42F7-A8D2-037413B7D16E}" xr6:coauthVersionLast="47" xr6:coauthVersionMax="47" xr10:uidLastSave="{6B8671A1-0816-4832-8B68-32F134C4791B}"/>
  <bookViews>
    <workbookView xWindow="-108" yWindow="-108" windowWidth="23256" windowHeight="12456" xr2:uid="{65400304-72A0-45AE-890D-9CFF39E1ABE7}"/>
  </bookViews>
  <sheets>
    <sheet name="San Telm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2" l="1"/>
  <c r="O10" i="2"/>
  <c r="Q10" i="2" s="1"/>
  <c r="O11" i="2"/>
  <c r="W11" i="2" s="1"/>
  <c r="O12" i="2"/>
  <c r="W12" i="2" s="1"/>
  <c r="O13" i="2"/>
  <c r="W13" i="2" s="1"/>
  <c r="O14" i="2"/>
  <c r="W14" i="2" s="1"/>
  <c r="O15" i="2"/>
  <c r="Q15" i="2" s="1"/>
  <c r="O16" i="2"/>
  <c r="W16" i="2" s="1"/>
  <c r="O17" i="2"/>
  <c r="W17" i="2" s="1"/>
  <c r="O18" i="2"/>
  <c r="W18" i="2" s="1"/>
  <c r="O19" i="2"/>
  <c r="W19" i="2" s="1"/>
  <c r="O9" i="2"/>
  <c r="Q9" i="2" s="1"/>
  <c r="V19" i="2"/>
  <c r="U19" i="2"/>
  <c r="T19" i="2"/>
  <c r="S19" i="2"/>
  <c r="R19" i="2"/>
  <c r="V18" i="2"/>
  <c r="U18" i="2"/>
  <c r="T18" i="2"/>
  <c r="S18" i="2"/>
  <c r="R18" i="2"/>
  <c r="V17" i="2"/>
  <c r="U17" i="2"/>
  <c r="T17" i="2"/>
  <c r="S17" i="2"/>
  <c r="R17" i="2"/>
  <c r="V16" i="2"/>
  <c r="U16" i="2"/>
  <c r="T16" i="2"/>
  <c r="S16" i="2"/>
  <c r="R16" i="2"/>
  <c r="V15" i="2"/>
  <c r="U15" i="2"/>
  <c r="T15" i="2"/>
  <c r="S15" i="2"/>
  <c r="R15" i="2"/>
  <c r="W15" i="2"/>
  <c r="V14" i="2"/>
  <c r="U14" i="2"/>
  <c r="T14" i="2"/>
  <c r="S14" i="2"/>
  <c r="R14" i="2"/>
  <c r="V13" i="2"/>
  <c r="U13" i="2"/>
  <c r="T13" i="2"/>
  <c r="S13" i="2"/>
  <c r="R13" i="2"/>
  <c r="V12" i="2"/>
  <c r="U12" i="2"/>
  <c r="T12" i="2"/>
  <c r="S12" i="2"/>
  <c r="R12" i="2"/>
  <c r="V11" i="2"/>
  <c r="U11" i="2"/>
  <c r="T11" i="2"/>
  <c r="S11" i="2"/>
  <c r="R11" i="2"/>
  <c r="V10" i="2"/>
  <c r="U10" i="2"/>
  <c r="T10" i="2"/>
  <c r="S10" i="2"/>
  <c r="R10" i="2"/>
  <c r="W10" i="2"/>
  <c r="V9" i="2"/>
  <c r="U9" i="2"/>
  <c r="T9" i="2"/>
  <c r="S9" i="2"/>
  <c r="R9" i="2"/>
  <c r="O3" i="2"/>
  <c r="Q3" i="2" s="1"/>
  <c r="Q12" i="2" l="1"/>
  <c r="Q14" i="2"/>
  <c r="Q16" i="2"/>
  <c r="W9" i="2"/>
  <c r="Q17" i="2"/>
  <c r="Q18" i="2"/>
  <c r="Q11" i="2"/>
  <c r="Q19" i="2"/>
</calcChain>
</file>

<file path=xl/sharedStrings.xml><?xml version="1.0" encoding="utf-8"?>
<sst xmlns="http://schemas.openxmlformats.org/spreadsheetml/2006/main" count="96" uniqueCount="54">
  <si>
    <t>Código</t>
  </si>
  <si>
    <t>Rubro</t>
  </si>
  <si>
    <t>Familia</t>
  </si>
  <si>
    <t>Descripción</t>
  </si>
  <si>
    <t>Material</t>
  </si>
  <si>
    <t>Color</t>
  </si>
  <si>
    <t>Nuevo estado</t>
  </si>
  <si>
    <t>Stock</t>
  </si>
  <si>
    <t>ene</t>
  </si>
  <si>
    <t>feb</t>
  </si>
  <si>
    <t>mar</t>
  </si>
  <si>
    <t>abr</t>
  </si>
  <si>
    <t>may</t>
  </si>
  <si>
    <t>Total</t>
  </si>
  <si>
    <t>Precio</t>
  </si>
  <si>
    <t>Facturacion</t>
  </si>
  <si>
    <t>PELO</t>
  </si>
  <si>
    <t>HOLANDO</t>
  </si>
  <si>
    <t>HEREFORD</t>
  </si>
  <si>
    <t>MARRO GRANDE</t>
  </si>
  <si>
    <t>BANDOLERA</t>
  </si>
  <si>
    <t>SENA</t>
  </si>
  <si>
    <t>WHISKY</t>
  </si>
  <si>
    <t>NEGRO</t>
  </si>
  <si>
    <t>MG100901828</t>
  </si>
  <si>
    <t>BANDOLERA ASTRID</t>
  </si>
  <si>
    <t>VISON</t>
  </si>
  <si>
    <t>MG100902201</t>
  </si>
  <si>
    <t>SALLY</t>
  </si>
  <si>
    <t>MG100901501</t>
  </si>
  <si>
    <t>CARTERA</t>
  </si>
  <si>
    <t>TOLEDO</t>
  </si>
  <si>
    <t>MG100902225</t>
  </si>
  <si>
    <t>MG100901816</t>
  </si>
  <si>
    <t xml:space="preserve">SENA </t>
  </si>
  <si>
    <t>OLIVA</t>
  </si>
  <si>
    <t>MG100902202</t>
  </si>
  <si>
    <t>SUELA</t>
  </si>
  <si>
    <t>MG011063140</t>
  </si>
  <si>
    <t>BANDOLERA CARLA</t>
  </si>
  <si>
    <t>MG011063139</t>
  </si>
  <si>
    <t>MG011343140</t>
  </si>
  <si>
    <t>BANDOLERA MATILDA</t>
  </si>
  <si>
    <t>MG011343139</t>
  </si>
  <si>
    <t>MG100891828</t>
  </si>
  <si>
    <t>BANDOLERA MEGAN</t>
  </si>
  <si>
    <t>esta columna queda vacía</t>
  </si>
  <si>
    <t>jun</t>
  </si>
  <si>
    <t>info de la tienda</t>
  </si>
  <si>
    <t>(venta en unidades de los últimos 6 meses)</t>
  </si>
  <si>
    <t>info de Lucero (total tiendas)</t>
  </si>
  <si>
    <t>los resaltados son los ítems que ese mes estuvieron dentro del 80% de la venta</t>
  </si>
  <si>
    <t>(importe de venta de los últimos 6 meses)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</si>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</sst>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9"/>
      <color theme="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theme="0"/>
      <name val="Arial"/>
      <family val="2"/>
    </font>
    <font>
      <sz val="8"/>
      <name val="Arial"/>
      <family val="2"/>
    </font>
    <font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FF3B0D"/>
        <bgColor rgb="FF0C343D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2" fillId="2" borderId="0" xfId="2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0" fontId="2" fillId="3" borderId="0" xfId="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4" fontId="7" fillId="0" borderId="0" xfId="1" applyNumberFormat="1" applyFont="1" applyFill="1" applyAlignment="1">
      <alignment horizontal="center" vertical="center"/>
    </xf>
    <xf numFmtId="44" fontId="5" fillId="0" borderId="0" xfId="1" applyFont="1" applyAlignment="1">
      <alignment horizontal="center" vertical="center"/>
    </xf>
    <xf numFmtId="164" fontId="8" fillId="6" borderId="0" xfId="1" applyNumberFormat="1" applyFont="1" applyFill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Normal 3" xfId="2" xr:uid="{4D480CBC-71C6-4B0D-8529-9F0F21EF3DE4}"/>
  </cellStyles>
  <dxfs count="0"/>
  <tableStyles count="0" defaultTableStyle="TableStyleMedium2" defaultPivotStyle="PivotStyleLight16"/>
  <colors>
    <mruColors>
      <color rgb="FFFF3B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FC6C-5F8C-4136-B7B2-402EE0F570FF}">
  <dimension ref="A1:W21"/>
  <sheetViews>
    <sheetView tabSelected="1" workbookViewId="0">
      <selection activeCell="Q30" sqref="Q30"/>
    </sheetView>
  </sheetViews>
  <sheetFormatPr baseColWidth="10" defaultRowHeight="12" customHeight="1" x14ac:dyDescent="0.3"/>
  <cols>
    <col min="1" max="1" width="10.109375" bestFit="1" customWidth="1"/>
    <col min="2" max="2" width="12.6640625" bestFit="1" customWidth="1"/>
    <col min="3" max="3" width="9.6640625" bestFit="1" customWidth="1"/>
    <col min="4" max="4" width="16.33203125" bestFit="1" customWidth="1"/>
    <col min="5" max="5" width="7.109375" bestFit="1" customWidth="1"/>
    <col min="6" max="6" width="8.77734375" bestFit="1" customWidth="1"/>
    <col min="7" max="7" width="11.77734375" bestFit="1" customWidth="1"/>
    <col min="8" max="8" width="5.21875" bestFit="1" customWidth="1"/>
    <col min="9" max="14" width="4.88671875" customWidth="1"/>
    <col min="15" max="15" width="4.77734375" style="4" bestFit="1" customWidth="1"/>
    <col min="16" max="16" width="7.21875" bestFit="1" customWidth="1"/>
    <col min="17" max="17" width="10.44140625" bestFit="1" customWidth="1"/>
    <col min="18" max="23" width="8.88671875" customWidth="1"/>
  </cols>
  <sheetData>
    <row r="1" spans="1:23" ht="12" customHeight="1" x14ac:dyDescent="0.3">
      <c r="A1" s="15" t="s">
        <v>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R1" s="17" t="s">
        <v>50</v>
      </c>
      <c r="S1" s="17"/>
      <c r="T1" s="17"/>
      <c r="U1" s="17"/>
      <c r="V1" s="17"/>
      <c r="W1" s="17"/>
    </row>
    <row r="2" spans="1:23" ht="12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47</v>
      </c>
      <c r="O2" s="1" t="s">
        <v>13</v>
      </c>
      <c r="P2" s="2" t="s">
        <v>14</v>
      </c>
      <c r="Q2" s="2" t="s">
        <v>15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47</v>
      </c>
    </row>
    <row r="3" spans="1:23" s="6" customFormat="1" ht="20.399999999999999" x14ac:dyDescent="0.3">
      <c r="G3" s="7" t="s">
        <v>46</v>
      </c>
      <c r="I3" s="16" t="s">
        <v>49</v>
      </c>
      <c r="J3" s="16"/>
      <c r="K3" s="16"/>
      <c r="L3" s="16"/>
      <c r="M3" s="16"/>
      <c r="N3" s="16"/>
      <c r="O3" s="8">
        <f>SUM(I3:N3)</f>
        <v>0</v>
      </c>
      <c r="Q3" s="9">
        <f>O3*P3</f>
        <v>0</v>
      </c>
      <c r="R3" s="16" t="s">
        <v>52</v>
      </c>
      <c r="S3" s="16"/>
      <c r="T3" s="16"/>
      <c r="U3" s="16"/>
      <c r="V3" s="16"/>
      <c r="W3" s="16"/>
    </row>
    <row r="4" spans="1:23" s="6" customFormat="1" ht="13.8" x14ac:dyDescent="0.3">
      <c r="G4" s="7"/>
      <c r="I4" s="5"/>
      <c r="J4" s="5"/>
      <c r="K4" s="5"/>
      <c r="L4" s="5"/>
      <c r="M4" s="5"/>
      <c r="N4" s="5"/>
      <c r="O4" s="8"/>
      <c r="Q4" s="9"/>
      <c r="R4" s="5"/>
      <c r="S4" s="5"/>
      <c r="T4" s="5"/>
      <c r="U4" s="5"/>
      <c r="V4" s="5"/>
      <c r="W4" s="5"/>
    </row>
    <row r="5" spans="1:23" s="6" customFormat="1" ht="13.8" x14ac:dyDescent="0.3">
      <c r="G5" s="7"/>
      <c r="I5" s="5"/>
      <c r="J5" s="5"/>
      <c r="K5" s="5"/>
      <c r="L5" s="5"/>
      <c r="M5" s="5"/>
      <c r="N5" s="5"/>
      <c r="O5" s="8"/>
      <c r="Q5" s="9"/>
      <c r="R5" s="5"/>
      <c r="S5" s="5"/>
      <c r="T5" s="5"/>
      <c r="U5" s="5"/>
      <c r="V5" s="5"/>
      <c r="W5" s="5"/>
    </row>
    <row r="8" spans="1:23" ht="12" customHeight="1" x14ac:dyDescent="0.3">
      <c r="A8" s="15" t="s">
        <v>53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s="10" customFormat="1" ht="10.199999999999999" x14ac:dyDescent="0.3">
      <c r="A9" s="10" t="s">
        <v>24</v>
      </c>
      <c r="B9" s="10" t="s">
        <v>19</v>
      </c>
      <c r="C9" s="10" t="s">
        <v>20</v>
      </c>
      <c r="D9" s="10" t="s">
        <v>25</v>
      </c>
      <c r="E9" s="10" t="s">
        <v>21</v>
      </c>
      <c r="F9" s="10" t="s">
        <v>26</v>
      </c>
      <c r="H9" s="10">
        <v>0</v>
      </c>
      <c r="I9" s="10">
        <v>0</v>
      </c>
      <c r="J9" s="10">
        <v>0</v>
      </c>
      <c r="K9" s="10">
        <v>3</v>
      </c>
      <c r="L9" s="10">
        <v>0</v>
      </c>
      <c r="M9" s="10">
        <v>0</v>
      </c>
      <c r="N9" s="10">
        <v>0</v>
      </c>
      <c r="O9" s="10">
        <f>SUM(I9:N9)</f>
        <v>3</v>
      </c>
      <c r="P9" s="11">
        <v>89990</v>
      </c>
      <c r="Q9" s="12">
        <f t="shared" ref="Q9:Q19" si="0">O9*P9</f>
        <v>269970</v>
      </c>
      <c r="R9" s="11">
        <f t="shared" ref="R9:R19" si="1">J9*$P9</f>
        <v>0</v>
      </c>
      <c r="S9" s="13">
        <f t="shared" ref="S9:S19" si="2">K9*$P9</f>
        <v>269970</v>
      </c>
      <c r="T9" s="11">
        <f t="shared" ref="T9:T19" si="3">L9*$P9</f>
        <v>0</v>
      </c>
      <c r="U9" s="11">
        <f t="shared" ref="U9:U19" si="4">M9*$P9</f>
        <v>0</v>
      </c>
      <c r="V9" s="11">
        <f t="shared" ref="V9:V19" si="5">N9*$P9</f>
        <v>0</v>
      </c>
      <c r="W9" s="13">
        <f t="shared" ref="W9:W19" si="6">O9*P9</f>
        <v>269970</v>
      </c>
    </row>
    <row r="10" spans="1:23" s="10" customFormat="1" ht="10.199999999999999" x14ac:dyDescent="0.3">
      <c r="A10" s="10" t="s">
        <v>27</v>
      </c>
      <c r="B10" s="10" t="s">
        <v>19</v>
      </c>
      <c r="C10" s="10" t="s">
        <v>20</v>
      </c>
      <c r="D10" s="10" t="s">
        <v>25</v>
      </c>
      <c r="E10" s="10" t="s">
        <v>28</v>
      </c>
      <c r="F10" s="10" t="s">
        <v>23</v>
      </c>
      <c r="H10" s="10">
        <v>2</v>
      </c>
      <c r="I10" s="10">
        <v>0</v>
      </c>
      <c r="J10" s="10">
        <v>2</v>
      </c>
      <c r="K10" s="10">
        <v>1</v>
      </c>
      <c r="L10" s="10">
        <v>0</v>
      </c>
      <c r="M10" s="10">
        <v>0</v>
      </c>
      <c r="N10" s="10">
        <v>0</v>
      </c>
      <c r="O10" s="10">
        <f t="shared" ref="O10:O19" si="7">SUM(I10:N10)</f>
        <v>3</v>
      </c>
      <c r="P10" s="11">
        <v>89990</v>
      </c>
      <c r="Q10" s="12">
        <f t="shared" si="0"/>
        <v>269970</v>
      </c>
      <c r="R10" s="13">
        <f t="shared" si="1"/>
        <v>179980</v>
      </c>
      <c r="S10" s="11">
        <f t="shared" si="2"/>
        <v>89990</v>
      </c>
      <c r="T10" s="11">
        <f t="shared" si="3"/>
        <v>0</v>
      </c>
      <c r="U10" s="11">
        <f t="shared" si="4"/>
        <v>0</v>
      </c>
      <c r="V10" s="11">
        <f t="shared" si="5"/>
        <v>0</v>
      </c>
      <c r="W10" s="13">
        <f t="shared" si="6"/>
        <v>269970</v>
      </c>
    </row>
    <row r="11" spans="1:23" s="10" customFormat="1" ht="10.199999999999999" x14ac:dyDescent="0.3">
      <c r="A11" s="10" t="s">
        <v>29</v>
      </c>
      <c r="B11" s="10" t="s">
        <v>19</v>
      </c>
      <c r="C11" s="10" t="s">
        <v>30</v>
      </c>
      <c r="D11" s="10" t="s">
        <v>25</v>
      </c>
      <c r="E11" s="10" t="s">
        <v>31</v>
      </c>
      <c r="F11" s="10" t="s">
        <v>23</v>
      </c>
      <c r="H11" s="10">
        <v>2</v>
      </c>
      <c r="I11" s="10">
        <v>0</v>
      </c>
      <c r="J11" s="10">
        <v>0</v>
      </c>
      <c r="K11" s="10">
        <v>0</v>
      </c>
      <c r="L11" s="10">
        <v>0</v>
      </c>
      <c r="M11" s="10">
        <v>1</v>
      </c>
      <c r="N11" s="10">
        <v>0</v>
      </c>
      <c r="O11" s="10">
        <f t="shared" si="7"/>
        <v>1</v>
      </c>
      <c r="P11" s="14">
        <v>89990</v>
      </c>
      <c r="Q11" s="12">
        <f t="shared" si="0"/>
        <v>89990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3">
        <f t="shared" si="4"/>
        <v>89990</v>
      </c>
      <c r="V11" s="14">
        <f t="shared" si="5"/>
        <v>0</v>
      </c>
      <c r="W11" s="14">
        <f t="shared" si="6"/>
        <v>89990</v>
      </c>
    </row>
    <row r="12" spans="1:23" s="10" customFormat="1" ht="10.199999999999999" x14ac:dyDescent="0.3">
      <c r="A12" s="10" t="s">
        <v>32</v>
      </c>
      <c r="B12" s="10" t="s">
        <v>19</v>
      </c>
      <c r="C12" s="10" t="s">
        <v>20</v>
      </c>
      <c r="D12" s="10" t="s">
        <v>25</v>
      </c>
      <c r="E12" s="10" t="s">
        <v>28</v>
      </c>
      <c r="F12" s="10" t="s">
        <v>22</v>
      </c>
      <c r="H12" s="10">
        <v>0</v>
      </c>
      <c r="I12" s="10">
        <v>0</v>
      </c>
      <c r="J12" s="10">
        <v>0</v>
      </c>
      <c r="K12" s="10">
        <v>1</v>
      </c>
      <c r="L12" s="10">
        <v>0</v>
      </c>
      <c r="M12" s="10">
        <v>0</v>
      </c>
      <c r="N12" s="10">
        <v>0</v>
      </c>
      <c r="O12" s="10">
        <f t="shared" si="7"/>
        <v>1</v>
      </c>
      <c r="P12" s="14">
        <v>89990</v>
      </c>
      <c r="Q12" s="12">
        <f t="shared" si="0"/>
        <v>89990</v>
      </c>
      <c r="R12" s="14">
        <f t="shared" si="1"/>
        <v>0</v>
      </c>
      <c r="S12" s="14">
        <f t="shared" si="2"/>
        <v>89990</v>
      </c>
      <c r="T12" s="14">
        <f t="shared" si="3"/>
        <v>0</v>
      </c>
      <c r="U12" s="14">
        <f t="shared" si="4"/>
        <v>0</v>
      </c>
      <c r="V12" s="14">
        <f t="shared" si="5"/>
        <v>0</v>
      </c>
      <c r="W12" s="14">
        <f t="shared" si="6"/>
        <v>89990</v>
      </c>
    </row>
    <row r="13" spans="1:23" s="10" customFormat="1" ht="10.199999999999999" x14ac:dyDescent="0.3">
      <c r="A13" s="10" t="s">
        <v>33</v>
      </c>
      <c r="B13" s="10" t="s">
        <v>19</v>
      </c>
      <c r="C13" s="10" t="s">
        <v>20</v>
      </c>
      <c r="D13" s="10" t="s">
        <v>25</v>
      </c>
      <c r="E13" s="10" t="s">
        <v>34</v>
      </c>
      <c r="F13" s="10" t="s">
        <v>35</v>
      </c>
      <c r="H13" s="10">
        <v>0</v>
      </c>
      <c r="I13" s="10">
        <v>0</v>
      </c>
      <c r="J13" s="10">
        <v>0</v>
      </c>
      <c r="K13" s="10">
        <v>1</v>
      </c>
      <c r="L13" s="10">
        <v>0</v>
      </c>
      <c r="M13" s="10">
        <v>0</v>
      </c>
      <c r="N13" s="10">
        <v>0</v>
      </c>
      <c r="O13" s="10">
        <f t="shared" si="7"/>
        <v>1</v>
      </c>
      <c r="P13" s="14">
        <v>89990</v>
      </c>
      <c r="Q13" s="12">
        <f t="shared" si="0"/>
        <v>89990</v>
      </c>
      <c r="R13" s="14">
        <f t="shared" si="1"/>
        <v>0</v>
      </c>
      <c r="S13" s="14">
        <f t="shared" si="2"/>
        <v>89990</v>
      </c>
      <c r="T13" s="14">
        <f t="shared" si="3"/>
        <v>0</v>
      </c>
      <c r="U13" s="14">
        <f t="shared" si="4"/>
        <v>0</v>
      </c>
      <c r="V13" s="14">
        <f t="shared" si="5"/>
        <v>0</v>
      </c>
      <c r="W13" s="14">
        <f t="shared" si="6"/>
        <v>89990</v>
      </c>
    </row>
    <row r="14" spans="1:23" s="10" customFormat="1" ht="10.199999999999999" x14ac:dyDescent="0.3">
      <c r="A14" s="10" t="s">
        <v>36</v>
      </c>
      <c r="B14" s="10" t="s">
        <v>19</v>
      </c>
      <c r="C14" s="10" t="s">
        <v>20</v>
      </c>
      <c r="D14" s="10" t="s">
        <v>25</v>
      </c>
      <c r="E14" s="10" t="s">
        <v>28</v>
      </c>
      <c r="F14" s="10" t="s">
        <v>37</v>
      </c>
      <c r="H14" s="10">
        <v>0</v>
      </c>
      <c r="I14" s="10">
        <v>0</v>
      </c>
      <c r="J14" s="10">
        <v>1</v>
      </c>
      <c r="K14" s="10">
        <v>2</v>
      </c>
      <c r="L14" s="10">
        <v>1</v>
      </c>
      <c r="M14" s="10">
        <v>1</v>
      </c>
      <c r="N14" s="10">
        <v>0</v>
      </c>
      <c r="O14" s="10">
        <f t="shared" si="7"/>
        <v>5</v>
      </c>
      <c r="P14" s="11">
        <v>89990</v>
      </c>
      <c r="Q14" s="12">
        <f t="shared" si="0"/>
        <v>449950</v>
      </c>
      <c r="R14" s="11">
        <f t="shared" si="1"/>
        <v>89990</v>
      </c>
      <c r="S14" s="13">
        <f t="shared" si="2"/>
        <v>179980</v>
      </c>
      <c r="T14" s="13">
        <f t="shared" si="3"/>
        <v>89990</v>
      </c>
      <c r="U14" s="13">
        <f t="shared" si="4"/>
        <v>89990</v>
      </c>
      <c r="V14" s="11">
        <f t="shared" si="5"/>
        <v>0</v>
      </c>
      <c r="W14" s="13">
        <f t="shared" si="6"/>
        <v>449950</v>
      </c>
    </row>
    <row r="15" spans="1:23" s="10" customFormat="1" ht="10.199999999999999" x14ac:dyDescent="0.3">
      <c r="A15" s="10" t="s">
        <v>38</v>
      </c>
      <c r="B15" s="10" t="s">
        <v>19</v>
      </c>
      <c r="C15" s="10" t="s">
        <v>20</v>
      </c>
      <c r="D15" s="10" t="s">
        <v>39</v>
      </c>
      <c r="E15" s="10" t="s">
        <v>16</v>
      </c>
      <c r="F15" s="10" t="s">
        <v>17</v>
      </c>
      <c r="H15" s="10">
        <v>1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f t="shared" si="7"/>
        <v>0</v>
      </c>
      <c r="P15" s="14">
        <v>69990</v>
      </c>
      <c r="Q15" s="12">
        <f t="shared" si="0"/>
        <v>0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4">
        <f t="shared" si="5"/>
        <v>0</v>
      </c>
      <c r="W15" s="14">
        <f t="shared" si="6"/>
        <v>0</v>
      </c>
    </row>
    <row r="16" spans="1:23" s="10" customFormat="1" ht="10.199999999999999" x14ac:dyDescent="0.3">
      <c r="A16" s="10" t="s">
        <v>40</v>
      </c>
      <c r="B16" s="10" t="s">
        <v>19</v>
      </c>
      <c r="C16" s="10" t="s">
        <v>20</v>
      </c>
      <c r="D16" s="10" t="s">
        <v>39</v>
      </c>
      <c r="E16" s="10" t="s">
        <v>16</v>
      </c>
      <c r="F16" s="10" t="s">
        <v>18</v>
      </c>
      <c r="H16" s="10">
        <v>1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f t="shared" si="7"/>
        <v>0</v>
      </c>
      <c r="P16" s="14">
        <v>69990</v>
      </c>
      <c r="Q16" s="12">
        <f t="shared" si="0"/>
        <v>0</v>
      </c>
      <c r="R16" s="14">
        <f t="shared" si="1"/>
        <v>0</v>
      </c>
      <c r="S16" s="14">
        <f t="shared" si="2"/>
        <v>0</v>
      </c>
      <c r="T16" s="14">
        <f t="shared" si="3"/>
        <v>0</v>
      </c>
      <c r="U16" s="14">
        <f t="shared" si="4"/>
        <v>0</v>
      </c>
      <c r="V16" s="14">
        <f t="shared" si="5"/>
        <v>0</v>
      </c>
      <c r="W16" s="14">
        <f t="shared" si="6"/>
        <v>0</v>
      </c>
    </row>
    <row r="17" spans="1:23" s="10" customFormat="1" ht="10.199999999999999" x14ac:dyDescent="0.3">
      <c r="A17" s="10" t="s">
        <v>41</v>
      </c>
      <c r="B17" s="10" t="s">
        <v>19</v>
      </c>
      <c r="C17" s="10" t="s">
        <v>20</v>
      </c>
      <c r="D17" s="10" t="s">
        <v>42</v>
      </c>
      <c r="E17" s="10" t="s">
        <v>16</v>
      </c>
      <c r="F17" s="10" t="s">
        <v>17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f t="shared" si="7"/>
        <v>0</v>
      </c>
      <c r="P17" s="14">
        <v>89990</v>
      </c>
      <c r="Q17" s="12">
        <f t="shared" si="0"/>
        <v>0</v>
      </c>
      <c r="R17" s="14">
        <f t="shared" si="1"/>
        <v>0</v>
      </c>
      <c r="S17" s="14">
        <f t="shared" si="2"/>
        <v>0</v>
      </c>
      <c r="T17" s="14">
        <f t="shared" si="3"/>
        <v>0</v>
      </c>
      <c r="U17" s="14">
        <f t="shared" si="4"/>
        <v>0</v>
      </c>
      <c r="V17" s="14">
        <f t="shared" si="5"/>
        <v>0</v>
      </c>
      <c r="W17" s="14">
        <f t="shared" si="6"/>
        <v>0</v>
      </c>
    </row>
    <row r="18" spans="1:23" s="10" customFormat="1" ht="10.199999999999999" x14ac:dyDescent="0.3">
      <c r="A18" s="10" t="s">
        <v>43</v>
      </c>
      <c r="B18" s="10" t="s">
        <v>19</v>
      </c>
      <c r="C18" s="10" t="s">
        <v>20</v>
      </c>
      <c r="D18" s="10" t="s">
        <v>42</v>
      </c>
      <c r="E18" s="10" t="s">
        <v>16</v>
      </c>
      <c r="F18" s="10" t="s">
        <v>18</v>
      </c>
      <c r="H18" s="10">
        <v>2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f t="shared" si="7"/>
        <v>0</v>
      </c>
      <c r="P18" s="14">
        <v>89990</v>
      </c>
      <c r="Q18" s="12">
        <f t="shared" si="0"/>
        <v>0</v>
      </c>
      <c r="R18" s="14">
        <f t="shared" si="1"/>
        <v>0</v>
      </c>
      <c r="S18" s="14">
        <f t="shared" si="2"/>
        <v>0</v>
      </c>
      <c r="T18" s="14">
        <f t="shared" si="3"/>
        <v>0</v>
      </c>
      <c r="U18" s="14">
        <f t="shared" si="4"/>
        <v>0</v>
      </c>
      <c r="V18" s="14">
        <f t="shared" si="5"/>
        <v>0</v>
      </c>
      <c r="W18" s="14">
        <f t="shared" si="6"/>
        <v>0</v>
      </c>
    </row>
    <row r="19" spans="1:23" s="10" customFormat="1" ht="10.199999999999999" x14ac:dyDescent="0.3">
      <c r="A19" s="10" t="s">
        <v>44</v>
      </c>
      <c r="B19" s="10" t="s">
        <v>19</v>
      </c>
      <c r="C19" s="10" t="s">
        <v>20</v>
      </c>
      <c r="D19" s="10" t="s">
        <v>45</v>
      </c>
      <c r="E19" s="10" t="s">
        <v>21</v>
      </c>
      <c r="F19" s="10" t="s">
        <v>26</v>
      </c>
      <c r="H19" s="10">
        <v>0</v>
      </c>
      <c r="I19" s="10">
        <v>0</v>
      </c>
      <c r="J19" s="10">
        <v>2</v>
      </c>
      <c r="K19" s="10">
        <v>4</v>
      </c>
      <c r="L19" s="10">
        <v>0</v>
      </c>
      <c r="M19" s="10">
        <v>0</v>
      </c>
      <c r="N19" s="10">
        <v>0</v>
      </c>
      <c r="O19" s="10">
        <f t="shared" si="7"/>
        <v>6</v>
      </c>
      <c r="P19" s="11">
        <v>95990</v>
      </c>
      <c r="Q19" s="12">
        <f t="shared" si="0"/>
        <v>575940</v>
      </c>
      <c r="R19" s="13">
        <f t="shared" si="1"/>
        <v>191980</v>
      </c>
      <c r="S19" s="13">
        <f t="shared" si="2"/>
        <v>383960</v>
      </c>
      <c r="T19" s="11">
        <f t="shared" si="3"/>
        <v>0</v>
      </c>
      <c r="U19" s="11">
        <f t="shared" si="4"/>
        <v>0</v>
      </c>
      <c r="V19" s="11">
        <f t="shared" si="5"/>
        <v>0</v>
      </c>
      <c r="W19" s="13">
        <f t="shared" si="6"/>
        <v>575940</v>
      </c>
    </row>
    <row r="21" spans="1:23" ht="12" customHeight="1" x14ac:dyDescent="0.3">
      <c r="R21" s="16" t="s">
        <v>51</v>
      </c>
      <c r="S21" s="16"/>
      <c r="T21" s="16"/>
      <c r="U21" s="16"/>
      <c r="V21" s="16"/>
      <c r="W21" s="16"/>
    </row>
  </sheetData>
  <mergeCells count="6">
    <mergeCell ref="A1:O1"/>
    <mergeCell ref="I3:N3"/>
    <mergeCell ref="R3:W3"/>
    <mergeCell ref="R1:W1"/>
    <mergeCell ref="R21:W21"/>
    <mergeCell ref="A8:W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Rocío Martínez</cp:lastModifiedBy>
  <dcterms:created xsi:type="dcterms:W3CDTF">2025-06-25T14:06:51Z</dcterms:created>
  <dcterms:modified xsi:type="dcterms:W3CDTF">2025-06-25T14:30:16Z</dcterms:modified>
</cp:coreProperties>
</file>