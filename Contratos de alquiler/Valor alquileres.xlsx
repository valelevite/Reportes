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C\Documents\Valeria\Contratos de alquiler\"/>
    </mc:Choice>
  </mc:AlternateContent>
  <bookViews>
    <workbookView xWindow="0" yWindow="0" windowWidth="19200" windowHeight="6310" activeTab="1"/>
  </bookViews>
  <sheets>
    <sheet name="Valor alquiler x contrato" sheetId="3" r:id="rId1"/>
    <sheet name="Hoja1" sheetId="5" r:id="rId2"/>
    <sheet name="alquileres pagados y calculados" sheetId="1" r:id="rId3"/>
    <sheet name="expensas y % de variación" sheetId="4" r:id="rId4"/>
  </sheets>
  <definedNames>
    <definedName name="_xlnm._FilterDatabase" localSheetId="2" hidden="1">'alquileres pagados y calculados'!$A$2:$S$140</definedName>
  </definedNames>
  <calcPr calcId="162913"/>
  <pivotCaches>
    <pivotCache cacheId="31" r:id="rId5"/>
  </pivotCaches>
</workbook>
</file>

<file path=xl/calcChain.xml><?xml version="1.0" encoding="utf-8"?>
<calcChain xmlns="http://schemas.openxmlformats.org/spreadsheetml/2006/main">
  <c r="S130" i="1" l="1"/>
  <c r="S120" i="1"/>
  <c r="S110" i="1"/>
  <c r="S100" i="1"/>
  <c r="S90" i="1"/>
  <c r="S80" i="1"/>
  <c r="S131" i="1"/>
  <c r="S121" i="1"/>
  <c r="S111" i="1"/>
  <c r="S101" i="1"/>
  <c r="S91" i="1"/>
  <c r="K85" i="1" l="1"/>
  <c r="L134" i="1"/>
  <c r="L125" i="1"/>
  <c r="L115" i="1"/>
  <c r="L105" i="1"/>
  <c r="L95" i="1"/>
  <c r="L85" i="1"/>
  <c r="L133" i="1"/>
  <c r="L124" i="1"/>
  <c r="L114" i="1"/>
  <c r="L104" i="1"/>
  <c r="L94" i="1"/>
  <c r="L84" i="1"/>
  <c r="L74" i="1"/>
  <c r="L67" i="1"/>
  <c r="L60" i="1"/>
  <c r="M60" i="1" s="1"/>
  <c r="L53" i="1"/>
  <c r="L46" i="1"/>
  <c r="M46" i="1" s="1"/>
  <c r="L39" i="1"/>
  <c r="M39" i="1" s="1"/>
  <c r="L32" i="1"/>
  <c r="M32" i="1" s="1"/>
  <c r="L25" i="1"/>
  <c r="M25" i="1" s="1"/>
  <c r="L18" i="1"/>
  <c r="M18" i="1" s="1"/>
  <c r="L11" i="1"/>
  <c r="M11" i="1" s="1"/>
  <c r="L4" i="1"/>
  <c r="M4" i="1" s="1"/>
  <c r="L132" i="1"/>
  <c r="L123" i="1"/>
  <c r="L113" i="1"/>
  <c r="L103" i="1"/>
  <c r="L93" i="1"/>
  <c r="L83" i="1"/>
  <c r="L73" i="1"/>
  <c r="L66" i="1"/>
  <c r="L59" i="1"/>
  <c r="L52" i="1"/>
  <c r="L45" i="1"/>
  <c r="L38" i="1"/>
  <c r="L31" i="1"/>
  <c r="L24" i="1"/>
  <c r="L17" i="1"/>
  <c r="L10" i="1"/>
  <c r="L3" i="1"/>
  <c r="H139" i="1"/>
  <c r="L139" i="1" s="1"/>
  <c r="H130" i="1"/>
  <c r="L130" i="1" s="1"/>
  <c r="M130" i="1" s="1"/>
  <c r="H120" i="1"/>
  <c r="L120" i="1" s="1"/>
  <c r="M120" i="1" s="1"/>
  <c r="H110" i="1"/>
  <c r="L110" i="1" s="1"/>
  <c r="M110" i="1" s="1"/>
  <c r="H100" i="1"/>
  <c r="L100" i="1" s="1"/>
  <c r="M100" i="1" s="1"/>
  <c r="H90" i="1"/>
  <c r="L90" i="1" s="1"/>
  <c r="M90" i="1" s="1"/>
  <c r="L122" i="1"/>
  <c r="L112" i="1"/>
  <c r="L102" i="1"/>
  <c r="L92" i="1"/>
  <c r="L82" i="1"/>
  <c r="S140" i="1"/>
  <c r="G140" i="1" s="1"/>
  <c r="L140" i="1" s="1"/>
  <c r="S139" i="1"/>
  <c r="S138" i="1"/>
  <c r="S137" i="1"/>
  <c r="S136" i="1"/>
  <c r="S135" i="1"/>
  <c r="G135" i="1" s="1"/>
  <c r="H135" i="1" s="1"/>
  <c r="S134" i="1"/>
  <c r="S133" i="1"/>
  <c r="S132" i="1"/>
  <c r="G131" i="1"/>
  <c r="L131" i="1" s="1"/>
  <c r="S129" i="1"/>
  <c r="S128" i="1"/>
  <c r="S127" i="1"/>
  <c r="S126" i="1"/>
  <c r="G126" i="1" s="1"/>
  <c r="H126" i="1" s="1"/>
  <c r="S125" i="1"/>
  <c r="S124" i="1"/>
  <c r="S123" i="1"/>
  <c r="S122" i="1"/>
  <c r="G121" i="1"/>
  <c r="L121" i="1" s="1"/>
  <c r="S119" i="1"/>
  <c r="S118" i="1"/>
  <c r="S117" i="1"/>
  <c r="S116" i="1"/>
  <c r="G116" i="1" s="1"/>
  <c r="H116" i="1" s="1"/>
  <c r="S115" i="1"/>
  <c r="S114" i="1"/>
  <c r="S113" i="1"/>
  <c r="S112" i="1"/>
  <c r="G111" i="1"/>
  <c r="L111" i="1" s="1"/>
  <c r="S109" i="1"/>
  <c r="S108" i="1"/>
  <c r="S107" i="1"/>
  <c r="S106" i="1"/>
  <c r="G106" i="1" s="1"/>
  <c r="H106" i="1" s="1"/>
  <c r="S105" i="1"/>
  <c r="S104" i="1"/>
  <c r="S103" i="1"/>
  <c r="S102" i="1"/>
  <c r="G101" i="1"/>
  <c r="L101" i="1" s="1"/>
  <c r="S99" i="1"/>
  <c r="S98" i="1"/>
  <c r="S97" i="1"/>
  <c r="S96" i="1"/>
  <c r="G96" i="1" s="1"/>
  <c r="H96" i="1" s="1"/>
  <c r="S95" i="1"/>
  <c r="S94" i="1"/>
  <c r="S93" i="1"/>
  <c r="S92" i="1"/>
  <c r="G91" i="1"/>
  <c r="L91" i="1" s="1"/>
  <c r="S89" i="1"/>
  <c r="S88" i="1"/>
  <c r="S87" i="1"/>
  <c r="S86" i="1"/>
  <c r="G86" i="1" s="1"/>
  <c r="H86" i="1" s="1"/>
  <c r="S85" i="1"/>
  <c r="S84" i="1"/>
  <c r="S83" i="1"/>
  <c r="K130" i="1"/>
  <c r="K139" i="1"/>
  <c r="K135" i="1"/>
  <c r="K133" i="1"/>
  <c r="K132" i="1"/>
  <c r="K124" i="1"/>
  <c r="K123" i="1"/>
  <c r="K122" i="1"/>
  <c r="K114" i="1"/>
  <c r="K113" i="1"/>
  <c r="K112" i="1"/>
  <c r="M112" i="1" s="1"/>
  <c r="K104" i="1"/>
  <c r="K103" i="1"/>
  <c r="K102" i="1"/>
  <c r="K94" i="1"/>
  <c r="K93" i="1"/>
  <c r="K92" i="1"/>
  <c r="K84" i="1"/>
  <c r="F140" i="1"/>
  <c r="K140" i="1" s="1"/>
  <c r="K131" i="1"/>
  <c r="K121" i="1"/>
  <c r="K111" i="1"/>
  <c r="K101" i="1"/>
  <c r="K91" i="1"/>
  <c r="F131" i="1"/>
  <c r="K134" i="1"/>
  <c r="K125" i="1"/>
  <c r="K115" i="1"/>
  <c r="K105" i="1"/>
  <c r="K95" i="1"/>
  <c r="M85" i="1" l="1"/>
  <c r="M111" i="1"/>
  <c r="M101" i="1"/>
  <c r="M140" i="1"/>
  <c r="M103" i="1"/>
  <c r="M125" i="1"/>
  <c r="M91" i="1"/>
  <c r="M121" i="1"/>
  <c r="M131" i="1"/>
  <c r="M124" i="1"/>
  <c r="M93" i="1"/>
  <c r="M92" i="1"/>
  <c r="M133" i="1"/>
  <c r="M95" i="1"/>
  <c r="M105" i="1"/>
  <c r="M84" i="1"/>
  <c r="M115" i="1"/>
  <c r="M134" i="1"/>
  <c r="M123" i="1"/>
  <c r="M94" i="1"/>
  <c r="M132" i="1"/>
  <c r="M104" i="1"/>
  <c r="M113" i="1"/>
  <c r="M114" i="1"/>
  <c r="M102" i="1"/>
  <c r="M139" i="1"/>
  <c r="M122" i="1"/>
  <c r="L86" i="1"/>
  <c r="M86" i="1" s="1"/>
  <c r="L106" i="1"/>
  <c r="M106" i="1" s="1"/>
  <c r="L126" i="1"/>
  <c r="M126" i="1" s="1"/>
  <c r="L96" i="1"/>
  <c r="M96" i="1" s="1"/>
  <c r="L116" i="1"/>
  <c r="M116" i="1" s="1"/>
  <c r="L135" i="1"/>
  <c r="M135" i="1" s="1"/>
  <c r="I139" i="1"/>
  <c r="I130" i="1"/>
  <c r="I120" i="1"/>
  <c r="I110" i="1"/>
  <c r="I100" i="1"/>
  <c r="I90" i="1"/>
  <c r="G137" i="1"/>
  <c r="L137" i="1" s="1"/>
  <c r="G128" i="1"/>
  <c r="L128" i="1" s="1"/>
  <c r="G118" i="1"/>
  <c r="L118" i="1" s="1"/>
  <c r="G108" i="1"/>
  <c r="L108" i="1" s="1"/>
  <c r="G98" i="1"/>
  <c r="L98" i="1" s="1"/>
  <c r="G88" i="1"/>
  <c r="L88" i="1" s="1"/>
  <c r="K137" i="1"/>
  <c r="K128" i="1"/>
  <c r="K118" i="1"/>
  <c r="K108" i="1"/>
  <c r="K98" i="1"/>
  <c r="K88" i="1"/>
  <c r="K78" i="1"/>
  <c r="K71" i="1"/>
  <c r="K64" i="1"/>
  <c r="K57" i="1"/>
  <c r="K43" i="1"/>
  <c r="K36" i="1"/>
  <c r="K29" i="1"/>
  <c r="K22" i="1"/>
  <c r="K15" i="1"/>
  <c r="K8" i="1"/>
  <c r="G136" i="1"/>
  <c r="L136" i="1" s="1"/>
  <c r="G127" i="1"/>
  <c r="L127" i="1" s="1"/>
  <c r="G117" i="1"/>
  <c r="L117" i="1" s="1"/>
  <c r="G107" i="1"/>
  <c r="L107" i="1" s="1"/>
  <c r="G97" i="1"/>
  <c r="L97" i="1" s="1"/>
  <c r="G87" i="1"/>
  <c r="L87" i="1" s="1"/>
  <c r="K136" i="1"/>
  <c r="K127" i="1"/>
  <c r="K117" i="1"/>
  <c r="K107" i="1"/>
  <c r="K97" i="1"/>
  <c r="K87" i="1"/>
  <c r="K77" i="1"/>
  <c r="K70" i="1"/>
  <c r="K63" i="1"/>
  <c r="K56" i="1"/>
  <c r="K49" i="1"/>
  <c r="K42" i="1"/>
  <c r="K35" i="1"/>
  <c r="K28" i="1"/>
  <c r="K21" i="1"/>
  <c r="K14" i="1"/>
  <c r="K7" i="1"/>
  <c r="G138" i="1"/>
  <c r="L138" i="1" s="1"/>
  <c r="G129" i="1"/>
  <c r="L129" i="1" s="1"/>
  <c r="M129" i="1" s="1"/>
  <c r="G119" i="1"/>
  <c r="L119" i="1" s="1"/>
  <c r="G109" i="1"/>
  <c r="L109" i="1" s="1"/>
  <c r="G99" i="1"/>
  <c r="L99" i="1" s="1"/>
  <c r="G89" i="1"/>
  <c r="L89" i="1" s="1"/>
  <c r="K138" i="1"/>
  <c r="K119" i="1"/>
  <c r="K109" i="1"/>
  <c r="K99" i="1"/>
  <c r="K89" i="1"/>
  <c r="K79" i="1"/>
  <c r="K72" i="1"/>
  <c r="K65" i="1"/>
  <c r="K58" i="1"/>
  <c r="K51" i="1"/>
  <c r="K44" i="1"/>
  <c r="K37" i="1"/>
  <c r="K30" i="1"/>
  <c r="K23" i="1"/>
  <c r="K9" i="1"/>
  <c r="K83" i="1"/>
  <c r="M83" i="1" s="1"/>
  <c r="M98" i="1" l="1"/>
  <c r="M88" i="1"/>
  <c r="M108" i="1"/>
  <c r="M118" i="1"/>
  <c r="M137" i="1"/>
  <c r="M128" i="1"/>
  <c r="M97" i="1"/>
  <c r="M107" i="1"/>
  <c r="M117" i="1"/>
  <c r="M127" i="1"/>
  <c r="M87" i="1"/>
  <c r="M136" i="1"/>
  <c r="M138" i="1"/>
  <c r="M99" i="1"/>
  <c r="M119" i="1"/>
  <c r="M89" i="1"/>
  <c r="M109" i="1"/>
  <c r="D80" i="1"/>
  <c r="K82" i="1"/>
  <c r="M82" i="1" s="1"/>
  <c r="G81" i="1"/>
  <c r="L81" i="1" s="1"/>
  <c r="K81" i="1"/>
  <c r="M81" i="1" l="1"/>
  <c r="H80" i="1"/>
  <c r="L80" i="1" s="1"/>
  <c r="F80" i="1"/>
  <c r="I80" i="1" s="1"/>
  <c r="K80" i="1" s="1"/>
  <c r="K75" i="1"/>
  <c r="K74" i="1"/>
  <c r="M74" i="1" s="1"/>
  <c r="K68" i="1"/>
  <c r="K67" i="1"/>
  <c r="M67" i="1" s="1"/>
  <c r="K53" i="1"/>
  <c r="M53" i="1" s="1"/>
  <c r="K73" i="1"/>
  <c r="M73" i="1" s="1"/>
  <c r="K66" i="1"/>
  <c r="M66" i="1" s="1"/>
  <c r="K59" i="1"/>
  <c r="M59" i="1" s="1"/>
  <c r="K52" i="1"/>
  <c r="M52" i="1" s="1"/>
  <c r="F76" i="1"/>
  <c r="I76" i="1" s="1"/>
  <c r="K76" i="1" s="1"/>
  <c r="F69" i="1"/>
  <c r="I69" i="1" s="1"/>
  <c r="K69" i="1" s="1"/>
  <c r="F62" i="1"/>
  <c r="M80" i="1" l="1"/>
  <c r="I62" i="1"/>
  <c r="K62" i="1" s="1"/>
  <c r="S79" i="1" l="1"/>
  <c r="G79" i="1" s="1"/>
  <c r="L79" i="1" s="1"/>
  <c r="M79" i="1" s="1"/>
  <c r="O79" i="1"/>
  <c r="S78" i="1"/>
  <c r="G78" i="1" s="1"/>
  <c r="L78" i="1" s="1"/>
  <c r="M78" i="1" s="1"/>
  <c r="O78" i="1"/>
  <c r="S77" i="1"/>
  <c r="G77" i="1" s="1"/>
  <c r="L77" i="1" s="1"/>
  <c r="M77" i="1" s="1"/>
  <c r="O77" i="1"/>
  <c r="S76" i="1"/>
  <c r="G76" i="1" s="1"/>
  <c r="O76" i="1"/>
  <c r="S75" i="1"/>
  <c r="G75" i="1" s="1"/>
  <c r="L75" i="1" s="1"/>
  <c r="M75" i="1" s="1"/>
  <c r="O75" i="1"/>
  <c r="S74" i="1"/>
  <c r="O74" i="1"/>
  <c r="S73" i="1"/>
  <c r="O73" i="1"/>
  <c r="S72" i="1"/>
  <c r="G72" i="1" s="1"/>
  <c r="L72" i="1" s="1"/>
  <c r="M72" i="1" s="1"/>
  <c r="O72" i="1"/>
  <c r="S71" i="1"/>
  <c r="G71" i="1" s="1"/>
  <c r="L71" i="1" s="1"/>
  <c r="M71" i="1" s="1"/>
  <c r="O71" i="1"/>
  <c r="S70" i="1"/>
  <c r="G70" i="1" s="1"/>
  <c r="L70" i="1" s="1"/>
  <c r="M70" i="1" s="1"/>
  <c r="O70" i="1"/>
  <c r="S69" i="1"/>
  <c r="G69" i="1" s="1"/>
  <c r="O69" i="1"/>
  <c r="S68" i="1"/>
  <c r="G68" i="1" s="1"/>
  <c r="L68" i="1" s="1"/>
  <c r="M68" i="1" s="1"/>
  <c r="O68" i="1"/>
  <c r="S67" i="1"/>
  <c r="O67" i="1"/>
  <c r="S66" i="1"/>
  <c r="O66" i="1"/>
  <c r="H69" i="1" l="1"/>
  <c r="L69" i="1" s="1"/>
  <c r="M69" i="1" s="1"/>
  <c r="H76" i="1"/>
  <c r="L76" i="1" s="1"/>
  <c r="M76" i="1" s="1"/>
  <c r="O11" i="1"/>
  <c r="O14" i="1"/>
  <c r="O15" i="1"/>
  <c r="O17" i="1"/>
  <c r="O21" i="1"/>
  <c r="O22" i="1"/>
  <c r="O23" i="1"/>
  <c r="O24" i="1"/>
  <c r="O28" i="1"/>
  <c r="O29" i="1"/>
  <c r="O30" i="1"/>
  <c r="O31" i="1"/>
  <c r="O35" i="1"/>
  <c r="O36" i="1"/>
  <c r="O38" i="1"/>
  <c r="O39" i="1"/>
  <c r="O42" i="1"/>
  <c r="O43" i="1"/>
  <c r="O45" i="1"/>
  <c r="O46" i="1"/>
  <c r="O49" i="1"/>
  <c r="O51" i="1"/>
  <c r="O52" i="1"/>
  <c r="O56" i="1"/>
  <c r="O57" i="1"/>
  <c r="O59" i="1"/>
  <c r="O60" i="1"/>
  <c r="O61" i="1"/>
  <c r="O62" i="1"/>
  <c r="O63" i="1"/>
  <c r="O64" i="1"/>
  <c r="O65" i="1"/>
  <c r="O10" i="1"/>
  <c r="K54" i="1" l="1"/>
  <c r="K47" i="1"/>
  <c r="O47" i="1" s="1"/>
  <c r="K33" i="1"/>
  <c r="O33" i="1" s="1"/>
  <c r="K26" i="1"/>
  <c r="K19" i="1"/>
  <c r="O19" i="1" s="1"/>
  <c r="F40" i="1"/>
  <c r="K40" i="1" s="1"/>
  <c r="O40" i="1" s="1"/>
  <c r="O54" i="1" l="1"/>
  <c r="O26" i="1"/>
  <c r="S9" i="1"/>
  <c r="G9" i="1" s="1"/>
  <c r="L9" i="1" s="1"/>
  <c r="M9" i="1" s="1"/>
  <c r="S8" i="1"/>
  <c r="G8" i="1" s="1"/>
  <c r="L8" i="1" s="1"/>
  <c r="M8" i="1" s="1"/>
  <c r="S7" i="1"/>
  <c r="G7" i="1" s="1"/>
  <c r="L7" i="1" s="1"/>
  <c r="M7" i="1" s="1"/>
  <c r="S6" i="1"/>
  <c r="G6" i="1" s="1"/>
  <c r="S5" i="1"/>
  <c r="G5" i="1" s="1"/>
  <c r="L5" i="1" s="1"/>
  <c r="M5" i="1" s="1"/>
  <c r="S4" i="1"/>
  <c r="S3" i="1"/>
  <c r="S11" i="1"/>
  <c r="S12" i="1"/>
  <c r="G12" i="1" s="1"/>
  <c r="L12" i="1" s="1"/>
  <c r="S13" i="1"/>
  <c r="G13" i="1" s="1"/>
  <c r="S14" i="1"/>
  <c r="G14" i="1" s="1"/>
  <c r="L14" i="1" s="1"/>
  <c r="M14" i="1" s="1"/>
  <c r="S15" i="1"/>
  <c r="G15" i="1" s="1"/>
  <c r="L15" i="1" s="1"/>
  <c r="M15" i="1" s="1"/>
  <c r="G16" i="1"/>
  <c r="L16" i="1" s="1"/>
  <c r="M16" i="1" s="1"/>
  <c r="S17" i="1"/>
  <c r="S18" i="1"/>
  <c r="S19" i="1"/>
  <c r="G19" i="1" s="1"/>
  <c r="L19" i="1" s="1"/>
  <c r="M19" i="1" s="1"/>
  <c r="S20" i="1"/>
  <c r="G20" i="1" s="1"/>
  <c r="S21" i="1"/>
  <c r="G21" i="1" s="1"/>
  <c r="L21" i="1" s="1"/>
  <c r="M21" i="1" s="1"/>
  <c r="S22" i="1"/>
  <c r="G22" i="1" s="1"/>
  <c r="L22" i="1" s="1"/>
  <c r="M22" i="1" s="1"/>
  <c r="S23" i="1"/>
  <c r="G23" i="1" s="1"/>
  <c r="L23" i="1" s="1"/>
  <c r="M23" i="1" s="1"/>
  <c r="S24" i="1"/>
  <c r="S25" i="1"/>
  <c r="S26" i="1"/>
  <c r="G26" i="1" s="1"/>
  <c r="L26" i="1" s="1"/>
  <c r="M26" i="1" s="1"/>
  <c r="S27" i="1"/>
  <c r="G27" i="1" s="1"/>
  <c r="S28" i="1"/>
  <c r="G28" i="1" s="1"/>
  <c r="L28" i="1" s="1"/>
  <c r="M28" i="1" s="1"/>
  <c r="S29" i="1"/>
  <c r="G29" i="1" s="1"/>
  <c r="L29" i="1" s="1"/>
  <c r="M29" i="1" s="1"/>
  <c r="S30" i="1"/>
  <c r="G30" i="1" s="1"/>
  <c r="L30" i="1" s="1"/>
  <c r="M30" i="1" s="1"/>
  <c r="S31" i="1"/>
  <c r="S32" i="1"/>
  <c r="S33" i="1"/>
  <c r="G33" i="1" s="1"/>
  <c r="L33" i="1" s="1"/>
  <c r="M33" i="1" s="1"/>
  <c r="S34" i="1"/>
  <c r="G34" i="1" s="1"/>
  <c r="S35" i="1"/>
  <c r="G35" i="1" s="1"/>
  <c r="L35" i="1" s="1"/>
  <c r="M35" i="1" s="1"/>
  <c r="S36" i="1"/>
  <c r="G36" i="1" s="1"/>
  <c r="L36" i="1" s="1"/>
  <c r="M36" i="1" s="1"/>
  <c r="S37" i="1"/>
  <c r="G37" i="1" s="1"/>
  <c r="L37" i="1" s="1"/>
  <c r="M37" i="1" s="1"/>
  <c r="S38" i="1"/>
  <c r="S39" i="1"/>
  <c r="S40" i="1"/>
  <c r="G40" i="1" s="1"/>
  <c r="L40" i="1" s="1"/>
  <c r="M40" i="1" s="1"/>
  <c r="S41" i="1"/>
  <c r="G41" i="1" s="1"/>
  <c r="S42" i="1"/>
  <c r="G42" i="1" s="1"/>
  <c r="L42" i="1" s="1"/>
  <c r="M42" i="1" s="1"/>
  <c r="S43" i="1"/>
  <c r="G43" i="1" s="1"/>
  <c r="L43" i="1" s="1"/>
  <c r="M43" i="1" s="1"/>
  <c r="S44" i="1"/>
  <c r="G44" i="1" s="1"/>
  <c r="L44" i="1" s="1"/>
  <c r="M44" i="1" s="1"/>
  <c r="S45" i="1"/>
  <c r="S46" i="1"/>
  <c r="S47" i="1"/>
  <c r="G47" i="1" s="1"/>
  <c r="L47" i="1" s="1"/>
  <c r="M47" i="1" s="1"/>
  <c r="S48" i="1"/>
  <c r="G48" i="1" s="1"/>
  <c r="S49" i="1"/>
  <c r="G49" i="1" s="1"/>
  <c r="L49" i="1" s="1"/>
  <c r="M49" i="1" s="1"/>
  <c r="S50" i="1"/>
  <c r="G50" i="1" s="1"/>
  <c r="L50" i="1" s="1"/>
  <c r="S51" i="1"/>
  <c r="G51" i="1" s="1"/>
  <c r="L51" i="1" s="1"/>
  <c r="M51" i="1" s="1"/>
  <c r="S52" i="1"/>
  <c r="S53" i="1"/>
  <c r="S54" i="1"/>
  <c r="G54" i="1" s="1"/>
  <c r="L54" i="1" s="1"/>
  <c r="M54" i="1" s="1"/>
  <c r="S55" i="1"/>
  <c r="G55" i="1" s="1"/>
  <c r="S56" i="1"/>
  <c r="G56" i="1" s="1"/>
  <c r="L56" i="1" s="1"/>
  <c r="M56" i="1" s="1"/>
  <c r="S57" i="1"/>
  <c r="G57" i="1" s="1"/>
  <c r="L57" i="1" s="1"/>
  <c r="M57" i="1" s="1"/>
  <c r="S58" i="1"/>
  <c r="G58" i="1" s="1"/>
  <c r="L58" i="1" s="1"/>
  <c r="M58" i="1" s="1"/>
  <c r="S59" i="1"/>
  <c r="S60" i="1"/>
  <c r="S61" i="1"/>
  <c r="G61" i="1" s="1"/>
  <c r="L61" i="1" s="1"/>
  <c r="M61" i="1" s="1"/>
  <c r="S62" i="1"/>
  <c r="G62" i="1" s="1"/>
  <c r="S63" i="1"/>
  <c r="G63" i="1" s="1"/>
  <c r="L63" i="1" s="1"/>
  <c r="M63" i="1" s="1"/>
  <c r="S64" i="1"/>
  <c r="G64" i="1" s="1"/>
  <c r="L64" i="1" s="1"/>
  <c r="M64" i="1" s="1"/>
  <c r="S65" i="1"/>
  <c r="G65" i="1" s="1"/>
  <c r="L65" i="1" s="1"/>
  <c r="M65" i="1" s="1"/>
  <c r="S10" i="1"/>
  <c r="H62" i="1" l="1"/>
  <c r="L62" i="1" s="1"/>
  <c r="M62" i="1" s="1"/>
  <c r="I6" i="1"/>
  <c r="K6" i="1" s="1"/>
  <c r="H13" i="1"/>
  <c r="L13" i="1" s="1"/>
  <c r="H20" i="1"/>
  <c r="L20" i="1" s="1"/>
  <c r="H27" i="1"/>
  <c r="L27" i="1" s="1"/>
  <c r="I27" i="1"/>
  <c r="K27" i="1" s="1"/>
  <c r="H34" i="1"/>
  <c r="L34" i="1" s="1"/>
  <c r="H41" i="1"/>
  <c r="L41" i="1" s="1"/>
  <c r="H48" i="1"/>
  <c r="L48" i="1" s="1"/>
  <c r="H55" i="1"/>
  <c r="L55" i="1" s="1"/>
  <c r="K55" i="1"/>
  <c r="K48" i="1"/>
  <c r="K41" i="1"/>
  <c r="K34" i="1"/>
  <c r="K20" i="1"/>
  <c r="O20" i="1" l="1"/>
  <c r="M20" i="1"/>
  <c r="O34" i="1"/>
  <c r="M34" i="1"/>
  <c r="O27" i="1"/>
  <c r="M27" i="1"/>
  <c r="O41" i="1"/>
  <c r="M41" i="1"/>
  <c r="O48" i="1"/>
  <c r="M48" i="1"/>
  <c r="O55" i="1"/>
  <c r="M55" i="1"/>
  <c r="I8" i="4"/>
  <c r="I9" i="4"/>
  <c r="I10" i="4"/>
  <c r="I11" i="4"/>
  <c r="I12" i="4"/>
  <c r="I13" i="4"/>
  <c r="I7" i="4"/>
  <c r="I20" i="4"/>
  <c r="I21" i="4"/>
  <c r="I22" i="4"/>
  <c r="I23" i="4"/>
  <c r="I24" i="4"/>
  <c r="I25" i="4"/>
  <c r="I19" i="4"/>
  <c r="H25" i="4"/>
  <c r="G25" i="4"/>
  <c r="F25" i="4"/>
  <c r="E25" i="4"/>
  <c r="D25" i="4"/>
  <c r="H24" i="4"/>
  <c r="G24" i="4"/>
  <c r="F24" i="4"/>
  <c r="E24" i="4"/>
  <c r="D24" i="4"/>
  <c r="H23" i="4"/>
  <c r="G23" i="4"/>
  <c r="F23" i="4"/>
  <c r="E23" i="4"/>
  <c r="D23" i="4"/>
  <c r="H22" i="4"/>
  <c r="G22" i="4"/>
  <c r="F22" i="4"/>
  <c r="E22" i="4"/>
  <c r="D22" i="4"/>
  <c r="H21" i="4"/>
  <c r="G21" i="4"/>
  <c r="F21" i="4"/>
  <c r="E21" i="4"/>
  <c r="D21" i="4"/>
  <c r="H20" i="4"/>
  <c r="G20" i="4"/>
  <c r="F20" i="4"/>
  <c r="E20" i="4"/>
  <c r="D20" i="4"/>
  <c r="H19" i="4"/>
  <c r="G19" i="4"/>
  <c r="F19" i="4"/>
  <c r="E19" i="4"/>
  <c r="D19" i="4"/>
  <c r="C25" i="4"/>
  <c r="C24" i="4"/>
  <c r="C23" i="4"/>
  <c r="C22" i="4"/>
  <c r="C21" i="4"/>
  <c r="C20" i="4"/>
  <c r="C19" i="4"/>
  <c r="D37" i="1" l="1"/>
  <c r="O44" i="1" s="1"/>
  <c r="D30" i="1"/>
  <c r="D9" i="1"/>
  <c r="O16" i="1" s="1"/>
  <c r="F12" i="1" l="1"/>
  <c r="K12" i="1" s="1"/>
  <c r="M12" i="1" s="1"/>
  <c r="I13" i="1"/>
  <c r="K13" i="1" s="1"/>
  <c r="F5" i="1"/>
  <c r="F46" i="1"/>
  <c r="F39" i="1"/>
  <c r="K32" i="1"/>
  <c r="K25" i="1"/>
  <c r="K18" i="1"/>
  <c r="O13" i="1" l="1"/>
  <c r="M13" i="1"/>
  <c r="O18" i="1"/>
  <c r="O25" i="1"/>
  <c r="O32" i="1"/>
  <c r="O12" i="1"/>
  <c r="F25" i="1"/>
  <c r="F32" i="1"/>
  <c r="F18" i="1"/>
  <c r="H6" i="1"/>
  <c r="L6" i="1" s="1"/>
  <c r="M6" i="1" s="1"/>
  <c r="K50" i="1"/>
  <c r="M50" i="1" s="1"/>
  <c r="O50" i="1" l="1"/>
  <c r="O58" i="1"/>
  <c r="O37" i="1"/>
  <c r="O53" i="1"/>
</calcChain>
</file>

<file path=xl/sharedStrings.xml><?xml version="1.0" encoding="utf-8"?>
<sst xmlns="http://schemas.openxmlformats.org/spreadsheetml/2006/main" count="758" uniqueCount="109">
  <si>
    <t>SIN IVA</t>
  </si>
  <si>
    <t>ALQUILER VARIABLE</t>
  </si>
  <si>
    <t>Abril</t>
  </si>
  <si>
    <t>Florida</t>
  </si>
  <si>
    <t>French</t>
  </si>
  <si>
    <t>Recoleta</t>
  </si>
  <si>
    <t>San Telmo</t>
  </si>
  <si>
    <t>San Telmo 2</t>
  </si>
  <si>
    <t>Enero</t>
  </si>
  <si>
    <t>Febrero</t>
  </si>
  <si>
    <t>Julio</t>
  </si>
  <si>
    <t>Junio</t>
  </si>
  <si>
    <t>Marzo</t>
  </si>
  <si>
    <t>Mayo</t>
  </si>
  <si>
    <t>Güemes</t>
  </si>
  <si>
    <t>MES ALQUILER</t>
  </si>
  <si>
    <t>Agosto</t>
  </si>
  <si>
    <t>TIENDA</t>
  </si>
  <si>
    <t>DIFERENCIA</t>
  </si>
  <si>
    <t>AS San Telmo</t>
  </si>
  <si>
    <t>Observaciones</t>
  </si>
  <si>
    <t>FACTURADO MES ANTERIOR</t>
  </si>
  <si>
    <t>ALQUILER MÍNIMO</t>
  </si>
  <si>
    <t>X CONTRATO</t>
  </si>
  <si>
    <t>PAGADO</t>
  </si>
  <si>
    <t>ALQUILER TOTAL PAGADO (SIN IVA)</t>
  </si>
  <si>
    <t>SEGÚN FACTURACIÓN MES ANTERIOR</t>
  </si>
  <si>
    <t>Septiembre</t>
  </si>
  <si>
    <t>depende del precio del dólar</t>
  </si>
  <si>
    <t>estimación que toma el valor pagado y no calculado, como base</t>
  </si>
  <si>
    <t>EXPENSAS</t>
  </si>
  <si>
    <t>SEGÚN CONTRATOS</t>
  </si>
  <si>
    <t>CONCEPTOS/TIENDAS</t>
  </si>
  <si>
    <t>Güemes (local 8)</t>
  </si>
  <si>
    <t>AS San Telmo (120/121)</t>
  </si>
  <si>
    <t>San Telmo 1 (92)</t>
  </si>
  <si>
    <t>San Telmo 2 (122)</t>
  </si>
  <si>
    <t>Derecho de ingreso/depósito</t>
  </si>
  <si>
    <t>USD 2.000</t>
  </si>
  <si>
    <t>Valor variable</t>
  </si>
  <si>
    <t>no tiene</t>
  </si>
  <si>
    <t>9% de la facturación del mes anterior sin IVA</t>
  </si>
  <si>
    <t>7% de la facturación sin IVA</t>
  </si>
  <si>
    <t>8% de la facturación del mes anterior sin IVA</t>
  </si>
  <si>
    <t>10% de la facturación del mes anterior sin IVA</t>
  </si>
  <si>
    <t xml:space="preserve">Valor fijo original </t>
  </si>
  <si>
    <t>USD 5.000</t>
  </si>
  <si>
    <t>$280.000 ($520.000 de 02/2024 a 07/2024)</t>
  </si>
  <si>
    <t>$400.000 ($760.000 de 08/2024 a 01/2025)</t>
  </si>
  <si>
    <t>$500.000 ($825.000 de 12/2024 a 05/2025)</t>
  </si>
  <si>
    <t>Incrementos del valor fijo</t>
  </si>
  <si>
    <t>USD 300 por año</t>
  </si>
  <si>
    <t>cada 3 meses por IPC</t>
  </si>
  <si>
    <t>cada 4 meses por IPC</t>
  </si>
  <si>
    <t>se repactan los valores a partir del 2do año</t>
  </si>
  <si>
    <t>Valor fijo actualizado</t>
  </si>
  <si>
    <t>USD 5.300</t>
  </si>
  <si>
    <t>julio 2026</t>
  </si>
  <si>
    <t>junio 2025</t>
  </si>
  <si>
    <t>julio 2025</t>
  </si>
  <si>
    <t>septiembre 2025 (estimación)</t>
  </si>
  <si>
    <t>octubre 2025 (estimación)</t>
  </si>
  <si>
    <t>Cálculo del alquiler total</t>
  </si>
  <si>
    <t>Valor fijo</t>
  </si>
  <si>
    <t>Valor variable con valor fijo como mínimo</t>
  </si>
  <si>
    <t>Otros</t>
  </si>
  <si>
    <t>Fecha inicio</t>
  </si>
  <si>
    <t>Fecha finalización</t>
  </si>
  <si>
    <t>No pasa el mínimo</t>
  </si>
  <si>
    <t>Ahora se está acercando el fijo al variable</t>
  </si>
  <si>
    <t>falta conocer cómo aumenta el valor fijo pero siempre el variable es superior</t>
  </si>
  <si>
    <t>falta conocer el nuevo valor fijo repactado y sus aumentos</t>
  </si>
  <si>
    <t>Tienda</t>
  </si>
  <si>
    <t>PORCENTAJE DE VARIACIÓN</t>
  </si>
  <si>
    <t>EXPENSAS DE TIENDAS</t>
  </si>
  <si>
    <t>PAGADAS</t>
  </si>
  <si>
    <t>Estimadas a pagar en septiembre</t>
  </si>
  <si>
    <t>Promedio (entre los valores +)</t>
  </si>
  <si>
    <t>15%  mensual del valor variable del mes anterior (o del fijo, el que fuera mayor) para el Fondo de promoción permanente</t>
  </si>
  <si>
    <t>El Solar</t>
  </si>
  <si>
    <t>10%  del alquiler para el Fondo de promoción permanente</t>
  </si>
  <si>
    <t>Octubre</t>
  </si>
  <si>
    <t>Noviembre</t>
  </si>
  <si>
    <t>Pago mensual del 0,025% de los gastos comunes, 0,22% de los gastos de los locales y 5% por gastos adm de la factura de luz</t>
  </si>
  <si>
    <t>Pago mensual del 0,069% de los gastos comunes, 0,61% de los gastos de los locales y 5% por gastos adm de la factura de luz</t>
  </si>
  <si>
    <t>FONDO PROMOCIÓN PERMANENTE (15% RECOLETA, 10% SOLAR)</t>
  </si>
  <si>
    <t>Alquiler + expensas</t>
  </si>
  <si>
    <t>AÑO</t>
  </si>
  <si>
    <t>Diciembre</t>
  </si>
  <si>
    <t>AS Güemes (góndola 13)</t>
  </si>
  <si>
    <t>Güemes 2 (góndola 7)</t>
  </si>
  <si>
    <t>French (renovación)</t>
  </si>
  <si>
    <t>marzo 2026</t>
  </si>
  <si>
    <t>Recoleta (prórroga)</t>
  </si>
  <si>
    <t>$4.000.000 (en 3 cuotas)</t>
  </si>
  <si>
    <t>abril 2026</t>
  </si>
  <si>
    <t>cada 2 meses por IPC (contando desde 1/9/25)</t>
  </si>
  <si>
    <t>TOTAL POR CONTRATO</t>
  </si>
  <si>
    <t>Güemes 2 joyería (góndola 7)</t>
  </si>
  <si>
    <t>AS Güemes chalinas (góndola 13)</t>
  </si>
  <si>
    <t>abrió el 19/11</t>
  </si>
  <si>
    <t>abrió el 11/11</t>
  </si>
  <si>
    <t>Etiquetas de columna</t>
  </si>
  <si>
    <t>Total general</t>
  </si>
  <si>
    <t>Etiquetas de fila</t>
  </si>
  <si>
    <t>Suma de DIFERENCIA</t>
  </si>
  <si>
    <t>se reclamó, era $686555</t>
  </si>
  <si>
    <t>sin iva ni impuesto interno</t>
  </si>
  <si>
    <t>ver cuándo se dio de baja el impuesto 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</si>
</sst>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&quot;$&quot;\ #,##0"/>
    <numFmt numFmtId="166" formatCode="0.0%"/>
    <numFmt numFmtId="167" formatCode="_-&quot;$&quot;\ * #,##0_-;\-&quot;$&quot;\ * #,##0_-;_-&quot;$&quot;\ * &quot;-&quot;?_-;_-@_-"/>
  </numFmts>
  <fonts count="11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4" fontId="6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47">
    <xf numFmtId="0" fontId="0" fillId="0" borderId="0" xfId="0"/>
    <xf numFmtId="164" fontId="0" fillId="0" borderId="0" xfId="1" applyNumberFormat="1" applyFont="1"/>
    <xf numFmtId="0" fontId="0" fillId="0" borderId="1" xfId="0" applyBorder="1"/>
    <xf numFmtId="164" fontId="0" fillId="0" borderId="1" xfId="1" applyNumberFormat="1" applyFont="1" applyBorder="1"/>
    <xf numFmtId="0" fontId="0" fillId="0" borderId="2" xfId="0" applyBorder="1"/>
    <xf numFmtId="164" fontId="0" fillId="0" borderId="1" xfId="0" applyNumberFormat="1" applyBorder="1"/>
    <xf numFmtId="0" fontId="0" fillId="0" borderId="0" xfId="0" applyBorder="1"/>
    <xf numFmtId="164" fontId="0" fillId="0" borderId="3" xfId="1" applyNumberFormat="1" applyFont="1" applyBorder="1"/>
    <xf numFmtId="164" fontId="0" fillId="0" borderId="8" xfId="1" applyNumberFormat="1" applyFont="1" applyBorder="1"/>
    <xf numFmtId="164" fontId="0" fillId="0" borderId="9" xfId="1" applyNumberFormat="1" applyFont="1" applyBorder="1"/>
    <xf numFmtId="164" fontId="7" fillId="5" borderId="8" xfId="1" applyNumberFormat="1" applyFont="1" applyFill="1" applyBorder="1" applyAlignment="1">
      <alignment horizontal="center" vertical="center" wrapText="1"/>
    </xf>
    <xf numFmtId="164" fontId="7" fillId="3" borderId="9" xfId="1" applyNumberFormat="1" applyFont="1" applyFill="1" applyBorder="1" applyAlignment="1">
      <alignment horizontal="center" vertical="center" wrapText="1"/>
    </xf>
    <xf numFmtId="164" fontId="7" fillId="5" borderId="1" xfId="1" applyNumberFormat="1" applyFont="1" applyFill="1" applyBorder="1" applyAlignment="1">
      <alignment horizontal="center" vertical="center" wrapText="1"/>
    </xf>
    <xf numFmtId="164" fontId="7" fillId="3" borderId="1" xfId="1" applyNumberFormat="1" applyFont="1" applyFill="1" applyBorder="1" applyAlignment="1">
      <alignment horizontal="center" vertical="center" wrapText="1"/>
    </xf>
    <xf numFmtId="164" fontId="7" fillId="3" borderId="3" xfId="1" applyNumberFormat="1" applyFont="1" applyFill="1" applyBorder="1" applyAlignment="1">
      <alignment horizontal="center" vertical="center" wrapText="1"/>
    </xf>
    <xf numFmtId="164" fontId="7" fillId="2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7" fillId="2" borderId="2" xfId="1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0" xfId="2" applyFont="1" applyAlignment="1">
      <alignment vertical="center"/>
    </xf>
    <xf numFmtId="0" fontId="5" fillId="0" borderId="0" xfId="2" applyAlignment="1">
      <alignment wrapText="1"/>
    </xf>
    <xf numFmtId="0" fontId="5" fillId="0" borderId="0" xfId="2"/>
    <xf numFmtId="0" fontId="8" fillId="0" borderId="11" xfId="2" applyFont="1" applyBorder="1" applyAlignment="1">
      <alignment vertical="center"/>
    </xf>
    <xf numFmtId="0" fontId="8" fillId="0" borderId="0" xfId="2" applyFont="1"/>
    <xf numFmtId="0" fontId="8" fillId="0" borderId="13" xfId="2" applyFont="1" applyBorder="1" applyAlignment="1">
      <alignment vertical="center" wrapText="1"/>
    </xf>
    <xf numFmtId="165" fontId="0" fillId="0" borderId="8" xfId="3" applyNumberFormat="1" applyFont="1" applyBorder="1" applyAlignment="1"/>
    <xf numFmtId="49" fontId="0" fillId="0" borderId="9" xfId="3" applyNumberFormat="1" applyFont="1" applyBorder="1" applyAlignment="1">
      <alignment horizontal="left"/>
    </xf>
    <xf numFmtId="49" fontId="0" fillId="0" borderId="9" xfId="3" applyNumberFormat="1" applyFont="1" applyBorder="1"/>
    <xf numFmtId="3" fontId="0" fillId="0" borderId="8" xfId="3" applyNumberFormat="1" applyFont="1" applyBorder="1" applyAlignment="1"/>
    <xf numFmtId="3" fontId="0" fillId="0" borderId="9" xfId="3" applyNumberFormat="1" applyFont="1" applyBorder="1"/>
    <xf numFmtId="0" fontId="5" fillId="0" borderId="9" xfId="2" applyBorder="1"/>
    <xf numFmtId="49" fontId="5" fillId="0" borderId="9" xfId="2" applyNumberFormat="1" applyBorder="1"/>
    <xf numFmtId="14" fontId="5" fillId="0" borderId="8" xfId="2" applyNumberFormat="1" applyBorder="1" applyAlignment="1">
      <alignment wrapText="1"/>
    </xf>
    <xf numFmtId="0" fontId="8" fillId="0" borderId="13" xfId="2" applyFont="1" applyBorder="1" applyAlignment="1">
      <alignment horizontal="left" vertical="center" wrapText="1"/>
    </xf>
    <xf numFmtId="0" fontId="5" fillId="0" borderId="0" xfId="2" applyAlignment="1">
      <alignment horizontal="center" vertical="center"/>
    </xf>
    <xf numFmtId="0" fontId="8" fillId="0" borderId="20" xfId="2" applyFont="1" applyBorder="1" applyAlignment="1">
      <alignment vertical="center" wrapText="1"/>
    </xf>
    <xf numFmtId="165" fontId="5" fillId="0" borderId="0" xfId="2" applyNumberFormat="1" applyAlignment="1">
      <alignment wrapText="1"/>
    </xf>
    <xf numFmtId="0" fontId="7" fillId="0" borderId="0" xfId="0" applyFont="1"/>
    <xf numFmtId="0" fontId="7" fillId="0" borderId="0" xfId="0" applyFont="1" applyAlignment="1">
      <alignment horizontal="center"/>
    </xf>
    <xf numFmtId="164" fontId="0" fillId="0" borderId="0" xfId="0" applyNumberFormat="1"/>
    <xf numFmtId="166" fontId="0" fillId="0" borderId="0" xfId="5" applyNumberFormat="1" applyFont="1"/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64" fontId="0" fillId="0" borderId="2" xfId="1" applyNumberFormat="1" applyFont="1" applyBorder="1"/>
    <xf numFmtId="0" fontId="7" fillId="0" borderId="1" xfId="0" applyFont="1" applyBorder="1" applyAlignment="1">
      <alignment horizontal="center" vertical="center" wrapText="1"/>
    </xf>
    <xf numFmtId="167" fontId="0" fillId="0" borderId="1" xfId="0" applyNumberFormat="1" applyBorder="1"/>
    <xf numFmtId="0" fontId="7" fillId="0" borderId="1" xfId="0" applyFont="1" applyBorder="1" applyAlignment="1">
      <alignment horizontal="center" wrapText="1"/>
    </xf>
    <xf numFmtId="166" fontId="0" fillId="0" borderId="1" xfId="5" applyNumberFormat="1" applyFont="1" applyBorder="1"/>
    <xf numFmtId="9" fontId="0" fillId="6" borderId="1" xfId="5" applyFont="1" applyFill="1" applyBorder="1"/>
    <xf numFmtId="164" fontId="0" fillId="0" borderId="0" xfId="1" applyNumberFormat="1" applyFont="1" applyBorder="1"/>
    <xf numFmtId="164" fontId="7" fillId="2" borderId="1" xfId="1" applyNumberFormat="1" applyFont="1" applyFill="1" applyBorder="1" applyAlignment="1">
      <alignment horizontal="left" vertical="center" wrapText="1"/>
    </xf>
    <xf numFmtId="164" fontId="0" fillId="0" borderId="1" xfId="1" applyNumberFormat="1" applyFont="1" applyFill="1" applyBorder="1"/>
    <xf numFmtId="164" fontId="0" fillId="0" borderId="16" xfId="1" applyNumberFormat="1" applyFont="1" applyBorder="1"/>
    <xf numFmtId="164" fontId="0" fillId="0" borderId="17" xfId="1" applyNumberFormat="1" applyFont="1" applyBorder="1"/>
    <xf numFmtId="164" fontId="0" fillId="0" borderId="27" xfId="1" applyNumberFormat="1" applyFont="1" applyBorder="1"/>
    <xf numFmtId="164" fontId="0" fillId="0" borderId="15" xfId="1" applyNumberFormat="1" applyFont="1" applyBorder="1"/>
    <xf numFmtId="164" fontId="0" fillId="0" borderId="10" xfId="1" applyNumberFormat="1" applyFont="1" applyBorder="1"/>
    <xf numFmtId="164" fontId="0" fillId="0" borderId="14" xfId="1" applyNumberFormat="1" applyFont="1" applyBorder="1"/>
    <xf numFmtId="0" fontId="0" fillId="0" borderId="1" xfId="0" applyFill="1" applyBorder="1"/>
    <xf numFmtId="0" fontId="0" fillId="0" borderId="27" xfId="0" applyBorder="1"/>
    <xf numFmtId="0" fontId="0" fillId="0" borderId="27" xfId="0" applyFill="1" applyBorder="1"/>
    <xf numFmtId="164" fontId="0" fillId="0" borderId="28" xfId="1" applyNumberFormat="1" applyFont="1" applyBorder="1"/>
    <xf numFmtId="164" fontId="0" fillId="0" borderId="29" xfId="1" applyNumberFormat="1" applyFont="1" applyBorder="1"/>
    <xf numFmtId="164" fontId="0" fillId="0" borderId="30" xfId="1" applyNumberFormat="1" applyFont="1" applyBorder="1"/>
    <xf numFmtId="164" fontId="0" fillId="0" borderId="31" xfId="1" applyNumberFormat="1" applyFont="1" applyBorder="1"/>
    <xf numFmtId="164" fontId="0" fillId="0" borderId="27" xfId="0" applyNumberFormat="1" applyBorder="1"/>
    <xf numFmtId="165" fontId="10" fillId="0" borderId="8" xfId="3" applyNumberFormat="1" applyFont="1" applyBorder="1" applyAlignment="1"/>
    <xf numFmtId="0" fontId="10" fillId="0" borderId="9" xfId="2" applyFont="1" applyBorder="1"/>
    <xf numFmtId="49" fontId="10" fillId="0" borderId="9" xfId="3" applyNumberFormat="1" applyFont="1" applyBorder="1" applyAlignment="1">
      <alignment horizontal="left"/>
    </xf>
    <xf numFmtId="0" fontId="0" fillId="7" borderId="1" xfId="0" applyFill="1" applyBorder="1"/>
    <xf numFmtId="164" fontId="0" fillId="7" borderId="1" xfId="1" applyNumberFormat="1" applyFont="1" applyFill="1" applyBorder="1"/>
    <xf numFmtId="49" fontId="10" fillId="0" borderId="9" xfId="3" applyNumberFormat="1" applyFont="1" applyBorder="1"/>
    <xf numFmtId="49" fontId="10" fillId="0" borderId="9" xfId="2" applyNumberFormat="1" applyFont="1" applyBorder="1"/>
    <xf numFmtId="164" fontId="0" fillId="0" borderId="32" xfId="1" applyNumberFormat="1" applyFont="1" applyBorder="1"/>
    <xf numFmtId="165" fontId="0" fillId="0" borderId="0" xfId="1" applyNumberFormat="1" applyFont="1" applyBorder="1"/>
    <xf numFmtId="0" fontId="0" fillId="0" borderId="0" xfId="0" applyFill="1"/>
    <xf numFmtId="14" fontId="10" fillId="0" borderId="15" xfId="2" applyNumberFormat="1" applyFont="1" applyBorder="1" applyAlignment="1">
      <alignment horizontal="center" wrapText="1"/>
    </xf>
    <xf numFmtId="14" fontId="10" fillId="0" borderId="14" xfId="2" applyNumberFormat="1" applyFont="1" applyBorder="1" applyAlignment="1">
      <alignment horizontal="center" wrapText="1"/>
    </xf>
    <xf numFmtId="3" fontId="5" fillId="0" borderId="23" xfId="2" applyNumberFormat="1" applyBorder="1" applyAlignment="1">
      <alignment horizontal="center" wrapText="1"/>
    </xf>
    <xf numFmtId="3" fontId="5" fillId="0" borderId="22" xfId="2" applyNumberFormat="1" applyBorder="1" applyAlignment="1">
      <alignment horizontal="center" wrapText="1"/>
    </xf>
    <xf numFmtId="0" fontId="8" fillId="0" borderId="4" xfId="2" applyFont="1" applyBorder="1" applyAlignment="1">
      <alignment horizontal="center" wrapText="1"/>
    </xf>
    <xf numFmtId="0" fontId="8" fillId="0" borderId="5" xfId="2" applyFont="1" applyBorder="1" applyAlignment="1">
      <alignment horizontal="center" wrapText="1"/>
    </xf>
    <xf numFmtId="165" fontId="10" fillId="0" borderId="8" xfId="2" applyNumberFormat="1" applyFont="1" applyBorder="1" applyAlignment="1">
      <alignment horizontal="center" wrapText="1"/>
    </xf>
    <xf numFmtId="165" fontId="10" fillId="0" borderId="9" xfId="2" applyNumberFormat="1" applyFont="1" applyBorder="1" applyAlignment="1">
      <alignment horizontal="center" wrapText="1"/>
    </xf>
    <xf numFmtId="3" fontId="10" fillId="0" borderId="8" xfId="2" applyNumberFormat="1" applyFont="1" applyBorder="1" applyAlignment="1">
      <alignment horizontal="center" wrapText="1"/>
    </xf>
    <xf numFmtId="3" fontId="10" fillId="0" borderId="9" xfId="2" applyNumberFormat="1" applyFont="1" applyBorder="1" applyAlignment="1">
      <alignment horizontal="center" wrapText="1"/>
    </xf>
    <xf numFmtId="165" fontId="10" fillId="0" borderId="8" xfId="3" applyNumberFormat="1" applyFont="1" applyBorder="1" applyAlignment="1">
      <alignment horizontal="center"/>
    </xf>
    <xf numFmtId="165" fontId="10" fillId="0" borderId="9" xfId="3" applyNumberFormat="1" applyFont="1" applyBorder="1" applyAlignment="1">
      <alignment horizontal="center"/>
    </xf>
    <xf numFmtId="3" fontId="10" fillId="0" borderId="15" xfId="2" applyNumberFormat="1" applyFont="1" applyBorder="1" applyAlignment="1">
      <alignment horizontal="center" vertical="center" wrapText="1"/>
    </xf>
    <xf numFmtId="3" fontId="10" fillId="0" borderId="14" xfId="2" applyNumberFormat="1" applyFont="1" applyBorder="1" applyAlignment="1">
      <alignment horizontal="center" vertical="center" wrapText="1"/>
    </xf>
    <xf numFmtId="14" fontId="10" fillId="0" borderId="8" xfId="2" applyNumberFormat="1" applyFont="1" applyBorder="1" applyAlignment="1">
      <alignment horizontal="center" wrapText="1"/>
    </xf>
    <xf numFmtId="14" fontId="10" fillId="0" borderId="9" xfId="2" applyNumberFormat="1" applyFont="1" applyBorder="1" applyAlignment="1">
      <alignment horizontal="center" wrapText="1"/>
    </xf>
    <xf numFmtId="3" fontId="9" fillId="0" borderId="6" xfId="2" applyNumberFormat="1" applyFont="1" applyBorder="1" applyAlignment="1">
      <alignment horizontal="center" wrapText="1"/>
    </xf>
    <xf numFmtId="3" fontId="9" fillId="0" borderId="7" xfId="2" applyNumberFormat="1" applyFont="1" applyBorder="1" applyAlignment="1">
      <alignment horizontal="center" wrapText="1"/>
    </xf>
    <xf numFmtId="3" fontId="5" fillId="0" borderId="15" xfId="2" applyNumberFormat="1" applyBorder="1" applyAlignment="1">
      <alignment horizontal="center" wrapText="1"/>
    </xf>
    <xf numFmtId="3" fontId="5" fillId="0" borderId="14" xfId="2" applyNumberFormat="1" applyBorder="1" applyAlignment="1">
      <alignment horizontal="center" wrapText="1"/>
    </xf>
    <xf numFmtId="3" fontId="5" fillId="0" borderId="21" xfId="2" applyNumberFormat="1" applyBorder="1" applyAlignment="1">
      <alignment horizontal="center" wrapText="1"/>
    </xf>
    <xf numFmtId="3" fontId="5" fillId="0" borderId="6" xfId="2" applyNumberFormat="1" applyBorder="1" applyAlignment="1">
      <alignment horizontal="center" wrapText="1"/>
    </xf>
    <xf numFmtId="3" fontId="5" fillId="0" borderId="7" xfId="2" applyNumberFormat="1" applyBorder="1" applyAlignment="1">
      <alignment horizontal="center" wrapText="1"/>
    </xf>
    <xf numFmtId="3" fontId="5" fillId="0" borderId="10" xfId="2" applyNumberFormat="1" applyBorder="1" applyAlignment="1">
      <alignment horizontal="center" wrapText="1"/>
    </xf>
    <xf numFmtId="0" fontId="5" fillId="0" borderId="15" xfId="2" applyBorder="1" applyAlignment="1">
      <alignment horizontal="center" wrapText="1"/>
    </xf>
    <xf numFmtId="0" fontId="5" fillId="0" borderId="14" xfId="2" applyBorder="1" applyAlignment="1">
      <alignment horizontal="center" wrapText="1"/>
    </xf>
    <xf numFmtId="3" fontId="4" fillId="0" borderId="8" xfId="2" applyNumberFormat="1" applyFont="1" applyBorder="1" applyAlignment="1">
      <alignment horizontal="center" wrapText="1"/>
    </xf>
    <xf numFmtId="3" fontId="5" fillId="0" borderId="9" xfId="2" applyNumberFormat="1" applyBorder="1" applyAlignment="1">
      <alignment horizontal="center" wrapText="1"/>
    </xf>
    <xf numFmtId="14" fontId="5" fillId="0" borderId="15" xfId="2" applyNumberFormat="1" applyBorder="1" applyAlignment="1">
      <alignment horizontal="center" wrapText="1"/>
    </xf>
    <xf numFmtId="14" fontId="5" fillId="0" borderId="14" xfId="2" applyNumberFormat="1" applyBorder="1" applyAlignment="1">
      <alignment horizontal="center" wrapText="1"/>
    </xf>
    <xf numFmtId="14" fontId="5" fillId="0" borderId="10" xfId="2" applyNumberFormat="1" applyBorder="1" applyAlignment="1">
      <alignment horizontal="center" wrapText="1"/>
    </xf>
    <xf numFmtId="14" fontId="5" fillId="0" borderId="8" xfId="2" applyNumberFormat="1" applyBorder="1" applyAlignment="1">
      <alignment horizontal="center" wrapText="1"/>
    </xf>
    <xf numFmtId="14" fontId="5" fillId="0" borderId="9" xfId="2" applyNumberFormat="1" applyBorder="1" applyAlignment="1">
      <alignment horizontal="center" wrapText="1"/>
    </xf>
    <xf numFmtId="0" fontId="8" fillId="0" borderId="13" xfId="2" applyFont="1" applyBorder="1" applyAlignment="1">
      <alignment horizontal="left" vertical="center" wrapText="1"/>
    </xf>
    <xf numFmtId="3" fontId="0" fillId="0" borderId="16" xfId="3" applyNumberFormat="1" applyFont="1" applyBorder="1" applyAlignment="1">
      <alignment horizontal="right" vertical="center"/>
    </xf>
    <xf numFmtId="3" fontId="0" fillId="0" borderId="18" xfId="3" applyNumberFormat="1" applyFont="1" applyBorder="1" applyAlignment="1">
      <alignment horizontal="right" vertical="center"/>
    </xf>
    <xf numFmtId="49" fontId="0" fillId="0" borderId="17" xfId="3" applyNumberFormat="1" applyFont="1" applyBorder="1" applyAlignment="1">
      <alignment horizontal="left" vertical="center"/>
    </xf>
    <xf numFmtId="49" fontId="0" fillId="0" borderId="19" xfId="3" applyNumberFormat="1" applyFont="1" applyBorder="1" applyAlignment="1">
      <alignment horizontal="left" vertical="center"/>
    </xf>
    <xf numFmtId="3" fontId="5" fillId="0" borderId="10" xfId="2" applyNumberFormat="1" applyBorder="1" applyAlignment="1">
      <alignment horizontal="center" vertical="center" wrapText="1"/>
    </xf>
    <xf numFmtId="3" fontId="5" fillId="0" borderId="14" xfId="2" applyNumberFormat="1" applyBorder="1" applyAlignment="1">
      <alignment horizontal="center" vertical="center" wrapText="1"/>
    </xf>
    <xf numFmtId="3" fontId="5" fillId="0" borderId="15" xfId="2" applyNumberFormat="1" applyBorder="1" applyAlignment="1">
      <alignment horizontal="center" vertical="center" wrapText="1"/>
    </xf>
    <xf numFmtId="3" fontId="5" fillId="0" borderId="8" xfId="2" applyNumberFormat="1" applyBorder="1" applyAlignment="1">
      <alignment horizontal="center" wrapText="1"/>
    </xf>
    <xf numFmtId="3" fontId="10" fillId="0" borderId="15" xfId="2" applyNumberFormat="1" applyFont="1" applyBorder="1" applyAlignment="1">
      <alignment horizontal="center" wrapText="1"/>
    </xf>
    <xf numFmtId="3" fontId="10" fillId="0" borderId="14" xfId="2" applyNumberFormat="1" applyFont="1" applyBorder="1" applyAlignment="1">
      <alignment horizontal="center" wrapText="1"/>
    </xf>
    <xf numFmtId="3" fontId="9" fillId="0" borderId="15" xfId="2" applyNumberFormat="1" applyFont="1" applyBorder="1" applyAlignment="1">
      <alignment horizontal="center" wrapText="1"/>
    </xf>
    <xf numFmtId="3" fontId="9" fillId="0" borderId="14" xfId="2" applyNumberFormat="1" applyFont="1" applyBorder="1" applyAlignment="1">
      <alignment horizontal="center" wrapText="1"/>
    </xf>
    <xf numFmtId="3" fontId="0" fillId="0" borderId="10" xfId="3" applyNumberFormat="1" applyFont="1" applyBorder="1" applyAlignment="1">
      <alignment horizontal="center"/>
    </xf>
    <xf numFmtId="3" fontId="0" fillId="0" borderId="14" xfId="3" applyNumberFormat="1" applyFont="1" applyBorder="1" applyAlignment="1">
      <alignment horizontal="center"/>
    </xf>
    <xf numFmtId="165" fontId="0" fillId="0" borderId="15" xfId="3" applyNumberFormat="1" applyFont="1" applyBorder="1" applyAlignment="1">
      <alignment horizontal="center"/>
    </xf>
    <xf numFmtId="165" fontId="0" fillId="0" borderId="14" xfId="3" applyNumberFormat="1" applyFont="1" applyBorder="1" applyAlignment="1">
      <alignment horizontal="center"/>
    </xf>
    <xf numFmtId="165" fontId="0" fillId="0" borderId="8" xfId="3" applyNumberFormat="1" applyFont="1" applyBorder="1" applyAlignment="1">
      <alignment horizontal="center"/>
    </xf>
    <xf numFmtId="165" fontId="0" fillId="0" borderId="9" xfId="3" applyNumberFormat="1" applyFont="1" applyBorder="1" applyAlignment="1">
      <alignment horizontal="center"/>
    </xf>
    <xf numFmtId="165" fontId="10" fillId="0" borderId="15" xfId="3" applyNumberFormat="1" applyFont="1" applyBorder="1" applyAlignment="1">
      <alignment horizontal="center"/>
    </xf>
    <xf numFmtId="165" fontId="10" fillId="0" borderId="14" xfId="3" applyNumberFormat="1" applyFont="1" applyBorder="1" applyAlignment="1">
      <alignment horizontal="center"/>
    </xf>
    <xf numFmtId="165" fontId="5" fillId="0" borderId="15" xfId="2" applyNumberFormat="1" applyBorder="1" applyAlignment="1">
      <alignment horizontal="center" wrapText="1"/>
    </xf>
    <xf numFmtId="165" fontId="5" fillId="0" borderId="14" xfId="2" applyNumberFormat="1" applyBorder="1" applyAlignment="1">
      <alignment horizontal="center" wrapText="1"/>
    </xf>
    <xf numFmtId="165" fontId="5" fillId="0" borderId="8" xfId="2" applyNumberFormat="1" applyBorder="1" applyAlignment="1">
      <alignment horizontal="center" wrapText="1"/>
    </xf>
    <xf numFmtId="165" fontId="5" fillId="0" borderId="9" xfId="2" applyNumberFormat="1" applyBorder="1" applyAlignment="1">
      <alignment horizontal="center" wrapText="1"/>
    </xf>
    <xf numFmtId="0" fontId="8" fillId="0" borderId="12" xfId="2" applyFont="1" applyBorder="1" applyAlignment="1">
      <alignment horizontal="center" wrapText="1"/>
    </xf>
    <xf numFmtId="3" fontId="3" fillId="0" borderId="8" xfId="2" applyNumberFormat="1" applyFont="1" applyBorder="1" applyAlignment="1">
      <alignment horizontal="center" wrapText="1"/>
    </xf>
    <xf numFmtId="14" fontId="3" fillId="0" borderId="15" xfId="2" applyNumberFormat="1" applyFont="1" applyBorder="1" applyAlignment="1">
      <alignment horizontal="center" wrapText="1"/>
    </xf>
    <xf numFmtId="3" fontId="1" fillId="0" borderId="8" xfId="2" applyNumberFormat="1" applyFont="1" applyBorder="1" applyAlignment="1">
      <alignment horizontal="center" wrapText="1"/>
    </xf>
    <xf numFmtId="3" fontId="2" fillId="0" borderId="15" xfId="2" applyNumberFormat="1" applyFont="1" applyBorder="1" applyAlignment="1">
      <alignment horizontal="center" wrapText="1"/>
    </xf>
    <xf numFmtId="3" fontId="2" fillId="0" borderId="8" xfId="2" applyNumberFormat="1" applyFont="1" applyBorder="1" applyAlignment="1">
      <alignment horizontal="center" wrapText="1"/>
    </xf>
    <xf numFmtId="164" fontId="7" fillId="4" borderId="24" xfId="1" applyNumberFormat="1" applyFont="1" applyFill="1" applyBorder="1" applyAlignment="1">
      <alignment horizontal="center"/>
    </xf>
    <xf numFmtId="164" fontId="7" fillId="4" borderId="25" xfId="1" applyNumberFormat="1" applyFont="1" applyFill="1" applyBorder="1" applyAlignment="1">
      <alignment horizontal="center"/>
    </xf>
    <xf numFmtId="164" fontId="7" fillId="4" borderId="26" xfId="1" applyNumberFormat="1" applyFont="1" applyFill="1" applyBorder="1" applyAlignment="1">
      <alignment horizontal="center"/>
    </xf>
    <xf numFmtId="164" fontId="0" fillId="0" borderId="27" xfId="1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</cellXfs>
  <cellStyles count="6">
    <cellStyle name="Moneda" xfId="1" builtinId="4"/>
    <cellStyle name="Moneda 2" xfId="3"/>
    <cellStyle name="Normal" xfId="0" builtinId="0"/>
    <cellStyle name="Normal 2" xfId="2"/>
    <cellStyle name="Porcentaje" xfId="5" builtinId="5"/>
    <cellStyle name="Porcentaje 2" xfId="4"/>
  </cellStyles>
  <dxfs count="45">
    <dxf>
      <numFmt numFmtId="34" formatCode="_-&quot;$&quot;\ * #,##0.00_-;\-&quot;$&quot;\ * #,##0.00_-;_-&quot;$&quot;\ * &quot;-&quot;??_-;_-@_-"/>
    </dxf>
    <dxf>
      <numFmt numFmtId="168" formatCode="_-&quot;$&quot;\ * #,##0.0_-;\-&quot;$&quot;\ * #,##0.0_-;_-&quot;$&quot;\ * &quot;-&quot;??_-;_-@_-"/>
    </dxf>
    <dxf>
      <numFmt numFmtId="164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168" formatCode="_-&quot;$&quot;\ * #,##0.0_-;\-&quot;$&quot;\ * #,##0.0_-;_-&quot;$&quot;\ * &quot;-&quot;??_-;_-@_-"/>
    </dxf>
    <dxf>
      <numFmt numFmtId="164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168" formatCode="_-&quot;$&quot;\ * #,##0.0_-;\-&quot;$&quot;\ * #,##0.0_-;_-&quot;$&quot;\ * &quot;-&quot;??_-;_-@_-"/>
    </dxf>
    <dxf>
      <numFmt numFmtId="164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168" formatCode="_-&quot;$&quot;\ * #,##0.0_-;\-&quot;$&quot;\ * #,##0.0_-;_-&quot;$&quot;\ * &quot;-&quot;??_-;_-@_-"/>
    </dxf>
    <dxf>
      <numFmt numFmtId="164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168" formatCode="_-&quot;$&quot;\ * #,##0.0_-;\-&quot;$&quot;\ * #,##0.0_-;_-&quot;$&quot;\ * &quot;-&quot;??_-;_-@_-"/>
    </dxf>
    <dxf>
      <numFmt numFmtId="164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168" formatCode="_-&quot;$&quot;\ * #,##0.0_-;\-&quot;$&quot;\ * #,##0.0_-;_-&quot;$&quot;\ * &quot;-&quot;??_-;_-@_-"/>
    </dxf>
    <dxf>
      <numFmt numFmtId="164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168" formatCode="_-&quot;$&quot;\ * #,##0.0_-;\-&quot;$&quot;\ * #,##0.0_-;_-&quot;$&quot;\ * &quot;-&quot;??_-;_-@_-"/>
    </dxf>
    <dxf>
      <numFmt numFmtId="164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168" formatCode="_-&quot;$&quot;\ * #,##0.0_-;\-&quot;$&quot;\ * #,##0.0_-;_-&quot;$&quot;\ * &quot;-&quot;??_-;_-@_-"/>
    </dxf>
    <dxf>
      <numFmt numFmtId="164" formatCode="_-&quot;$&quot;\ * #,##0_-;\-&quot;$&quot;\ * #,##0_-;_-&quot;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_-&quot;$&quot;\ * #,##0_-;\-&quot;$&quot;\ * #,##0_-;_-&quot;$&quot;\ * &quot;-&quot;??_-;_-@_-"/>
    </dxf>
    <dxf>
      <numFmt numFmtId="168" formatCode="_-&quot;$&quot;\ * #,##0.0_-;\-&quot;$&quot;\ * #,##0.0_-;_-&quot;$&quot;\ * &quot;-&quot;??_-;_-@_-"/>
    </dxf>
    <dxf>
      <numFmt numFmtId="34" formatCode="_-&quot;$&quot;\ * #,##0.00_-;\-&quot;$&quot;\ * #,##0.00_-;_-&quot;$&quot;\ * &quot;-&quot;??_-;_-@_-"/>
    </dxf>
    <dxf>
      <numFmt numFmtId="164" formatCode="_-&quot;$&quot;\ * #,##0_-;\-&quot;$&quot;\ * #,##0_-;_-&quot;$&quot;\ * &quot;-&quot;??_-;_-@_-"/>
    </dxf>
    <dxf>
      <numFmt numFmtId="168" formatCode="_-&quot;$&quot;\ * #,##0.0_-;\-&quot;$&quot;\ * #,##0.0_-;_-&quot;$&quot;\ * &quot;-&quot;??_-;_-@_-"/>
    </dxf>
    <dxf>
      <numFmt numFmtId="34" formatCode="_-&quot;$&quot;\ * #,##0.00_-;\-&quot;$&quot;\ * #,##0.00_-;_-&quot;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6128.51744398148" createdVersion="6" refreshedVersion="6" minRefreshableVersion="3" recordCount="138">
  <cacheSource type="worksheet">
    <worksheetSource ref="A2:S140" sheet="alquileres pagados y calculados"/>
  </cacheSource>
  <cacheFields count="19">
    <cacheField name="AÑO" numFmtId="0">
      <sharedItems containsSemiMixedTypes="0" containsString="0" containsNumber="1" containsInteger="1" minValue="2025" maxValue="2026" count="2">
        <n v="2025"/>
        <n v="2026"/>
      </sharedItems>
    </cacheField>
    <cacheField name="MES ALQUILER" numFmtId="0">
      <sharedItems count="12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</cacheField>
    <cacheField name="TIENDA" numFmtId="0">
      <sharedItems count="10">
        <s v="Florida"/>
        <s v="French"/>
        <s v="Güemes"/>
        <s v="Recoleta"/>
        <s v="San Telmo"/>
        <s v="San Telmo 2"/>
        <s v="AS San Telmo"/>
        <s v="El Solar"/>
        <s v="Güemes 2 (góndola 7)"/>
        <s v="AS Güemes (góndola 13)"/>
      </sharedItems>
    </cacheField>
    <cacheField name="EXPENSAS" numFmtId="164">
      <sharedItems containsString="0" containsBlank="1" containsNumber="1" minValue="19515" maxValue="2081805.58"/>
    </cacheField>
    <cacheField name="X CONTRATO" numFmtId="164">
      <sharedItems containsString="0" containsBlank="1" containsNumber="1" containsInteger="1" minValue="267693" maxValue="7425000"/>
    </cacheField>
    <cacheField name="PAGADO" numFmtId="0">
      <sharedItems containsString="0" containsBlank="1" containsNumber="1" minValue="267700" maxValue="7525000"/>
    </cacheField>
    <cacheField name="SEGÚN FACTURACIÓN MES ANTERIOR" numFmtId="164">
      <sharedItems containsString="0" containsBlank="1" containsNumber="1" minValue="0" maxValue="4159281.9828760331"/>
    </cacheField>
    <cacheField name="FONDO PROMOCIÓN PERMANENTE (15% RECOLETA, 10% SOLAR)" numFmtId="164">
      <sharedItems containsString="0" containsBlank="1" containsNumber="1" minValue="0" maxValue="328326.89999999997"/>
    </cacheField>
    <cacheField name="FONDO PROMOCIÓN PERMANENTE (15% RECOLETA, 10% SOLAR)2" numFmtId="164">
      <sharedItems containsString="0" containsBlank="1" containsNumber="1" minValue="0" maxValue="391324"/>
    </cacheField>
    <cacheField name="PAGADO2" numFmtId="164">
      <sharedItems containsString="0" containsBlank="1" containsNumber="1" minValue="15619" maxValue="4159281.92"/>
    </cacheField>
    <cacheField name="ALQUILER TOTAL PAGADO (SIN IVA)" numFmtId="164">
      <sharedItems containsSemiMixedTypes="0" containsString="0" containsNumber="1" minValue="0" maxValue="7525000"/>
    </cacheField>
    <cacheField name="TOTAL POR CONTRATO" numFmtId="164">
      <sharedItems containsSemiMixedTypes="0" containsString="0" containsNumber="1" minValue="0" maxValue="7425000"/>
    </cacheField>
    <cacheField name="DIFERENCIA" numFmtId="0">
      <sharedItems containsString="0" containsBlank="1" containsNumber="1" minValue="-2517172.9" maxValue="2239640.96"/>
    </cacheField>
    <cacheField name="Observaciones" numFmtId="0">
      <sharedItems containsBlank="1"/>
    </cacheField>
    <cacheField name="Alquiler + expensas" numFmtId="0">
      <sharedItems containsString="0" containsBlank="1" containsNumber="1" minValue="599275.1" maxValue="7275000"/>
    </cacheField>
    <cacheField name="MES ALQUILER2" numFmtId="0">
      <sharedItems/>
    </cacheField>
    <cacheField name="TIENDA2" numFmtId="0">
      <sharedItems/>
    </cacheField>
    <cacheField name="FACTURADO MES ANTERIOR" numFmtId="164">
      <sharedItems containsBlank="1" containsMixedTypes="1" containsNumber="1" minValue="174650.0068" maxValue="84288371.949400023"/>
    </cacheField>
    <cacheField name="SIN IVA" numFmtId="164">
      <sharedItems containsString="0" containsBlank="1" containsNumber="1" minValue="0" maxValue="69659811.5284297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8">
  <r>
    <x v="0"/>
    <x v="0"/>
    <x v="0"/>
    <n v="493580.5"/>
    <m/>
    <m/>
    <n v="0"/>
    <m/>
    <m/>
    <m/>
    <n v="2943984.8"/>
    <n v="0"/>
    <m/>
    <m/>
    <m/>
    <s v="Enero"/>
    <s v="Florida"/>
    <n v="44527770"/>
    <n v="36799809.917355374"/>
  </r>
  <r>
    <x v="0"/>
    <x v="0"/>
    <x v="1"/>
    <n v="214600"/>
    <n v="570000"/>
    <n v="570000"/>
    <n v="0"/>
    <m/>
    <m/>
    <m/>
    <n v="570000"/>
    <n v="570000"/>
    <n v="0"/>
    <m/>
    <m/>
    <s v="Enero"/>
    <s v="French"/>
    <n v="20808637"/>
    <n v="17197220.661157027"/>
  </r>
  <r>
    <x v="0"/>
    <x v="0"/>
    <x v="2"/>
    <n v="265397"/>
    <n v="490000"/>
    <n v="490000"/>
    <n v="92146.834710743802"/>
    <m/>
    <m/>
    <m/>
    <n v="490000"/>
    <n v="490000"/>
    <n v="0"/>
    <m/>
    <m/>
    <s v="Enero"/>
    <s v="Güemes"/>
    <n v="1238863"/>
    <n v="1023853.7190082645"/>
  </r>
  <r>
    <x v="0"/>
    <x v="0"/>
    <x v="3"/>
    <n v="1744856"/>
    <n v="949386"/>
    <n v="971769"/>
    <n v="1660350.6528925621"/>
    <n v="249052.5979338843"/>
    <n v="391324"/>
    <n v="767452"/>
    <n v="2130545"/>
    <n v="1909403.2508264463"/>
    <n v="221141.74917355366"/>
    <m/>
    <m/>
    <s v="Enero"/>
    <s v="Recoleta"/>
    <n v="28700347"/>
    <n v="23719295.041322313"/>
  </r>
  <r>
    <x v="0"/>
    <x v="0"/>
    <x v="4"/>
    <n v="417334.96"/>
    <m/>
    <n v="760000"/>
    <n v="2722837.6859504133"/>
    <m/>
    <m/>
    <n v="1962837"/>
    <n v="2722837"/>
    <n v="2722837.6859504133"/>
    <n v="-0.68595041334629059"/>
    <m/>
    <m/>
    <s v="Enero"/>
    <s v="San Telmo"/>
    <n v="41182920"/>
    <n v="34035471.074380167"/>
  </r>
  <r>
    <x v="0"/>
    <x v="0"/>
    <x v="5"/>
    <n v="417334.96"/>
    <n v="825000"/>
    <n v="825000"/>
    <n v="596222.31404958689"/>
    <m/>
    <m/>
    <m/>
    <n v="825000"/>
    <n v="825000"/>
    <n v="0"/>
    <m/>
    <m/>
    <s v="Enero"/>
    <s v="San Telmo 2"/>
    <n v="7214290"/>
    <n v="5962223.1404958684"/>
  </r>
  <r>
    <x v="0"/>
    <x v="0"/>
    <x v="6"/>
    <n v="834669.92"/>
    <m/>
    <n v="684480"/>
    <n v="1487361.570247934"/>
    <m/>
    <m/>
    <n v="802880"/>
    <n v="1487360"/>
    <n v="1487361.570247934"/>
    <n v="-1.570247933967039"/>
    <m/>
    <m/>
    <s v="Enero"/>
    <s v="AS San Telmo"/>
    <n v="19996750"/>
    <n v="16526239.669421488"/>
  </r>
  <r>
    <x v="0"/>
    <x v="1"/>
    <x v="0"/>
    <n v="386280.5"/>
    <m/>
    <m/>
    <n v="0"/>
    <m/>
    <m/>
    <m/>
    <n v="2621100.48"/>
    <n v="0"/>
    <m/>
    <m/>
    <n v="3114680.98"/>
    <s v="Febrero"/>
    <s v="Florida"/>
    <n v="39644145"/>
    <n v="32763756.198347107"/>
  </r>
  <r>
    <x v="0"/>
    <x v="1"/>
    <x v="1"/>
    <n v="217830"/>
    <n v="570000"/>
    <n v="570000"/>
    <n v="0"/>
    <m/>
    <m/>
    <m/>
    <n v="570000"/>
    <n v="570000"/>
    <n v="0"/>
    <m/>
    <n v="784600"/>
    <s v="Febrero"/>
    <s v="French"/>
    <n v="15365290"/>
    <n v="12698586.776859505"/>
  </r>
  <r>
    <x v="0"/>
    <x v="1"/>
    <x v="2"/>
    <n v="257727"/>
    <n v="541041"/>
    <n v="540862"/>
    <n v="185137.88429752065"/>
    <m/>
    <m/>
    <m/>
    <n v="540862"/>
    <n v="541041"/>
    <n v="-179"/>
    <m/>
    <n v="806259"/>
    <s v="Febrero"/>
    <s v="Güemes"/>
    <n v="2489076"/>
    <n v="2057087.6033057852"/>
  </r>
  <r>
    <x v="0"/>
    <x v="1"/>
    <x v="3"/>
    <n v="1858800.59"/>
    <n v="949386"/>
    <n v="971769"/>
    <n v="1152426.9504132234"/>
    <n v="172864.04256198349"/>
    <n v="172863"/>
    <n v="180657"/>
    <n v="1325289"/>
    <n v="1325290.9929752068"/>
    <n v="-1.9929752068128437"/>
    <m/>
    <n v="3070145"/>
    <s v="Febrero"/>
    <s v="Recoleta"/>
    <n v="19920523"/>
    <n v="16463242.148760332"/>
  </r>
  <r>
    <x v="0"/>
    <x v="1"/>
    <x v="4"/>
    <n v="339596.76"/>
    <m/>
    <n v="760000"/>
    <n v="2639238.3471074384"/>
    <m/>
    <m/>
    <n v="1879238"/>
    <n v="2639238"/>
    <n v="2639238.3471074384"/>
    <n v="-0.34710743837058544"/>
    <m/>
    <n v="3056572.96"/>
    <s v="Febrero"/>
    <s v="San Telmo"/>
    <n v="39918480"/>
    <n v="32990479.338842977"/>
  </r>
  <r>
    <x v="0"/>
    <x v="1"/>
    <x v="5"/>
    <n v="339596.76"/>
    <n v="825000"/>
    <n v="825000"/>
    <n v="204356.19834710745"/>
    <m/>
    <m/>
    <m/>
    <n v="825000"/>
    <n v="825000"/>
    <n v="0"/>
    <m/>
    <n v="1242334.96"/>
    <s v="Febrero"/>
    <s v="San Telmo 2"/>
    <n v="2472710"/>
    <n v="2043561.9834710744"/>
  </r>
  <r>
    <x v="0"/>
    <x v="1"/>
    <x v="6"/>
    <n v="679193.52"/>
    <m/>
    <n v="684480"/>
    <n v="1083696.57"/>
    <m/>
    <m/>
    <n v="1085772"/>
    <n v="1083696.57"/>
    <n v="1083696.57"/>
    <n v="0"/>
    <s v="se reclamó, era $686555"/>
    <n v="1918366.4900000002"/>
    <s v="Febrero"/>
    <s v="AS San Telmo"/>
    <n v="14599470"/>
    <n v="12041073"/>
  </r>
  <r>
    <x v="0"/>
    <x v="2"/>
    <x v="0"/>
    <n v="407740.5"/>
    <m/>
    <m/>
    <n v="0"/>
    <m/>
    <m/>
    <m/>
    <n v="1577279.92"/>
    <n v="0"/>
    <m/>
    <m/>
    <n v="1963560.42"/>
    <s v="Marzo"/>
    <s v="Florida"/>
    <n v="23856359"/>
    <n v="19715999.17355372"/>
  </r>
  <r>
    <x v="0"/>
    <x v="2"/>
    <x v="1"/>
    <n v="214646.93"/>
    <n v="612727"/>
    <n v="610400"/>
    <n v="0"/>
    <m/>
    <m/>
    <m/>
    <n v="610400"/>
    <n v="612727"/>
    <n v="-2327"/>
    <m/>
    <n v="828230"/>
    <s v="Marzo"/>
    <s v="French"/>
    <n v="10851153"/>
    <n v="8967895.0413223151"/>
  </r>
  <r>
    <x v="0"/>
    <x v="2"/>
    <x v="2"/>
    <n v="280206.89"/>
    <n v="541041"/>
    <n v="540862"/>
    <n v="232847.10743801654"/>
    <m/>
    <m/>
    <m/>
    <n v="540862"/>
    <n v="541041"/>
    <n v="-179"/>
    <m/>
    <n v="798589"/>
    <s v="Marzo"/>
    <s v="Güemes"/>
    <n v="3130500"/>
    <n v="2587190.0826446284"/>
  </r>
  <r>
    <x v="0"/>
    <x v="2"/>
    <x v="3"/>
    <n v="1855294.61"/>
    <n v="949386"/>
    <n v="971769"/>
    <n v="872438.9256198348"/>
    <n v="142407.9"/>
    <n v="145765"/>
    <m/>
    <n v="1117534"/>
    <n v="1091793.8999999999"/>
    <n v="25740.100000000093"/>
    <m/>
    <n v="2976334.59"/>
    <s v="Marzo"/>
    <s v="Recoleta"/>
    <n v="15080730"/>
    <n v="12463413.223140497"/>
  </r>
  <r>
    <x v="0"/>
    <x v="2"/>
    <x v="4"/>
    <n v="343004.49"/>
    <m/>
    <n v="819280"/>
    <n v="2143033.3884297521"/>
    <m/>
    <m/>
    <n v="1323753"/>
    <n v="2143033"/>
    <n v="2143033.3884297521"/>
    <n v="-0.3884297520853579"/>
    <m/>
    <n v="2482629.7599999998"/>
    <s v="Marzo"/>
    <s v="San Telmo"/>
    <n v="32413380"/>
    <n v="26787917.3553719"/>
  </r>
  <r>
    <x v="0"/>
    <x v="2"/>
    <x v="5"/>
    <n v="343004.49"/>
    <n v="825000"/>
    <n v="825000"/>
    <n v="376152.0661157025"/>
    <m/>
    <m/>
    <m/>
    <n v="825000"/>
    <n v="825000"/>
    <n v="0"/>
    <m/>
    <n v="1164596.76"/>
    <s v="Marzo"/>
    <s v="San Telmo 2"/>
    <n v="4551440"/>
    <n v="3761520.661157025"/>
  </r>
  <r>
    <x v="0"/>
    <x v="2"/>
    <x v="6"/>
    <n v="686008.98"/>
    <m/>
    <n v="737869"/>
    <n v="1081465.2148760331"/>
    <m/>
    <m/>
    <n v="345827"/>
    <n v="1083696"/>
    <n v="1081465.2148760331"/>
    <n v="2230.7851239668671"/>
    <m/>
    <n v="1762889.52"/>
    <s v="Marzo"/>
    <s v="AS San Telmo"/>
    <n v="14539699"/>
    <n v="12016280.165289257"/>
  </r>
  <r>
    <x v="0"/>
    <x v="3"/>
    <x v="0"/>
    <n v="515040.5"/>
    <m/>
    <m/>
    <n v="0"/>
    <m/>
    <m/>
    <m/>
    <n v="2924376.08"/>
    <n v="0"/>
    <m/>
    <m/>
    <n v="3332116.58"/>
    <s v="Abril"/>
    <s v="Florida"/>
    <n v="44231189"/>
    <n v="36554701.65289256"/>
  </r>
  <r>
    <x v="0"/>
    <x v="3"/>
    <x v="1"/>
    <n v="262951.78999999998"/>
    <n v="612727"/>
    <n v="610400"/>
    <n v="0"/>
    <m/>
    <m/>
    <m/>
    <n v="610400"/>
    <n v="612727"/>
    <n v="-2327"/>
    <m/>
    <n v="825046.92999999993"/>
    <s v="Abril"/>
    <s v="French"/>
    <n v="20053520"/>
    <n v="16573157.024793388"/>
  </r>
  <r>
    <x v="0"/>
    <x v="3"/>
    <x v="2"/>
    <n v="274476.14"/>
    <n v="541041"/>
    <n v="540862"/>
    <n v="214629.17355371901"/>
    <m/>
    <m/>
    <m/>
    <n v="540862"/>
    <n v="541041"/>
    <n v="-179"/>
    <m/>
    <n v="821068.89"/>
    <s v="Abril"/>
    <s v="Güemes"/>
    <n v="2885570"/>
    <n v="2384768.5950413225"/>
  </r>
  <r>
    <x v="0"/>
    <x v="3"/>
    <x v="3"/>
    <n v="1997735.13"/>
    <n v="1030740"/>
    <n v="1044616"/>
    <n v="1471623.7685950415"/>
    <n v="220743.56528925622"/>
    <n v="231670"/>
    <n v="499854"/>
    <n v="1776140"/>
    <n v="1692367.3338842976"/>
    <n v="83772.666115702363"/>
    <m/>
    <n v="3631434.6100000003"/>
    <s v="Abril"/>
    <s v="Recoleta"/>
    <n v="25438068"/>
    <n v="21023196.694214877"/>
  </r>
  <r>
    <x v="0"/>
    <x v="3"/>
    <x v="4"/>
    <n v="477750.98"/>
    <m/>
    <n v="819280"/>
    <n v="2333371.2396694217"/>
    <m/>
    <m/>
    <n v="1514091"/>
    <n v="2333371"/>
    <n v="2333371.2396694217"/>
    <n v="-0.23966942168772221"/>
    <m/>
    <n v="2676375.4900000002"/>
    <s v="Abril"/>
    <s v="San Telmo"/>
    <n v="35292240"/>
    <n v="29167140.49586777"/>
  </r>
  <r>
    <x v="0"/>
    <x v="3"/>
    <x v="5"/>
    <n v="477750.98"/>
    <n v="825000"/>
    <n v="825000"/>
    <n v="807201.6528925621"/>
    <m/>
    <m/>
    <m/>
    <n v="825000"/>
    <n v="825000"/>
    <n v="0"/>
    <m/>
    <n v="1168004.49"/>
    <s v="Abril"/>
    <s v="San Telmo 2"/>
    <n v="9767140"/>
    <n v="8072016.52892562"/>
  </r>
  <r>
    <x v="0"/>
    <x v="3"/>
    <x v="6"/>
    <n v="955501.96"/>
    <m/>
    <n v="737869"/>
    <n v="1696728.3471074381"/>
    <m/>
    <m/>
    <n v="958859"/>
    <n v="1696728"/>
    <n v="1696728.3471074381"/>
    <n v="-0.3471074381377548"/>
    <m/>
    <n v="2382736.98"/>
    <s v="Abril"/>
    <s v="AS San Telmo"/>
    <n v="22811570"/>
    <n v="18852537.190082647"/>
  </r>
  <r>
    <x v="0"/>
    <x v="4"/>
    <x v="0"/>
    <n v="515040.5"/>
    <m/>
    <m/>
    <n v="0"/>
    <m/>
    <m/>
    <m/>
    <n v="2139397.7599999998"/>
    <n v="0"/>
    <m/>
    <m/>
    <n v="2654438.2599999998"/>
    <s v="Mayo"/>
    <s v="Florida"/>
    <n v="32137701"/>
    <n v="26560083.47107438"/>
  </r>
  <r>
    <x v="0"/>
    <x v="4"/>
    <x v="1"/>
    <n v="240529.21"/>
    <n v="612727"/>
    <n v="610400"/>
    <n v="0"/>
    <m/>
    <m/>
    <m/>
    <n v="610400"/>
    <n v="612727"/>
    <n v="-2327"/>
    <m/>
    <n v="873351.79"/>
    <s v="Mayo"/>
    <s v="French"/>
    <n v="13933870"/>
    <n v="11515595.041322315"/>
  </r>
  <r>
    <x v="0"/>
    <x v="4"/>
    <x v="2"/>
    <n v="282173.06"/>
    <n v="541041"/>
    <n v="540862"/>
    <n v="205633.63636363638"/>
    <m/>
    <m/>
    <m/>
    <n v="540862"/>
    <n v="541041"/>
    <n v="-179"/>
    <m/>
    <n v="815338.14"/>
    <s v="Mayo"/>
    <s v="Güemes"/>
    <n v="2764630"/>
    <n v="2284818.1818181821"/>
  </r>
  <r>
    <x v="0"/>
    <x v="4"/>
    <x v="3"/>
    <n v="1912694.22"/>
    <n v="1030740"/>
    <n v="1044616"/>
    <n v="936019.17355371907"/>
    <n v="154611"/>
    <n v="156692"/>
    <m/>
    <n v="1201308"/>
    <n v="1185351"/>
    <n v="15957"/>
    <m/>
    <n v="3199043.13"/>
    <s v="Mayo"/>
    <s v="Recoleta"/>
    <n v="16179760"/>
    <n v="13371702.479338843"/>
  </r>
  <r>
    <x v="0"/>
    <x v="4"/>
    <x v="4"/>
    <n v="529932.19999999995"/>
    <m/>
    <n v="819280"/>
    <n v="1609417.5206611571"/>
    <m/>
    <m/>
    <n v="804353"/>
    <n v="1623633"/>
    <n v="1609417.5206611571"/>
    <n v="14215.47933884291"/>
    <m/>
    <n v="2101383.98"/>
    <s v="Mayo"/>
    <s v="San Telmo"/>
    <n v="24342440"/>
    <n v="20117719.008264463"/>
  </r>
  <r>
    <x v="0"/>
    <x v="4"/>
    <x v="5"/>
    <n v="529932.19999999995"/>
    <n v="825000"/>
    <n v="825000"/>
    <n v="627856.19834710739"/>
    <m/>
    <m/>
    <m/>
    <n v="825000"/>
    <n v="825000"/>
    <n v="0"/>
    <m/>
    <n v="1302750.98"/>
    <s v="Mayo"/>
    <s v="San Telmo 2"/>
    <n v="7597060"/>
    <n v="6278561.9834710741"/>
  </r>
  <r>
    <x v="0"/>
    <x v="4"/>
    <x v="6"/>
    <n v="1059864.3999999999"/>
    <m/>
    <n v="737869"/>
    <n v="1200551.6528925619"/>
    <m/>
    <m/>
    <n v="462684"/>
    <n v="1200553"/>
    <n v="1200551.6528925619"/>
    <n v="1.3471074381377548"/>
    <m/>
    <n v="2156054.96"/>
    <s v="Mayo"/>
    <s v="AS San Telmo"/>
    <n v="16140750"/>
    <n v="13339462.809917355"/>
  </r>
  <r>
    <x v="0"/>
    <x v="5"/>
    <x v="0"/>
    <n v="515040.5"/>
    <m/>
    <m/>
    <n v="0"/>
    <m/>
    <m/>
    <m/>
    <n v="2338348.56"/>
    <n v="0"/>
    <m/>
    <m/>
    <n v="2853389.06"/>
    <s v="Junio"/>
    <s v="Florida"/>
    <n v="35367522"/>
    <n v="29229357.02479339"/>
  </r>
  <r>
    <x v="0"/>
    <x v="5"/>
    <x v="1"/>
    <n v="217135.92"/>
    <n v="663059"/>
    <n v="667200"/>
    <n v="0"/>
    <m/>
    <m/>
    <m/>
    <n v="667200"/>
    <n v="663059"/>
    <n v="4141"/>
    <m/>
    <n v="907729.21"/>
    <s v="Junio"/>
    <s v="French"/>
    <n v="16508620"/>
    <n v="13643487.603305785"/>
  </r>
  <r>
    <x v="0"/>
    <x v="5"/>
    <x v="2"/>
    <n v="306815.86"/>
    <n v="599544"/>
    <n v="599275.1"/>
    <n v="287735.20661157026"/>
    <m/>
    <m/>
    <m/>
    <n v="599275.1"/>
    <n v="599544"/>
    <n v="-268.90000000002328"/>
    <m/>
    <n v="881448.15999999992"/>
    <s v="Junio"/>
    <s v="Güemes"/>
    <n v="3868440"/>
    <n v="3197057.8512396696"/>
  </r>
  <r>
    <x v="0"/>
    <x v="5"/>
    <x v="3"/>
    <n v="1846064.21"/>
    <n v="1030740"/>
    <n v="1044616"/>
    <n v="877337.76859504147"/>
    <n v="154611"/>
    <n v="156692"/>
    <m/>
    <n v="1201308"/>
    <n v="1185351"/>
    <n v="15957"/>
    <m/>
    <n v="3114002.2199999997"/>
    <s v="Junio"/>
    <s v="Recoleta"/>
    <n v="15165410"/>
    <n v="12533396.694214877"/>
  </r>
  <r>
    <x v="0"/>
    <x v="5"/>
    <x v="4"/>
    <n v="482202.15"/>
    <m/>
    <n v="876549"/>
    <n v="1533840.6611570248"/>
    <m/>
    <m/>
    <n v="657285"/>
    <n v="1533834"/>
    <n v="1533840.6611570248"/>
    <n v="-6.6611570247914642"/>
    <m/>
    <n v="2063766.2"/>
    <s v="Junio"/>
    <s v="San Telmo"/>
    <n v="23199340"/>
    <n v="19173008.26446281"/>
  </r>
  <r>
    <x v="0"/>
    <x v="5"/>
    <x v="5"/>
    <n v="482202.15"/>
    <n v="887700"/>
    <n v="887700"/>
    <n v="579102.47933884303"/>
    <m/>
    <m/>
    <m/>
    <n v="887700"/>
    <n v="887700"/>
    <n v="0"/>
    <m/>
    <n v="1417632.2"/>
    <s v="Junio"/>
    <s v="San Telmo 2"/>
    <n v="7007140"/>
    <n v="5791024.79338843"/>
  </r>
  <r>
    <x v="0"/>
    <x v="5"/>
    <x v="6"/>
    <n v="964404.3"/>
    <m/>
    <n v="789519"/>
    <n v="1045606.6115702479"/>
    <m/>
    <m/>
    <n v="256054"/>
    <n v="1045573"/>
    <n v="1045606.6115702479"/>
    <n v="-33.611570247914642"/>
    <m/>
    <n v="2105437.4"/>
    <s v="Junio"/>
    <s v="AS San Telmo"/>
    <n v="14057600"/>
    <n v="11617851.239669422"/>
  </r>
  <r>
    <x v="0"/>
    <x v="6"/>
    <x v="0"/>
    <n v="407740.5"/>
    <m/>
    <m/>
    <n v="0"/>
    <m/>
    <m/>
    <m/>
    <n v="6375000"/>
    <n v="0"/>
    <m/>
    <m/>
    <n v="6890040.5"/>
    <s v="Julio"/>
    <s v="Florida"/>
    <n v="29116758"/>
    <n v="24063436.363636363"/>
  </r>
  <r>
    <x v="0"/>
    <x v="6"/>
    <x v="1"/>
    <n v="242602.21"/>
    <n v="663059"/>
    <n v="667200"/>
    <n v="0"/>
    <m/>
    <m/>
    <m/>
    <n v="667200"/>
    <n v="663059"/>
    <n v="4141"/>
    <m/>
    <n v="884335.92"/>
    <s v="Julio"/>
    <s v="French"/>
    <n v="16952183"/>
    <n v="14010068.595041323"/>
  </r>
  <r>
    <x v="0"/>
    <x v="6"/>
    <x v="2"/>
    <n v="328003.06"/>
    <n v="599544"/>
    <n v="599275.1"/>
    <n v="280739.75206611567"/>
    <m/>
    <m/>
    <m/>
    <n v="599275.1"/>
    <n v="599544"/>
    <n v="-268.90000000002328"/>
    <m/>
    <n v="906090.96"/>
    <s v="Julio"/>
    <s v="Güemes"/>
    <n v="3774390"/>
    <n v="3119330.5785123967"/>
  </r>
  <r>
    <x v="0"/>
    <x v="6"/>
    <x v="3"/>
    <n v="1901854.12"/>
    <n v="1092714"/>
    <n v="1130425"/>
    <n v="1003803.0082644629"/>
    <n v="163907.1"/>
    <n v="169564"/>
    <m/>
    <n v="1299989"/>
    <n v="1256621.1000000001"/>
    <n v="43367.899999999907"/>
    <m/>
    <n v="3146053.21"/>
    <s v="Julio"/>
    <s v="Recoleta"/>
    <n v="17351452"/>
    <n v="14340042.975206612"/>
  </r>
  <r>
    <x v="0"/>
    <x v="6"/>
    <x v="4"/>
    <n v="573285.05000000005"/>
    <m/>
    <n v="876549"/>
    <n v="1594208.9256198348"/>
    <m/>
    <m/>
    <n v="717653"/>
    <n v="1594202"/>
    <n v="1594208.9256198348"/>
    <n v="-6.9256198348011822"/>
    <m/>
    <n v="2076404.15"/>
    <s v="Julio"/>
    <s v="San Telmo"/>
    <n v="24112410"/>
    <n v="19927611.570247933"/>
  </r>
  <r>
    <x v="0"/>
    <x v="6"/>
    <x v="5"/>
    <n v="573285.05000000005"/>
    <n v="887700"/>
    <n v="887700"/>
    <n v="872080.66115702491"/>
    <m/>
    <m/>
    <n v="15619"/>
    <n v="903319"/>
    <n v="887700"/>
    <n v="15619"/>
    <m/>
    <n v="1385521.15"/>
    <s v="Julio"/>
    <s v="San Telmo 2"/>
    <n v="10552176"/>
    <n v="8720806.6115702484"/>
  </r>
  <r>
    <x v="0"/>
    <x v="6"/>
    <x v="6"/>
    <n v="1146570.01"/>
    <m/>
    <n v="789519"/>
    <n v="1294258.0165289256"/>
    <m/>
    <m/>
    <n v="504738"/>
    <n v="1294257"/>
    <n v="1294258.0165289256"/>
    <n v="-1.0165289256256074"/>
    <m/>
    <n v="2258661.2999999998"/>
    <s v="Julio"/>
    <s v="AS San Telmo"/>
    <n v="17400580"/>
    <n v="14380644.628099173"/>
  </r>
  <r>
    <x v="0"/>
    <x v="7"/>
    <x v="0"/>
    <m/>
    <n v="6550000"/>
    <n v="6550000"/>
    <n v="0"/>
    <m/>
    <m/>
    <m/>
    <n v="6550000"/>
    <n v="6550000"/>
    <n v="0"/>
    <m/>
    <n v="6957740.5"/>
    <s v="Agosto"/>
    <s v="Florida"/>
    <n v="34957464"/>
    <n v="28890466.11570248"/>
  </r>
  <r>
    <x v="0"/>
    <x v="7"/>
    <x v="1"/>
    <m/>
    <n v="663059"/>
    <n v="667200"/>
    <n v="0"/>
    <m/>
    <m/>
    <m/>
    <n v="667200"/>
    <n v="663059"/>
    <n v="4141"/>
    <m/>
    <n v="909802.21"/>
    <s v="Agosto"/>
    <s v="French"/>
    <n v="15436371"/>
    <n v="12757331.404958678"/>
  </r>
  <r>
    <x v="0"/>
    <x v="7"/>
    <x v="2"/>
    <m/>
    <n v="599544"/>
    <n v="599275.1"/>
    <n v="311597.10743801657"/>
    <m/>
    <m/>
    <m/>
    <n v="599275.1"/>
    <n v="599544"/>
    <n v="-268.90000000002328"/>
    <m/>
    <n v="927278.15999999992"/>
    <s v="Agosto"/>
    <s v="Güemes"/>
    <n v="4189250"/>
    <n v="3462190.0826446284"/>
  </r>
  <r>
    <x v="0"/>
    <x v="7"/>
    <x v="3"/>
    <m/>
    <n v="1092714"/>
    <n v="1130425"/>
    <n v="1045680.5950413224"/>
    <n v="163907.1"/>
    <n v="169564"/>
    <m/>
    <n v="1299989"/>
    <n v="1256621.1000000001"/>
    <n v="43367.899999999907"/>
    <m/>
    <n v="3201843.12"/>
    <s v="Agosto"/>
    <s v="Recoleta"/>
    <n v="18075336"/>
    <n v="14938294.214876033"/>
  </r>
  <r>
    <x v="0"/>
    <x v="7"/>
    <x v="4"/>
    <m/>
    <m/>
    <n v="928265"/>
    <n v="1741513.4545454548"/>
    <m/>
    <m/>
    <n v="813248"/>
    <n v="1741513"/>
    <n v="1741513.4545454548"/>
    <n v="-0.45454545482061803"/>
    <m/>
    <n v="2314798.0499999998"/>
    <s v="Agosto"/>
    <s v="San Telmo"/>
    <n v="26340391"/>
    <n v="21768918.181818184"/>
  </r>
  <r>
    <x v="0"/>
    <x v="7"/>
    <x v="5"/>
    <m/>
    <n v="887700"/>
    <n v="887700"/>
    <n v="780973.38842975209"/>
    <m/>
    <m/>
    <m/>
    <n v="887700"/>
    <n v="887700"/>
    <n v="0"/>
    <m/>
    <n v="1460985.05"/>
    <s v="Agosto"/>
    <s v="San Telmo 2"/>
    <n v="9449778"/>
    <n v="7809733.8842975209"/>
  </r>
  <r>
    <x v="0"/>
    <x v="7"/>
    <x v="6"/>
    <m/>
    <m/>
    <n v="836100"/>
    <n v="1569765.1239669423"/>
    <m/>
    <m/>
    <n v="733664"/>
    <n v="1569764"/>
    <n v="1569765.1239669423"/>
    <n v="-1.1239669423084706"/>
    <m/>
    <n v="2716334.01"/>
    <s v="Agosto"/>
    <s v="AS San Telmo"/>
    <n v="21104620"/>
    <n v="17441834.710743804"/>
  </r>
  <r>
    <x v="0"/>
    <x v="8"/>
    <x v="0"/>
    <m/>
    <n v="7000000"/>
    <n v="7000000"/>
    <n v="0"/>
    <m/>
    <m/>
    <m/>
    <n v="7000000"/>
    <n v="7000000"/>
    <n v="0"/>
    <s v="depende del precio del dólar"/>
    <n v="7000000"/>
    <s v="Septiembre"/>
    <s v="Florida"/>
    <n v="45735238.490000002"/>
    <n v="37797717.76033058"/>
  </r>
  <r>
    <x v="0"/>
    <x v="8"/>
    <x v="1"/>
    <m/>
    <n v="699486"/>
    <n v="703000"/>
    <n v="0"/>
    <m/>
    <m/>
    <m/>
    <n v="703000"/>
    <n v="699486"/>
    <n v="3514"/>
    <m/>
    <n v="703000"/>
    <s v="Septiembre"/>
    <s v="French"/>
    <n v="16141623"/>
    <n v="13340184.297520662"/>
  </r>
  <r>
    <x v="0"/>
    <x v="8"/>
    <x v="2"/>
    <m/>
    <n v="599544"/>
    <n v="599275.1"/>
    <n v="310077.3347107438"/>
    <m/>
    <m/>
    <m/>
    <n v="599275.1"/>
    <n v="599544"/>
    <n v="-268.90000000002328"/>
    <m/>
    <n v="599275.1"/>
    <s v="Septiembre"/>
    <s v="Güemes"/>
    <n v="4168817.5"/>
    <n v="3445303.7190082646"/>
  </r>
  <r>
    <x v="0"/>
    <x v="8"/>
    <x v="3"/>
    <m/>
    <n v="1092714"/>
    <n v="1259439.7478260871"/>
    <n v="1259439.7535537193"/>
    <n v="188915.96303305789"/>
    <n v="188915.96217391305"/>
    <m/>
    <n v="1448355.7100000002"/>
    <n v="1448355.7165867772"/>
    <n v="-6.5867770463228226E-3"/>
    <m/>
    <n v="1448355.7100000002"/>
    <s v="Septiembre"/>
    <s v="Recoleta"/>
    <n v="21770315.739999998"/>
    <n v="17991996.479338843"/>
  </r>
  <r>
    <x v="0"/>
    <x v="8"/>
    <x v="4"/>
    <m/>
    <m/>
    <m/>
    <n v="2250398.6770247938"/>
    <m/>
    <m/>
    <n v="2250334.64"/>
    <n v="2250334.64"/>
    <n v="2250398.6770247938"/>
    <n v="-64.037024793680757"/>
    <m/>
    <n v="2250334.64"/>
    <s v="Septiembre"/>
    <s v="San Telmo"/>
    <n v="34037279.990000002"/>
    <n v="28129983.46280992"/>
  </r>
  <r>
    <x v="0"/>
    <x v="8"/>
    <x v="5"/>
    <m/>
    <m/>
    <n v="900710.7"/>
    <n v="900710.74462809926"/>
    <m/>
    <m/>
    <m/>
    <n v="900710.7"/>
    <n v="900710.74462809926"/>
    <n v="-4.4628099305555224E-2"/>
    <m/>
    <n v="900710.7"/>
    <s v="Septiembre"/>
    <s v="San Telmo 2"/>
    <n v="10898600.01"/>
    <n v="9007107.4462809917"/>
  </r>
  <r>
    <x v="0"/>
    <x v="8"/>
    <x v="6"/>
    <m/>
    <m/>
    <n v="1091639.7"/>
    <n v="1091639.7528099173"/>
    <m/>
    <m/>
    <m/>
    <n v="1091639.7"/>
    <n v="1091639.7528099173"/>
    <n v="-5.2809917367994785E-2"/>
    <m/>
    <n v="1091639.7"/>
    <s v="Septiembre"/>
    <s v="AS San Telmo"/>
    <n v="14676490.01"/>
    <n v="12129330.58677686"/>
  </r>
  <r>
    <x v="0"/>
    <x v="9"/>
    <x v="0"/>
    <m/>
    <n v="7275000"/>
    <n v="7275000"/>
    <n v="0"/>
    <m/>
    <m/>
    <m/>
    <n v="7275000"/>
    <n v="7275000"/>
    <n v="0"/>
    <s v="depende del precio del dólar"/>
    <n v="7275000"/>
    <s v="Octubre"/>
    <s v="Florida"/>
    <n v="62713661.020000003"/>
    <n v="51829471.917355374"/>
  </r>
  <r>
    <x v="0"/>
    <x v="9"/>
    <x v="1"/>
    <m/>
    <n v="699486"/>
    <n v="703000"/>
    <n v="0"/>
    <m/>
    <m/>
    <m/>
    <n v="703000"/>
    <n v="699486"/>
    <n v="3514"/>
    <s v="estimación que toma el valor pagado y no calculado, como base"/>
    <n v="703000"/>
    <s v="Octubre"/>
    <s v="French"/>
    <n v="19997040.02"/>
    <n v="16526479.355371902"/>
  </r>
  <r>
    <x v="0"/>
    <x v="9"/>
    <x v="2"/>
    <m/>
    <n v="645612"/>
    <n v="645479"/>
    <n v="358072.80991735536"/>
    <m/>
    <m/>
    <m/>
    <n v="645479"/>
    <n v="645612"/>
    <n v="-133"/>
    <m/>
    <n v="645479"/>
    <s v="Octubre"/>
    <s v="Güemes"/>
    <n v="4814090"/>
    <n v="3978586.7768595042"/>
  </r>
  <r>
    <x v="0"/>
    <x v="9"/>
    <x v="3"/>
    <m/>
    <n v="1157930"/>
    <n v="1367034.7826086958"/>
    <n v="1323934.2969421488"/>
    <n v="198590.14454132231"/>
    <n v="205055.21739130435"/>
    <m/>
    <n v="1572090.0000000002"/>
    <n v="1522524.4414834711"/>
    <n v="49565.558516529156"/>
    <m/>
    <n v="1572090.0000000002"/>
    <s v="Octubre"/>
    <s v="Recoleta"/>
    <n v="22885149.989999998"/>
    <n v="18913347.099173553"/>
  </r>
  <r>
    <x v="0"/>
    <x v="9"/>
    <x v="4"/>
    <m/>
    <m/>
    <m/>
    <n v="2190647.2727272729"/>
    <m/>
    <m/>
    <n v="2190647"/>
    <n v="2190647"/>
    <n v="2190647.2727272729"/>
    <n v="-0.27272727293893695"/>
    <m/>
    <n v="2190647"/>
    <s v="Octubre"/>
    <s v="San Telmo"/>
    <n v="33133540"/>
    <n v="27383090.90909091"/>
  </r>
  <r>
    <x v="0"/>
    <x v="9"/>
    <x v="5"/>
    <m/>
    <m/>
    <n v="1058553"/>
    <n v="1058553.7198347109"/>
    <m/>
    <m/>
    <m/>
    <n v="1058553"/>
    <n v="1058553.7198347109"/>
    <n v="-0.71983471093699336"/>
    <m/>
    <n v="1058553"/>
    <s v="Octubre"/>
    <s v="San Telmo 2"/>
    <n v="12808500.01"/>
    <n v="10585537.198347108"/>
  </r>
  <r>
    <x v="0"/>
    <x v="9"/>
    <x v="6"/>
    <m/>
    <n v="836100"/>
    <n v="957292.11"/>
    <n v="957308.43123966944"/>
    <m/>
    <m/>
    <m/>
    <n v="957292.11"/>
    <n v="957308.43123966944"/>
    <n v="-16.321239669458009"/>
    <m/>
    <n v="957292.11"/>
    <s v="Octubre"/>
    <s v="AS San Telmo"/>
    <n v="12870480.02"/>
    <n v="10636760.347107438"/>
  </r>
  <r>
    <x v="0"/>
    <x v="10"/>
    <x v="0"/>
    <n v="482850.5"/>
    <n v="7050000"/>
    <n v="7050000"/>
    <n v="0"/>
    <m/>
    <m/>
    <m/>
    <n v="7050000"/>
    <n v="7050000"/>
    <n v="0"/>
    <s v="depende del precio del dólar"/>
    <n v="7050000"/>
    <s v="Noviembre"/>
    <s v="Florida"/>
    <n v="58604767"/>
    <n v="48433691.735537194"/>
  </r>
  <r>
    <x v="0"/>
    <x v="10"/>
    <x v="1"/>
    <n v="246306"/>
    <n v="699486"/>
    <n v="703000"/>
    <n v="0"/>
    <m/>
    <m/>
    <m/>
    <n v="703000"/>
    <n v="699486"/>
    <n v="3514"/>
    <s v="estimación que toma el valor pagado y no calculado, como base"/>
    <n v="703000"/>
    <s v="Noviembre"/>
    <s v="French"/>
    <n v="19749648.989999998"/>
    <n v="16322023.958677685"/>
  </r>
  <r>
    <x v="0"/>
    <x v="10"/>
    <x v="2"/>
    <n v="352047.74"/>
    <n v="645612"/>
    <n v="645479.21"/>
    <n v="445191.02404958673"/>
    <m/>
    <m/>
    <m/>
    <n v="645479.21"/>
    <n v="645612"/>
    <n v="-132.79000000003725"/>
    <m/>
    <n v="645479.21"/>
    <s v="Noviembre"/>
    <s v="Güemes"/>
    <n v="5985345.9900000002"/>
    <n v="4946566.9338842975"/>
  </r>
  <r>
    <x v="0"/>
    <x v="10"/>
    <x v="3"/>
    <n v="2081805.58"/>
    <n v="1157930"/>
    <n v="1954961.095652174"/>
    <n v="1835269.6044628101"/>
    <n v="275290.44066942151"/>
    <n v="293244.1643478261"/>
    <m/>
    <n v="2248205.2600000002"/>
    <n v="2110560.0451322314"/>
    <n v="137645.21486776881"/>
    <m/>
    <n v="2248205.2600000002"/>
    <s v="Noviembre"/>
    <s v="Recoleta"/>
    <n v="31723946.02"/>
    <n v="26218137.20661157"/>
  </r>
  <r>
    <x v="0"/>
    <x v="10"/>
    <x v="4"/>
    <n v="650090.67000000004"/>
    <m/>
    <m/>
    <n v="2138745.110743802"/>
    <m/>
    <m/>
    <n v="2138745.04"/>
    <n v="2138745.04"/>
    <n v="2138745.110743802"/>
    <n v="-7.074380200356245E-2"/>
    <m/>
    <n v="2138745.04"/>
    <s v="Noviembre"/>
    <s v="San Telmo"/>
    <n v="32348519.800000001"/>
    <n v="26734313.884297524"/>
  </r>
  <r>
    <x v="0"/>
    <x v="10"/>
    <x v="5"/>
    <n v="650090.67000000004"/>
    <m/>
    <n v="1200587.6000000001"/>
    <n v="1200587.6033057852"/>
    <m/>
    <m/>
    <m/>
    <n v="1200587.6000000001"/>
    <n v="1200587.6033057852"/>
    <n v="-3.3057851251214743E-3"/>
    <m/>
    <n v="1200587.6000000001"/>
    <s v="Noviembre"/>
    <s v="San Telmo 2"/>
    <n v="14527110"/>
    <n v="12005876.033057852"/>
  </r>
  <r>
    <x v="0"/>
    <x v="10"/>
    <x v="6"/>
    <n v="1300181.3400000001"/>
    <n v="836100"/>
    <n v="1425831.84"/>
    <n v="1425831.9173553719"/>
    <m/>
    <m/>
    <m/>
    <n v="1425831.84"/>
    <n v="1425831.9173553719"/>
    <n v="-7.7355371788144112E-2"/>
    <m/>
    <n v="1425831.84"/>
    <s v="Noviembre"/>
    <s v="AS San Telmo"/>
    <n v="19169518"/>
    <n v="15842576.859504133"/>
  </r>
  <r>
    <x v="0"/>
    <x v="10"/>
    <x v="7"/>
    <n v="236898.87"/>
    <n v="1410298"/>
    <n v="1403877.7727272727"/>
    <m/>
    <n v="141029.80000000002"/>
    <n v="140387.77727272728"/>
    <m/>
    <n v="1544265.55"/>
    <n v="1551327.8"/>
    <n v="-7062.25"/>
    <m/>
    <m/>
    <s v="Noviembre"/>
    <s v="El Solar"/>
    <n v="6544524.0199999996"/>
    <n v="4482550.6986301364"/>
  </r>
  <r>
    <x v="0"/>
    <x v="10"/>
    <x v="8"/>
    <n v="53861"/>
    <n v="461151"/>
    <n v="461057"/>
    <n v="0"/>
    <m/>
    <m/>
    <m/>
    <n v="461057"/>
    <n v="461151"/>
    <n v="-94"/>
    <m/>
    <m/>
    <s v="Noviembre"/>
    <s v="Güemes 2 (góndola 7)"/>
    <s v="abrió el 19/11"/>
    <m/>
  </r>
  <r>
    <x v="0"/>
    <x v="10"/>
    <x v="9"/>
    <n v="19515"/>
    <n v="267693"/>
    <n v="267700"/>
    <m/>
    <m/>
    <m/>
    <m/>
    <n v="267700"/>
    <n v="267693"/>
    <n v="7"/>
    <m/>
    <m/>
    <s v="Noviembre"/>
    <s v="AS Güemes (góndola 13)"/>
    <s v="abrió el 11/11"/>
    <m/>
  </r>
  <r>
    <x v="0"/>
    <x v="11"/>
    <x v="0"/>
    <m/>
    <n v="7200000"/>
    <n v="7200000"/>
    <m/>
    <m/>
    <m/>
    <m/>
    <n v="7200000"/>
    <n v="7200000"/>
    <n v="0"/>
    <m/>
    <m/>
    <s v="Diciembre"/>
    <s v="Florida"/>
    <n v="84288371.949400023"/>
    <n v="69659811.528429776"/>
  </r>
  <r>
    <x v="0"/>
    <x v="11"/>
    <x v="1"/>
    <m/>
    <n v="850000"/>
    <n v="850000"/>
    <m/>
    <m/>
    <m/>
    <m/>
    <n v="850000"/>
    <n v="850000"/>
    <n v="0"/>
    <m/>
    <m/>
    <s v="Diciembre"/>
    <s v="French"/>
    <n v="31448390.003300004"/>
    <n v="25990404.961404964"/>
  </r>
  <r>
    <x v="0"/>
    <x v="11"/>
    <x v="2"/>
    <m/>
    <n v="645612"/>
    <n v="645479.21"/>
    <m/>
    <m/>
    <m/>
    <m/>
    <n v="645479.21"/>
    <n v="645612"/>
    <n v="-132.79000000003725"/>
    <m/>
    <m/>
    <s v="Diciembre"/>
    <s v="Güemes"/>
    <n v="5000089.9892000007"/>
    <n v="4132305.7761983476"/>
  </r>
  <r>
    <x v="0"/>
    <x v="11"/>
    <x v="3"/>
    <m/>
    <n v="1157930"/>
    <m/>
    <n v="2029454.2267826449"/>
    <n v="304418.13401739672"/>
    <m/>
    <m/>
    <n v="2333872.36"/>
    <n v="2333872.3608000418"/>
    <n v="-8.0004194751381874E-4"/>
    <m/>
    <m/>
    <s v="Diciembre"/>
    <s v="Recoleta"/>
    <n v="35080565.920099996"/>
    <n v="28992203.239752065"/>
  </r>
  <r>
    <x v="0"/>
    <x v="11"/>
    <x v="4"/>
    <m/>
    <m/>
    <m/>
    <n v="4159281.9828760331"/>
    <m/>
    <m/>
    <n v="4159281.92"/>
    <n v="4159281.92"/>
    <n v="4159281.9828760331"/>
    <n v="-6.2876033131033182E-2"/>
    <m/>
    <m/>
    <s v="Diciembre"/>
    <s v="San Telmo"/>
    <n v="62909139.990999997"/>
    <n v="51991024.785950415"/>
  </r>
  <r>
    <x v="0"/>
    <x v="11"/>
    <x v="5"/>
    <m/>
    <m/>
    <n v="1999268.2"/>
    <n v="1999268.262867769"/>
    <m/>
    <m/>
    <m/>
    <n v="1999268.2"/>
    <n v="1999268.262867769"/>
    <n v="-6.2867769040167332E-2"/>
    <m/>
    <m/>
    <s v="Diciembre"/>
    <s v="San Telmo 2"/>
    <n v="24191145.980700001"/>
    <n v="19992682.628677689"/>
  </r>
  <r>
    <x v="0"/>
    <x v="11"/>
    <x v="6"/>
    <m/>
    <m/>
    <m/>
    <n v="1529517.2731661159"/>
    <m/>
    <m/>
    <n v="1529517.24"/>
    <n v="1529517.24"/>
    <n v="1529517.2731661159"/>
    <n v="-3.3166115870699286E-2"/>
    <m/>
    <m/>
    <s v="Diciembre"/>
    <s v="AS San Telmo"/>
    <n v="20563510.005900003"/>
    <n v="16994636.368512399"/>
  </r>
  <r>
    <x v="0"/>
    <x v="11"/>
    <x v="7"/>
    <m/>
    <n v="1410298"/>
    <m/>
    <m/>
    <n v="141029.80000000002"/>
    <n v="0"/>
    <m/>
    <n v="1544265.55"/>
    <n v="1551327.8"/>
    <n v="-7062.25"/>
    <m/>
    <m/>
    <s v="Diciembre"/>
    <s v="El Solar"/>
    <n v="6889989.9928000011"/>
    <n v="4719171.2279452067"/>
  </r>
  <r>
    <x v="0"/>
    <x v="11"/>
    <x v="8"/>
    <m/>
    <n v="461151"/>
    <n v="461057"/>
    <n v="78213.779667123279"/>
    <m/>
    <m/>
    <m/>
    <n v="461057"/>
    <n v="461151"/>
    <n v="-94"/>
    <m/>
    <m/>
    <s v="Diciembre"/>
    <s v="Güemes 2 (góndola 7)"/>
    <n v="1268801.3145999999"/>
    <n v="869041.99630136986"/>
  </r>
  <r>
    <x v="0"/>
    <x v="11"/>
    <x v="9"/>
    <m/>
    <n v="267693"/>
    <n v="267700"/>
    <m/>
    <m/>
    <m/>
    <m/>
    <n v="267700"/>
    <n v="267693"/>
    <n v="7"/>
    <m/>
    <m/>
    <s v="Diciembre"/>
    <s v="AS Güemes (góndola 13)"/>
    <n v="898200.00399999996"/>
    <n v="742314.052892562"/>
  </r>
  <r>
    <x v="1"/>
    <x v="0"/>
    <x v="0"/>
    <m/>
    <n v="7425000"/>
    <n v="7525000"/>
    <m/>
    <m/>
    <m/>
    <m/>
    <n v="7525000"/>
    <n v="7425000"/>
    <n v="100000"/>
    <m/>
    <m/>
    <s v="Enero"/>
    <s v="Florida"/>
    <n v="75154430"/>
    <n v="62111099.17355372"/>
  </r>
  <r>
    <x v="1"/>
    <x v="0"/>
    <x v="1"/>
    <m/>
    <n v="850000"/>
    <n v="850000"/>
    <m/>
    <m/>
    <m/>
    <m/>
    <n v="850000"/>
    <n v="850000"/>
    <n v="0"/>
    <m/>
    <m/>
    <s v="Enero"/>
    <s v="French"/>
    <n v="25547206"/>
    <n v="21113393.388429753"/>
  </r>
  <r>
    <x v="1"/>
    <x v="0"/>
    <x v="2"/>
    <m/>
    <n v="645612"/>
    <n v="645479.21"/>
    <m/>
    <m/>
    <m/>
    <m/>
    <n v="645479.21"/>
    <n v="645612"/>
    <n v="-132.79000000003725"/>
    <m/>
    <m/>
    <s v="Enero"/>
    <s v="Güemes"/>
    <n v="5451414"/>
    <n v="4505300.8264462808"/>
  </r>
  <r>
    <x v="1"/>
    <x v="0"/>
    <x v="3"/>
    <m/>
    <n v="2000000"/>
    <m/>
    <n v="2001530.7685950415"/>
    <n v="300229.61528925621"/>
    <m/>
    <m/>
    <n v="2451875.16"/>
    <n v="2301760.3838842977"/>
    <n v="150114.77611570247"/>
    <m/>
    <m/>
    <s v="Enero"/>
    <s v="Recoleta"/>
    <n v="34597889"/>
    <n v="28593296.694214877"/>
  </r>
  <r>
    <x v="1"/>
    <x v="0"/>
    <x v="4"/>
    <m/>
    <m/>
    <m/>
    <n v="3323410.5785123967"/>
    <m/>
    <m/>
    <n v="3323410.48"/>
    <n v="3323410.48"/>
    <n v="3323410.5785123967"/>
    <n v="-9.8512396682053804E-2"/>
    <m/>
    <m/>
    <s v="Enero"/>
    <s v="San Telmo"/>
    <n v="50266585"/>
    <n v="41542632.23140496"/>
  </r>
  <r>
    <x v="1"/>
    <x v="0"/>
    <x v="5"/>
    <m/>
    <m/>
    <n v="1374452"/>
    <n v="1374452.0661157025"/>
    <m/>
    <m/>
    <m/>
    <n v="1374452"/>
    <n v="1374452.0661157025"/>
    <n v="-6.6115702502429485E-2"/>
    <m/>
    <m/>
    <s v="Enero"/>
    <s v="San Telmo 2"/>
    <n v="16630870"/>
    <n v="13744520.661157025"/>
  </r>
  <r>
    <x v="1"/>
    <x v="0"/>
    <x v="6"/>
    <m/>
    <m/>
    <m/>
    <n v="1369897.3636363635"/>
    <m/>
    <m/>
    <n v="1369897.5"/>
    <n v="1369897.5"/>
    <n v="1369897.3636363635"/>
    <n v="0.13636363646946847"/>
    <m/>
    <m/>
    <s v="Enero"/>
    <s v="AS San Telmo"/>
    <n v="18417509"/>
    <n v="15221081.818181818"/>
  </r>
  <r>
    <x v="1"/>
    <x v="0"/>
    <x v="7"/>
    <m/>
    <n v="1486293"/>
    <m/>
    <m/>
    <n v="148629.30000000002"/>
    <n v="0"/>
    <m/>
    <n v="1619513.17"/>
    <n v="1634922.3"/>
    <n v="-15409.130000000121"/>
    <m/>
    <m/>
    <s v="Enero"/>
    <s v="El Solar"/>
    <n v="21238500"/>
    <n v="14546917.808219178"/>
  </r>
  <r>
    <x v="1"/>
    <x v="0"/>
    <x v="8"/>
    <m/>
    <n v="461151"/>
    <n v="461057"/>
    <n v="676208.21917808219"/>
    <m/>
    <m/>
    <m/>
    <n v="461057"/>
    <n v="676208.21917808219"/>
    <n v="-215151.21917808219"/>
    <m/>
    <m/>
    <s v="Enero"/>
    <s v="Güemes 2 (góndola 7)"/>
    <n v="10969600"/>
    <n v="7513424.6575342463"/>
  </r>
  <r>
    <x v="1"/>
    <x v="0"/>
    <x v="9"/>
    <m/>
    <n v="294719"/>
    <n v="267700"/>
    <m/>
    <m/>
    <m/>
    <m/>
    <n v="267700"/>
    <n v="294719"/>
    <n v="-27019"/>
    <m/>
    <m/>
    <s v="Enero"/>
    <s v="AS Güemes (góndola 13)"/>
    <n v="1162671"/>
    <n v="960885.12396694219"/>
  </r>
  <r>
    <x v="1"/>
    <x v="1"/>
    <x v="0"/>
    <m/>
    <n v="7200000"/>
    <n v="7100000"/>
    <m/>
    <m/>
    <m/>
    <m/>
    <n v="7100000"/>
    <n v="7200000"/>
    <n v="-100000"/>
    <m/>
    <m/>
    <s v="Febrero"/>
    <s v="Florida"/>
    <n v="49769692.299999997"/>
    <n v="41131977.107438013"/>
  </r>
  <r>
    <x v="1"/>
    <x v="1"/>
    <x v="1"/>
    <m/>
    <n v="850000"/>
    <n v="850000"/>
    <m/>
    <m/>
    <m/>
    <m/>
    <n v="850000"/>
    <n v="850000"/>
    <n v="0"/>
    <m/>
    <m/>
    <s v="Febrero"/>
    <s v="French"/>
    <n v="21769881.899999999"/>
    <n v="17991637.933884297"/>
  </r>
  <r>
    <x v="1"/>
    <x v="1"/>
    <x v="2"/>
    <m/>
    <n v="716402"/>
    <n v="715965.54"/>
    <m/>
    <m/>
    <m/>
    <m/>
    <n v="715965.54"/>
    <n v="716402"/>
    <n v="-436.45999999996275"/>
    <m/>
    <m/>
    <s v="Febrero"/>
    <s v="Güemes"/>
    <n v="3623340"/>
    <n v="2994495.867768595"/>
  </r>
  <r>
    <x v="1"/>
    <x v="1"/>
    <x v="3"/>
    <m/>
    <n v="2000000"/>
    <m/>
    <n v="1473794.6595041321"/>
    <n v="300000"/>
    <m/>
    <m/>
    <n v="2300000"/>
    <n v="2300000"/>
    <n v="0"/>
    <m/>
    <m/>
    <s v="Febrero"/>
    <s v="Recoleta"/>
    <n v="25475593.399999995"/>
    <n v="21054209.4214876"/>
  </r>
  <r>
    <x v="1"/>
    <x v="1"/>
    <x v="4"/>
    <m/>
    <m/>
    <m/>
    <n v="2622347.1074380167"/>
    <m/>
    <m/>
    <n v="2622347.04"/>
    <n v="2622347.04"/>
    <n v="2622347.1074380167"/>
    <n v="-6.7438016645610332E-2"/>
    <m/>
    <m/>
    <s v="Febrero"/>
    <s v="San Telmo"/>
    <n v="39663000"/>
    <n v="32779338.842975207"/>
  </r>
  <r>
    <x v="1"/>
    <x v="1"/>
    <x v="5"/>
    <m/>
    <m/>
    <n v="1473060.3"/>
    <n v="1473060.3429752067"/>
    <m/>
    <m/>
    <m/>
    <n v="1473060.3"/>
    <n v="1473060.3429752067"/>
    <n v="-4.2975206626579165E-2"/>
    <m/>
    <m/>
    <s v="Febrero"/>
    <s v="San Telmo 2"/>
    <n v="17824030.149999999"/>
    <n v="14730603.429752065"/>
  </r>
  <r>
    <x v="1"/>
    <x v="1"/>
    <x v="6"/>
    <m/>
    <m/>
    <m/>
    <n v="1199300.5710743801"/>
    <m/>
    <m/>
    <n v="1199300.67"/>
    <n v="1199300.67"/>
    <n v="1199300.5710743801"/>
    <n v="9.8925619851797819E-2"/>
    <m/>
    <m/>
    <s v="Febrero"/>
    <s v="AS San Telmo"/>
    <n v="16123929.9"/>
    <n v="13325561.900826447"/>
  </r>
  <r>
    <x v="1"/>
    <x v="1"/>
    <x v="7"/>
    <m/>
    <n v="1486293"/>
    <m/>
    <m/>
    <n v="148629.30000000002"/>
    <n v="0"/>
    <m/>
    <n v="1619513.17"/>
    <n v="1634922.3"/>
    <n v="-15409.130000000121"/>
    <m/>
    <m/>
    <s v="Febrero"/>
    <s v="El Solar"/>
    <n v="4959712.9000000004"/>
    <n v="3397063.6301369867"/>
  </r>
  <r>
    <x v="1"/>
    <x v="1"/>
    <x v="8"/>
    <m/>
    <n v="511715"/>
    <n v="511403.96"/>
    <n v="307171.23287671228"/>
    <m/>
    <m/>
    <m/>
    <n v="511403.96"/>
    <n v="511715"/>
    <n v="-311.03999999997905"/>
    <m/>
    <m/>
    <s v="Febrero"/>
    <s v="Güemes 2 (góndola 7)"/>
    <n v="4983000"/>
    <n v="3413013.6986301369"/>
  </r>
  <r>
    <x v="1"/>
    <x v="1"/>
    <x v="9"/>
    <m/>
    <n v="294719"/>
    <n v="294630.62"/>
    <m/>
    <m/>
    <m/>
    <m/>
    <n v="294630.62"/>
    <n v="294719"/>
    <n v="-88.380000000004657"/>
    <m/>
    <m/>
    <s v="Febrero"/>
    <s v="AS Güemes (góndola 13)"/>
    <n v="623750.01"/>
    <n v="515495.87603305787"/>
  </r>
  <r>
    <x v="1"/>
    <x v="2"/>
    <x v="0"/>
    <m/>
    <n v="7175000"/>
    <n v="7100000"/>
    <m/>
    <m/>
    <m/>
    <m/>
    <n v="7100000"/>
    <n v="7175000"/>
    <n v="-75000"/>
    <m/>
    <m/>
    <s v="Marzo"/>
    <s v="Florida"/>
    <n v="56105566.406199992"/>
    <n v="46368236.699338838"/>
  </r>
  <r>
    <x v="1"/>
    <x v="2"/>
    <x v="1"/>
    <m/>
    <n v="925424"/>
    <n v="923100"/>
    <m/>
    <m/>
    <m/>
    <m/>
    <n v="923100"/>
    <n v="925424"/>
    <n v="-2324"/>
    <m/>
    <m/>
    <s v="Marzo"/>
    <s v="French"/>
    <n v="16278681.891899999"/>
    <n v="13453456.109008264"/>
  </r>
  <r>
    <x v="1"/>
    <x v="2"/>
    <x v="2"/>
    <m/>
    <n v="716402"/>
    <n v="715965.54"/>
    <m/>
    <m/>
    <m/>
    <m/>
    <n v="715965.54"/>
    <n v="716402"/>
    <n v="-436.45999999996275"/>
    <m/>
    <m/>
    <s v="Marzo"/>
    <s v="Güemes"/>
    <n v="2967396.8247000002"/>
    <n v="2452394.0700000003"/>
  </r>
  <r>
    <x v="1"/>
    <x v="2"/>
    <x v="3"/>
    <m/>
    <n v="2000000"/>
    <m/>
    <n v="1211599.0690190082"/>
    <n v="300000"/>
    <m/>
    <m/>
    <n v="2300000"/>
    <n v="2300000"/>
    <n v="0"/>
    <m/>
    <m/>
    <s v="Marzo"/>
    <s v="Recoleta"/>
    <n v="20943355.335899998"/>
    <n v="17308558.128842972"/>
  </r>
  <r>
    <x v="1"/>
    <x v="2"/>
    <x v="4"/>
    <m/>
    <m/>
    <m/>
    <n v="2012472.0661157027"/>
    <m/>
    <m/>
    <n v="2012472"/>
    <n v="2012472"/>
    <n v="2012472.0661157027"/>
    <n v="-6.6115702735260129E-2"/>
    <m/>
    <m/>
    <s v="Marzo"/>
    <s v="San Telmo"/>
    <n v="30438640.000000004"/>
    <n v="25155900.826446284"/>
  </r>
  <r>
    <x v="1"/>
    <x v="2"/>
    <x v="5"/>
    <m/>
    <m/>
    <n v="1070367.2"/>
    <n v="1070367.2733636363"/>
    <m/>
    <m/>
    <m/>
    <n v="1070367.2"/>
    <n v="1070367.2733636363"/>
    <n v="-7.3363636387512088E-2"/>
    <m/>
    <m/>
    <s v="Marzo"/>
    <s v="San Telmo 2"/>
    <n v="12951444.007699998"/>
    <n v="10703672.733636362"/>
  </r>
  <r>
    <x v="1"/>
    <x v="2"/>
    <x v="6"/>
    <m/>
    <m/>
    <m/>
    <n v="1026394.1906801652"/>
    <m/>
    <m/>
    <n v="1026394.29"/>
    <n v="1026394.29"/>
    <n v="1026394.1906801652"/>
    <n v="9.9319834844209254E-2"/>
    <m/>
    <m/>
    <s v="Marzo"/>
    <s v="AS San Telmo"/>
    <n v="13799299.674699999"/>
    <n v="11404379.89644628"/>
  </r>
  <r>
    <x v="1"/>
    <x v="2"/>
    <x v="7"/>
    <m/>
    <n v="1573410"/>
    <m/>
    <m/>
    <n v="157341"/>
    <n v="0"/>
    <m/>
    <n v="1872828.4"/>
    <n v="1730751"/>
    <n v="142077.39999999991"/>
    <m/>
    <m/>
    <s v="Marzo"/>
    <s v="El Solar"/>
    <n v="7961630.0196999982"/>
    <n v="5453171.246369862"/>
  </r>
  <r>
    <x v="1"/>
    <x v="2"/>
    <x v="8"/>
    <m/>
    <n v="511715"/>
    <n v="583226.46"/>
    <n v="582398.63080273976"/>
    <m/>
    <m/>
    <m/>
    <n v="583226.46"/>
    <n v="582398.63080273976"/>
    <n v="827.82919726020191"/>
    <m/>
    <m/>
    <s v="Marzo"/>
    <s v="Güemes 2 (góndola 7)"/>
    <n v="9447800.0108000003"/>
    <n v="6471095.8978082193"/>
  </r>
  <r>
    <x v="1"/>
    <x v="2"/>
    <x v="9"/>
    <m/>
    <n v="294719"/>
    <n v="294630.62"/>
    <m/>
    <m/>
    <m/>
    <m/>
    <n v="294630.62"/>
    <n v="294719"/>
    <n v="-88.380000000004657"/>
    <m/>
    <m/>
    <s v="Marzo"/>
    <s v="AS Güemes (góndola 13)"/>
    <n v="174650.0068"/>
    <n v="144338.84859504132"/>
  </r>
  <r>
    <x v="1"/>
    <x v="3"/>
    <x v="0"/>
    <m/>
    <m/>
    <m/>
    <m/>
    <m/>
    <m/>
    <m/>
    <n v="0"/>
    <n v="0"/>
    <n v="0"/>
    <m/>
    <m/>
    <s v="Abril"/>
    <s v="Florida"/>
    <m/>
    <n v="0"/>
  </r>
  <r>
    <x v="1"/>
    <x v="3"/>
    <x v="1"/>
    <m/>
    <n v="925424"/>
    <n v="923100"/>
    <m/>
    <m/>
    <m/>
    <m/>
    <n v="923100"/>
    <n v="925424"/>
    <n v="-2324"/>
    <m/>
    <m/>
    <s v="Abril"/>
    <s v="French"/>
    <m/>
    <n v="0"/>
  </r>
  <r>
    <x v="1"/>
    <x v="3"/>
    <x v="2"/>
    <m/>
    <n v="716402"/>
    <n v="715965.54"/>
    <m/>
    <m/>
    <m/>
    <m/>
    <n v="715965.54"/>
    <n v="716402"/>
    <n v="-436.45999999996275"/>
    <m/>
    <m/>
    <s v="Abril"/>
    <s v="Güemes"/>
    <m/>
    <n v="0"/>
  </r>
  <r>
    <x v="1"/>
    <x v="3"/>
    <x v="3"/>
    <m/>
    <n v="2188846"/>
    <m/>
    <n v="0"/>
    <n v="328326.89999999997"/>
    <m/>
    <m/>
    <n v="2504086.52"/>
    <n v="2517172.9"/>
    <n v="-13086.379999999888"/>
    <m/>
    <m/>
    <s v="Abril"/>
    <s v="Recoleta"/>
    <m/>
    <n v="0"/>
  </r>
  <r>
    <x v="1"/>
    <x v="3"/>
    <x v="4"/>
    <m/>
    <m/>
    <m/>
    <n v="0"/>
    <m/>
    <m/>
    <n v="2239640.96"/>
    <n v="2239640.96"/>
    <n v="0"/>
    <n v="2239640.96"/>
    <m/>
    <m/>
    <s v="Abril"/>
    <s v="San Telmo"/>
    <m/>
    <n v="0"/>
  </r>
  <r>
    <x v="1"/>
    <x v="3"/>
    <x v="5"/>
    <m/>
    <m/>
    <n v="1230248.2"/>
    <n v="0"/>
    <m/>
    <m/>
    <m/>
    <n v="1230248.2"/>
    <n v="0"/>
    <n v="1230248.2"/>
    <m/>
    <m/>
    <s v="Abril"/>
    <s v="San Telmo 2"/>
    <m/>
    <n v="0"/>
  </r>
  <r>
    <x v="1"/>
    <x v="3"/>
    <x v="6"/>
    <m/>
    <m/>
    <m/>
    <n v="0"/>
    <m/>
    <m/>
    <m/>
    <n v="1089870.3899999999"/>
    <n v="0"/>
    <n v="1089870.3899999999"/>
    <m/>
    <m/>
    <s v="Abril"/>
    <s v="AS San Telmo"/>
    <m/>
    <n v="0"/>
  </r>
  <r>
    <x v="1"/>
    <x v="3"/>
    <x v="7"/>
    <m/>
    <n v="1573410"/>
    <m/>
    <m/>
    <n v="157341"/>
    <n v="0"/>
    <m/>
    <n v="1872828.25"/>
    <n v="1730751"/>
    <n v="142077.25"/>
    <m/>
    <m/>
    <s v="Abril"/>
    <s v="El Solar"/>
    <m/>
    <n v="0"/>
  </r>
  <r>
    <x v="1"/>
    <x v="3"/>
    <x v="8"/>
    <m/>
    <n v="511715"/>
    <n v="583226.4"/>
    <n v="0"/>
    <m/>
    <m/>
    <m/>
    <n v="583226.4"/>
    <n v="511715"/>
    <n v="71511.400000000023"/>
    <m/>
    <m/>
    <s v="Abril"/>
    <s v="Güemes 2 (góndola 7)"/>
    <m/>
    <n v="0"/>
  </r>
  <r>
    <x v="1"/>
    <x v="4"/>
    <x v="0"/>
    <m/>
    <m/>
    <m/>
    <m/>
    <m/>
    <m/>
    <m/>
    <n v="0"/>
    <n v="0"/>
    <n v="0"/>
    <m/>
    <m/>
    <s v="Mayo"/>
    <s v="Florida"/>
    <m/>
    <n v="0"/>
  </r>
  <r>
    <x v="1"/>
    <x v="4"/>
    <x v="1"/>
    <m/>
    <n v="925424"/>
    <m/>
    <m/>
    <m/>
    <m/>
    <m/>
    <n v="0"/>
    <n v="925424"/>
    <n v="-925424"/>
    <m/>
    <m/>
    <s v="Mayo"/>
    <s v="French"/>
    <m/>
    <n v="0"/>
  </r>
  <r>
    <x v="1"/>
    <x v="4"/>
    <x v="2"/>
    <m/>
    <n v="716402"/>
    <m/>
    <m/>
    <m/>
    <m/>
    <m/>
    <n v="0"/>
    <n v="716402"/>
    <n v="-716402"/>
    <m/>
    <m/>
    <s v="Mayo"/>
    <s v="Güemes"/>
    <m/>
    <n v="0"/>
  </r>
  <r>
    <x v="1"/>
    <x v="4"/>
    <x v="3"/>
    <m/>
    <n v="2188846"/>
    <m/>
    <n v="0"/>
    <n v="328326.89999999997"/>
    <m/>
    <m/>
    <n v="0"/>
    <n v="2517172.9"/>
    <n v="-2517172.9"/>
    <m/>
    <m/>
    <s v="Mayo"/>
    <s v="Recoleta"/>
    <m/>
    <n v="0"/>
  </r>
  <r>
    <x v="1"/>
    <x v="4"/>
    <x v="4"/>
    <m/>
    <m/>
    <m/>
    <n v="0"/>
    <m/>
    <m/>
    <m/>
    <n v="0"/>
    <n v="0"/>
    <n v="0"/>
    <m/>
    <m/>
    <s v="Mayo"/>
    <s v="San Telmo"/>
    <m/>
    <n v="0"/>
  </r>
  <r>
    <x v="1"/>
    <x v="4"/>
    <x v="5"/>
    <m/>
    <m/>
    <m/>
    <n v="0"/>
    <m/>
    <m/>
    <m/>
    <n v="0"/>
    <n v="0"/>
    <n v="0"/>
    <m/>
    <m/>
    <s v="Mayo"/>
    <s v="San Telmo 2"/>
    <m/>
    <n v="0"/>
  </r>
  <r>
    <x v="1"/>
    <x v="4"/>
    <x v="6"/>
    <m/>
    <m/>
    <m/>
    <n v="0"/>
    <m/>
    <m/>
    <m/>
    <n v="0"/>
    <n v="0"/>
    <n v="0"/>
    <m/>
    <m/>
    <s v="Mayo"/>
    <s v="AS San Telmo"/>
    <m/>
    <n v="0"/>
  </r>
  <r>
    <x v="1"/>
    <x v="4"/>
    <x v="7"/>
    <m/>
    <m/>
    <m/>
    <m/>
    <n v="0"/>
    <n v="0"/>
    <m/>
    <n v="0"/>
    <n v="0"/>
    <n v="0"/>
    <m/>
    <m/>
    <s v="Mayo"/>
    <s v="El Solar"/>
    <m/>
    <n v="0"/>
  </r>
  <r>
    <x v="1"/>
    <x v="4"/>
    <x v="8"/>
    <m/>
    <n v="511715"/>
    <n v="536812.9"/>
    <n v="0"/>
    <m/>
    <m/>
    <m/>
    <n v="536812.9"/>
    <n v="511715"/>
    <n v="25097.900000000023"/>
    <m/>
    <m/>
    <s v="Mayo"/>
    <s v="Güemes 2 (góndola 7)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3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3:T15" firstHeaderRow="1" firstDataRow="2" firstDataCol="1" rowPageCount="1" colPageCount="1"/>
  <pivotFields count="19">
    <pivotField axis="axisPage" showAll="0">
      <items count="3">
        <item x="0"/>
        <item x="1"/>
        <item t="default"/>
      </items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1">
        <item x="9"/>
        <item x="6"/>
        <item x="7"/>
        <item x="0"/>
        <item x="1"/>
        <item x="2"/>
        <item x="8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0" item="0" hier="-1"/>
  </pageFields>
  <dataFields count="1">
    <dataField name="Suma de DIFERENCIA" fld="12" baseField="2" baseItem="0" numFmtId="164"/>
  </dataFields>
  <formats count="3">
    <format dxfId="28">
      <pivotArea outline="0" collapsedLevelsAreSubtotals="1" fieldPosition="0"/>
    </format>
    <format dxfId="27">
      <pivotArea outline="0" collapsedLevelsAreSubtotals="1" fieldPosition="0"/>
    </format>
    <format dxfId="26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1" cacheId="3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E15" firstHeaderRow="1" firstDataRow="2" firstDataCol="1" rowPageCount="1" colPageCount="1"/>
  <pivotFields count="19">
    <pivotField axis="axisPage" showAll="0">
      <items count="3">
        <item x="0"/>
        <item x="1"/>
        <item t="default"/>
      </items>
    </pivotField>
    <pivotField axis="axisCol" showAll="0">
      <items count="13">
        <item x="0"/>
        <item x="1"/>
        <item x="2"/>
        <item h="1" x="3"/>
        <item h="1" x="4"/>
        <item h="1" x="5"/>
        <item h="1" x="6"/>
        <item h="1" x="7"/>
        <item h="1" x="8"/>
        <item h="1" x="9"/>
        <item h="1" x="10"/>
        <item x="11"/>
        <item t="default"/>
      </items>
    </pivotField>
    <pivotField axis="axisRow" showAll="0">
      <items count="11">
        <item x="9"/>
        <item x="6"/>
        <item x="7"/>
        <item x="0"/>
        <item x="1"/>
        <item x="2"/>
        <item x="8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0" item="1" hier="-1"/>
  </pageFields>
  <dataFields count="1">
    <dataField name="Suma de DIFERENCIA" fld="12" baseField="2" baseItem="0" numFmtId="164"/>
  </dataFields>
  <formats count="3">
    <format dxfId="31">
      <pivotArea outline="0" collapsedLevelsAreSubtotals="1" fieldPosition="0"/>
    </format>
    <format dxfId="30">
      <pivotArea outline="0" collapsedLevelsAreSubtotals="1" fieldPosition="0"/>
    </format>
    <format dxfId="29">
      <pivotArea outline="0" collapsedLevelsAreSubtotals="1" fieldPosition="0"/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"/>
  <sheetViews>
    <sheetView zoomScale="110" zoomScaleNormal="110" workbookViewId="0">
      <pane xSplit="1" topLeftCell="T1" activePane="topRight" state="frozen"/>
      <selection pane="topRight" activeCell="V10" sqref="V10:W10"/>
    </sheetView>
  </sheetViews>
  <sheetFormatPr baseColWidth="10" defaultColWidth="10.90625" defaultRowHeight="14.5" x14ac:dyDescent="0.35"/>
  <cols>
    <col min="1" max="1" width="23.6328125" style="19" customWidth="1"/>
    <col min="2" max="2" width="12.453125" style="20" customWidth="1"/>
    <col min="3" max="3" width="10.26953125" style="21" customWidth="1"/>
    <col min="4" max="4" width="8.54296875" style="20" customWidth="1"/>
    <col min="5" max="5" width="24.54296875" style="21" customWidth="1"/>
    <col min="6" max="6" width="16.90625" style="20" customWidth="1"/>
    <col min="7" max="7" width="26.1796875" style="21" bestFit="1" customWidth="1"/>
    <col min="8" max="8" width="19" style="20" customWidth="1"/>
    <col min="9" max="9" width="23.6328125" style="21" customWidth="1"/>
    <col min="10" max="10" width="19" style="20" customWidth="1"/>
    <col min="11" max="11" width="23.6328125" style="21" customWidth="1"/>
    <col min="12" max="12" width="23.81640625" style="20" customWidth="1"/>
    <col min="13" max="13" width="20.54296875" style="21" customWidth="1"/>
    <col min="14" max="14" width="23.81640625" style="20" customWidth="1"/>
    <col min="15" max="15" width="20.54296875" style="21" customWidth="1"/>
    <col min="16" max="16" width="23.81640625" style="20" customWidth="1"/>
    <col min="17" max="17" width="20.54296875" style="21" customWidth="1"/>
    <col min="18" max="18" width="24.08984375" style="21" customWidth="1"/>
    <col min="19" max="19" width="23.81640625" style="21" customWidth="1"/>
    <col min="20" max="20" width="17.90625" style="20" customWidth="1"/>
    <col min="21" max="21" width="23.08984375" style="21" customWidth="1"/>
    <col min="22" max="22" width="23.6328125" style="21" customWidth="1"/>
    <col min="23" max="23" width="22.1796875" style="21" customWidth="1"/>
    <col min="24" max="24" width="22.08984375" style="21" customWidth="1"/>
    <col min="25" max="25" width="26.81640625" style="21" customWidth="1"/>
    <col min="26" max="16384" width="10.90625" style="21"/>
  </cols>
  <sheetData>
    <row r="1" spans="1:25" x14ac:dyDescent="0.35">
      <c r="A1" s="19" t="s">
        <v>31</v>
      </c>
    </row>
    <row r="2" spans="1:25" ht="15" thickBot="1" x14ac:dyDescent="0.4"/>
    <row r="3" spans="1:25" s="23" customFormat="1" ht="14.4" customHeight="1" x14ac:dyDescent="0.35">
      <c r="A3" s="22" t="s">
        <v>32</v>
      </c>
      <c r="B3" s="135" t="s">
        <v>3</v>
      </c>
      <c r="C3" s="82"/>
      <c r="D3" s="81" t="s">
        <v>4</v>
      </c>
      <c r="E3" s="82"/>
      <c r="F3" s="81" t="s">
        <v>91</v>
      </c>
      <c r="G3" s="82"/>
      <c r="H3" s="81" t="s">
        <v>5</v>
      </c>
      <c r="I3" s="82"/>
      <c r="J3" s="81" t="s">
        <v>93</v>
      </c>
      <c r="K3" s="82"/>
      <c r="L3" s="81" t="s">
        <v>34</v>
      </c>
      <c r="M3" s="82"/>
      <c r="N3" s="81" t="s">
        <v>35</v>
      </c>
      <c r="O3" s="82"/>
      <c r="P3" s="81" t="s">
        <v>36</v>
      </c>
      <c r="Q3" s="82"/>
      <c r="R3" s="81" t="s">
        <v>79</v>
      </c>
      <c r="S3" s="82"/>
      <c r="T3" s="81" t="s">
        <v>33</v>
      </c>
      <c r="U3" s="82"/>
      <c r="V3" s="81" t="s">
        <v>98</v>
      </c>
      <c r="W3" s="82"/>
      <c r="X3" s="81" t="s">
        <v>99</v>
      </c>
      <c r="Y3" s="82"/>
    </row>
    <row r="4" spans="1:25" ht="29" x14ac:dyDescent="0.35">
      <c r="A4" s="24" t="s">
        <v>37</v>
      </c>
      <c r="B4" s="100" t="s">
        <v>38</v>
      </c>
      <c r="C4" s="96"/>
      <c r="D4" s="131">
        <v>570000</v>
      </c>
      <c r="E4" s="132"/>
      <c r="F4" s="131"/>
      <c r="G4" s="132"/>
      <c r="H4" s="133">
        <v>1680000</v>
      </c>
      <c r="I4" s="134"/>
      <c r="J4" s="83" t="s">
        <v>94</v>
      </c>
      <c r="K4" s="84"/>
      <c r="L4" s="131"/>
      <c r="M4" s="132"/>
      <c r="N4" s="131"/>
      <c r="O4" s="132"/>
      <c r="P4" s="131"/>
      <c r="Q4" s="132"/>
      <c r="R4" s="131"/>
      <c r="S4" s="132"/>
      <c r="T4" s="131">
        <v>1000000</v>
      </c>
      <c r="U4" s="132"/>
      <c r="V4" s="131"/>
      <c r="W4" s="132"/>
      <c r="X4" s="131"/>
      <c r="Y4" s="132"/>
    </row>
    <row r="5" spans="1:25" ht="14.4" customHeight="1" x14ac:dyDescent="0.35">
      <c r="A5" s="24" t="s">
        <v>39</v>
      </c>
      <c r="B5" s="100" t="s">
        <v>40</v>
      </c>
      <c r="C5" s="96"/>
      <c r="D5" s="95" t="s">
        <v>40</v>
      </c>
      <c r="E5" s="96"/>
      <c r="F5" s="119" t="s">
        <v>40</v>
      </c>
      <c r="G5" s="120"/>
      <c r="H5" s="118" t="s">
        <v>42</v>
      </c>
      <c r="I5" s="104"/>
      <c r="J5" s="85" t="s">
        <v>42</v>
      </c>
      <c r="K5" s="86"/>
      <c r="L5" s="95" t="s">
        <v>41</v>
      </c>
      <c r="M5" s="96"/>
      <c r="N5" s="95" t="s">
        <v>43</v>
      </c>
      <c r="O5" s="96"/>
      <c r="P5" s="95" t="s">
        <v>44</v>
      </c>
      <c r="Q5" s="96"/>
      <c r="R5" s="95"/>
      <c r="S5" s="96"/>
      <c r="T5" s="95" t="s">
        <v>41</v>
      </c>
      <c r="U5" s="96"/>
      <c r="V5" s="95" t="s">
        <v>41</v>
      </c>
      <c r="W5" s="96"/>
      <c r="X5" s="95" t="s">
        <v>41</v>
      </c>
      <c r="Y5" s="96"/>
    </row>
    <row r="6" spans="1:25" x14ac:dyDescent="0.35">
      <c r="A6" s="24" t="s">
        <v>45</v>
      </c>
      <c r="B6" s="123" t="s">
        <v>46</v>
      </c>
      <c r="C6" s="124"/>
      <c r="D6" s="125">
        <v>570000</v>
      </c>
      <c r="E6" s="126"/>
      <c r="F6" s="129">
        <v>850000</v>
      </c>
      <c r="G6" s="130"/>
      <c r="H6" s="127">
        <v>140000</v>
      </c>
      <c r="I6" s="128"/>
      <c r="J6" s="87">
        <v>2000000</v>
      </c>
      <c r="K6" s="88"/>
      <c r="L6" s="125" t="s">
        <v>47</v>
      </c>
      <c r="M6" s="126"/>
      <c r="N6" s="125" t="s">
        <v>48</v>
      </c>
      <c r="O6" s="126"/>
      <c r="P6" s="125" t="s">
        <v>49</v>
      </c>
      <c r="Q6" s="126"/>
      <c r="R6" s="125">
        <v>1350000</v>
      </c>
      <c r="S6" s="126"/>
      <c r="T6" s="125">
        <v>490000</v>
      </c>
      <c r="U6" s="126"/>
      <c r="V6" s="125">
        <v>350000</v>
      </c>
      <c r="W6" s="126"/>
      <c r="X6" s="125">
        <v>250000</v>
      </c>
      <c r="Y6" s="126"/>
    </row>
    <row r="7" spans="1:25" x14ac:dyDescent="0.35">
      <c r="A7" s="24" t="s">
        <v>50</v>
      </c>
      <c r="B7" s="100" t="s">
        <v>51</v>
      </c>
      <c r="C7" s="96"/>
      <c r="D7" s="95" t="s">
        <v>52</v>
      </c>
      <c r="E7" s="96"/>
      <c r="F7" s="119" t="s">
        <v>52</v>
      </c>
      <c r="G7" s="120"/>
      <c r="H7" s="118" t="s">
        <v>52</v>
      </c>
      <c r="I7" s="104"/>
      <c r="J7" s="85" t="s">
        <v>52</v>
      </c>
      <c r="K7" s="86"/>
      <c r="L7" s="95" t="s">
        <v>54</v>
      </c>
      <c r="M7" s="96"/>
      <c r="N7" s="95" t="s">
        <v>54</v>
      </c>
      <c r="O7" s="96"/>
      <c r="P7" s="95"/>
      <c r="Q7" s="96"/>
      <c r="R7" s="138" t="s">
        <v>96</v>
      </c>
      <c r="S7" s="104"/>
      <c r="T7" s="118" t="s">
        <v>53</v>
      </c>
      <c r="U7" s="104"/>
      <c r="V7" s="140" t="s">
        <v>53</v>
      </c>
      <c r="W7" s="104"/>
      <c r="X7" s="140" t="s">
        <v>53</v>
      </c>
      <c r="Y7" s="104"/>
    </row>
    <row r="8" spans="1:25" x14ac:dyDescent="0.35">
      <c r="A8" s="110" t="s">
        <v>55</v>
      </c>
      <c r="B8" s="111" t="s">
        <v>56</v>
      </c>
      <c r="C8" s="113" t="s">
        <v>57</v>
      </c>
      <c r="D8" s="25">
        <v>663059</v>
      </c>
      <c r="E8" s="26" t="s">
        <v>58</v>
      </c>
      <c r="F8" s="67">
        <v>925424</v>
      </c>
      <c r="G8" s="69" t="s">
        <v>92</v>
      </c>
      <c r="H8" s="25">
        <v>1092714</v>
      </c>
      <c r="I8" s="27" t="s">
        <v>59</v>
      </c>
      <c r="J8" s="67">
        <v>2188846</v>
      </c>
      <c r="K8" s="72" t="s">
        <v>95</v>
      </c>
      <c r="L8" s="28"/>
      <c r="M8" s="29"/>
      <c r="N8" s="28"/>
      <c r="O8" s="29"/>
      <c r="P8" s="28"/>
      <c r="Q8" s="29"/>
      <c r="R8" s="28"/>
      <c r="S8" s="29"/>
      <c r="T8" s="25">
        <v>599544</v>
      </c>
      <c r="U8" s="27" t="s">
        <v>58</v>
      </c>
      <c r="V8" s="28"/>
      <c r="W8" s="29"/>
      <c r="X8" s="28"/>
      <c r="Y8" s="29"/>
    </row>
    <row r="9" spans="1:25" x14ac:dyDescent="0.35">
      <c r="A9" s="110"/>
      <c r="B9" s="112"/>
      <c r="C9" s="114"/>
      <c r="D9" s="25">
        <v>695801</v>
      </c>
      <c r="E9" s="30" t="s">
        <v>60</v>
      </c>
      <c r="F9" s="67"/>
      <c r="G9" s="68"/>
      <c r="H9" s="25">
        <v>1146685</v>
      </c>
      <c r="I9" s="31" t="s">
        <v>61</v>
      </c>
      <c r="J9" s="67"/>
      <c r="K9" s="73"/>
      <c r="L9" s="32"/>
      <c r="M9" s="30"/>
      <c r="N9" s="32"/>
      <c r="O9" s="30"/>
      <c r="P9" s="32"/>
      <c r="Q9" s="30"/>
      <c r="R9" s="32"/>
      <c r="S9" s="30"/>
      <c r="T9" s="25">
        <v>644652</v>
      </c>
      <c r="U9" s="31" t="s">
        <v>61</v>
      </c>
      <c r="V9" s="32"/>
      <c r="W9" s="30"/>
      <c r="X9" s="32"/>
      <c r="Y9" s="30"/>
    </row>
    <row r="10" spans="1:25" s="34" customFormat="1" ht="28.75" customHeight="1" x14ac:dyDescent="0.35">
      <c r="A10" s="33" t="s">
        <v>62</v>
      </c>
      <c r="B10" s="115" t="s">
        <v>63</v>
      </c>
      <c r="C10" s="116"/>
      <c r="D10" s="117" t="s">
        <v>63</v>
      </c>
      <c r="E10" s="116"/>
      <c r="F10" s="89" t="s">
        <v>63</v>
      </c>
      <c r="G10" s="90"/>
      <c r="H10" s="117" t="s">
        <v>64</v>
      </c>
      <c r="I10" s="116"/>
      <c r="J10" s="89" t="s">
        <v>64</v>
      </c>
      <c r="K10" s="90"/>
      <c r="L10" s="117" t="s">
        <v>64</v>
      </c>
      <c r="M10" s="116"/>
      <c r="N10" s="117" t="s">
        <v>64</v>
      </c>
      <c r="O10" s="116"/>
      <c r="P10" s="117" t="s">
        <v>64</v>
      </c>
      <c r="Q10" s="116"/>
      <c r="R10" s="117"/>
      <c r="S10" s="116"/>
      <c r="T10" s="117" t="s">
        <v>64</v>
      </c>
      <c r="U10" s="116"/>
      <c r="V10" s="117" t="s">
        <v>64</v>
      </c>
      <c r="W10" s="116"/>
      <c r="X10" s="117" t="s">
        <v>64</v>
      </c>
      <c r="Y10" s="116"/>
    </row>
    <row r="11" spans="1:25" ht="44.5" customHeight="1" x14ac:dyDescent="0.35">
      <c r="A11" s="24" t="s">
        <v>65</v>
      </c>
      <c r="B11" s="100"/>
      <c r="C11" s="96"/>
      <c r="D11" s="95"/>
      <c r="E11" s="96"/>
      <c r="F11" s="121"/>
      <c r="G11" s="122"/>
      <c r="H11" s="103" t="s">
        <v>78</v>
      </c>
      <c r="I11" s="104"/>
      <c r="J11" s="85" t="s">
        <v>78</v>
      </c>
      <c r="K11" s="86"/>
      <c r="L11" s="95"/>
      <c r="M11" s="96"/>
      <c r="N11" s="95"/>
      <c r="O11" s="96"/>
      <c r="P11" s="95"/>
      <c r="Q11" s="96"/>
      <c r="R11" s="136" t="s">
        <v>80</v>
      </c>
      <c r="S11" s="104"/>
      <c r="T11" s="101"/>
      <c r="U11" s="102"/>
      <c r="V11" s="136"/>
      <c r="W11" s="104"/>
      <c r="X11" s="136"/>
      <c r="Y11" s="104"/>
    </row>
    <row r="12" spans="1:25" x14ac:dyDescent="0.35">
      <c r="A12" s="24" t="s">
        <v>66</v>
      </c>
      <c r="B12" s="107">
        <v>45839</v>
      </c>
      <c r="C12" s="106"/>
      <c r="D12" s="105">
        <v>45627</v>
      </c>
      <c r="E12" s="106"/>
      <c r="F12" s="77">
        <v>45992</v>
      </c>
      <c r="G12" s="78"/>
      <c r="H12" s="108">
        <v>44927</v>
      </c>
      <c r="I12" s="109"/>
      <c r="J12" s="91">
        <v>46023</v>
      </c>
      <c r="K12" s="92"/>
      <c r="L12" s="105">
        <v>45157</v>
      </c>
      <c r="M12" s="106"/>
      <c r="N12" s="105">
        <v>45323</v>
      </c>
      <c r="O12" s="106"/>
      <c r="P12" s="105">
        <v>45444</v>
      </c>
      <c r="Q12" s="106"/>
      <c r="R12" s="105">
        <v>45915</v>
      </c>
      <c r="S12" s="106"/>
      <c r="T12" s="105">
        <v>45566</v>
      </c>
      <c r="U12" s="106"/>
      <c r="V12" s="105">
        <v>45566</v>
      </c>
      <c r="W12" s="106"/>
      <c r="X12" s="105">
        <v>45778</v>
      </c>
      <c r="Y12" s="106"/>
    </row>
    <row r="13" spans="1:25" x14ac:dyDescent="0.35">
      <c r="A13" s="24" t="s">
        <v>67</v>
      </c>
      <c r="B13" s="107">
        <v>47664</v>
      </c>
      <c r="C13" s="106"/>
      <c r="D13" s="105">
        <v>45991</v>
      </c>
      <c r="E13" s="106"/>
      <c r="F13" s="77">
        <v>46721</v>
      </c>
      <c r="G13" s="78"/>
      <c r="H13" s="108">
        <v>46022</v>
      </c>
      <c r="I13" s="109"/>
      <c r="J13" s="91">
        <v>46387</v>
      </c>
      <c r="K13" s="92"/>
      <c r="L13" s="105">
        <v>46252</v>
      </c>
      <c r="M13" s="106"/>
      <c r="N13" s="105">
        <v>46418</v>
      </c>
      <c r="O13" s="106"/>
      <c r="P13" s="105">
        <v>46538</v>
      </c>
      <c r="Q13" s="106"/>
      <c r="R13" s="137">
        <v>46295</v>
      </c>
      <c r="S13" s="106"/>
      <c r="T13" s="105">
        <v>46295</v>
      </c>
      <c r="U13" s="106"/>
      <c r="V13" s="137">
        <v>46295</v>
      </c>
      <c r="W13" s="106"/>
      <c r="X13" s="137">
        <v>46507</v>
      </c>
      <c r="Y13" s="106"/>
    </row>
    <row r="14" spans="1:25" ht="45.5" customHeight="1" thickBot="1" x14ac:dyDescent="0.4">
      <c r="A14" s="35" t="s">
        <v>20</v>
      </c>
      <c r="B14" s="97"/>
      <c r="C14" s="80"/>
      <c r="D14" s="79"/>
      <c r="E14" s="80"/>
      <c r="F14" s="79"/>
      <c r="G14" s="80"/>
      <c r="H14" s="98" t="s">
        <v>69</v>
      </c>
      <c r="I14" s="99"/>
      <c r="J14" s="93"/>
      <c r="K14" s="94"/>
      <c r="L14" s="95" t="s">
        <v>70</v>
      </c>
      <c r="M14" s="96"/>
      <c r="N14" s="95" t="s">
        <v>70</v>
      </c>
      <c r="O14" s="96"/>
      <c r="P14" s="95" t="s">
        <v>71</v>
      </c>
      <c r="Q14" s="96"/>
      <c r="R14" s="95"/>
      <c r="S14" s="96"/>
      <c r="T14" s="79" t="s">
        <v>68</v>
      </c>
      <c r="U14" s="80"/>
      <c r="V14" s="139" t="s">
        <v>84</v>
      </c>
      <c r="W14" s="96"/>
      <c r="X14" s="139" t="s">
        <v>83</v>
      </c>
      <c r="Y14" s="96"/>
    </row>
    <row r="16" spans="1:25" x14ac:dyDescent="0.35">
      <c r="D16" s="36"/>
      <c r="F16" s="36"/>
    </row>
    <row r="18" spans="1:20" x14ac:dyDescent="0.35">
      <c r="A18" s="21"/>
      <c r="B18" s="21"/>
      <c r="D18" s="21"/>
      <c r="F18" s="21"/>
      <c r="H18" s="21"/>
      <c r="J18" s="21"/>
      <c r="T18" s="21"/>
    </row>
  </sheetData>
  <mergeCells count="123">
    <mergeCell ref="V10:W10"/>
    <mergeCell ref="V11:W11"/>
    <mergeCell ref="V12:W12"/>
    <mergeCell ref="V13:W13"/>
    <mergeCell ref="V14:W14"/>
    <mergeCell ref="V3:W3"/>
    <mergeCell ref="V4:W4"/>
    <mergeCell ref="V5:W5"/>
    <mergeCell ref="V6:W6"/>
    <mergeCell ref="V7:W7"/>
    <mergeCell ref="X10:Y10"/>
    <mergeCell ref="X11:Y11"/>
    <mergeCell ref="X12:Y12"/>
    <mergeCell ref="X13:Y13"/>
    <mergeCell ref="X14:Y14"/>
    <mergeCell ref="X3:Y3"/>
    <mergeCell ref="X4:Y4"/>
    <mergeCell ref="X5:Y5"/>
    <mergeCell ref="X6:Y6"/>
    <mergeCell ref="X7:Y7"/>
    <mergeCell ref="R10:S10"/>
    <mergeCell ref="R11:S11"/>
    <mergeCell ref="R12:S12"/>
    <mergeCell ref="R13:S13"/>
    <mergeCell ref="R14:S14"/>
    <mergeCell ref="R3:S3"/>
    <mergeCell ref="R4:S4"/>
    <mergeCell ref="R5:S5"/>
    <mergeCell ref="R6:S6"/>
    <mergeCell ref="R7:S7"/>
    <mergeCell ref="P3:Q3"/>
    <mergeCell ref="B4:C4"/>
    <mergeCell ref="D4:E4"/>
    <mergeCell ref="T4:U4"/>
    <mergeCell ref="H4:I4"/>
    <mergeCell ref="L4:M4"/>
    <mergeCell ref="N4:O4"/>
    <mergeCell ref="P4:Q4"/>
    <mergeCell ref="B3:C3"/>
    <mergeCell ref="D3:E3"/>
    <mergeCell ref="T3:U3"/>
    <mergeCell ref="H3:I3"/>
    <mergeCell ref="L3:M3"/>
    <mergeCell ref="N3:O3"/>
    <mergeCell ref="F3:G3"/>
    <mergeCell ref="F4:G4"/>
    <mergeCell ref="P5:Q5"/>
    <mergeCell ref="B6:C6"/>
    <mergeCell ref="D6:E6"/>
    <mergeCell ref="T6:U6"/>
    <mergeCell ref="H6:I6"/>
    <mergeCell ref="L6:M6"/>
    <mergeCell ref="N6:O6"/>
    <mergeCell ref="P6:Q6"/>
    <mergeCell ref="B5:C5"/>
    <mergeCell ref="D5:E5"/>
    <mergeCell ref="T5:U5"/>
    <mergeCell ref="H5:I5"/>
    <mergeCell ref="L5:M5"/>
    <mergeCell ref="N5:O5"/>
    <mergeCell ref="F5:G5"/>
    <mergeCell ref="F6:G6"/>
    <mergeCell ref="T12:U12"/>
    <mergeCell ref="H12:I12"/>
    <mergeCell ref="L12:M12"/>
    <mergeCell ref="N12:O12"/>
    <mergeCell ref="P7:Q7"/>
    <mergeCell ref="A8:A9"/>
    <mergeCell ref="B8:B9"/>
    <mergeCell ref="C8:C9"/>
    <mergeCell ref="B10:C10"/>
    <mergeCell ref="D10:E10"/>
    <mergeCell ref="T10:U10"/>
    <mergeCell ref="H10:I10"/>
    <mergeCell ref="L10:M10"/>
    <mergeCell ref="N10:O10"/>
    <mergeCell ref="B7:C7"/>
    <mergeCell ref="D7:E7"/>
    <mergeCell ref="T7:U7"/>
    <mergeCell ref="H7:I7"/>
    <mergeCell ref="L7:M7"/>
    <mergeCell ref="N7:O7"/>
    <mergeCell ref="P10:Q10"/>
    <mergeCell ref="F7:G7"/>
    <mergeCell ref="F10:G10"/>
    <mergeCell ref="F11:G11"/>
    <mergeCell ref="P14:Q14"/>
    <mergeCell ref="B14:C14"/>
    <mergeCell ref="D14:E14"/>
    <mergeCell ref="T14:U14"/>
    <mergeCell ref="H14:I14"/>
    <mergeCell ref="L14:M14"/>
    <mergeCell ref="N14:O14"/>
    <mergeCell ref="B11:C11"/>
    <mergeCell ref="D11:E11"/>
    <mergeCell ref="T11:U11"/>
    <mergeCell ref="H11:I11"/>
    <mergeCell ref="L11:M11"/>
    <mergeCell ref="N11:O11"/>
    <mergeCell ref="P11:Q11"/>
    <mergeCell ref="P12:Q12"/>
    <mergeCell ref="B13:C13"/>
    <mergeCell ref="D13:E13"/>
    <mergeCell ref="T13:U13"/>
    <mergeCell ref="H13:I13"/>
    <mergeCell ref="L13:M13"/>
    <mergeCell ref="N13:O13"/>
    <mergeCell ref="P13:Q13"/>
    <mergeCell ref="B12:C12"/>
    <mergeCell ref="D12:E12"/>
    <mergeCell ref="F12:G12"/>
    <mergeCell ref="F13:G13"/>
    <mergeCell ref="F14:G14"/>
    <mergeCell ref="J3:K3"/>
    <mergeCell ref="J4:K4"/>
    <mergeCell ref="J5:K5"/>
    <mergeCell ref="J6:K6"/>
    <mergeCell ref="J7:K7"/>
    <mergeCell ref="J10:K10"/>
    <mergeCell ref="J11:K11"/>
    <mergeCell ref="J12:K12"/>
    <mergeCell ref="J13:K13"/>
    <mergeCell ref="J14:K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tabSelected="1" workbookViewId="0">
      <selection activeCell="O7" sqref="O7"/>
    </sheetView>
  </sheetViews>
  <sheetFormatPr baseColWidth="10" defaultRowHeight="14.5" x14ac:dyDescent="0.35"/>
  <cols>
    <col min="1" max="2" width="21.26953125" customWidth="1"/>
    <col min="3" max="4" width="10.08984375" customWidth="1"/>
    <col min="5" max="5" width="11.7265625" customWidth="1"/>
    <col min="6" max="6" width="12.453125" customWidth="1"/>
    <col min="7" max="8" width="21.26953125" customWidth="1"/>
    <col min="9" max="9" width="7.36328125" bestFit="1" customWidth="1"/>
    <col min="10" max="15" width="9.08984375" bestFit="1" customWidth="1"/>
    <col min="16" max="16" width="10.453125" bestFit="1" customWidth="1"/>
    <col min="17" max="17" width="9.08984375" bestFit="1" customWidth="1"/>
    <col min="18" max="18" width="10.08984375" bestFit="1" customWidth="1"/>
    <col min="19" max="19" width="9.26953125" bestFit="1" customWidth="1"/>
    <col min="20" max="20" width="11.7265625" bestFit="1" customWidth="1"/>
  </cols>
  <sheetData>
    <row r="1" spans="1:20" x14ac:dyDescent="0.35">
      <c r="A1" s="145" t="s">
        <v>87</v>
      </c>
      <c r="B1" s="146">
        <v>2026</v>
      </c>
      <c r="G1" s="145" t="s">
        <v>87</v>
      </c>
      <c r="H1" s="146">
        <v>2025</v>
      </c>
    </row>
    <row r="3" spans="1:20" x14ac:dyDescent="0.35">
      <c r="A3" s="145" t="s">
        <v>105</v>
      </c>
      <c r="B3" s="145" t="s">
        <v>102</v>
      </c>
      <c r="G3" s="145" t="s">
        <v>105</v>
      </c>
      <c r="H3" s="145" t="s">
        <v>102</v>
      </c>
    </row>
    <row r="4" spans="1:20" x14ac:dyDescent="0.35">
      <c r="A4" s="145" t="s">
        <v>104</v>
      </c>
      <c r="B4" t="s">
        <v>8</v>
      </c>
      <c r="C4" t="s">
        <v>9</v>
      </c>
      <c r="D4" t="s">
        <v>12</v>
      </c>
      <c r="E4" t="s">
        <v>103</v>
      </c>
      <c r="G4" s="145" t="s">
        <v>104</v>
      </c>
      <c r="H4" t="s">
        <v>8</v>
      </c>
      <c r="I4" t="s">
        <v>9</v>
      </c>
      <c r="J4" t="s">
        <v>12</v>
      </c>
      <c r="K4" t="s">
        <v>2</v>
      </c>
      <c r="L4" t="s">
        <v>13</v>
      </c>
      <c r="M4" t="s">
        <v>11</v>
      </c>
      <c r="N4" t="s">
        <v>10</v>
      </c>
      <c r="O4" t="s">
        <v>16</v>
      </c>
      <c r="P4" t="s">
        <v>27</v>
      </c>
      <c r="Q4" t="s">
        <v>81</v>
      </c>
      <c r="R4" t="s">
        <v>82</v>
      </c>
      <c r="S4" t="s">
        <v>88</v>
      </c>
      <c r="T4" t="s">
        <v>103</v>
      </c>
    </row>
    <row r="5" spans="1:20" x14ac:dyDescent="0.35">
      <c r="A5" s="146" t="s">
        <v>89</v>
      </c>
      <c r="B5" s="39">
        <v>-27019</v>
      </c>
      <c r="C5" s="39">
        <v>-88.380000000004657</v>
      </c>
      <c r="D5" s="39">
        <v>-88.380000000004657</v>
      </c>
      <c r="E5" s="39">
        <v>-27195.760000000009</v>
      </c>
      <c r="G5" s="146" t="s">
        <v>89</v>
      </c>
      <c r="H5" s="39"/>
      <c r="I5" s="39"/>
      <c r="J5" s="39"/>
      <c r="K5" s="39"/>
      <c r="L5" s="39"/>
      <c r="M5" s="39"/>
      <c r="N5" s="39"/>
      <c r="O5" s="39"/>
      <c r="P5" s="39"/>
      <c r="Q5" s="39"/>
      <c r="R5" s="39">
        <v>7</v>
      </c>
      <c r="S5" s="39">
        <v>7</v>
      </c>
      <c r="T5" s="39">
        <v>14</v>
      </c>
    </row>
    <row r="6" spans="1:20" x14ac:dyDescent="0.35">
      <c r="A6" s="146" t="s">
        <v>19</v>
      </c>
      <c r="B6" s="39">
        <v>0.13636363646946847</v>
      </c>
      <c r="C6" s="39">
        <v>9.8925619851797819E-2</v>
      </c>
      <c r="D6" s="39">
        <v>9.9319834844209254E-2</v>
      </c>
      <c r="E6" s="39">
        <v>0.33460909116547555</v>
      </c>
      <c r="G6" s="146" t="s">
        <v>19</v>
      </c>
      <c r="H6" s="39">
        <v>-1.570247933967039</v>
      </c>
      <c r="I6" s="39">
        <v>0</v>
      </c>
      <c r="J6" s="39">
        <v>2230.7851239668671</v>
      </c>
      <c r="K6" s="39">
        <v>-0.3471074381377548</v>
      </c>
      <c r="L6" s="39">
        <v>1.3471074381377548</v>
      </c>
      <c r="M6" s="39">
        <v>-33.611570247914642</v>
      </c>
      <c r="N6" s="39">
        <v>-1.0165289256256074</v>
      </c>
      <c r="O6" s="39">
        <v>-1.1239669423084706</v>
      </c>
      <c r="P6" s="39">
        <v>-5.2809917367994785E-2</v>
      </c>
      <c r="Q6" s="39">
        <v>-16.321239669458009</v>
      </c>
      <c r="R6" s="39">
        <v>-7.7355371788144112E-2</v>
      </c>
      <c r="S6" s="39">
        <v>-3.3166115870699286E-2</v>
      </c>
      <c r="T6" s="39">
        <v>2177.9782388425665</v>
      </c>
    </row>
    <row r="7" spans="1:20" x14ac:dyDescent="0.35">
      <c r="A7" s="146" t="s">
        <v>79</v>
      </c>
      <c r="B7" s="39">
        <v>-15409.130000000121</v>
      </c>
      <c r="C7" s="39">
        <v>-15409.130000000121</v>
      </c>
      <c r="D7" s="39">
        <v>142077.39999999991</v>
      </c>
      <c r="E7" s="39">
        <v>111259.13999999966</v>
      </c>
      <c r="G7" s="146" t="s">
        <v>79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>
        <v>-7062.25</v>
      </c>
      <c r="S7" s="39">
        <v>-7062.25</v>
      </c>
      <c r="T7" s="39">
        <v>-14124.5</v>
      </c>
    </row>
    <row r="8" spans="1:20" x14ac:dyDescent="0.35">
      <c r="A8" s="146" t="s">
        <v>3</v>
      </c>
      <c r="B8" s="39">
        <v>100000</v>
      </c>
      <c r="C8" s="39">
        <v>-100000</v>
      </c>
      <c r="D8" s="39">
        <v>-75000</v>
      </c>
      <c r="E8" s="39">
        <v>-75000</v>
      </c>
      <c r="G8" s="146" t="s">
        <v>3</v>
      </c>
      <c r="H8" s="39"/>
      <c r="I8" s="39"/>
      <c r="J8" s="39"/>
      <c r="K8" s="39"/>
      <c r="L8" s="39"/>
      <c r="M8" s="39"/>
      <c r="N8" s="39"/>
      <c r="O8" s="39">
        <v>0</v>
      </c>
      <c r="P8" s="39">
        <v>0</v>
      </c>
      <c r="Q8" s="39">
        <v>0</v>
      </c>
      <c r="R8" s="39">
        <v>0</v>
      </c>
      <c r="S8" s="39">
        <v>0</v>
      </c>
      <c r="T8" s="39">
        <v>0</v>
      </c>
    </row>
    <row r="9" spans="1:20" x14ac:dyDescent="0.35">
      <c r="A9" s="146" t="s">
        <v>4</v>
      </c>
      <c r="B9" s="39">
        <v>0</v>
      </c>
      <c r="C9" s="39">
        <v>0</v>
      </c>
      <c r="D9" s="39">
        <v>-2324</v>
      </c>
      <c r="E9" s="39">
        <v>-2324</v>
      </c>
      <c r="G9" s="146" t="s">
        <v>4</v>
      </c>
      <c r="H9" s="39">
        <v>0</v>
      </c>
      <c r="I9" s="39">
        <v>0</v>
      </c>
      <c r="J9" s="39">
        <v>-2327</v>
      </c>
      <c r="K9" s="39">
        <v>-2327</v>
      </c>
      <c r="L9" s="39">
        <v>-2327</v>
      </c>
      <c r="M9" s="39">
        <v>4141</v>
      </c>
      <c r="N9" s="39">
        <v>4141</v>
      </c>
      <c r="O9" s="39">
        <v>4141</v>
      </c>
      <c r="P9" s="39">
        <v>3514</v>
      </c>
      <c r="Q9" s="39">
        <v>3514</v>
      </c>
      <c r="R9" s="39">
        <v>3514</v>
      </c>
      <c r="S9" s="39">
        <v>0</v>
      </c>
      <c r="T9" s="39">
        <v>15984</v>
      </c>
    </row>
    <row r="10" spans="1:20" x14ac:dyDescent="0.35">
      <c r="A10" s="146" t="s">
        <v>14</v>
      </c>
      <c r="B10" s="39">
        <v>-132.79000000003725</v>
      </c>
      <c r="C10" s="39">
        <v>-436.45999999996275</v>
      </c>
      <c r="D10" s="39">
        <v>-436.45999999996275</v>
      </c>
      <c r="E10" s="39">
        <v>-1005.7099999999627</v>
      </c>
      <c r="G10" s="146" t="s">
        <v>14</v>
      </c>
      <c r="H10" s="39">
        <v>0</v>
      </c>
      <c r="I10" s="39">
        <v>-179</v>
      </c>
      <c r="J10" s="39">
        <v>-179</v>
      </c>
      <c r="K10" s="39">
        <v>-179</v>
      </c>
      <c r="L10" s="39">
        <v>-179</v>
      </c>
      <c r="M10" s="39">
        <v>-268.90000000002328</v>
      </c>
      <c r="N10" s="39">
        <v>-268.90000000002328</v>
      </c>
      <c r="O10" s="39">
        <v>-268.90000000002328</v>
      </c>
      <c r="P10" s="39">
        <v>-268.90000000002328</v>
      </c>
      <c r="Q10" s="39">
        <v>-133</v>
      </c>
      <c r="R10" s="39">
        <v>-132.79000000003725</v>
      </c>
      <c r="S10" s="39">
        <v>-132.79000000003725</v>
      </c>
      <c r="T10" s="39">
        <v>-2190.1800000001676</v>
      </c>
    </row>
    <row r="11" spans="1:20" x14ac:dyDescent="0.35">
      <c r="A11" s="146" t="s">
        <v>90</v>
      </c>
      <c r="B11" s="39">
        <v>-215151.21917808219</v>
      </c>
      <c r="C11" s="39">
        <v>-311.03999999997905</v>
      </c>
      <c r="D11" s="39">
        <v>827.82919726020191</v>
      </c>
      <c r="E11" s="39">
        <v>-214634.42998082197</v>
      </c>
      <c r="G11" s="146" t="s">
        <v>90</v>
      </c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>
        <v>-94</v>
      </c>
      <c r="S11" s="39">
        <v>-94</v>
      </c>
      <c r="T11" s="39">
        <v>-188</v>
      </c>
    </row>
    <row r="12" spans="1:20" x14ac:dyDescent="0.35">
      <c r="A12" s="146" t="s">
        <v>5</v>
      </c>
      <c r="B12" s="39">
        <v>150114.77611570247</v>
      </c>
      <c r="C12" s="39">
        <v>0</v>
      </c>
      <c r="D12" s="39">
        <v>0</v>
      </c>
      <c r="E12" s="39">
        <v>150114.77611570247</v>
      </c>
      <c r="G12" s="146" t="s">
        <v>5</v>
      </c>
      <c r="H12" s="39">
        <v>221141.74917355366</v>
      </c>
      <c r="I12" s="39">
        <v>-1.9929752068128437</v>
      </c>
      <c r="J12" s="39">
        <v>25740.100000000093</v>
      </c>
      <c r="K12" s="39">
        <v>83772.666115702363</v>
      </c>
      <c r="L12" s="39">
        <v>15957</v>
      </c>
      <c r="M12" s="39">
        <v>15957</v>
      </c>
      <c r="N12" s="39">
        <v>43367.899999999907</v>
      </c>
      <c r="O12" s="39">
        <v>43367.899999999907</v>
      </c>
      <c r="P12" s="39">
        <v>-6.5867770463228226E-3</v>
      </c>
      <c r="Q12" s="39">
        <v>49565.558516529156</v>
      </c>
      <c r="R12" s="39">
        <v>137645.21486776881</v>
      </c>
      <c r="S12" s="39">
        <v>-8.0004194751381874E-4</v>
      </c>
      <c r="T12" s="39">
        <v>636513.08831152809</v>
      </c>
    </row>
    <row r="13" spans="1:20" x14ac:dyDescent="0.35">
      <c r="A13" s="146" t="s">
        <v>6</v>
      </c>
      <c r="B13" s="39">
        <v>-9.8512396682053804E-2</v>
      </c>
      <c r="C13" s="39">
        <v>-6.7438016645610332E-2</v>
      </c>
      <c r="D13" s="39">
        <v>-6.6115702735260129E-2</v>
      </c>
      <c r="E13" s="39">
        <v>-0.23206611606292427</v>
      </c>
      <c r="G13" s="146" t="s">
        <v>6</v>
      </c>
      <c r="H13" s="39">
        <v>-0.68595041334629059</v>
      </c>
      <c r="I13" s="39">
        <v>-0.34710743837058544</v>
      </c>
      <c r="J13" s="39">
        <v>-0.3884297520853579</v>
      </c>
      <c r="K13" s="39">
        <v>-0.23966942168772221</v>
      </c>
      <c r="L13" s="39">
        <v>14215.47933884291</v>
      </c>
      <c r="M13" s="39">
        <v>-6.6611570247914642</v>
      </c>
      <c r="N13" s="39">
        <v>-6.9256198348011822</v>
      </c>
      <c r="O13" s="39">
        <v>-0.45454545482061803</v>
      </c>
      <c r="P13" s="39">
        <v>-64.037024793680757</v>
      </c>
      <c r="Q13" s="39">
        <v>-0.27272727293893695</v>
      </c>
      <c r="R13" s="39">
        <v>-7.074380200356245E-2</v>
      </c>
      <c r="S13" s="39">
        <v>-6.2876033131033182E-2</v>
      </c>
      <c r="T13" s="39">
        <v>14135.333487601252</v>
      </c>
    </row>
    <row r="14" spans="1:20" x14ac:dyDescent="0.35">
      <c r="A14" s="146" t="s">
        <v>7</v>
      </c>
      <c r="B14" s="39">
        <v>-6.6115702502429485E-2</v>
      </c>
      <c r="C14" s="39">
        <v>-4.2975206626579165E-2</v>
      </c>
      <c r="D14" s="39">
        <v>-7.3363636387512088E-2</v>
      </c>
      <c r="E14" s="39">
        <v>-0.18245454551652074</v>
      </c>
      <c r="G14" s="146" t="s">
        <v>7</v>
      </c>
      <c r="H14" s="39">
        <v>0</v>
      </c>
      <c r="I14" s="39">
        <v>0</v>
      </c>
      <c r="J14" s="39">
        <v>0</v>
      </c>
      <c r="K14" s="39">
        <v>0</v>
      </c>
      <c r="L14" s="39">
        <v>0</v>
      </c>
      <c r="M14" s="39">
        <v>0</v>
      </c>
      <c r="N14" s="39">
        <v>15619</v>
      </c>
      <c r="O14" s="39">
        <v>0</v>
      </c>
      <c r="P14" s="39">
        <v>-4.4628099305555224E-2</v>
      </c>
      <c r="Q14" s="39">
        <v>-0.71983471093699336</v>
      </c>
      <c r="R14" s="39">
        <v>-3.3057851251214743E-3</v>
      </c>
      <c r="S14" s="39">
        <v>-6.2867769040167332E-2</v>
      </c>
      <c r="T14" s="39">
        <v>15618.169363635592</v>
      </c>
    </row>
    <row r="15" spans="1:20" x14ac:dyDescent="0.35">
      <c r="A15" s="146" t="s">
        <v>103</v>
      </c>
      <c r="B15" s="39">
        <v>-7597.3913268425968</v>
      </c>
      <c r="C15" s="39">
        <v>-116245.02148760349</v>
      </c>
      <c r="D15" s="39">
        <v>65056.349037755863</v>
      </c>
      <c r="E15" s="39">
        <v>-58786.063776690222</v>
      </c>
      <c r="G15" s="146" t="s">
        <v>103</v>
      </c>
      <c r="H15" s="39">
        <v>221139.49297520635</v>
      </c>
      <c r="I15" s="39">
        <v>-181.34008264518343</v>
      </c>
      <c r="J15" s="39">
        <v>25464.496694214875</v>
      </c>
      <c r="K15" s="39">
        <v>81266.079338842537</v>
      </c>
      <c r="L15" s="39">
        <v>27667.826446281048</v>
      </c>
      <c r="M15" s="39">
        <v>19788.827272727271</v>
      </c>
      <c r="N15" s="39">
        <v>62851.057851239457</v>
      </c>
      <c r="O15" s="39">
        <v>47238.421487602754</v>
      </c>
      <c r="P15" s="39">
        <v>3180.9589504125761</v>
      </c>
      <c r="Q15" s="39">
        <v>52929.244714875822</v>
      </c>
      <c r="R15" s="39">
        <v>133877.02346280986</v>
      </c>
      <c r="S15" s="39">
        <v>-7282.1997099600267</v>
      </c>
      <c r="T15" s="39">
        <v>667939.88940160733</v>
      </c>
    </row>
  </sheetData>
  <conditionalFormatting pivot="1" sqref="B5:E15">
    <cfRule type="cellIs" dxfId="25" priority="2" operator="greaterThan">
      <formula>10</formula>
    </cfRule>
  </conditionalFormatting>
  <conditionalFormatting pivot="1" sqref="H5:T15">
    <cfRule type="cellIs" dxfId="24" priority="1" operator="greaterThan">
      <formula>10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T140"/>
  <sheetViews>
    <sheetView zoomScale="110" zoomScaleNormal="110" workbookViewId="0">
      <pane xSplit="3" ySplit="2" topLeftCell="O3" activePane="bottomRight" state="frozen"/>
      <selection pane="topRight" activeCell="C1" sqref="C1"/>
      <selection pane="bottomLeft" activeCell="A2" sqref="A2"/>
      <selection pane="bottomRight" activeCell="T130" sqref="T130"/>
    </sheetView>
  </sheetViews>
  <sheetFormatPr baseColWidth="10" defaultRowHeight="14.5" x14ac:dyDescent="0.35"/>
  <cols>
    <col min="2" max="2" width="11.54296875" style="6"/>
    <col min="3" max="3" width="14" style="6" bestFit="1" customWidth="1"/>
    <col min="4" max="4" width="12" style="50" customWidth="1"/>
    <col min="5" max="6" width="15.54296875" style="50" customWidth="1"/>
    <col min="7" max="7" width="18.81640625" style="50" bestFit="1" customWidth="1"/>
    <col min="8" max="9" width="17.1796875" style="50" bestFit="1" customWidth="1"/>
    <col min="10" max="10" width="17.1796875" style="50" customWidth="1"/>
    <col min="11" max="11" width="18.81640625" style="50" bestFit="1" customWidth="1"/>
    <col min="12" max="12" width="12.1796875" style="50" customWidth="1"/>
    <col min="13" max="13" width="11.6328125" style="6" bestFit="1" customWidth="1"/>
    <col min="14" max="14" width="26.36328125" style="6" customWidth="1"/>
    <col min="15" max="15" width="11.90625" bestFit="1" customWidth="1"/>
    <col min="17" max="17" width="14" bestFit="1" customWidth="1"/>
    <col min="18" max="18" width="15.81640625" style="1" bestFit="1" customWidth="1"/>
    <col min="19" max="19" width="15.08984375" style="1" bestFit="1" customWidth="1"/>
    <col min="20" max="20" width="11.90625" bestFit="1" customWidth="1"/>
  </cols>
  <sheetData>
    <row r="1" spans="1:20" x14ac:dyDescent="0.35">
      <c r="E1" s="141" t="s">
        <v>22</v>
      </c>
      <c r="F1" s="142"/>
      <c r="G1" s="141" t="s">
        <v>1</v>
      </c>
      <c r="H1" s="143"/>
      <c r="I1" s="143"/>
      <c r="J1" s="142"/>
    </row>
    <row r="2" spans="1:20" s="16" customFormat="1" ht="44" customHeight="1" x14ac:dyDescent="0.35">
      <c r="A2" s="51" t="s">
        <v>87</v>
      </c>
      <c r="B2" s="51" t="s">
        <v>15</v>
      </c>
      <c r="C2" s="18" t="s">
        <v>17</v>
      </c>
      <c r="D2" s="17" t="s">
        <v>30</v>
      </c>
      <c r="E2" s="10" t="s">
        <v>23</v>
      </c>
      <c r="F2" s="11" t="s">
        <v>24</v>
      </c>
      <c r="G2" s="10" t="s">
        <v>26</v>
      </c>
      <c r="H2" s="10" t="s">
        <v>85</v>
      </c>
      <c r="I2" s="13" t="s">
        <v>85</v>
      </c>
      <c r="J2" s="11" t="s">
        <v>24</v>
      </c>
      <c r="K2" s="14" t="s">
        <v>25</v>
      </c>
      <c r="L2" s="12" t="s">
        <v>97</v>
      </c>
      <c r="M2" s="15" t="s">
        <v>18</v>
      </c>
      <c r="N2" s="15" t="s">
        <v>20</v>
      </c>
      <c r="O2" s="16" t="s">
        <v>86</v>
      </c>
      <c r="P2" s="17" t="s">
        <v>15</v>
      </c>
      <c r="Q2" s="18" t="s">
        <v>17</v>
      </c>
      <c r="R2" s="15" t="s">
        <v>21</v>
      </c>
      <c r="S2" s="15" t="s">
        <v>0</v>
      </c>
    </row>
    <row r="3" spans="1:20" hidden="1" x14ac:dyDescent="0.35">
      <c r="A3">
        <v>2025</v>
      </c>
      <c r="B3" s="2" t="s">
        <v>8</v>
      </c>
      <c r="C3" s="2" t="s">
        <v>3</v>
      </c>
      <c r="D3" s="44">
        <v>493580.5</v>
      </c>
      <c r="E3" s="8"/>
      <c r="F3" s="9"/>
      <c r="G3" s="8">
        <v>0</v>
      </c>
      <c r="H3" s="3"/>
      <c r="I3" s="3"/>
      <c r="J3" s="9"/>
      <c r="K3" s="7">
        <v>2943984.8</v>
      </c>
      <c r="L3" s="3">
        <f>E3</f>
        <v>0</v>
      </c>
      <c r="M3" s="2"/>
      <c r="N3" s="2"/>
      <c r="P3" s="4" t="s">
        <v>8</v>
      </c>
      <c r="Q3" s="2" t="s">
        <v>3</v>
      </c>
      <c r="R3" s="52">
        <v>44527770</v>
      </c>
      <c r="S3" s="3">
        <f t="shared" ref="S3:S9" si="0">R3/1.21</f>
        <v>36799809.917355374</v>
      </c>
    </row>
    <row r="4" spans="1:20" hidden="1" x14ac:dyDescent="0.35">
      <c r="A4">
        <v>2025</v>
      </c>
      <c r="B4" s="2" t="s">
        <v>8</v>
      </c>
      <c r="C4" s="2" t="s">
        <v>4</v>
      </c>
      <c r="D4" s="44">
        <v>214600</v>
      </c>
      <c r="E4" s="8">
        <v>570000</v>
      </c>
      <c r="F4" s="9">
        <v>570000</v>
      </c>
      <c r="G4" s="8">
        <v>0</v>
      </c>
      <c r="H4" s="3"/>
      <c r="I4" s="3"/>
      <c r="J4" s="9"/>
      <c r="K4" s="7">
        <v>570000</v>
      </c>
      <c r="L4" s="3">
        <f>E4</f>
        <v>570000</v>
      </c>
      <c r="M4" s="5">
        <f t="shared" ref="M4:M9" si="1">K4-L4</f>
        <v>0</v>
      </c>
      <c r="N4" s="2"/>
      <c r="P4" s="4" t="s">
        <v>8</v>
      </c>
      <c r="Q4" s="2" t="s">
        <v>4</v>
      </c>
      <c r="R4" s="52">
        <v>20808637</v>
      </c>
      <c r="S4" s="3">
        <f t="shared" si="0"/>
        <v>17197220.661157027</v>
      </c>
    </row>
    <row r="5" spans="1:20" hidden="1" x14ac:dyDescent="0.35">
      <c r="A5">
        <v>2025</v>
      </c>
      <c r="B5" s="2" t="s">
        <v>8</v>
      </c>
      <c r="C5" s="2" t="s">
        <v>14</v>
      </c>
      <c r="D5" s="44">
        <v>265397</v>
      </c>
      <c r="E5" s="8">
        <v>490000</v>
      </c>
      <c r="F5" s="9">
        <f>K5</f>
        <v>490000</v>
      </c>
      <c r="G5" s="8">
        <f>S5*0.09</f>
        <v>92146.834710743802</v>
      </c>
      <c r="H5" s="3"/>
      <c r="I5" s="3"/>
      <c r="J5" s="9"/>
      <c r="K5" s="7">
        <v>490000</v>
      </c>
      <c r="L5" s="3">
        <f>IF(E5&gt;G5,E5,G5)</f>
        <v>490000</v>
      </c>
      <c r="M5" s="5">
        <f t="shared" si="1"/>
        <v>0</v>
      </c>
      <c r="N5" s="2"/>
      <c r="P5" s="4" t="s">
        <v>8</v>
      </c>
      <c r="Q5" s="2" t="s">
        <v>14</v>
      </c>
      <c r="R5" s="52">
        <v>1238863</v>
      </c>
      <c r="S5" s="3">
        <f t="shared" si="0"/>
        <v>1023853.7190082645</v>
      </c>
    </row>
    <row r="6" spans="1:20" hidden="1" x14ac:dyDescent="0.35">
      <c r="A6">
        <v>2025</v>
      </c>
      <c r="B6" s="2" t="s">
        <v>8</v>
      </c>
      <c r="C6" s="2" t="s">
        <v>5</v>
      </c>
      <c r="D6" s="44">
        <v>1744856</v>
      </c>
      <c r="E6" s="8">
        <v>949386</v>
      </c>
      <c r="F6" s="9">
        <v>971769</v>
      </c>
      <c r="G6" s="8">
        <f>S6*0.07</f>
        <v>1660350.6528925621</v>
      </c>
      <c r="H6" s="3">
        <f>G6*0.15</f>
        <v>249052.5979338843</v>
      </c>
      <c r="I6" s="3">
        <f>218648+172676</f>
        <v>391324</v>
      </c>
      <c r="J6" s="9">
        <v>767452</v>
      </c>
      <c r="K6" s="7">
        <f>F6+I6+J6</f>
        <v>2130545</v>
      </c>
      <c r="L6" s="3">
        <f>IF(E6&gt;G6,E6+H6,G6+H6)</f>
        <v>1909403.2508264463</v>
      </c>
      <c r="M6" s="5">
        <f t="shared" si="1"/>
        <v>221141.74917355366</v>
      </c>
      <c r="N6" s="5"/>
      <c r="P6" s="4" t="s">
        <v>8</v>
      </c>
      <c r="Q6" s="2" t="s">
        <v>5</v>
      </c>
      <c r="R6" s="52">
        <v>28700347</v>
      </c>
      <c r="S6" s="3">
        <f t="shared" si="0"/>
        <v>23719295.041322313</v>
      </c>
    </row>
    <row r="7" spans="1:20" hidden="1" x14ac:dyDescent="0.35">
      <c r="A7">
        <v>2025</v>
      </c>
      <c r="B7" s="2" t="s">
        <v>8</v>
      </c>
      <c r="C7" s="2" t="s">
        <v>6</v>
      </c>
      <c r="D7" s="44">
        <v>417334.96</v>
      </c>
      <c r="E7" s="8"/>
      <c r="F7" s="9">
        <v>760000</v>
      </c>
      <c r="G7" s="8">
        <f>S7*0.08</f>
        <v>2722837.6859504133</v>
      </c>
      <c r="H7" s="3"/>
      <c r="I7" s="3"/>
      <c r="J7" s="9">
        <v>1962837</v>
      </c>
      <c r="K7" s="7">
        <f>J7+F7</f>
        <v>2722837</v>
      </c>
      <c r="L7" s="3">
        <f>G7</f>
        <v>2722837.6859504133</v>
      </c>
      <c r="M7" s="5">
        <f t="shared" si="1"/>
        <v>-0.68595041334629059</v>
      </c>
      <c r="N7" s="2"/>
      <c r="P7" s="4" t="s">
        <v>8</v>
      </c>
      <c r="Q7" s="2" t="s">
        <v>6</v>
      </c>
      <c r="R7" s="52">
        <v>41182920</v>
      </c>
      <c r="S7" s="3">
        <f t="shared" si="0"/>
        <v>34035471.074380167</v>
      </c>
    </row>
    <row r="8" spans="1:20" hidden="1" x14ac:dyDescent="0.35">
      <c r="A8">
        <v>2025</v>
      </c>
      <c r="B8" s="2" t="s">
        <v>8</v>
      </c>
      <c r="C8" s="2" t="s">
        <v>7</v>
      </c>
      <c r="D8" s="44">
        <v>417334.96</v>
      </c>
      <c r="E8" s="9">
        <v>825000</v>
      </c>
      <c r="F8" s="9">
        <v>825000</v>
      </c>
      <c r="G8" s="8">
        <f>S8*0.1</f>
        <v>596222.31404958689</v>
      </c>
      <c r="H8" s="3"/>
      <c r="I8" s="3"/>
      <c r="J8" s="9"/>
      <c r="K8" s="7">
        <f>F8+J8</f>
        <v>825000</v>
      </c>
      <c r="L8" s="3">
        <f>IF(E8&gt;G8,E8,G8)</f>
        <v>825000</v>
      </c>
      <c r="M8" s="5">
        <f t="shared" si="1"/>
        <v>0</v>
      </c>
      <c r="N8" s="2"/>
      <c r="P8" s="4" t="s">
        <v>8</v>
      </c>
      <c r="Q8" s="2" t="s">
        <v>7</v>
      </c>
      <c r="R8" s="52">
        <v>7214290</v>
      </c>
      <c r="S8" s="3">
        <f t="shared" si="0"/>
        <v>5962223.1404958684</v>
      </c>
    </row>
    <row r="9" spans="1:20" hidden="1" x14ac:dyDescent="0.35">
      <c r="A9">
        <v>2025</v>
      </c>
      <c r="B9" s="2" t="s">
        <v>8</v>
      </c>
      <c r="C9" s="2" t="s">
        <v>19</v>
      </c>
      <c r="D9" s="44">
        <f>D8*2</f>
        <v>834669.92</v>
      </c>
      <c r="E9" s="8"/>
      <c r="F9" s="9">
        <v>684480</v>
      </c>
      <c r="G9" s="8">
        <f>S9*0.09</f>
        <v>1487361.570247934</v>
      </c>
      <c r="H9" s="3"/>
      <c r="I9" s="3"/>
      <c r="J9" s="9">
        <v>802880</v>
      </c>
      <c r="K9" s="7">
        <f>J9+F9</f>
        <v>1487360</v>
      </c>
      <c r="L9" s="3">
        <f>IF(E9&gt;G9,E9,G9)</f>
        <v>1487361.570247934</v>
      </c>
      <c r="M9" s="5">
        <f t="shared" si="1"/>
        <v>-1.570247933967039</v>
      </c>
      <c r="N9" s="2"/>
      <c r="P9" s="4" t="s">
        <v>8</v>
      </c>
      <c r="Q9" s="2" t="s">
        <v>19</v>
      </c>
      <c r="R9" s="52">
        <v>19996750</v>
      </c>
      <c r="S9" s="3">
        <f t="shared" si="0"/>
        <v>16526239.669421488</v>
      </c>
    </row>
    <row r="10" spans="1:20" hidden="1" x14ac:dyDescent="0.35">
      <c r="A10">
        <v>2025</v>
      </c>
      <c r="B10" s="2" t="s">
        <v>9</v>
      </c>
      <c r="C10" s="2" t="s">
        <v>3</v>
      </c>
      <c r="D10" s="44">
        <v>386280.5</v>
      </c>
      <c r="E10" s="8"/>
      <c r="F10" s="9"/>
      <c r="G10" s="8">
        <v>0</v>
      </c>
      <c r="H10" s="3"/>
      <c r="I10" s="3"/>
      <c r="J10" s="9"/>
      <c r="K10" s="7">
        <v>2621100.48</v>
      </c>
      <c r="L10" s="3">
        <f>E10</f>
        <v>0</v>
      </c>
      <c r="M10" s="2"/>
      <c r="N10" s="2"/>
      <c r="O10" s="39">
        <f>K10+D3</f>
        <v>3114680.98</v>
      </c>
      <c r="P10" s="4" t="s">
        <v>9</v>
      </c>
      <c r="Q10" s="2" t="s">
        <v>3</v>
      </c>
      <c r="R10" s="3">
        <v>39644145</v>
      </c>
      <c r="S10" s="3">
        <f>R10/1.21</f>
        <v>32763756.198347107</v>
      </c>
      <c r="T10" s="39"/>
    </row>
    <row r="11" spans="1:20" hidden="1" x14ac:dyDescent="0.35">
      <c r="A11">
        <v>2025</v>
      </c>
      <c r="B11" s="2" t="s">
        <v>9</v>
      </c>
      <c r="C11" s="2" t="s">
        <v>4</v>
      </c>
      <c r="D11" s="44">
        <v>217830</v>
      </c>
      <c r="E11" s="8">
        <v>570000</v>
      </c>
      <c r="F11" s="9">
        <v>570000</v>
      </c>
      <c r="G11" s="8">
        <v>0</v>
      </c>
      <c r="H11" s="3"/>
      <c r="I11" s="3"/>
      <c r="J11" s="9"/>
      <c r="K11" s="7">
        <v>570000</v>
      </c>
      <c r="L11" s="3">
        <f>E11</f>
        <v>570000</v>
      </c>
      <c r="M11" s="5">
        <f t="shared" ref="M11:M16" si="2">K11-L11</f>
        <v>0</v>
      </c>
      <c r="N11" s="2"/>
      <c r="O11" s="39">
        <f t="shared" ref="O11:O65" si="3">K11+D4</f>
        <v>784600</v>
      </c>
      <c r="P11" s="4" t="s">
        <v>9</v>
      </c>
      <c r="Q11" s="2" t="s">
        <v>4</v>
      </c>
      <c r="R11" s="3">
        <v>15365290</v>
      </c>
      <c r="S11" s="3">
        <f t="shared" ref="S11:S65" si="4">R11/1.21</f>
        <v>12698586.776859505</v>
      </c>
    </row>
    <row r="12" spans="1:20" hidden="1" x14ac:dyDescent="0.35">
      <c r="A12">
        <v>2025</v>
      </c>
      <c r="B12" s="2" t="s">
        <v>9</v>
      </c>
      <c r="C12" s="2" t="s">
        <v>14</v>
      </c>
      <c r="D12" s="44">
        <v>257727</v>
      </c>
      <c r="E12" s="8">
        <v>541041</v>
      </c>
      <c r="F12" s="9">
        <f>490000+50862</f>
        <v>540862</v>
      </c>
      <c r="G12" s="8">
        <f>S12*0.09</f>
        <v>185137.88429752065</v>
      </c>
      <c r="H12" s="3"/>
      <c r="I12" s="3"/>
      <c r="J12" s="9"/>
      <c r="K12" s="7">
        <f>F12</f>
        <v>540862</v>
      </c>
      <c r="L12" s="3">
        <f>IF(E12&gt;G12,E12,G12)</f>
        <v>541041</v>
      </c>
      <c r="M12" s="5">
        <f t="shared" si="2"/>
        <v>-179</v>
      </c>
      <c r="N12" s="2"/>
      <c r="O12" s="39">
        <f t="shared" si="3"/>
        <v>806259</v>
      </c>
      <c r="P12" s="4" t="s">
        <v>9</v>
      </c>
      <c r="Q12" s="2" t="s">
        <v>14</v>
      </c>
      <c r="R12" s="3">
        <v>2489076</v>
      </c>
      <c r="S12" s="3">
        <f t="shared" si="4"/>
        <v>2057087.6033057852</v>
      </c>
    </row>
    <row r="13" spans="1:20" hidden="1" x14ac:dyDescent="0.35">
      <c r="A13">
        <v>2025</v>
      </c>
      <c r="B13" s="2" t="s">
        <v>9</v>
      </c>
      <c r="C13" s="2" t="s">
        <v>5</v>
      </c>
      <c r="D13" s="44">
        <v>1858800.59</v>
      </c>
      <c r="E13" s="8">
        <v>949386</v>
      </c>
      <c r="F13" s="9">
        <v>971769</v>
      </c>
      <c r="G13" s="8">
        <f>S13*0.07</f>
        <v>1152426.9504132234</v>
      </c>
      <c r="H13" s="3">
        <f>G13*0.15</f>
        <v>172864.04256198349</v>
      </c>
      <c r="I13" s="3">
        <f>145765+27098</f>
        <v>172863</v>
      </c>
      <c r="J13" s="9">
        <v>180657</v>
      </c>
      <c r="K13" s="7">
        <f>F13+I13+J13</f>
        <v>1325289</v>
      </c>
      <c r="L13" s="3">
        <f>IF(E13&gt;G13,E13+H13,G13+H13)</f>
        <v>1325290.9929752068</v>
      </c>
      <c r="M13" s="5">
        <f t="shared" si="2"/>
        <v>-1.9929752068128437</v>
      </c>
      <c r="N13" s="2"/>
      <c r="O13" s="39">
        <f t="shared" si="3"/>
        <v>3070145</v>
      </c>
      <c r="P13" s="4" t="s">
        <v>9</v>
      </c>
      <c r="Q13" s="2" t="s">
        <v>5</v>
      </c>
      <c r="R13" s="3">
        <v>19920523</v>
      </c>
      <c r="S13" s="3">
        <f t="shared" si="4"/>
        <v>16463242.148760332</v>
      </c>
    </row>
    <row r="14" spans="1:20" hidden="1" x14ac:dyDescent="0.35">
      <c r="A14">
        <v>2025</v>
      </c>
      <c r="B14" s="2" t="s">
        <v>9</v>
      </c>
      <c r="C14" s="2" t="s">
        <v>6</v>
      </c>
      <c r="D14" s="44">
        <v>339596.76</v>
      </c>
      <c r="E14" s="8"/>
      <c r="F14" s="9">
        <v>760000</v>
      </c>
      <c r="G14" s="8">
        <f>S14*0.08</f>
        <v>2639238.3471074384</v>
      </c>
      <c r="H14" s="3"/>
      <c r="I14" s="3"/>
      <c r="J14" s="9">
        <v>1879238</v>
      </c>
      <c r="K14" s="7">
        <f>J14+F14</f>
        <v>2639238</v>
      </c>
      <c r="L14" s="3">
        <f>G14</f>
        <v>2639238.3471074384</v>
      </c>
      <c r="M14" s="5">
        <f t="shared" si="2"/>
        <v>-0.34710743837058544</v>
      </c>
      <c r="N14" s="2"/>
      <c r="O14" s="39">
        <f t="shared" si="3"/>
        <v>3056572.96</v>
      </c>
      <c r="P14" s="4" t="s">
        <v>9</v>
      </c>
      <c r="Q14" s="2" t="s">
        <v>6</v>
      </c>
      <c r="R14" s="3">
        <v>39918480</v>
      </c>
      <c r="S14" s="3">
        <f t="shared" si="4"/>
        <v>32990479.338842977</v>
      </c>
    </row>
    <row r="15" spans="1:20" hidden="1" x14ac:dyDescent="0.35">
      <c r="A15">
        <v>2025</v>
      </c>
      <c r="B15" s="2" t="s">
        <v>9</v>
      </c>
      <c r="C15" s="2" t="s">
        <v>7</v>
      </c>
      <c r="D15" s="44">
        <v>339596.76</v>
      </c>
      <c r="E15" s="9">
        <v>825000</v>
      </c>
      <c r="F15" s="9">
        <v>825000</v>
      </c>
      <c r="G15" s="8">
        <f>S15*0.1</f>
        <v>204356.19834710745</v>
      </c>
      <c r="H15" s="3"/>
      <c r="I15" s="3"/>
      <c r="J15" s="9"/>
      <c r="K15" s="7">
        <f>F15+J15</f>
        <v>825000</v>
      </c>
      <c r="L15" s="3">
        <f>IF(E15&gt;G15,E15,G15)</f>
        <v>825000</v>
      </c>
      <c r="M15" s="5">
        <f t="shared" si="2"/>
        <v>0</v>
      </c>
      <c r="N15" s="2"/>
      <c r="O15" s="39">
        <f t="shared" si="3"/>
        <v>1242334.96</v>
      </c>
      <c r="P15" s="4" t="s">
        <v>9</v>
      </c>
      <c r="Q15" s="2" t="s">
        <v>7</v>
      </c>
      <c r="R15" s="3">
        <v>2472710</v>
      </c>
      <c r="S15" s="3">
        <f t="shared" si="4"/>
        <v>2043561.9834710744</v>
      </c>
    </row>
    <row r="16" spans="1:20" hidden="1" x14ac:dyDescent="0.35">
      <c r="A16">
        <v>2025</v>
      </c>
      <c r="B16" s="2" t="s">
        <v>9</v>
      </c>
      <c r="C16" s="2" t="s">
        <v>19</v>
      </c>
      <c r="D16" s="44">
        <v>679193.52</v>
      </c>
      <c r="E16" s="8"/>
      <c r="F16" s="9">
        <v>684480</v>
      </c>
      <c r="G16" s="8">
        <f>S16*0.09</f>
        <v>1083696.57</v>
      </c>
      <c r="H16" s="3"/>
      <c r="I16" s="3"/>
      <c r="J16" s="9">
        <v>1085772</v>
      </c>
      <c r="K16" s="3">
        <v>1083696.57</v>
      </c>
      <c r="L16" s="3">
        <f>IF(E16&gt;G16,E16,G16)</f>
        <v>1083696.57</v>
      </c>
      <c r="M16" s="5">
        <f t="shared" si="2"/>
        <v>0</v>
      </c>
      <c r="N16" s="2" t="s">
        <v>106</v>
      </c>
      <c r="O16" s="39">
        <f t="shared" si="3"/>
        <v>1918366.4900000002</v>
      </c>
      <c r="P16" s="4" t="s">
        <v>9</v>
      </c>
      <c r="Q16" s="2" t="s">
        <v>19</v>
      </c>
      <c r="R16" s="3">
        <v>14599470</v>
      </c>
      <c r="S16" s="3">
        <v>12041073</v>
      </c>
    </row>
    <row r="17" spans="1:20" hidden="1" x14ac:dyDescent="0.35">
      <c r="A17">
        <v>2025</v>
      </c>
      <c r="B17" s="2" t="s">
        <v>12</v>
      </c>
      <c r="C17" s="2" t="s">
        <v>3</v>
      </c>
      <c r="D17" s="44">
        <v>407740.5</v>
      </c>
      <c r="E17" s="8"/>
      <c r="F17" s="9"/>
      <c r="G17" s="8">
        <v>0</v>
      </c>
      <c r="H17" s="3"/>
      <c r="I17" s="3"/>
      <c r="J17" s="9"/>
      <c r="K17" s="7">
        <v>1577279.92</v>
      </c>
      <c r="L17" s="3">
        <f>E17</f>
        <v>0</v>
      </c>
      <c r="M17" s="2"/>
      <c r="N17" s="2"/>
      <c r="O17" s="39">
        <f t="shared" si="3"/>
        <v>1963560.42</v>
      </c>
      <c r="P17" s="4" t="s">
        <v>12</v>
      </c>
      <c r="Q17" s="2" t="s">
        <v>3</v>
      </c>
      <c r="R17" s="3">
        <v>23856359</v>
      </c>
      <c r="S17" s="3">
        <f t="shared" si="4"/>
        <v>19715999.17355372</v>
      </c>
      <c r="T17" s="39"/>
    </row>
    <row r="18" spans="1:20" hidden="1" x14ac:dyDescent="0.35">
      <c r="A18">
        <v>2025</v>
      </c>
      <c r="B18" s="2" t="s">
        <v>12</v>
      </c>
      <c r="C18" s="2" t="s">
        <v>4</v>
      </c>
      <c r="D18" s="44">
        <v>214646.93</v>
      </c>
      <c r="E18" s="8">
        <v>612727</v>
      </c>
      <c r="F18" s="9">
        <f>K18</f>
        <v>610400</v>
      </c>
      <c r="G18" s="8">
        <v>0</v>
      </c>
      <c r="H18" s="3"/>
      <c r="I18" s="3"/>
      <c r="J18" s="9"/>
      <c r="K18" s="7">
        <f>738584/1.21</f>
        <v>610400</v>
      </c>
      <c r="L18" s="3">
        <f>E18</f>
        <v>612727</v>
      </c>
      <c r="M18" s="5">
        <f t="shared" ref="M18:M23" si="5">K18-L18</f>
        <v>-2327</v>
      </c>
      <c r="N18" s="2"/>
      <c r="O18" s="39">
        <f t="shared" si="3"/>
        <v>828230</v>
      </c>
      <c r="P18" s="4" t="s">
        <v>12</v>
      </c>
      <c r="Q18" s="2" t="s">
        <v>4</v>
      </c>
      <c r="R18" s="3">
        <v>10851153</v>
      </c>
      <c r="S18" s="3">
        <f t="shared" si="4"/>
        <v>8967895.0413223151</v>
      </c>
    </row>
    <row r="19" spans="1:20" hidden="1" x14ac:dyDescent="0.35">
      <c r="A19">
        <v>2025</v>
      </c>
      <c r="B19" s="2" t="s">
        <v>12</v>
      </c>
      <c r="C19" s="2" t="s">
        <v>14</v>
      </c>
      <c r="D19" s="44">
        <v>280206.89</v>
      </c>
      <c r="E19" s="8">
        <v>541041</v>
      </c>
      <c r="F19" s="7">
        <v>540862</v>
      </c>
      <c r="G19" s="8">
        <f>S19*0.09</f>
        <v>232847.10743801654</v>
      </c>
      <c r="H19" s="3"/>
      <c r="I19" s="3"/>
      <c r="J19" s="9"/>
      <c r="K19" s="7">
        <f>F19</f>
        <v>540862</v>
      </c>
      <c r="L19" s="3">
        <f>IF(E19&gt;G19,E19,G19)</f>
        <v>541041</v>
      </c>
      <c r="M19" s="5">
        <f t="shared" si="5"/>
        <v>-179</v>
      </c>
      <c r="N19" s="2"/>
      <c r="O19" s="39">
        <f t="shared" si="3"/>
        <v>798589</v>
      </c>
      <c r="P19" s="4" t="s">
        <v>12</v>
      </c>
      <c r="Q19" s="2" t="s">
        <v>14</v>
      </c>
      <c r="R19" s="3">
        <v>3130500</v>
      </c>
      <c r="S19" s="3">
        <f t="shared" si="4"/>
        <v>2587190.0826446284</v>
      </c>
    </row>
    <row r="20" spans="1:20" hidden="1" x14ac:dyDescent="0.35">
      <c r="A20">
        <v>2025</v>
      </c>
      <c r="B20" s="2" t="s">
        <v>12</v>
      </c>
      <c r="C20" s="2" t="s">
        <v>5</v>
      </c>
      <c r="D20" s="44">
        <v>1855294.61</v>
      </c>
      <c r="E20" s="8">
        <v>949386</v>
      </c>
      <c r="F20" s="9">
        <v>971769</v>
      </c>
      <c r="G20" s="8">
        <f>S20*0.07</f>
        <v>872438.9256198348</v>
      </c>
      <c r="H20" s="3">
        <f>E20*0.15</f>
        <v>142407.9</v>
      </c>
      <c r="I20" s="3">
        <v>145765</v>
      </c>
      <c r="J20" s="9"/>
      <c r="K20" s="7">
        <f>F20+I20+J20</f>
        <v>1117534</v>
      </c>
      <c r="L20" s="3">
        <f>IF(E20&gt;G20,E20+H20,G20+H20)</f>
        <v>1091793.8999999999</v>
      </c>
      <c r="M20" s="5">
        <f t="shared" si="5"/>
        <v>25740.100000000093</v>
      </c>
      <c r="N20" s="2"/>
      <c r="O20" s="39">
        <f t="shared" si="3"/>
        <v>2976334.59</v>
      </c>
      <c r="P20" s="4" t="s">
        <v>12</v>
      </c>
      <c r="Q20" s="2" t="s">
        <v>5</v>
      </c>
      <c r="R20" s="3">
        <v>15080730</v>
      </c>
      <c r="S20" s="3">
        <f t="shared" si="4"/>
        <v>12463413.223140497</v>
      </c>
    </row>
    <row r="21" spans="1:20" hidden="1" x14ac:dyDescent="0.35">
      <c r="A21">
        <v>2025</v>
      </c>
      <c r="B21" s="2" t="s">
        <v>12</v>
      </c>
      <c r="C21" s="2" t="s">
        <v>6</v>
      </c>
      <c r="D21" s="44">
        <v>343004.49</v>
      </c>
      <c r="E21" s="8"/>
      <c r="F21" s="9">
        <v>819280</v>
      </c>
      <c r="G21" s="8">
        <f>S21*0.08</f>
        <v>2143033.3884297521</v>
      </c>
      <c r="H21" s="3"/>
      <c r="I21" s="3"/>
      <c r="J21" s="9">
        <v>1323753</v>
      </c>
      <c r="K21" s="7">
        <f>J21+F21</f>
        <v>2143033</v>
      </c>
      <c r="L21" s="3">
        <f>G21</f>
        <v>2143033.3884297521</v>
      </c>
      <c r="M21" s="5">
        <f t="shared" si="5"/>
        <v>-0.3884297520853579</v>
      </c>
      <c r="N21" s="2"/>
      <c r="O21" s="39">
        <f t="shared" si="3"/>
        <v>2482629.7599999998</v>
      </c>
      <c r="P21" s="4" t="s">
        <v>12</v>
      </c>
      <c r="Q21" s="2" t="s">
        <v>6</v>
      </c>
      <c r="R21" s="3">
        <v>32413380</v>
      </c>
      <c r="S21" s="3">
        <f t="shared" si="4"/>
        <v>26787917.3553719</v>
      </c>
    </row>
    <row r="22" spans="1:20" hidden="1" x14ac:dyDescent="0.35">
      <c r="A22">
        <v>2025</v>
      </c>
      <c r="B22" s="2" t="s">
        <v>12</v>
      </c>
      <c r="C22" s="2" t="s">
        <v>7</v>
      </c>
      <c r="D22" s="44">
        <v>343004.49</v>
      </c>
      <c r="E22" s="9">
        <v>825000</v>
      </c>
      <c r="F22" s="9">
        <v>825000</v>
      </c>
      <c r="G22" s="8">
        <f>S22*0.1</f>
        <v>376152.0661157025</v>
      </c>
      <c r="H22" s="3"/>
      <c r="I22" s="3"/>
      <c r="J22" s="9"/>
      <c r="K22" s="7">
        <f>F22+J22</f>
        <v>825000</v>
      </c>
      <c r="L22" s="3">
        <f>IF(E22&gt;G22,E22,G22)</f>
        <v>825000</v>
      </c>
      <c r="M22" s="5">
        <f t="shared" si="5"/>
        <v>0</v>
      </c>
      <c r="N22" s="2"/>
      <c r="O22" s="39">
        <f t="shared" si="3"/>
        <v>1164596.76</v>
      </c>
      <c r="P22" s="4" t="s">
        <v>12</v>
      </c>
      <c r="Q22" s="2" t="s">
        <v>7</v>
      </c>
      <c r="R22" s="3">
        <v>4551440</v>
      </c>
      <c r="S22" s="3">
        <f t="shared" si="4"/>
        <v>3761520.661157025</v>
      </c>
    </row>
    <row r="23" spans="1:20" hidden="1" x14ac:dyDescent="0.35">
      <c r="A23">
        <v>2025</v>
      </c>
      <c r="B23" s="2" t="s">
        <v>12</v>
      </c>
      <c r="C23" s="2" t="s">
        <v>19</v>
      </c>
      <c r="D23" s="44">
        <v>686008.98</v>
      </c>
      <c r="E23" s="8"/>
      <c r="F23" s="9">
        <v>737869</v>
      </c>
      <c r="G23" s="8">
        <f>S23*0.09</f>
        <v>1081465.2148760331</v>
      </c>
      <c r="H23" s="3"/>
      <c r="I23" s="3"/>
      <c r="J23" s="9">
        <v>345827</v>
      </c>
      <c r="K23" s="7">
        <f>J23+F23</f>
        <v>1083696</v>
      </c>
      <c r="L23" s="3">
        <f>IF(E23&gt;G23,E23,G23)</f>
        <v>1081465.2148760331</v>
      </c>
      <c r="M23" s="5">
        <f t="shared" si="5"/>
        <v>2230.7851239668671</v>
      </c>
      <c r="N23" s="2"/>
      <c r="O23" s="39">
        <f t="shared" si="3"/>
        <v>1762889.52</v>
      </c>
      <c r="P23" s="4" t="s">
        <v>12</v>
      </c>
      <c r="Q23" s="2" t="s">
        <v>19</v>
      </c>
      <c r="R23" s="3">
        <v>14539699</v>
      </c>
      <c r="S23" s="3">
        <f t="shared" si="4"/>
        <v>12016280.165289257</v>
      </c>
    </row>
    <row r="24" spans="1:20" hidden="1" x14ac:dyDescent="0.35">
      <c r="A24">
        <v>2025</v>
      </c>
      <c r="B24" s="2" t="s">
        <v>2</v>
      </c>
      <c r="C24" s="2" t="s">
        <v>3</v>
      </c>
      <c r="D24" s="44">
        <v>515040.5</v>
      </c>
      <c r="E24" s="8"/>
      <c r="F24" s="9"/>
      <c r="G24" s="8">
        <v>0</v>
      </c>
      <c r="H24" s="3"/>
      <c r="I24" s="3"/>
      <c r="J24" s="9"/>
      <c r="K24" s="7">
        <v>2924376.08</v>
      </c>
      <c r="L24" s="3">
        <f>E24</f>
        <v>0</v>
      </c>
      <c r="M24" s="2"/>
      <c r="N24" s="2"/>
      <c r="O24" s="39">
        <f t="shared" si="3"/>
        <v>3332116.58</v>
      </c>
      <c r="P24" s="4" t="s">
        <v>2</v>
      </c>
      <c r="Q24" s="2" t="s">
        <v>3</v>
      </c>
      <c r="R24" s="3">
        <v>44231189</v>
      </c>
      <c r="S24" s="3">
        <f t="shared" si="4"/>
        <v>36554701.65289256</v>
      </c>
    </row>
    <row r="25" spans="1:20" hidden="1" x14ac:dyDescent="0.35">
      <c r="A25">
        <v>2025</v>
      </c>
      <c r="B25" s="2" t="s">
        <v>2</v>
      </c>
      <c r="C25" s="2" t="s">
        <v>4</v>
      </c>
      <c r="D25" s="44">
        <v>262951.78999999998</v>
      </c>
      <c r="E25" s="8">
        <v>612727</v>
      </c>
      <c r="F25" s="9">
        <f>K25</f>
        <v>610400</v>
      </c>
      <c r="G25" s="8">
        <v>0</v>
      </c>
      <c r="H25" s="3"/>
      <c r="I25" s="3"/>
      <c r="J25" s="9"/>
      <c r="K25" s="7">
        <f>738584/1.21</f>
        <v>610400</v>
      </c>
      <c r="L25" s="3">
        <f>E25</f>
        <v>612727</v>
      </c>
      <c r="M25" s="5">
        <f t="shared" ref="M25:M30" si="6">K25-L25</f>
        <v>-2327</v>
      </c>
      <c r="N25" s="2"/>
      <c r="O25" s="39">
        <f t="shared" si="3"/>
        <v>825046.92999999993</v>
      </c>
      <c r="P25" s="4" t="s">
        <v>2</v>
      </c>
      <c r="Q25" s="2" t="s">
        <v>4</v>
      </c>
      <c r="R25" s="3">
        <v>20053520</v>
      </c>
      <c r="S25" s="3">
        <f t="shared" si="4"/>
        <v>16573157.024793388</v>
      </c>
    </row>
    <row r="26" spans="1:20" hidden="1" x14ac:dyDescent="0.35">
      <c r="A26">
        <v>2025</v>
      </c>
      <c r="B26" s="2" t="s">
        <v>2</v>
      </c>
      <c r="C26" s="2" t="s">
        <v>14</v>
      </c>
      <c r="D26" s="44">
        <v>274476.14</v>
      </c>
      <c r="E26" s="8">
        <v>541041</v>
      </c>
      <c r="F26" s="7">
        <v>540862</v>
      </c>
      <c r="G26" s="8">
        <f>S26*0.09</f>
        <v>214629.17355371901</v>
      </c>
      <c r="H26" s="3"/>
      <c r="I26" s="3"/>
      <c r="J26" s="9"/>
      <c r="K26" s="7">
        <f>F26</f>
        <v>540862</v>
      </c>
      <c r="L26" s="3">
        <f>IF(E26&gt;G26,E26,G26)</f>
        <v>541041</v>
      </c>
      <c r="M26" s="5">
        <f t="shared" si="6"/>
        <v>-179</v>
      </c>
      <c r="N26" s="2"/>
      <c r="O26" s="39">
        <f t="shared" si="3"/>
        <v>821068.89</v>
      </c>
      <c r="P26" s="4" t="s">
        <v>2</v>
      </c>
      <c r="Q26" s="2" t="s">
        <v>14</v>
      </c>
      <c r="R26" s="3">
        <v>2885570</v>
      </c>
      <c r="S26" s="3">
        <f t="shared" si="4"/>
        <v>2384768.5950413225</v>
      </c>
    </row>
    <row r="27" spans="1:20" hidden="1" x14ac:dyDescent="0.35">
      <c r="A27">
        <v>2025</v>
      </c>
      <c r="B27" s="2" t="s">
        <v>2</v>
      </c>
      <c r="C27" s="2" t="s">
        <v>5</v>
      </c>
      <c r="D27" s="44">
        <v>1997735.13</v>
      </c>
      <c r="E27" s="8">
        <v>1030740</v>
      </c>
      <c r="F27" s="9">
        <v>1044616</v>
      </c>
      <c r="G27" s="8">
        <f>S27*0.07</f>
        <v>1471623.7685950415</v>
      </c>
      <c r="H27" s="3">
        <f>G27*0.15</f>
        <v>220743.56528925622</v>
      </c>
      <c r="I27" s="3">
        <f>74978+156692</f>
        <v>231670</v>
      </c>
      <c r="J27" s="9">
        <v>499854</v>
      </c>
      <c r="K27" s="7">
        <f>F27+I27+J27</f>
        <v>1776140</v>
      </c>
      <c r="L27" s="3">
        <f>IF(E27&gt;G27,E27+H27,G27+H27)</f>
        <v>1692367.3338842976</v>
      </c>
      <c r="M27" s="5">
        <f t="shared" si="6"/>
        <v>83772.666115702363</v>
      </c>
      <c r="N27" s="2"/>
      <c r="O27" s="39">
        <f t="shared" si="3"/>
        <v>3631434.6100000003</v>
      </c>
      <c r="P27" s="4" t="s">
        <v>2</v>
      </c>
      <c r="Q27" s="2" t="s">
        <v>5</v>
      </c>
      <c r="R27" s="3">
        <v>25438068</v>
      </c>
      <c r="S27" s="3">
        <f t="shared" si="4"/>
        <v>21023196.694214877</v>
      </c>
    </row>
    <row r="28" spans="1:20" hidden="1" x14ac:dyDescent="0.35">
      <c r="A28">
        <v>2025</v>
      </c>
      <c r="B28" s="2" t="s">
        <v>2</v>
      </c>
      <c r="C28" s="2" t="s">
        <v>6</v>
      </c>
      <c r="D28" s="44">
        <v>477750.98</v>
      </c>
      <c r="E28" s="8"/>
      <c r="F28" s="9">
        <v>819280</v>
      </c>
      <c r="G28" s="8">
        <f>S28*0.08</f>
        <v>2333371.2396694217</v>
      </c>
      <c r="H28" s="3"/>
      <c r="I28" s="3"/>
      <c r="J28" s="9">
        <v>1514091</v>
      </c>
      <c r="K28" s="7">
        <f>J28+F28</f>
        <v>2333371</v>
      </c>
      <c r="L28" s="3">
        <f>G28</f>
        <v>2333371.2396694217</v>
      </c>
      <c r="M28" s="5">
        <f t="shared" si="6"/>
        <v>-0.23966942168772221</v>
      </c>
      <c r="N28" s="2"/>
      <c r="O28" s="39">
        <f t="shared" si="3"/>
        <v>2676375.4900000002</v>
      </c>
      <c r="P28" s="4" t="s">
        <v>2</v>
      </c>
      <c r="Q28" s="2" t="s">
        <v>6</v>
      </c>
      <c r="R28" s="3">
        <v>35292240</v>
      </c>
      <c r="S28" s="3">
        <f t="shared" si="4"/>
        <v>29167140.49586777</v>
      </c>
    </row>
    <row r="29" spans="1:20" hidden="1" x14ac:dyDescent="0.35">
      <c r="A29">
        <v>2025</v>
      </c>
      <c r="B29" s="2" t="s">
        <v>2</v>
      </c>
      <c r="C29" s="2" t="s">
        <v>7</v>
      </c>
      <c r="D29" s="44">
        <v>477750.98</v>
      </c>
      <c r="E29" s="9">
        <v>825000</v>
      </c>
      <c r="F29" s="9">
        <v>825000</v>
      </c>
      <c r="G29" s="8">
        <f>S29*0.1</f>
        <v>807201.6528925621</v>
      </c>
      <c r="H29" s="3"/>
      <c r="I29" s="3"/>
      <c r="J29" s="9"/>
      <c r="K29" s="7">
        <f>F29+J29</f>
        <v>825000</v>
      </c>
      <c r="L29" s="3">
        <f>IF(E29&gt;G29,E29,G29)</f>
        <v>825000</v>
      </c>
      <c r="M29" s="5">
        <f t="shared" si="6"/>
        <v>0</v>
      </c>
      <c r="N29" s="2"/>
      <c r="O29" s="39">
        <f t="shared" si="3"/>
        <v>1168004.49</v>
      </c>
      <c r="P29" s="4" t="s">
        <v>2</v>
      </c>
      <c r="Q29" s="2" t="s">
        <v>7</v>
      </c>
      <c r="R29" s="3">
        <v>9767140</v>
      </c>
      <c r="S29" s="3">
        <f t="shared" si="4"/>
        <v>8072016.52892562</v>
      </c>
    </row>
    <row r="30" spans="1:20" hidden="1" x14ac:dyDescent="0.35">
      <c r="A30">
        <v>2025</v>
      </c>
      <c r="B30" s="2" t="s">
        <v>2</v>
      </c>
      <c r="C30" s="2" t="s">
        <v>19</v>
      </c>
      <c r="D30" s="44">
        <f>D29*2</f>
        <v>955501.96</v>
      </c>
      <c r="E30" s="8"/>
      <c r="F30" s="9">
        <v>737869</v>
      </c>
      <c r="G30" s="8">
        <f>S30*0.09</f>
        <v>1696728.3471074381</v>
      </c>
      <c r="H30" s="3"/>
      <c r="I30" s="3"/>
      <c r="J30" s="9">
        <v>958859</v>
      </c>
      <c r="K30" s="7">
        <f>J30+F30</f>
        <v>1696728</v>
      </c>
      <c r="L30" s="3">
        <f>IF(E30&gt;G30,E30,G30)</f>
        <v>1696728.3471074381</v>
      </c>
      <c r="M30" s="5">
        <f t="shared" si="6"/>
        <v>-0.3471074381377548</v>
      </c>
      <c r="N30" s="2"/>
      <c r="O30" s="39">
        <f t="shared" si="3"/>
        <v>2382736.98</v>
      </c>
      <c r="P30" s="4" t="s">
        <v>2</v>
      </c>
      <c r="Q30" s="2" t="s">
        <v>19</v>
      </c>
      <c r="R30" s="3">
        <v>22811570</v>
      </c>
      <c r="S30" s="3">
        <f t="shared" si="4"/>
        <v>18852537.190082647</v>
      </c>
    </row>
    <row r="31" spans="1:20" hidden="1" x14ac:dyDescent="0.35">
      <c r="A31">
        <v>2025</v>
      </c>
      <c r="B31" s="2" t="s">
        <v>13</v>
      </c>
      <c r="C31" s="2" t="s">
        <v>3</v>
      </c>
      <c r="D31" s="44">
        <v>515040.5</v>
      </c>
      <c r="E31" s="8"/>
      <c r="F31" s="9"/>
      <c r="G31" s="8">
        <v>0</v>
      </c>
      <c r="H31" s="3"/>
      <c r="I31" s="3"/>
      <c r="J31" s="9"/>
      <c r="K31" s="7">
        <v>2139397.7599999998</v>
      </c>
      <c r="L31" s="3">
        <f>E31</f>
        <v>0</v>
      </c>
      <c r="M31" s="2"/>
      <c r="N31" s="2"/>
      <c r="O31" s="39">
        <f t="shared" si="3"/>
        <v>2654438.2599999998</v>
      </c>
      <c r="P31" s="4" t="s">
        <v>13</v>
      </c>
      <c r="Q31" s="2" t="s">
        <v>3</v>
      </c>
      <c r="R31" s="3">
        <v>32137701</v>
      </c>
      <c r="S31" s="3">
        <f t="shared" si="4"/>
        <v>26560083.47107438</v>
      </c>
    </row>
    <row r="32" spans="1:20" hidden="1" x14ac:dyDescent="0.35">
      <c r="A32">
        <v>2025</v>
      </c>
      <c r="B32" s="2" t="s">
        <v>13</v>
      </c>
      <c r="C32" s="2" t="s">
        <v>4</v>
      </c>
      <c r="D32" s="44">
        <v>240529.21</v>
      </c>
      <c r="E32" s="8">
        <v>612727</v>
      </c>
      <c r="F32" s="9">
        <f>K32</f>
        <v>610400</v>
      </c>
      <c r="G32" s="8">
        <v>0</v>
      </c>
      <c r="H32" s="3"/>
      <c r="I32" s="3"/>
      <c r="J32" s="9"/>
      <c r="K32" s="7">
        <f>738584/1.21</f>
        <v>610400</v>
      </c>
      <c r="L32" s="3">
        <f>E32</f>
        <v>612727</v>
      </c>
      <c r="M32" s="5">
        <f t="shared" ref="M32:M37" si="7">K32-L32</f>
        <v>-2327</v>
      </c>
      <c r="N32" s="2"/>
      <c r="O32" s="39">
        <f t="shared" si="3"/>
        <v>873351.79</v>
      </c>
      <c r="P32" s="4" t="s">
        <v>13</v>
      </c>
      <c r="Q32" s="2" t="s">
        <v>4</v>
      </c>
      <c r="R32" s="3">
        <v>13933870</v>
      </c>
      <c r="S32" s="3">
        <f t="shared" si="4"/>
        <v>11515595.041322315</v>
      </c>
    </row>
    <row r="33" spans="1:20" hidden="1" x14ac:dyDescent="0.35">
      <c r="A33">
        <v>2025</v>
      </c>
      <c r="B33" s="2" t="s">
        <v>13</v>
      </c>
      <c r="C33" s="2" t="s">
        <v>14</v>
      </c>
      <c r="D33" s="44">
        <v>282173.06</v>
      </c>
      <c r="E33" s="8">
        <v>541041</v>
      </c>
      <c r="F33" s="7">
        <v>540862</v>
      </c>
      <c r="G33" s="8">
        <f>S33*0.09</f>
        <v>205633.63636363638</v>
      </c>
      <c r="H33" s="3"/>
      <c r="I33" s="3"/>
      <c r="J33" s="9"/>
      <c r="K33" s="7">
        <f>F33</f>
        <v>540862</v>
      </c>
      <c r="L33" s="3">
        <f>IF(E33&gt;G33,E33,G33)</f>
        <v>541041</v>
      </c>
      <c r="M33" s="5">
        <f t="shared" si="7"/>
        <v>-179</v>
      </c>
      <c r="N33" s="2"/>
      <c r="O33" s="39">
        <f t="shared" si="3"/>
        <v>815338.14</v>
      </c>
      <c r="P33" s="4" t="s">
        <v>13</v>
      </c>
      <c r="Q33" s="2" t="s">
        <v>14</v>
      </c>
      <c r="R33" s="3">
        <v>2764630</v>
      </c>
      <c r="S33" s="3">
        <f t="shared" si="4"/>
        <v>2284818.1818181821</v>
      </c>
    </row>
    <row r="34" spans="1:20" hidden="1" x14ac:dyDescent="0.35">
      <c r="A34">
        <v>2025</v>
      </c>
      <c r="B34" s="2" t="s">
        <v>13</v>
      </c>
      <c r="C34" s="2" t="s">
        <v>5</v>
      </c>
      <c r="D34" s="44">
        <v>1912694.22</v>
      </c>
      <c r="E34" s="8">
        <v>1030740</v>
      </c>
      <c r="F34" s="9">
        <v>1044616</v>
      </c>
      <c r="G34" s="8">
        <f>S34*0.07</f>
        <v>936019.17355371907</v>
      </c>
      <c r="H34" s="3">
        <f>E34*0.15</f>
        <v>154611</v>
      </c>
      <c r="I34" s="3">
        <v>156692</v>
      </c>
      <c r="J34" s="3"/>
      <c r="K34" s="7">
        <f>F34+I34+J34</f>
        <v>1201308</v>
      </c>
      <c r="L34" s="3">
        <f>IF(E34&gt;G34,E34+H34,G34+H34)</f>
        <v>1185351</v>
      </c>
      <c r="M34" s="5">
        <f t="shared" si="7"/>
        <v>15957</v>
      </c>
      <c r="N34" s="2"/>
      <c r="O34" s="39">
        <f t="shared" si="3"/>
        <v>3199043.13</v>
      </c>
      <c r="P34" s="4" t="s">
        <v>13</v>
      </c>
      <c r="Q34" s="2" t="s">
        <v>5</v>
      </c>
      <c r="R34" s="3">
        <v>16179760</v>
      </c>
      <c r="S34" s="3">
        <f t="shared" si="4"/>
        <v>13371702.479338843</v>
      </c>
    </row>
    <row r="35" spans="1:20" hidden="1" x14ac:dyDescent="0.35">
      <c r="A35">
        <v>2025</v>
      </c>
      <c r="B35" s="2" t="s">
        <v>13</v>
      </c>
      <c r="C35" s="2" t="s">
        <v>6</v>
      </c>
      <c r="D35" s="44">
        <v>529932.19999999995</v>
      </c>
      <c r="E35" s="8"/>
      <c r="F35" s="9">
        <v>819280</v>
      </c>
      <c r="G35" s="8">
        <f>S35*0.08</f>
        <v>1609417.5206611571</v>
      </c>
      <c r="H35" s="3"/>
      <c r="I35" s="3"/>
      <c r="J35" s="9">
        <v>804353</v>
      </c>
      <c r="K35" s="7">
        <f>J35+F35</f>
        <v>1623633</v>
      </c>
      <c r="L35" s="3">
        <f>G35</f>
        <v>1609417.5206611571</v>
      </c>
      <c r="M35" s="5">
        <f t="shared" si="7"/>
        <v>14215.47933884291</v>
      </c>
      <c r="N35" s="2"/>
      <c r="O35" s="39">
        <f t="shared" si="3"/>
        <v>2101383.98</v>
      </c>
      <c r="P35" s="4" t="s">
        <v>13</v>
      </c>
      <c r="Q35" s="2" t="s">
        <v>6</v>
      </c>
      <c r="R35" s="3">
        <v>24342440</v>
      </c>
      <c r="S35" s="3">
        <f t="shared" si="4"/>
        <v>20117719.008264463</v>
      </c>
    </row>
    <row r="36" spans="1:20" hidden="1" x14ac:dyDescent="0.35">
      <c r="A36">
        <v>2025</v>
      </c>
      <c r="B36" s="2" t="s">
        <v>13</v>
      </c>
      <c r="C36" s="2" t="s">
        <v>7</v>
      </c>
      <c r="D36" s="44">
        <v>529932.19999999995</v>
      </c>
      <c r="E36" s="9">
        <v>825000</v>
      </c>
      <c r="F36" s="9">
        <v>825000</v>
      </c>
      <c r="G36" s="8">
        <f>S36*0.1</f>
        <v>627856.19834710739</v>
      </c>
      <c r="H36" s="3"/>
      <c r="I36" s="3"/>
      <c r="J36" s="9"/>
      <c r="K36" s="7">
        <f>F36+J36</f>
        <v>825000</v>
      </c>
      <c r="L36" s="3">
        <f>IF(E36&gt;G36,E36,G36)</f>
        <v>825000</v>
      </c>
      <c r="M36" s="5">
        <f t="shared" si="7"/>
        <v>0</v>
      </c>
      <c r="N36" s="2"/>
      <c r="O36" s="39">
        <f t="shared" si="3"/>
        <v>1302750.98</v>
      </c>
      <c r="P36" s="4" t="s">
        <v>13</v>
      </c>
      <c r="Q36" s="2" t="s">
        <v>7</v>
      </c>
      <c r="R36" s="3">
        <v>7597060</v>
      </c>
      <c r="S36" s="3">
        <f t="shared" si="4"/>
        <v>6278561.9834710741</v>
      </c>
      <c r="T36" s="39"/>
    </row>
    <row r="37" spans="1:20" hidden="1" x14ac:dyDescent="0.35">
      <c r="A37">
        <v>2025</v>
      </c>
      <c r="B37" s="2" t="s">
        <v>13</v>
      </c>
      <c r="C37" s="2" t="s">
        <v>19</v>
      </c>
      <c r="D37" s="44">
        <f>D36*2</f>
        <v>1059864.3999999999</v>
      </c>
      <c r="E37" s="8"/>
      <c r="F37" s="9">
        <v>737869</v>
      </c>
      <c r="G37" s="8">
        <f>S37*0.09</f>
        <v>1200551.6528925619</v>
      </c>
      <c r="H37" s="3"/>
      <c r="I37" s="3"/>
      <c r="J37" s="9">
        <v>462684</v>
      </c>
      <c r="K37" s="7">
        <f>J37+F37</f>
        <v>1200553</v>
      </c>
      <c r="L37" s="3">
        <f>IF(E37&gt;G37,E37,G37)</f>
        <v>1200551.6528925619</v>
      </c>
      <c r="M37" s="5">
        <f t="shared" si="7"/>
        <v>1.3471074381377548</v>
      </c>
      <c r="N37" s="2"/>
      <c r="O37" s="39">
        <f t="shared" si="3"/>
        <v>2156054.96</v>
      </c>
      <c r="P37" s="4" t="s">
        <v>13</v>
      </c>
      <c r="Q37" s="2" t="s">
        <v>19</v>
      </c>
      <c r="R37" s="3">
        <v>16140750</v>
      </c>
      <c r="S37" s="3">
        <f t="shared" si="4"/>
        <v>13339462.809917355</v>
      </c>
    </row>
    <row r="38" spans="1:20" hidden="1" x14ac:dyDescent="0.35">
      <c r="A38">
        <v>2025</v>
      </c>
      <c r="B38" s="2" t="s">
        <v>11</v>
      </c>
      <c r="C38" s="2" t="s">
        <v>3</v>
      </c>
      <c r="D38" s="44">
        <v>515040.5</v>
      </c>
      <c r="E38" s="8"/>
      <c r="F38" s="9"/>
      <c r="G38" s="8">
        <v>0</v>
      </c>
      <c r="H38" s="3"/>
      <c r="I38" s="3"/>
      <c r="J38" s="9"/>
      <c r="K38" s="7">
        <v>2338348.56</v>
      </c>
      <c r="L38" s="3">
        <f>E38</f>
        <v>0</v>
      </c>
      <c r="M38" s="2"/>
      <c r="N38" s="2"/>
      <c r="O38" s="39">
        <f t="shared" si="3"/>
        <v>2853389.06</v>
      </c>
      <c r="P38" s="4" t="s">
        <v>11</v>
      </c>
      <c r="Q38" s="2" t="s">
        <v>3</v>
      </c>
      <c r="R38" s="3">
        <v>35367522</v>
      </c>
      <c r="S38" s="3">
        <f t="shared" si="4"/>
        <v>29229357.02479339</v>
      </c>
    </row>
    <row r="39" spans="1:20" hidden="1" x14ac:dyDescent="0.35">
      <c r="A39">
        <v>2025</v>
      </c>
      <c r="B39" s="2" t="s">
        <v>11</v>
      </c>
      <c r="C39" s="2" t="s">
        <v>4</v>
      </c>
      <c r="D39" s="44">
        <v>217135.92</v>
      </c>
      <c r="E39" s="8">
        <v>663059</v>
      </c>
      <c r="F39" s="9">
        <f>K39</f>
        <v>667200</v>
      </c>
      <c r="G39" s="8">
        <v>0</v>
      </c>
      <c r="H39" s="3"/>
      <c r="I39" s="3"/>
      <c r="J39" s="9"/>
      <c r="K39" s="7">
        <v>667200</v>
      </c>
      <c r="L39" s="3">
        <f>E39</f>
        <v>663059</v>
      </c>
      <c r="M39" s="5">
        <f t="shared" ref="M39:M44" si="8">K39-L39</f>
        <v>4141</v>
      </c>
      <c r="N39" s="2"/>
      <c r="O39" s="39">
        <f t="shared" si="3"/>
        <v>907729.21</v>
      </c>
      <c r="P39" s="4" t="s">
        <v>11</v>
      </c>
      <c r="Q39" s="2" t="s">
        <v>4</v>
      </c>
      <c r="R39" s="3">
        <v>16508620</v>
      </c>
      <c r="S39" s="3">
        <f t="shared" si="4"/>
        <v>13643487.603305785</v>
      </c>
    </row>
    <row r="40" spans="1:20" hidden="1" x14ac:dyDescent="0.35">
      <c r="A40">
        <v>2025</v>
      </c>
      <c r="B40" s="2" t="s">
        <v>11</v>
      </c>
      <c r="C40" s="2" t="s">
        <v>14</v>
      </c>
      <c r="D40" s="44">
        <v>306815.86</v>
      </c>
      <c r="E40" s="8">
        <v>599544</v>
      </c>
      <c r="F40" s="7">
        <f>540862+58413.1</f>
        <v>599275.1</v>
      </c>
      <c r="G40" s="8">
        <f>S40*0.09</f>
        <v>287735.20661157026</v>
      </c>
      <c r="H40" s="3"/>
      <c r="I40" s="3"/>
      <c r="J40" s="9"/>
      <c r="K40" s="7">
        <f>F40</f>
        <v>599275.1</v>
      </c>
      <c r="L40" s="3">
        <f>IF(E40&gt;G40,E40,G40)</f>
        <v>599544</v>
      </c>
      <c r="M40" s="5">
        <f t="shared" si="8"/>
        <v>-268.90000000002328</v>
      </c>
      <c r="N40" s="2"/>
      <c r="O40" s="39">
        <f t="shared" si="3"/>
        <v>881448.15999999992</v>
      </c>
      <c r="P40" s="4" t="s">
        <v>11</v>
      </c>
      <c r="Q40" s="2" t="s">
        <v>14</v>
      </c>
      <c r="R40" s="3">
        <v>3868440</v>
      </c>
      <c r="S40" s="3">
        <f t="shared" si="4"/>
        <v>3197057.8512396696</v>
      </c>
    </row>
    <row r="41" spans="1:20" hidden="1" x14ac:dyDescent="0.35">
      <c r="A41">
        <v>2025</v>
      </c>
      <c r="B41" s="2" t="s">
        <v>11</v>
      </c>
      <c r="C41" s="2" t="s">
        <v>5</v>
      </c>
      <c r="D41" s="44">
        <v>1846064.21</v>
      </c>
      <c r="E41" s="8">
        <v>1030740</v>
      </c>
      <c r="F41" s="9">
        <v>1044616</v>
      </c>
      <c r="G41" s="8">
        <f>S41*0.07</f>
        <v>877337.76859504147</v>
      </c>
      <c r="H41" s="3">
        <f>E41*0.15</f>
        <v>154611</v>
      </c>
      <c r="I41" s="3">
        <v>156692</v>
      </c>
      <c r="J41" s="9"/>
      <c r="K41" s="7">
        <f>F41+I41+J41</f>
        <v>1201308</v>
      </c>
      <c r="L41" s="3">
        <f>IF(E41&gt;G41,E41+H41,G41+H41)</f>
        <v>1185351</v>
      </c>
      <c r="M41" s="5">
        <f t="shared" si="8"/>
        <v>15957</v>
      </c>
      <c r="N41" s="2"/>
      <c r="O41" s="39">
        <f t="shared" si="3"/>
        <v>3114002.2199999997</v>
      </c>
      <c r="P41" s="4" t="s">
        <v>11</v>
      </c>
      <c r="Q41" s="2" t="s">
        <v>5</v>
      </c>
      <c r="R41" s="3">
        <v>15165410</v>
      </c>
      <c r="S41" s="3">
        <f t="shared" si="4"/>
        <v>12533396.694214877</v>
      </c>
    </row>
    <row r="42" spans="1:20" hidden="1" x14ac:dyDescent="0.35">
      <c r="A42">
        <v>2025</v>
      </c>
      <c r="B42" s="2" t="s">
        <v>11</v>
      </c>
      <c r="C42" s="2" t="s">
        <v>6</v>
      </c>
      <c r="D42" s="44">
        <v>482202.15</v>
      </c>
      <c r="E42" s="8"/>
      <c r="F42" s="9">
        <v>876549</v>
      </c>
      <c r="G42" s="8">
        <f>S42*0.08</f>
        <v>1533840.6611570248</v>
      </c>
      <c r="H42" s="3"/>
      <c r="I42" s="3"/>
      <c r="J42" s="9">
        <v>657285</v>
      </c>
      <c r="K42" s="7">
        <f>J42+F42</f>
        <v>1533834</v>
      </c>
      <c r="L42" s="3">
        <f>G42</f>
        <v>1533840.6611570248</v>
      </c>
      <c r="M42" s="5">
        <f t="shared" si="8"/>
        <v>-6.6611570247914642</v>
      </c>
      <c r="N42" s="2"/>
      <c r="O42" s="39">
        <f t="shared" si="3"/>
        <v>2063766.2</v>
      </c>
      <c r="P42" s="4" t="s">
        <v>11</v>
      </c>
      <c r="Q42" s="2" t="s">
        <v>6</v>
      </c>
      <c r="R42" s="3">
        <v>23199340</v>
      </c>
      <c r="S42" s="3">
        <f t="shared" si="4"/>
        <v>19173008.26446281</v>
      </c>
    </row>
    <row r="43" spans="1:20" hidden="1" x14ac:dyDescent="0.35">
      <c r="A43">
        <v>2025</v>
      </c>
      <c r="B43" s="2" t="s">
        <v>11</v>
      </c>
      <c r="C43" s="2" t="s">
        <v>7</v>
      </c>
      <c r="D43" s="44">
        <v>482202.15</v>
      </c>
      <c r="E43" s="9">
        <v>887700</v>
      </c>
      <c r="F43" s="9">
        <v>887700</v>
      </c>
      <c r="G43" s="8">
        <f>S43*0.1</f>
        <v>579102.47933884303</v>
      </c>
      <c r="H43" s="3"/>
      <c r="I43" s="3"/>
      <c r="J43" s="9"/>
      <c r="K43" s="7">
        <f>F43+J43</f>
        <v>887700</v>
      </c>
      <c r="L43" s="3">
        <f>IF(E43&gt;G43,E43,G43)</f>
        <v>887700</v>
      </c>
      <c r="M43" s="5">
        <f t="shared" si="8"/>
        <v>0</v>
      </c>
      <c r="N43" s="2"/>
      <c r="O43" s="39">
        <f t="shared" si="3"/>
        <v>1417632.2</v>
      </c>
      <c r="P43" s="4" t="s">
        <v>11</v>
      </c>
      <c r="Q43" s="2" t="s">
        <v>7</v>
      </c>
      <c r="R43" s="3">
        <v>7007140</v>
      </c>
      <c r="S43" s="3">
        <f t="shared" si="4"/>
        <v>5791024.79338843</v>
      </c>
    </row>
    <row r="44" spans="1:20" hidden="1" x14ac:dyDescent="0.35">
      <c r="A44">
        <v>2025</v>
      </c>
      <c r="B44" s="2" t="s">
        <v>11</v>
      </c>
      <c r="C44" s="2" t="s">
        <v>19</v>
      </c>
      <c r="D44" s="44">
        <v>964404.3</v>
      </c>
      <c r="E44" s="8"/>
      <c r="F44" s="9">
        <v>789519</v>
      </c>
      <c r="G44" s="56">
        <f>S44*0.09</f>
        <v>1045606.6115702479</v>
      </c>
      <c r="H44" s="3"/>
      <c r="I44" s="3"/>
      <c r="J44" s="58">
        <v>256054</v>
      </c>
      <c r="K44" s="7">
        <f>J44+F44</f>
        <v>1045573</v>
      </c>
      <c r="L44" s="3">
        <f>IF(E44&gt;G44,E44,G44)</f>
        <v>1045606.6115702479</v>
      </c>
      <c r="M44" s="5">
        <f t="shared" si="8"/>
        <v>-33.611570247914642</v>
      </c>
      <c r="N44" s="2"/>
      <c r="O44" s="39">
        <f t="shared" si="3"/>
        <v>2105437.4</v>
      </c>
      <c r="P44" s="4" t="s">
        <v>11</v>
      </c>
      <c r="Q44" s="2" t="s">
        <v>19</v>
      </c>
      <c r="R44" s="3">
        <v>14057600</v>
      </c>
      <c r="S44" s="3">
        <f t="shared" si="4"/>
        <v>11617851.239669422</v>
      </c>
    </row>
    <row r="45" spans="1:20" hidden="1" x14ac:dyDescent="0.35">
      <c r="A45">
        <v>2025</v>
      </c>
      <c r="B45" s="2" t="s">
        <v>10</v>
      </c>
      <c r="C45" s="2" t="s">
        <v>3</v>
      </c>
      <c r="D45" s="44">
        <v>407740.5</v>
      </c>
      <c r="E45" s="8"/>
      <c r="F45" s="9"/>
      <c r="G45" s="8">
        <v>0</v>
      </c>
      <c r="H45" s="3"/>
      <c r="I45" s="3"/>
      <c r="J45" s="9"/>
      <c r="K45" s="7">
        <v>6375000</v>
      </c>
      <c r="L45" s="3">
        <f>E45</f>
        <v>0</v>
      </c>
      <c r="M45" s="2"/>
      <c r="N45" s="2"/>
      <c r="O45" s="39">
        <f t="shared" si="3"/>
        <v>6890040.5</v>
      </c>
      <c r="P45" s="4" t="s">
        <v>10</v>
      </c>
      <c r="Q45" s="2" t="s">
        <v>3</v>
      </c>
      <c r="R45" s="3">
        <v>29116758</v>
      </c>
      <c r="S45" s="3">
        <f t="shared" si="4"/>
        <v>24063436.363636363</v>
      </c>
    </row>
    <row r="46" spans="1:20" hidden="1" x14ac:dyDescent="0.35">
      <c r="A46">
        <v>2025</v>
      </c>
      <c r="B46" s="2" t="s">
        <v>10</v>
      </c>
      <c r="C46" s="2" t="s">
        <v>4</v>
      </c>
      <c r="D46" s="44">
        <v>242602.21</v>
      </c>
      <c r="E46" s="8">
        <v>663059</v>
      </c>
      <c r="F46" s="9">
        <f>K46</f>
        <v>667200</v>
      </c>
      <c r="G46" s="8">
        <v>0</v>
      </c>
      <c r="H46" s="3"/>
      <c r="I46" s="3"/>
      <c r="J46" s="9"/>
      <c r="K46" s="7">
        <v>667200</v>
      </c>
      <c r="L46" s="3">
        <f>E46</f>
        <v>663059</v>
      </c>
      <c r="M46" s="5">
        <f t="shared" ref="M46:M77" si="9">K46-L46</f>
        <v>4141</v>
      </c>
      <c r="N46" s="2"/>
      <c r="O46" s="39">
        <f t="shared" si="3"/>
        <v>884335.92</v>
      </c>
      <c r="P46" s="4" t="s">
        <v>10</v>
      </c>
      <c r="Q46" s="2" t="s">
        <v>4</v>
      </c>
      <c r="R46" s="3">
        <v>16952183</v>
      </c>
      <c r="S46" s="3">
        <f t="shared" si="4"/>
        <v>14010068.595041323</v>
      </c>
    </row>
    <row r="47" spans="1:20" hidden="1" x14ac:dyDescent="0.35">
      <c r="A47">
        <v>2025</v>
      </c>
      <c r="B47" s="2" t="s">
        <v>10</v>
      </c>
      <c r="C47" s="2" t="s">
        <v>14</v>
      </c>
      <c r="D47" s="44">
        <v>328003.06</v>
      </c>
      <c r="E47" s="8">
        <v>599544</v>
      </c>
      <c r="F47" s="9">
        <v>599275.1</v>
      </c>
      <c r="G47" s="8">
        <f>S47*0.09</f>
        <v>280739.75206611567</v>
      </c>
      <c r="H47" s="3"/>
      <c r="I47" s="3"/>
      <c r="J47" s="9"/>
      <c r="K47" s="7">
        <f>F47</f>
        <v>599275.1</v>
      </c>
      <c r="L47" s="3">
        <f>IF(E47&gt;G47,E47,G47)</f>
        <v>599544</v>
      </c>
      <c r="M47" s="5">
        <f t="shared" si="9"/>
        <v>-268.90000000002328</v>
      </c>
      <c r="N47" s="2"/>
      <c r="O47" s="39">
        <f t="shared" si="3"/>
        <v>906090.96</v>
      </c>
      <c r="P47" s="4" t="s">
        <v>10</v>
      </c>
      <c r="Q47" s="2" t="s">
        <v>14</v>
      </c>
      <c r="R47" s="3">
        <v>3774390</v>
      </c>
      <c r="S47" s="3">
        <f t="shared" si="4"/>
        <v>3119330.5785123967</v>
      </c>
    </row>
    <row r="48" spans="1:20" hidden="1" x14ac:dyDescent="0.35">
      <c r="A48">
        <v>2025</v>
      </c>
      <c r="B48" s="2" t="s">
        <v>10</v>
      </c>
      <c r="C48" s="2" t="s">
        <v>5</v>
      </c>
      <c r="D48" s="44">
        <v>1901854.12</v>
      </c>
      <c r="E48" s="8">
        <v>1092714</v>
      </c>
      <c r="F48" s="9">
        <v>1130425</v>
      </c>
      <c r="G48" s="8">
        <f>S48*0.07</f>
        <v>1003803.0082644629</v>
      </c>
      <c r="H48" s="3">
        <f>E48*0.15</f>
        <v>163907.1</v>
      </c>
      <c r="I48" s="3">
        <v>169564</v>
      </c>
      <c r="J48" s="9"/>
      <c r="K48" s="7">
        <f>F48+I48+J48</f>
        <v>1299989</v>
      </c>
      <c r="L48" s="3">
        <f>IF(E48&gt;G48,E48+H48,G48+H48)</f>
        <v>1256621.1000000001</v>
      </c>
      <c r="M48" s="5">
        <f t="shared" si="9"/>
        <v>43367.899999999907</v>
      </c>
      <c r="N48" s="2"/>
      <c r="O48" s="39">
        <f t="shared" si="3"/>
        <v>3146053.21</v>
      </c>
      <c r="P48" s="4" t="s">
        <v>10</v>
      </c>
      <c r="Q48" s="2" t="s">
        <v>5</v>
      </c>
      <c r="R48" s="3">
        <v>17351452</v>
      </c>
      <c r="S48" s="3">
        <f t="shared" si="4"/>
        <v>14340042.975206612</v>
      </c>
    </row>
    <row r="49" spans="1:19" hidden="1" x14ac:dyDescent="0.35">
      <c r="A49">
        <v>2025</v>
      </c>
      <c r="B49" s="2" t="s">
        <v>10</v>
      </c>
      <c r="C49" s="2" t="s">
        <v>6</v>
      </c>
      <c r="D49" s="44">
        <v>573285.05000000005</v>
      </c>
      <c r="E49" s="53"/>
      <c r="F49" s="54">
        <v>876549</v>
      </c>
      <c r="G49" s="53">
        <f>S49*0.08</f>
        <v>1594208.9256198348</v>
      </c>
      <c r="H49" s="55"/>
      <c r="I49" s="55"/>
      <c r="J49" s="54">
        <v>717653</v>
      </c>
      <c r="K49" s="7">
        <f>J49+F49</f>
        <v>1594202</v>
      </c>
      <c r="L49" s="3">
        <f>G49</f>
        <v>1594208.9256198348</v>
      </c>
      <c r="M49" s="5">
        <f t="shared" si="9"/>
        <v>-6.9256198348011822</v>
      </c>
      <c r="N49" s="2"/>
      <c r="O49" s="39">
        <f t="shared" si="3"/>
        <v>2076404.15</v>
      </c>
      <c r="P49" s="4" t="s">
        <v>10</v>
      </c>
      <c r="Q49" s="2" t="s">
        <v>6</v>
      </c>
      <c r="R49" s="3">
        <v>24112410</v>
      </c>
      <c r="S49" s="3">
        <f t="shared" si="4"/>
        <v>19927611.570247933</v>
      </c>
    </row>
    <row r="50" spans="1:19" hidden="1" x14ac:dyDescent="0.35">
      <c r="A50">
        <v>2025</v>
      </c>
      <c r="B50" s="2" t="s">
        <v>10</v>
      </c>
      <c r="C50" s="2" t="s">
        <v>7</v>
      </c>
      <c r="D50" s="44">
        <v>573285.05000000005</v>
      </c>
      <c r="E50" s="9">
        <v>887700</v>
      </c>
      <c r="F50" s="57">
        <v>887700</v>
      </c>
      <c r="G50" s="57">
        <f>S50*0.1</f>
        <v>872080.66115702491</v>
      </c>
      <c r="H50" s="57"/>
      <c r="I50" s="57"/>
      <c r="J50" s="58">
        <v>15619</v>
      </c>
      <c r="K50" s="7">
        <f>F50+J50</f>
        <v>903319</v>
      </c>
      <c r="L50" s="3">
        <f>IF(E50&gt;G50,E50,G50)</f>
        <v>887700</v>
      </c>
      <c r="M50" s="5">
        <f t="shared" si="9"/>
        <v>15619</v>
      </c>
      <c r="N50" s="2"/>
      <c r="O50" s="39">
        <f t="shared" si="3"/>
        <v>1385521.15</v>
      </c>
      <c r="P50" s="4" t="s">
        <v>10</v>
      </c>
      <c r="Q50" s="2" t="s">
        <v>7</v>
      </c>
      <c r="R50" s="3">
        <v>10552176</v>
      </c>
      <c r="S50" s="3">
        <f t="shared" si="4"/>
        <v>8720806.6115702484</v>
      </c>
    </row>
    <row r="51" spans="1:19" hidden="1" x14ac:dyDescent="0.35">
      <c r="A51">
        <v>2025</v>
      </c>
      <c r="B51" s="2" t="s">
        <v>10</v>
      </c>
      <c r="C51" s="2" t="s">
        <v>19</v>
      </c>
      <c r="D51" s="44">
        <v>1146570.01</v>
      </c>
      <c r="E51" s="56"/>
      <c r="F51" s="57">
        <v>789519</v>
      </c>
      <c r="G51" s="57">
        <f>S51*0.09</f>
        <v>1294258.0165289256</v>
      </c>
      <c r="H51" s="3"/>
      <c r="I51" s="3"/>
      <c r="J51" s="58">
        <v>504738</v>
      </c>
      <c r="K51" s="7">
        <f>J51+F51</f>
        <v>1294257</v>
      </c>
      <c r="L51" s="3">
        <f>IF(E51&gt;G51,E51,G51)</f>
        <v>1294258.0165289256</v>
      </c>
      <c r="M51" s="5">
        <f t="shared" si="9"/>
        <v>-1.0165289256256074</v>
      </c>
      <c r="N51" s="2"/>
      <c r="O51" s="39">
        <f t="shared" si="3"/>
        <v>2258661.2999999998</v>
      </c>
      <c r="P51" s="4" t="s">
        <v>10</v>
      </c>
      <c r="Q51" s="2" t="s">
        <v>19</v>
      </c>
      <c r="R51" s="3">
        <v>17400580</v>
      </c>
      <c r="S51" s="3">
        <f t="shared" si="4"/>
        <v>14380644.628099173</v>
      </c>
    </row>
    <row r="52" spans="1:19" hidden="1" x14ac:dyDescent="0.35">
      <c r="A52">
        <v>2025</v>
      </c>
      <c r="B52" s="2" t="s">
        <v>16</v>
      </c>
      <c r="C52" s="2" t="s">
        <v>3</v>
      </c>
      <c r="D52" s="44"/>
      <c r="E52" s="3">
        <v>6550000</v>
      </c>
      <c r="F52" s="3">
        <v>6550000</v>
      </c>
      <c r="G52" s="57">
        <v>0</v>
      </c>
      <c r="H52" s="57"/>
      <c r="I52" s="57"/>
      <c r="J52" s="58"/>
      <c r="K52" s="7">
        <f>F52</f>
        <v>6550000</v>
      </c>
      <c r="L52" s="3">
        <f>E52</f>
        <v>6550000</v>
      </c>
      <c r="M52" s="5">
        <f t="shared" si="9"/>
        <v>0</v>
      </c>
      <c r="N52" s="2"/>
      <c r="O52" s="39">
        <f t="shared" si="3"/>
        <v>6957740.5</v>
      </c>
      <c r="P52" s="4" t="s">
        <v>16</v>
      </c>
      <c r="Q52" s="2" t="s">
        <v>3</v>
      </c>
      <c r="R52" s="3">
        <v>34957464</v>
      </c>
      <c r="S52" s="3">
        <f t="shared" si="4"/>
        <v>28890466.11570248</v>
      </c>
    </row>
    <row r="53" spans="1:19" hidden="1" x14ac:dyDescent="0.35">
      <c r="A53">
        <v>2025</v>
      </c>
      <c r="B53" s="2" t="s">
        <v>16</v>
      </c>
      <c r="C53" s="2" t="s">
        <v>4</v>
      </c>
      <c r="D53" s="44"/>
      <c r="E53" s="3">
        <v>663059</v>
      </c>
      <c r="F53" s="3">
        <v>667200</v>
      </c>
      <c r="G53" s="57">
        <v>0</v>
      </c>
      <c r="H53" s="57"/>
      <c r="I53" s="57"/>
      <c r="J53" s="58"/>
      <c r="K53" s="7">
        <f>F53</f>
        <v>667200</v>
      </c>
      <c r="L53" s="3">
        <f>E53</f>
        <v>663059</v>
      </c>
      <c r="M53" s="5">
        <f t="shared" si="9"/>
        <v>4141</v>
      </c>
      <c r="N53" s="2"/>
      <c r="O53" s="39">
        <f t="shared" si="3"/>
        <v>909802.21</v>
      </c>
      <c r="P53" s="4" t="s">
        <v>16</v>
      </c>
      <c r="Q53" s="2" t="s">
        <v>4</v>
      </c>
      <c r="R53" s="3">
        <v>15436371</v>
      </c>
      <c r="S53" s="3">
        <f t="shared" si="4"/>
        <v>12757331.404958678</v>
      </c>
    </row>
    <row r="54" spans="1:19" hidden="1" x14ac:dyDescent="0.35">
      <c r="A54">
        <v>2025</v>
      </c>
      <c r="B54" s="2" t="s">
        <v>16</v>
      </c>
      <c r="C54" s="2" t="s">
        <v>14</v>
      </c>
      <c r="D54" s="44"/>
      <c r="E54" s="3">
        <v>599544</v>
      </c>
      <c r="F54" s="3">
        <v>599275.1</v>
      </c>
      <c r="G54" s="57">
        <f>S54*0.09</f>
        <v>311597.10743801657</v>
      </c>
      <c r="H54" s="57"/>
      <c r="I54" s="57"/>
      <c r="J54" s="58"/>
      <c r="K54" s="7">
        <f>F54</f>
        <v>599275.1</v>
      </c>
      <c r="L54" s="3">
        <f>IF(E54&gt;G54,E54,G54)</f>
        <v>599544</v>
      </c>
      <c r="M54" s="5">
        <f t="shared" si="9"/>
        <v>-268.90000000002328</v>
      </c>
      <c r="N54" s="2"/>
      <c r="O54" s="39">
        <f t="shared" si="3"/>
        <v>927278.15999999992</v>
      </c>
      <c r="P54" s="4" t="s">
        <v>16</v>
      </c>
      <c r="Q54" s="2" t="s">
        <v>14</v>
      </c>
      <c r="R54" s="3">
        <v>4189250</v>
      </c>
      <c r="S54" s="3">
        <f t="shared" si="4"/>
        <v>3462190.0826446284</v>
      </c>
    </row>
    <row r="55" spans="1:19" hidden="1" x14ac:dyDescent="0.35">
      <c r="A55">
        <v>2025</v>
      </c>
      <c r="B55" s="2" t="s">
        <v>16</v>
      </c>
      <c r="C55" s="2" t="s">
        <v>5</v>
      </c>
      <c r="D55" s="44"/>
      <c r="E55" s="3">
        <v>1092714</v>
      </c>
      <c r="F55" s="3">
        <v>1130425</v>
      </c>
      <c r="G55" s="57">
        <f>S55*0.07</f>
        <v>1045680.5950413224</v>
      </c>
      <c r="H55" s="57">
        <f>E55*0.15</f>
        <v>163907.1</v>
      </c>
      <c r="I55" s="57">
        <v>169564</v>
      </c>
      <c r="J55" s="58"/>
      <c r="K55" s="7">
        <f>F55+I55+J55</f>
        <v>1299989</v>
      </c>
      <c r="L55" s="3">
        <f>IF(E55&gt;G55,E55+H55,G55+H55)</f>
        <v>1256621.1000000001</v>
      </c>
      <c r="M55" s="5">
        <f t="shared" si="9"/>
        <v>43367.899999999907</v>
      </c>
      <c r="N55" s="5"/>
      <c r="O55" s="39">
        <f t="shared" si="3"/>
        <v>3201843.12</v>
      </c>
      <c r="P55" s="4" t="s">
        <v>16</v>
      </c>
      <c r="Q55" s="2" t="s">
        <v>5</v>
      </c>
      <c r="R55" s="3">
        <v>18075336</v>
      </c>
      <c r="S55" s="3">
        <f t="shared" si="4"/>
        <v>14938294.214876033</v>
      </c>
    </row>
    <row r="56" spans="1:19" hidden="1" x14ac:dyDescent="0.35">
      <c r="A56">
        <v>2025</v>
      </c>
      <c r="B56" s="2" t="s">
        <v>16</v>
      </c>
      <c r="C56" s="2" t="s">
        <v>6</v>
      </c>
      <c r="D56" s="44"/>
      <c r="E56" s="3"/>
      <c r="F56" s="3">
        <v>928265</v>
      </c>
      <c r="G56" s="57">
        <f>S56*0.08</f>
        <v>1741513.4545454548</v>
      </c>
      <c r="H56" s="57"/>
      <c r="I56" s="57"/>
      <c r="J56" s="58">
        <v>813248</v>
      </c>
      <c r="K56" s="7">
        <f>J56+F56</f>
        <v>1741513</v>
      </c>
      <c r="L56" s="3">
        <f>G56</f>
        <v>1741513.4545454548</v>
      </c>
      <c r="M56" s="5">
        <f t="shared" si="9"/>
        <v>-0.45454545482061803</v>
      </c>
      <c r="N56" s="2"/>
      <c r="O56" s="39">
        <f t="shared" si="3"/>
        <v>2314798.0499999998</v>
      </c>
      <c r="P56" s="4" t="s">
        <v>16</v>
      </c>
      <c r="Q56" s="2" t="s">
        <v>6</v>
      </c>
      <c r="R56" s="3">
        <v>26340391</v>
      </c>
      <c r="S56" s="3">
        <f t="shared" si="4"/>
        <v>21768918.181818184</v>
      </c>
    </row>
    <row r="57" spans="1:19" hidden="1" x14ac:dyDescent="0.35">
      <c r="A57">
        <v>2025</v>
      </c>
      <c r="B57" s="2" t="s">
        <v>16</v>
      </c>
      <c r="C57" s="2" t="s">
        <v>7</v>
      </c>
      <c r="D57" s="44"/>
      <c r="E57" s="9">
        <v>887700</v>
      </c>
      <c r="F57" s="3">
        <v>887700</v>
      </c>
      <c r="G57" s="57">
        <f>S57*0.1</f>
        <v>780973.38842975209</v>
      </c>
      <c r="H57" s="57"/>
      <c r="I57" s="57"/>
      <c r="J57" s="58"/>
      <c r="K57" s="7">
        <f>F57+J57</f>
        <v>887700</v>
      </c>
      <c r="L57" s="3">
        <f>IF(E57&gt;G57,E57,G57)</f>
        <v>887700</v>
      </c>
      <c r="M57" s="5">
        <f t="shared" si="9"/>
        <v>0</v>
      </c>
      <c r="N57" s="2"/>
      <c r="O57" s="39">
        <f t="shared" si="3"/>
        <v>1460985.05</v>
      </c>
      <c r="P57" s="4" t="s">
        <v>16</v>
      </c>
      <c r="Q57" s="2" t="s">
        <v>7</v>
      </c>
      <c r="R57" s="3">
        <v>9449778</v>
      </c>
      <c r="S57" s="3">
        <f t="shared" si="4"/>
        <v>7809733.8842975209</v>
      </c>
    </row>
    <row r="58" spans="1:19" hidden="1" x14ac:dyDescent="0.35">
      <c r="A58">
        <v>2025</v>
      </c>
      <c r="B58" s="2" t="s">
        <v>16</v>
      </c>
      <c r="C58" s="2" t="s">
        <v>19</v>
      </c>
      <c r="D58" s="44"/>
      <c r="E58" s="3"/>
      <c r="F58" s="3">
        <v>836100</v>
      </c>
      <c r="G58" s="57">
        <f>S58*0.09</f>
        <v>1569765.1239669423</v>
      </c>
      <c r="H58" s="3"/>
      <c r="I58" s="3"/>
      <c r="J58" s="58">
        <v>733664</v>
      </c>
      <c r="K58" s="7">
        <f>J58+F58</f>
        <v>1569764</v>
      </c>
      <c r="L58" s="3">
        <f>IF(E58&gt;G58,E58,G58)</f>
        <v>1569765.1239669423</v>
      </c>
      <c r="M58" s="5">
        <f t="shared" si="9"/>
        <v>-1.1239669423084706</v>
      </c>
      <c r="N58" s="2"/>
      <c r="O58" s="39">
        <f t="shared" si="3"/>
        <v>2716334.01</v>
      </c>
      <c r="P58" s="4" t="s">
        <v>16</v>
      </c>
      <c r="Q58" s="2" t="s">
        <v>19</v>
      </c>
      <c r="R58" s="3">
        <v>21104620</v>
      </c>
      <c r="S58" s="3">
        <f t="shared" si="4"/>
        <v>17441834.710743804</v>
      </c>
    </row>
    <row r="59" spans="1:19" hidden="1" x14ac:dyDescent="0.35">
      <c r="A59">
        <v>2025</v>
      </c>
      <c r="B59" s="2" t="s">
        <v>27</v>
      </c>
      <c r="C59" s="2" t="s">
        <v>3</v>
      </c>
      <c r="D59" s="44"/>
      <c r="E59" s="3">
        <v>7000000</v>
      </c>
      <c r="F59" s="3">
        <v>7000000</v>
      </c>
      <c r="G59" s="57">
        <v>0</v>
      </c>
      <c r="H59" s="57"/>
      <c r="I59" s="57"/>
      <c r="J59" s="58"/>
      <c r="K59" s="7">
        <f>F59</f>
        <v>7000000</v>
      </c>
      <c r="L59" s="3">
        <f>E59</f>
        <v>7000000</v>
      </c>
      <c r="M59" s="5">
        <f t="shared" si="9"/>
        <v>0</v>
      </c>
      <c r="N59" s="2" t="s">
        <v>28</v>
      </c>
      <c r="O59" s="39">
        <f t="shared" si="3"/>
        <v>7000000</v>
      </c>
      <c r="P59" s="4" t="s">
        <v>27</v>
      </c>
      <c r="Q59" s="2" t="s">
        <v>3</v>
      </c>
      <c r="R59" s="3">
        <v>45735238.490000002</v>
      </c>
      <c r="S59" s="3">
        <f t="shared" si="4"/>
        <v>37797717.76033058</v>
      </c>
    </row>
    <row r="60" spans="1:19" hidden="1" x14ac:dyDescent="0.35">
      <c r="A60">
        <v>2025</v>
      </c>
      <c r="B60" s="2" t="s">
        <v>27</v>
      </c>
      <c r="C60" s="2" t="s">
        <v>4</v>
      </c>
      <c r="D60" s="44"/>
      <c r="E60" s="3">
        <v>699486</v>
      </c>
      <c r="F60" s="3">
        <v>703000</v>
      </c>
      <c r="G60" s="57">
        <v>0</v>
      </c>
      <c r="H60" s="57"/>
      <c r="I60" s="57"/>
      <c r="J60" s="58"/>
      <c r="K60" s="7">
        <v>703000</v>
      </c>
      <c r="L60" s="3">
        <f>E60</f>
        <v>699486</v>
      </c>
      <c r="M60" s="5">
        <f t="shared" si="9"/>
        <v>3514</v>
      </c>
      <c r="N60" s="2"/>
      <c r="O60" s="39">
        <f t="shared" si="3"/>
        <v>703000</v>
      </c>
      <c r="P60" s="4" t="s">
        <v>27</v>
      </c>
      <c r="Q60" s="2" t="s">
        <v>4</v>
      </c>
      <c r="R60" s="3">
        <v>16141623</v>
      </c>
      <c r="S60" s="3">
        <f t="shared" si="4"/>
        <v>13340184.297520662</v>
      </c>
    </row>
    <row r="61" spans="1:19" hidden="1" x14ac:dyDescent="0.35">
      <c r="A61">
        <v>2025</v>
      </c>
      <c r="B61" s="2" t="s">
        <v>27</v>
      </c>
      <c r="C61" s="2" t="s">
        <v>14</v>
      </c>
      <c r="D61" s="44"/>
      <c r="E61" s="3">
        <v>599544</v>
      </c>
      <c r="F61" s="3">
        <v>599275.1</v>
      </c>
      <c r="G61" s="57">
        <f>S61*0.09</f>
        <v>310077.3347107438</v>
      </c>
      <c r="H61" s="57"/>
      <c r="I61" s="57"/>
      <c r="J61" s="58"/>
      <c r="K61" s="7">
        <v>599275.1</v>
      </c>
      <c r="L61" s="3">
        <f>IF(E61&gt;G61,E61,G61)</f>
        <v>599544</v>
      </c>
      <c r="M61" s="5">
        <f t="shared" si="9"/>
        <v>-268.90000000002328</v>
      </c>
      <c r="N61" s="2"/>
      <c r="O61" s="39">
        <f t="shared" si="3"/>
        <v>599275.1</v>
      </c>
      <c r="P61" s="4" t="s">
        <v>27</v>
      </c>
      <c r="Q61" s="2" t="s">
        <v>14</v>
      </c>
      <c r="R61" s="3">
        <v>4168817.5</v>
      </c>
      <c r="S61" s="3">
        <f t="shared" si="4"/>
        <v>3445303.7190082646</v>
      </c>
    </row>
    <row r="62" spans="1:19" hidden="1" x14ac:dyDescent="0.35">
      <c r="A62">
        <v>2025</v>
      </c>
      <c r="B62" s="2" t="s">
        <v>27</v>
      </c>
      <c r="C62" s="2" t="s">
        <v>5</v>
      </c>
      <c r="D62" s="44"/>
      <c r="E62" s="3">
        <v>1092714</v>
      </c>
      <c r="F62" s="3">
        <f>1448355.71/1.15</f>
        <v>1259439.7478260871</v>
      </c>
      <c r="G62" s="57">
        <f>S62*0.07</f>
        <v>1259439.7535537193</v>
      </c>
      <c r="H62" s="57">
        <f>IF(E62&gt;G62,E62*0.15,G62*0.15)</f>
        <v>188915.96303305789</v>
      </c>
      <c r="I62" s="57">
        <f>F62*0.15</f>
        <v>188915.96217391305</v>
      </c>
      <c r="J62" s="58"/>
      <c r="K62" s="7">
        <f>I62+F62+J62</f>
        <v>1448355.7100000002</v>
      </c>
      <c r="L62" s="3">
        <f>IF(E62&gt;G62,E62+H62,G62+H62)</f>
        <v>1448355.7165867772</v>
      </c>
      <c r="M62" s="5">
        <f t="shared" si="9"/>
        <v>-6.5867770463228226E-3</v>
      </c>
      <c r="N62" s="2"/>
      <c r="O62" s="39">
        <f t="shared" si="3"/>
        <v>1448355.7100000002</v>
      </c>
      <c r="P62" s="4" t="s">
        <v>27</v>
      </c>
      <c r="Q62" s="2" t="s">
        <v>5</v>
      </c>
      <c r="R62" s="3">
        <v>21770315.739999998</v>
      </c>
      <c r="S62" s="3">
        <f t="shared" si="4"/>
        <v>17991996.479338843</v>
      </c>
    </row>
    <row r="63" spans="1:19" hidden="1" x14ac:dyDescent="0.35">
      <c r="A63">
        <v>2025</v>
      </c>
      <c r="B63" s="2" t="s">
        <v>27</v>
      </c>
      <c r="C63" s="2" t="s">
        <v>6</v>
      </c>
      <c r="D63" s="44"/>
      <c r="E63" s="3"/>
      <c r="F63" s="3"/>
      <c r="G63" s="57">
        <f>S63*0.08</f>
        <v>2250398.6770247938</v>
      </c>
      <c r="H63" s="57"/>
      <c r="I63" s="57"/>
      <c r="J63" s="3">
        <v>2250334.64</v>
      </c>
      <c r="K63" s="7">
        <f>J63+F63</f>
        <v>2250334.64</v>
      </c>
      <c r="L63" s="3">
        <f>G63</f>
        <v>2250398.6770247938</v>
      </c>
      <c r="M63" s="5">
        <f t="shared" si="9"/>
        <v>-64.037024793680757</v>
      </c>
      <c r="N63" s="2"/>
      <c r="O63" s="39">
        <f t="shared" si="3"/>
        <v>2250334.64</v>
      </c>
      <c r="P63" s="4" t="s">
        <v>27</v>
      </c>
      <c r="Q63" s="2" t="s">
        <v>6</v>
      </c>
      <c r="R63" s="3">
        <v>34037279.990000002</v>
      </c>
      <c r="S63" s="3">
        <f t="shared" si="4"/>
        <v>28129983.46280992</v>
      </c>
    </row>
    <row r="64" spans="1:19" hidden="1" x14ac:dyDescent="0.35">
      <c r="A64">
        <v>2025</v>
      </c>
      <c r="B64" s="2" t="s">
        <v>27</v>
      </c>
      <c r="C64" s="2" t="s">
        <v>7</v>
      </c>
      <c r="D64" s="44"/>
      <c r="E64" s="3"/>
      <c r="F64" s="3">
        <v>900710.7</v>
      </c>
      <c r="G64" s="57">
        <f>S64*0.1</f>
        <v>900710.74462809926</v>
      </c>
      <c r="H64" s="57"/>
      <c r="I64" s="57"/>
      <c r="J64" s="58"/>
      <c r="K64" s="7">
        <f>F64+J64</f>
        <v>900710.7</v>
      </c>
      <c r="L64" s="3">
        <f>IF(E64&gt;G64,E64,G64)</f>
        <v>900710.74462809926</v>
      </c>
      <c r="M64" s="5">
        <f t="shared" si="9"/>
        <v>-4.4628099305555224E-2</v>
      </c>
      <c r="N64" s="2"/>
      <c r="O64" s="39">
        <f t="shared" si="3"/>
        <v>900710.7</v>
      </c>
      <c r="P64" s="4" t="s">
        <v>27</v>
      </c>
      <c r="Q64" s="2" t="s">
        <v>7</v>
      </c>
      <c r="R64" s="3">
        <v>10898600.01</v>
      </c>
      <c r="S64" s="3">
        <f t="shared" si="4"/>
        <v>9007107.4462809917</v>
      </c>
    </row>
    <row r="65" spans="1:20" hidden="1" x14ac:dyDescent="0.35">
      <c r="A65">
        <v>2025</v>
      </c>
      <c r="B65" s="2" t="s">
        <v>27</v>
      </c>
      <c r="C65" s="2" t="s">
        <v>19</v>
      </c>
      <c r="D65" s="44"/>
      <c r="E65" s="3"/>
      <c r="F65" s="3">
        <v>1091639.7</v>
      </c>
      <c r="G65" s="57">
        <f>S65*0.09</f>
        <v>1091639.7528099173</v>
      </c>
      <c r="H65" s="3"/>
      <c r="I65" s="3"/>
      <c r="J65" s="58"/>
      <c r="K65" s="7">
        <f>J65+F65</f>
        <v>1091639.7</v>
      </c>
      <c r="L65" s="3">
        <f>IF(E65&gt;G65,E65,G65)</f>
        <v>1091639.7528099173</v>
      </c>
      <c r="M65" s="5">
        <f t="shared" si="9"/>
        <v>-5.2809917367994785E-2</v>
      </c>
      <c r="N65" s="2"/>
      <c r="O65" s="39">
        <f t="shared" si="3"/>
        <v>1091639.7</v>
      </c>
      <c r="P65" s="4" t="s">
        <v>27</v>
      </c>
      <c r="Q65" s="2" t="s">
        <v>19</v>
      </c>
      <c r="R65" s="3">
        <v>14676490.01</v>
      </c>
      <c r="S65" s="3">
        <f t="shared" si="4"/>
        <v>12129330.58677686</v>
      </c>
    </row>
    <row r="66" spans="1:20" hidden="1" x14ac:dyDescent="0.35">
      <c r="A66">
        <v>2025</v>
      </c>
      <c r="B66" s="2" t="s">
        <v>81</v>
      </c>
      <c r="C66" s="2" t="s">
        <v>3</v>
      </c>
      <c r="D66" s="44"/>
      <c r="E66" s="3">
        <v>7275000</v>
      </c>
      <c r="F66" s="3">
        <v>7275000</v>
      </c>
      <c r="G66" s="57">
        <v>0</v>
      </c>
      <c r="H66" s="57"/>
      <c r="I66" s="57"/>
      <c r="J66" s="58"/>
      <c r="K66" s="7">
        <f>F66</f>
        <v>7275000</v>
      </c>
      <c r="L66" s="3">
        <f>E66</f>
        <v>7275000</v>
      </c>
      <c r="M66" s="5">
        <f t="shared" si="9"/>
        <v>0</v>
      </c>
      <c r="N66" s="2" t="s">
        <v>28</v>
      </c>
      <c r="O66" s="39">
        <f t="shared" ref="O66:O79" si="10">K66+D59</f>
        <v>7275000</v>
      </c>
      <c r="P66" s="2" t="s">
        <v>81</v>
      </c>
      <c r="Q66" s="2" t="s">
        <v>3</v>
      </c>
      <c r="R66" s="3">
        <v>62713661.020000003</v>
      </c>
      <c r="S66" s="3">
        <f t="shared" ref="S66:S79" si="11">R66/1.21</f>
        <v>51829471.917355374</v>
      </c>
    </row>
    <row r="67" spans="1:20" hidden="1" x14ac:dyDescent="0.35">
      <c r="A67">
        <v>2025</v>
      </c>
      <c r="B67" s="2" t="s">
        <v>81</v>
      </c>
      <c r="C67" s="2" t="s">
        <v>4</v>
      </c>
      <c r="D67" s="44"/>
      <c r="E67" s="3">
        <v>699486</v>
      </c>
      <c r="F67" s="3">
        <v>703000</v>
      </c>
      <c r="G67" s="57">
        <v>0</v>
      </c>
      <c r="H67" s="57"/>
      <c r="I67" s="57"/>
      <c r="J67" s="58"/>
      <c r="K67" s="7">
        <f>F67</f>
        <v>703000</v>
      </c>
      <c r="L67" s="3">
        <f>E67</f>
        <v>699486</v>
      </c>
      <c r="M67" s="5">
        <f t="shared" si="9"/>
        <v>3514</v>
      </c>
      <c r="N67" s="2" t="s">
        <v>29</v>
      </c>
      <c r="O67" s="39">
        <f t="shared" si="10"/>
        <v>703000</v>
      </c>
      <c r="P67" s="2" t="s">
        <v>81</v>
      </c>
      <c r="Q67" s="2" t="s">
        <v>4</v>
      </c>
      <c r="R67" s="3">
        <v>19997040.02</v>
      </c>
      <c r="S67" s="3">
        <f t="shared" si="11"/>
        <v>16526479.355371902</v>
      </c>
    </row>
    <row r="68" spans="1:20" hidden="1" x14ac:dyDescent="0.35">
      <c r="A68">
        <v>2025</v>
      </c>
      <c r="B68" s="2" t="s">
        <v>81</v>
      </c>
      <c r="C68" s="2" t="s">
        <v>14</v>
      </c>
      <c r="D68" s="44"/>
      <c r="E68" s="3">
        <v>645612</v>
      </c>
      <c r="F68" s="3">
        <v>645479</v>
      </c>
      <c r="G68" s="57">
        <f>S68*0.09</f>
        <v>358072.80991735536</v>
      </c>
      <c r="H68" s="57"/>
      <c r="I68" s="57"/>
      <c r="J68" s="58"/>
      <c r="K68" s="7">
        <f>F68</f>
        <v>645479</v>
      </c>
      <c r="L68" s="3">
        <f>IF(E68&gt;G68,E68,G68)</f>
        <v>645612</v>
      </c>
      <c r="M68" s="5">
        <f t="shared" si="9"/>
        <v>-133</v>
      </c>
      <c r="N68" s="2"/>
      <c r="O68" s="39">
        <f t="shared" si="10"/>
        <v>645479</v>
      </c>
      <c r="P68" s="2" t="s">
        <v>81</v>
      </c>
      <c r="Q68" s="2" t="s">
        <v>14</v>
      </c>
      <c r="R68" s="3">
        <v>4814090</v>
      </c>
      <c r="S68" s="3">
        <f t="shared" si="11"/>
        <v>3978586.7768595042</v>
      </c>
    </row>
    <row r="69" spans="1:20" hidden="1" x14ac:dyDescent="0.35">
      <c r="A69">
        <v>2025</v>
      </c>
      <c r="B69" s="2" t="s">
        <v>81</v>
      </c>
      <c r="C69" s="2" t="s">
        <v>5</v>
      </c>
      <c r="D69" s="44"/>
      <c r="E69" s="3">
        <v>1157930</v>
      </c>
      <c r="F69" s="3">
        <f>1572090/1.15</f>
        <v>1367034.7826086958</v>
      </c>
      <c r="G69" s="57">
        <f>S69*0.07</f>
        <v>1323934.2969421488</v>
      </c>
      <c r="H69" s="57">
        <f>IF(E69&gt;G69,E69*0.15,G69*0.15)</f>
        <v>198590.14454132231</v>
      </c>
      <c r="I69" s="57">
        <f>F69*0.15</f>
        <v>205055.21739130435</v>
      </c>
      <c r="J69" s="58"/>
      <c r="K69" s="7">
        <f>I69+F69+J69</f>
        <v>1572090.0000000002</v>
      </c>
      <c r="L69" s="3">
        <f>IF(E69&gt;G69,E69+H69,G69+H69)</f>
        <v>1522524.4414834711</v>
      </c>
      <c r="M69" s="5">
        <f t="shared" si="9"/>
        <v>49565.558516529156</v>
      </c>
      <c r="N69" s="2"/>
      <c r="O69" s="39">
        <f t="shared" si="10"/>
        <v>1572090.0000000002</v>
      </c>
      <c r="P69" s="2" t="s">
        <v>81</v>
      </c>
      <c r="Q69" s="2" t="s">
        <v>5</v>
      </c>
      <c r="R69" s="3">
        <v>22885149.989999998</v>
      </c>
      <c r="S69" s="3">
        <f t="shared" si="11"/>
        <v>18913347.099173553</v>
      </c>
    </row>
    <row r="70" spans="1:20" hidden="1" x14ac:dyDescent="0.35">
      <c r="A70">
        <v>2025</v>
      </c>
      <c r="B70" s="2" t="s">
        <v>81</v>
      </c>
      <c r="C70" s="2" t="s">
        <v>6</v>
      </c>
      <c r="D70" s="44"/>
      <c r="E70" s="3"/>
      <c r="F70" s="3"/>
      <c r="G70" s="57">
        <f>S70*0.08</f>
        <v>2190647.2727272729</v>
      </c>
      <c r="H70" s="57"/>
      <c r="I70" s="57"/>
      <c r="J70" s="3">
        <v>2190647</v>
      </c>
      <c r="K70" s="7">
        <f>J70+F70</f>
        <v>2190647</v>
      </c>
      <c r="L70" s="3">
        <f>G70</f>
        <v>2190647.2727272729</v>
      </c>
      <c r="M70" s="5">
        <f t="shared" si="9"/>
        <v>-0.27272727293893695</v>
      </c>
      <c r="N70" s="2"/>
      <c r="O70" s="39">
        <f t="shared" si="10"/>
        <v>2190647</v>
      </c>
      <c r="P70" s="2" t="s">
        <v>81</v>
      </c>
      <c r="Q70" s="2" t="s">
        <v>6</v>
      </c>
      <c r="R70" s="3">
        <v>33133540</v>
      </c>
      <c r="S70" s="3">
        <f t="shared" si="11"/>
        <v>27383090.90909091</v>
      </c>
    </row>
    <row r="71" spans="1:20" hidden="1" x14ac:dyDescent="0.35">
      <c r="A71">
        <v>2025</v>
      </c>
      <c r="B71" s="2" t="s">
        <v>81</v>
      </c>
      <c r="C71" s="2" t="s">
        <v>7</v>
      </c>
      <c r="D71" s="44"/>
      <c r="E71" s="3"/>
      <c r="F71" s="3">
        <v>1058553</v>
      </c>
      <c r="G71" s="57">
        <f>S71*0.1</f>
        <v>1058553.7198347109</v>
      </c>
      <c r="H71" s="57"/>
      <c r="I71" s="57"/>
      <c r="J71" s="58"/>
      <c r="K71" s="7">
        <f>F71+J71</f>
        <v>1058553</v>
      </c>
      <c r="L71" s="3">
        <f>IF(E71&gt;G71,E71,G71)</f>
        <v>1058553.7198347109</v>
      </c>
      <c r="M71" s="5">
        <f t="shared" si="9"/>
        <v>-0.71983471093699336</v>
      </c>
      <c r="N71" s="2"/>
      <c r="O71" s="39">
        <f t="shared" si="10"/>
        <v>1058553</v>
      </c>
      <c r="P71" s="2" t="s">
        <v>81</v>
      </c>
      <c r="Q71" s="2" t="s">
        <v>7</v>
      </c>
      <c r="R71" s="3">
        <v>12808500.01</v>
      </c>
      <c r="S71" s="3">
        <f t="shared" si="11"/>
        <v>10585537.198347108</v>
      </c>
    </row>
    <row r="72" spans="1:20" hidden="1" x14ac:dyDescent="0.35">
      <c r="A72">
        <v>2025</v>
      </c>
      <c r="B72" s="2" t="s">
        <v>81</v>
      </c>
      <c r="C72" s="2" t="s">
        <v>19</v>
      </c>
      <c r="D72" s="44"/>
      <c r="E72" s="3">
        <v>836100</v>
      </c>
      <c r="F72" s="3">
        <v>957292.11</v>
      </c>
      <c r="G72" s="57">
        <f>S72*0.09</f>
        <v>957308.43123966944</v>
      </c>
      <c r="H72" s="3"/>
      <c r="I72" s="3"/>
      <c r="J72" s="58"/>
      <c r="K72" s="7">
        <f>J72+F72</f>
        <v>957292.11</v>
      </c>
      <c r="L72" s="3">
        <f>IF(E72&gt;G72,E72,G72)</f>
        <v>957308.43123966944</v>
      </c>
      <c r="M72" s="5">
        <f t="shared" si="9"/>
        <v>-16.321239669458009</v>
      </c>
      <c r="N72" s="2"/>
      <c r="O72" s="39">
        <f t="shared" si="10"/>
        <v>957292.11</v>
      </c>
      <c r="P72" s="2" t="s">
        <v>81</v>
      </c>
      <c r="Q72" s="2" t="s">
        <v>19</v>
      </c>
      <c r="R72" s="3">
        <v>12870480.02</v>
      </c>
      <c r="S72" s="3">
        <f t="shared" si="11"/>
        <v>10636760.347107438</v>
      </c>
    </row>
    <row r="73" spans="1:20" hidden="1" x14ac:dyDescent="0.35">
      <c r="A73">
        <v>2025</v>
      </c>
      <c r="B73" s="2" t="s">
        <v>82</v>
      </c>
      <c r="C73" s="2" t="s">
        <v>3</v>
      </c>
      <c r="D73" s="44">
        <v>482850.5</v>
      </c>
      <c r="E73" s="3">
        <v>7050000</v>
      </c>
      <c r="F73" s="3">
        <v>7050000</v>
      </c>
      <c r="G73" s="57">
        <v>0</v>
      </c>
      <c r="H73" s="57"/>
      <c r="I73" s="57"/>
      <c r="J73" s="58"/>
      <c r="K73" s="7">
        <f t="shared" ref="K73:K75" si="12">F73</f>
        <v>7050000</v>
      </c>
      <c r="L73" s="3">
        <f>E73</f>
        <v>7050000</v>
      </c>
      <c r="M73" s="5">
        <f t="shared" si="9"/>
        <v>0</v>
      </c>
      <c r="N73" s="2" t="s">
        <v>28</v>
      </c>
      <c r="O73" s="39">
        <f t="shared" si="10"/>
        <v>7050000</v>
      </c>
      <c r="P73" s="2" t="s">
        <v>82</v>
      </c>
      <c r="Q73" s="2" t="s">
        <v>3</v>
      </c>
      <c r="R73" s="3">
        <v>58604767</v>
      </c>
      <c r="S73" s="3">
        <f t="shared" si="11"/>
        <v>48433691.735537194</v>
      </c>
    </row>
    <row r="74" spans="1:20" hidden="1" x14ac:dyDescent="0.35">
      <c r="A74">
        <v>2025</v>
      </c>
      <c r="B74" s="2" t="s">
        <v>82</v>
      </c>
      <c r="C74" s="2" t="s">
        <v>4</v>
      </c>
      <c r="D74" s="44">
        <v>246306</v>
      </c>
      <c r="E74" s="3">
        <v>699486</v>
      </c>
      <c r="F74" s="3">
        <v>703000</v>
      </c>
      <c r="G74" s="57">
        <v>0</v>
      </c>
      <c r="H74" s="57"/>
      <c r="I74" s="57"/>
      <c r="J74" s="58"/>
      <c r="K74" s="7">
        <f t="shared" si="12"/>
        <v>703000</v>
      </c>
      <c r="L74" s="3">
        <f>E74</f>
        <v>699486</v>
      </c>
      <c r="M74" s="5">
        <f t="shared" si="9"/>
        <v>3514</v>
      </c>
      <c r="N74" s="2" t="s">
        <v>29</v>
      </c>
      <c r="O74" s="39">
        <f t="shared" si="10"/>
        <v>703000</v>
      </c>
      <c r="P74" s="2" t="s">
        <v>82</v>
      </c>
      <c r="Q74" s="2" t="s">
        <v>4</v>
      </c>
      <c r="R74" s="3">
        <v>19749648.989999998</v>
      </c>
      <c r="S74" s="3">
        <f t="shared" si="11"/>
        <v>16322023.958677685</v>
      </c>
    </row>
    <row r="75" spans="1:20" hidden="1" x14ac:dyDescent="0.35">
      <c r="A75">
        <v>2025</v>
      </c>
      <c r="B75" s="2" t="s">
        <v>82</v>
      </c>
      <c r="C75" s="2" t="s">
        <v>14</v>
      </c>
      <c r="D75" s="44">
        <v>352047.74</v>
      </c>
      <c r="E75" s="3">
        <v>645612</v>
      </c>
      <c r="F75" s="3">
        <v>645479.21</v>
      </c>
      <c r="G75" s="57">
        <f>S75*0.09</f>
        <v>445191.02404958673</v>
      </c>
      <c r="H75" s="57"/>
      <c r="I75" s="57"/>
      <c r="J75" s="58"/>
      <c r="K75" s="7">
        <f t="shared" si="12"/>
        <v>645479.21</v>
      </c>
      <c r="L75" s="3">
        <f>IF(E75&gt;G75,E75,G75)</f>
        <v>645612</v>
      </c>
      <c r="M75" s="5">
        <f t="shared" si="9"/>
        <v>-132.79000000003725</v>
      </c>
      <c r="N75" s="2"/>
      <c r="O75" s="39">
        <f t="shared" si="10"/>
        <v>645479.21</v>
      </c>
      <c r="P75" s="2" t="s">
        <v>82</v>
      </c>
      <c r="Q75" s="2" t="s">
        <v>14</v>
      </c>
      <c r="R75" s="3">
        <v>5985345.9900000002</v>
      </c>
      <c r="S75" s="3">
        <f t="shared" si="11"/>
        <v>4946566.9338842975</v>
      </c>
    </row>
    <row r="76" spans="1:20" hidden="1" x14ac:dyDescent="0.35">
      <c r="A76">
        <v>2025</v>
      </c>
      <c r="B76" s="2" t="s">
        <v>82</v>
      </c>
      <c r="C76" s="2" t="s">
        <v>5</v>
      </c>
      <c r="D76" s="44">
        <v>2081805.58</v>
      </c>
      <c r="E76" s="3">
        <v>1157930</v>
      </c>
      <c r="F76" s="3">
        <f>2248205.26/1.15</f>
        <v>1954961.095652174</v>
      </c>
      <c r="G76" s="57">
        <f>S76*0.07</f>
        <v>1835269.6044628101</v>
      </c>
      <c r="H76" s="57">
        <f>IF(E76&gt;G76,E76*0.15,G76*0.15)</f>
        <v>275290.44066942151</v>
      </c>
      <c r="I76" s="57">
        <f>F76*0.15</f>
        <v>293244.1643478261</v>
      </c>
      <c r="J76" s="58"/>
      <c r="K76" s="7">
        <f>I76+F76+J76</f>
        <v>2248205.2600000002</v>
      </c>
      <c r="L76" s="3">
        <f>IF(E76&gt;G76,E76+H76,G76+H76)</f>
        <v>2110560.0451322314</v>
      </c>
      <c r="M76" s="5">
        <f t="shared" si="9"/>
        <v>137645.21486776881</v>
      </c>
      <c r="N76" s="2"/>
      <c r="O76" s="39">
        <f t="shared" si="10"/>
        <v>2248205.2600000002</v>
      </c>
      <c r="P76" s="2" t="s">
        <v>82</v>
      </c>
      <c r="Q76" s="2" t="s">
        <v>5</v>
      </c>
      <c r="R76" s="3">
        <v>31723946.02</v>
      </c>
      <c r="S76" s="3">
        <f t="shared" si="11"/>
        <v>26218137.20661157</v>
      </c>
    </row>
    <row r="77" spans="1:20" hidden="1" x14ac:dyDescent="0.35">
      <c r="A77">
        <v>2025</v>
      </c>
      <c r="B77" s="2" t="s">
        <v>82</v>
      </c>
      <c r="C77" s="2" t="s">
        <v>6</v>
      </c>
      <c r="D77" s="44">
        <v>650090.67000000004</v>
      </c>
      <c r="E77" s="3"/>
      <c r="F77" s="3"/>
      <c r="G77" s="57">
        <f>S77*0.08</f>
        <v>2138745.110743802</v>
      </c>
      <c r="H77" s="57"/>
      <c r="I77" s="57"/>
      <c r="J77" s="3">
        <v>2138745.04</v>
      </c>
      <c r="K77" s="7">
        <f>J77+F77</f>
        <v>2138745.04</v>
      </c>
      <c r="L77" s="3">
        <f>G77</f>
        <v>2138745.110743802</v>
      </c>
      <c r="M77" s="5">
        <f t="shared" si="9"/>
        <v>-7.074380200356245E-2</v>
      </c>
      <c r="N77" s="2"/>
      <c r="O77" s="39">
        <f t="shared" si="10"/>
        <v>2138745.04</v>
      </c>
      <c r="P77" s="2" t="s">
        <v>82</v>
      </c>
      <c r="Q77" s="2" t="s">
        <v>6</v>
      </c>
      <c r="R77" s="3">
        <v>32348519.800000001</v>
      </c>
      <c r="S77" s="3">
        <f t="shared" si="11"/>
        <v>26734313.884297524</v>
      </c>
    </row>
    <row r="78" spans="1:20" hidden="1" x14ac:dyDescent="0.35">
      <c r="A78">
        <v>2025</v>
      </c>
      <c r="B78" s="2" t="s">
        <v>82</v>
      </c>
      <c r="C78" s="2" t="s">
        <v>7</v>
      </c>
      <c r="D78" s="44">
        <v>650090.67000000004</v>
      </c>
      <c r="E78" s="3"/>
      <c r="F78" s="3">
        <v>1200587.6000000001</v>
      </c>
      <c r="G78" s="57">
        <f>S78*0.1</f>
        <v>1200587.6033057852</v>
      </c>
      <c r="H78" s="57"/>
      <c r="I78" s="57"/>
      <c r="J78" s="58"/>
      <c r="K78" s="7">
        <f>F78+J78</f>
        <v>1200587.6000000001</v>
      </c>
      <c r="L78" s="3">
        <f>IF(E78&gt;G78,E78,G78)</f>
        <v>1200587.6033057852</v>
      </c>
      <c r="M78" s="5">
        <f t="shared" ref="M78:M109" si="13">K78-L78</f>
        <v>-3.3057851251214743E-3</v>
      </c>
      <c r="N78" s="2"/>
      <c r="O78" s="39">
        <f t="shared" si="10"/>
        <v>1200587.6000000001</v>
      </c>
      <c r="P78" s="2" t="s">
        <v>82</v>
      </c>
      <c r="Q78" s="2" t="s">
        <v>7</v>
      </c>
      <c r="R78" s="3">
        <v>14527110</v>
      </c>
      <c r="S78" s="3">
        <f t="shared" si="11"/>
        <v>12005876.033057852</v>
      </c>
    </row>
    <row r="79" spans="1:20" hidden="1" x14ac:dyDescent="0.35">
      <c r="A79">
        <v>2025</v>
      </c>
      <c r="B79" s="2" t="s">
        <v>82</v>
      </c>
      <c r="C79" s="2" t="s">
        <v>19</v>
      </c>
      <c r="D79" s="44">
        <v>1300181.3400000001</v>
      </c>
      <c r="E79" s="3">
        <v>836100</v>
      </c>
      <c r="F79" s="3">
        <v>1425831.84</v>
      </c>
      <c r="G79" s="57">
        <f>S79*0.09</f>
        <v>1425831.9173553719</v>
      </c>
      <c r="H79" s="3"/>
      <c r="I79" s="3"/>
      <c r="J79" s="58"/>
      <c r="K79" s="7">
        <f>J79+F79</f>
        <v>1425831.84</v>
      </c>
      <c r="L79" s="3">
        <f>IF(E79&gt;G79,E79,G79)</f>
        <v>1425831.9173553719</v>
      </c>
      <c r="M79" s="5">
        <f t="shared" si="13"/>
        <v>-7.7355371788144112E-2</v>
      </c>
      <c r="N79" s="2"/>
      <c r="O79" s="39">
        <f t="shared" si="10"/>
        <v>1425831.84</v>
      </c>
      <c r="P79" s="2" t="s">
        <v>82</v>
      </c>
      <c r="Q79" s="2" t="s">
        <v>19</v>
      </c>
      <c r="R79" s="3">
        <v>19169518</v>
      </c>
      <c r="S79" s="3">
        <f t="shared" si="11"/>
        <v>15842576.859504133</v>
      </c>
    </row>
    <row r="80" spans="1:20" x14ac:dyDescent="0.35">
      <c r="A80">
        <v>2025</v>
      </c>
      <c r="B80" s="2" t="s">
        <v>82</v>
      </c>
      <c r="C80" s="2" t="s">
        <v>79</v>
      </c>
      <c r="D80" s="44">
        <f>155986.42+80912.45</f>
        <v>236898.87</v>
      </c>
      <c r="E80" s="3">
        <v>1410298</v>
      </c>
      <c r="F80" s="3">
        <f>1544265.55/1.1</f>
        <v>1403877.7727272727</v>
      </c>
      <c r="G80" s="57"/>
      <c r="H80" s="57">
        <f>E80*0.1</f>
        <v>141029.80000000002</v>
      </c>
      <c r="I80" s="57">
        <f>F80*0.1</f>
        <v>140387.77727272728</v>
      </c>
      <c r="J80" s="58"/>
      <c r="K80" s="7">
        <f>I80+F80</f>
        <v>1544265.55</v>
      </c>
      <c r="L80" s="3">
        <f>E80+H80</f>
        <v>1551327.8</v>
      </c>
      <c r="M80" s="5">
        <f t="shared" si="13"/>
        <v>-7062.25</v>
      </c>
      <c r="N80" s="2"/>
      <c r="O80" s="39"/>
      <c r="P80" s="2" t="s">
        <v>82</v>
      </c>
      <c r="Q80" s="2" t="s">
        <v>79</v>
      </c>
      <c r="R80" s="3">
        <v>6544524.0199999996</v>
      </c>
      <c r="S80" s="3">
        <f>R80/1.46</f>
        <v>4482550.6986301364</v>
      </c>
      <c r="T80" t="s">
        <v>107</v>
      </c>
    </row>
    <row r="81" spans="1:20" hidden="1" x14ac:dyDescent="0.35">
      <c r="A81">
        <v>2025</v>
      </c>
      <c r="B81" s="2" t="s">
        <v>82</v>
      </c>
      <c r="C81" s="59" t="s">
        <v>90</v>
      </c>
      <c r="D81" s="44">
        <v>53861</v>
      </c>
      <c r="E81" s="3">
        <v>461151</v>
      </c>
      <c r="F81" s="3">
        <v>461057</v>
      </c>
      <c r="G81" s="57">
        <f>0.09*S81</f>
        <v>0</v>
      </c>
      <c r="H81" s="57"/>
      <c r="I81" s="57"/>
      <c r="J81" s="58"/>
      <c r="K81" s="7">
        <f t="shared" ref="K81:K83" si="14">I81+F81</f>
        <v>461057</v>
      </c>
      <c r="L81" s="3">
        <f>IF(E81&gt;G81,E81,G81)</f>
        <v>461151</v>
      </c>
      <c r="M81" s="5">
        <f t="shared" si="13"/>
        <v>-94</v>
      </c>
      <c r="N81" s="2"/>
      <c r="O81" s="39"/>
      <c r="P81" s="2" t="s">
        <v>82</v>
      </c>
      <c r="Q81" s="59" t="s">
        <v>90</v>
      </c>
      <c r="R81" s="52" t="s">
        <v>100</v>
      </c>
      <c r="S81" s="3"/>
    </row>
    <row r="82" spans="1:20" hidden="1" x14ac:dyDescent="0.35">
      <c r="A82">
        <v>2025</v>
      </c>
      <c r="B82" s="60" t="s">
        <v>82</v>
      </c>
      <c r="C82" s="61" t="s">
        <v>89</v>
      </c>
      <c r="D82" s="62">
        <v>19515</v>
      </c>
      <c r="E82" s="3">
        <v>267693</v>
      </c>
      <c r="F82" s="3">
        <v>267700</v>
      </c>
      <c r="G82" s="63"/>
      <c r="H82" s="63"/>
      <c r="I82" s="63"/>
      <c r="J82" s="64"/>
      <c r="K82" s="65">
        <f t="shared" si="14"/>
        <v>267700</v>
      </c>
      <c r="L82" s="55">
        <f>E82</f>
        <v>267693</v>
      </c>
      <c r="M82" s="66">
        <f t="shared" si="13"/>
        <v>7</v>
      </c>
      <c r="N82" s="60"/>
      <c r="O82" s="39"/>
      <c r="P82" s="60" t="s">
        <v>82</v>
      </c>
      <c r="Q82" s="61" t="s">
        <v>89</v>
      </c>
      <c r="R82" s="144" t="s">
        <v>101</v>
      </c>
      <c r="S82" s="55"/>
    </row>
    <row r="83" spans="1:20" hidden="1" x14ac:dyDescent="0.35">
      <c r="A83" s="2">
        <v>2025</v>
      </c>
      <c r="B83" s="2" t="s">
        <v>88</v>
      </c>
      <c r="C83" s="2" t="s">
        <v>3</v>
      </c>
      <c r="D83" s="3"/>
      <c r="E83" s="3">
        <v>7200000</v>
      </c>
      <c r="F83" s="3">
        <v>7200000</v>
      </c>
      <c r="G83" s="3"/>
      <c r="H83" s="3"/>
      <c r="I83" s="3"/>
      <c r="J83" s="3"/>
      <c r="K83" s="3">
        <f t="shared" si="14"/>
        <v>7200000</v>
      </c>
      <c r="L83" s="3">
        <f>E83</f>
        <v>7200000</v>
      </c>
      <c r="M83" s="5">
        <f t="shared" si="13"/>
        <v>0</v>
      </c>
      <c r="N83" s="2"/>
      <c r="O83" s="2"/>
      <c r="P83" s="2" t="s">
        <v>88</v>
      </c>
      <c r="Q83" s="2" t="s">
        <v>3</v>
      </c>
      <c r="R83" s="3">
        <v>84288371.949400023</v>
      </c>
      <c r="S83" s="55">
        <f t="shared" ref="S81:S140" si="15">R83/1.21</f>
        <v>69659811.528429776</v>
      </c>
    </row>
    <row r="84" spans="1:20" hidden="1" x14ac:dyDescent="0.35">
      <c r="A84" s="2">
        <v>2025</v>
      </c>
      <c r="B84" s="2" t="s">
        <v>88</v>
      </c>
      <c r="C84" s="2" t="s">
        <v>4</v>
      </c>
      <c r="D84" s="3"/>
      <c r="E84" s="3">
        <v>850000</v>
      </c>
      <c r="F84" s="3">
        <v>850000</v>
      </c>
      <c r="G84" s="3"/>
      <c r="H84" s="3"/>
      <c r="I84" s="3"/>
      <c r="J84" s="3"/>
      <c r="K84" s="3">
        <f>F84</f>
        <v>850000</v>
      </c>
      <c r="L84" s="3">
        <f>E84</f>
        <v>850000</v>
      </c>
      <c r="M84" s="5">
        <f t="shared" si="13"/>
        <v>0</v>
      </c>
      <c r="N84" s="2"/>
      <c r="O84" s="2"/>
      <c r="P84" s="2" t="s">
        <v>88</v>
      </c>
      <c r="Q84" s="2" t="s">
        <v>4</v>
      </c>
      <c r="R84" s="3">
        <v>31448390.003300004</v>
      </c>
      <c r="S84" s="55">
        <f t="shared" si="15"/>
        <v>25990404.961404964</v>
      </c>
    </row>
    <row r="85" spans="1:20" hidden="1" x14ac:dyDescent="0.35">
      <c r="A85" s="2">
        <v>2025</v>
      </c>
      <c r="B85" s="2" t="s">
        <v>88</v>
      </c>
      <c r="C85" s="2" t="s">
        <v>14</v>
      </c>
      <c r="D85" s="3"/>
      <c r="E85" s="3">
        <v>645612</v>
      </c>
      <c r="F85" s="3">
        <v>645479.21</v>
      </c>
      <c r="G85" s="3"/>
      <c r="H85" s="3"/>
      <c r="I85" s="3"/>
      <c r="J85" s="3"/>
      <c r="K85" s="7">
        <f t="shared" ref="K85" si="16">F85</f>
        <v>645479.21</v>
      </c>
      <c r="L85" s="3">
        <f>IF(E85&gt;G85,E85,G85)</f>
        <v>645612</v>
      </c>
      <c r="M85" s="5">
        <f t="shared" si="13"/>
        <v>-132.79000000003725</v>
      </c>
      <c r="N85" s="2"/>
      <c r="O85" s="2"/>
      <c r="P85" s="2" t="s">
        <v>88</v>
      </c>
      <c r="Q85" s="2" t="s">
        <v>14</v>
      </c>
      <c r="R85" s="3">
        <v>5000089.9892000007</v>
      </c>
      <c r="S85" s="55">
        <f t="shared" si="15"/>
        <v>4132305.7761983476</v>
      </c>
    </row>
    <row r="86" spans="1:20" hidden="1" x14ac:dyDescent="0.35">
      <c r="A86" s="2">
        <v>2025</v>
      </c>
      <c r="B86" s="2" t="s">
        <v>88</v>
      </c>
      <c r="C86" s="2" t="s">
        <v>5</v>
      </c>
      <c r="D86" s="3"/>
      <c r="E86" s="3">
        <v>1157930</v>
      </c>
      <c r="F86" s="3"/>
      <c r="G86" s="57">
        <f>S86*0.07</f>
        <v>2029454.2267826449</v>
      </c>
      <c r="H86" s="57">
        <f>IF(E86&gt;G86,E86*0.15,G86*0.15)</f>
        <v>304418.13401739672</v>
      </c>
      <c r="I86" s="3"/>
      <c r="J86" s="3"/>
      <c r="K86" s="3">
        <v>2333872.36</v>
      </c>
      <c r="L86" s="3">
        <f>IF(E86&gt;G86,E86+H86,G86+H86)</f>
        <v>2333872.3608000418</v>
      </c>
      <c r="M86" s="5">
        <f t="shared" si="13"/>
        <v>-8.0004194751381874E-4</v>
      </c>
      <c r="N86" s="2"/>
      <c r="O86" s="2"/>
      <c r="P86" s="2" t="s">
        <v>88</v>
      </c>
      <c r="Q86" s="2" t="s">
        <v>5</v>
      </c>
      <c r="R86" s="3">
        <v>35080565.920099996</v>
      </c>
      <c r="S86" s="55">
        <f t="shared" si="15"/>
        <v>28992203.239752065</v>
      </c>
    </row>
    <row r="87" spans="1:20" hidden="1" x14ac:dyDescent="0.35">
      <c r="A87" s="2">
        <v>2025</v>
      </c>
      <c r="B87" s="2" t="s">
        <v>88</v>
      </c>
      <c r="C87" s="2" t="s">
        <v>6</v>
      </c>
      <c r="D87" s="3"/>
      <c r="E87" s="3"/>
      <c r="F87" s="3"/>
      <c r="G87" s="57">
        <f>S87*0.08</f>
        <v>4159281.9828760331</v>
      </c>
      <c r="H87" s="3"/>
      <c r="I87" s="3"/>
      <c r="J87" s="3">
        <v>4159281.92</v>
      </c>
      <c r="K87" s="7">
        <f>J87+F87</f>
        <v>4159281.92</v>
      </c>
      <c r="L87" s="3">
        <f>G87</f>
        <v>4159281.9828760331</v>
      </c>
      <c r="M87" s="5">
        <f t="shared" si="13"/>
        <v>-6.2876033131033182E-2</v>
      </c>
      <c r="N87" s="2"/>
      <c r="O87" s="2"/>
      <c r="P87" s="2" t="s">
        <v>88</v>
      </c>
      <c r="Q87" s="2" t="s">
        <v>6</v>
      </c>
      <c r="R87" s="3">
        <v>62909139.990999997</v>
      </c>
      <c r="S87" s="55">
        <f t="shared" si="15"/>
        <v>51991024.785950415</v>
      </c>
    </row>
    <row r="88" spans="1:20" hidden="1" x14ac:dyDescent="0.35">
      <c r="A88" s="2">
        <v>2025</v>
      </c>
      <c r="B88" s="2" t="s">
        <v>88</v>
      </c>
      <c r="C88" s="2" t="s">
        <v>7</v>
      </c>
      <c r="D88" s="3"/>
      <c r="E88" s="3"/>
      <c r="F88" s="55">
        <v>1999268.2</v>
      </c>
      <c r="G88" s="57">
        <f>S88*0.1</f>
        <v>1999268.262867769</v>
      </c>
      <c r="H88" s="3"/>
      <c r="I88" s="3"/>
      <c r="J88" s="3"/>
      <c r="K88" s="7">
        <f>F88+J88</f>
        <v>1999268.2</v>
      </c>
      <c r="L88" s="3">
        <f>IF(E88&gt;G88,E88,G88)</f>
        <v>1999268.262867769</v>
      </c>
      <c r="M88" s="5">
        <f t="shared" si="13"/>
        <v>-6.2867769040167332E-2</v>
      </c>
      <c r="N88" s="2"/>
      <c r="O88" s="2"/>
      <c r="P88" s="2" t="s">
        <v>88</v>
      </c>
      <c r="Q88" s="2" t="s">
        <v>7</v>
      </c>
      <c r="R88" s="3">
        <v>24191145.980700001</v>
      </c>
      <c r="S88" s="55">
        <f t="shared" si="15"/>
        <v>19992682.628677689</v>
      </c>
    </row>
    <row r="89" spans="1:20" hidden="1" x14ac:dyDescent="0.35">
      <c r="A89" s="2">
        <v>2025</v>
      </c>
      <c r="B89" s="2" t="s">
        <v>88</v>
      </c>
      <c r="C89" s="2" t="s">
        <v>19</v>
      </c>
      <c r="D89" s="3"/>
      <c r="E89" s="3"/>
      <c r="F89" s="3"/>
      <c r="G89" s="57">
        <f>S89*0.09</f>
        <v>1529517.2731661159</v>
      </c>
      <c r="H89" s="3"/>
      <c r="I89" s="3"/>
      <c r="J89" s="3">
        <v>1529517.24</v>
      </c>
      <c r="K89" s="7">
        <f>J89+F89</f>
        <v>1529517.24</v>
      </c>
      <c r="L89" s="3">
        <f>IF(E89&gt;G89,E89,G89)</f>
        <v>1529517.2731661159</v>
      </c>
      <c r="M89" s="5">
        <f t="shared" si="13"/>
        <v>-3.3166115870699286E-2</v>
      </c>
      <c r="N89" s="2"/>
      <c r="O89" s="2"/>
      <c r="P89" s="2" t="s">
        <v>88</v>
      </c>
      <c r="Q89" s="2" t="s">
        <v>19</v>
      </c>
      <c r="R89" s="3">
        <v>20563510.005900003</v>
      </c>
      <c r="S89" s="55">
        <f t="shared" si="15"/>
        <v>16994636.368512399</v>
      </c>
    </row>
    <row r="90" spans="1:20" x14ac:dyDescent="0.35">
      <c r="A90" s="2">
        <v>2025</v>
      </c>
      <c r="B90" s="2" t="s">
        <v>88</v>
      </c>
      <c r="C90" s="2" t="s">
        <v>79</v>
      </c>
      <c r="D90" s="3"/>
      <c r="E90" s="3">
        <v>1410298</v>
      </c>
      <c r="G90" s="3"/>
      <c r="H90" s="57">
        <f>E90*0.1</f>
        <v>141029.80000000002</v>
      </c>
      <c r="I90" s="57">
        <f>F90*0.1</f>
        <v>0</v>
      </c>
      <c r="J90" s="3"/>
      <c r="K90" s="3">
        <v>1544265.55</v>
      </c>
      <c r="L90" s="3">
        <f>E90+H90</f>
        <v>1551327.8</v>
      </c>
      <c r="M90" s="5">
        <f t="shared" si="13"/>
        <v>-7062.25</v>
      </c>
      <c r="N90" s="2"/>
      <c r="O90" s="2"/>
      <c r="P90" s="2" t="s">
        <v>88</v>
      </c>
      <c r="Q90" s="2" t="s">
        <v>79</v>
      </c>
      <c r="R90" s="3">
        <v>6889989.9928000011</v>
      </c>
      <c r="S90" s="3">
        <f>R90/1.46</f>
        <v>4719171.2279452067</v>
      </c>
      <c r="T90" t="s">
        <v>107</v>
      </c>
    </row>
    <row r="91" spans="1:20" hidden="1" x14ac:dyDescent="0.35">
      <c r="A91" s="2">
        <v>2025</v>
      </c>
      <c r="B91" s="2" t="s">
        <v>88</v>
      </c>
      <c r="C91" s="59" t="s">
        <v>90</v>
      </c>
      <c r="D91" s="3"/>
      <c r="E91" s="3">
        <v>461151</v>
      </c>
      <c r="F91" s="3">
        <v>461057</v>
      </c>
      <c r="G91" s="57">
        <f>0.09*S91</f>
        <v>78213.779667123279</v>
      </c>
      <c r="H91" s="3"/>
      <c r="I91" s="3"/>
      <c r="J91" s="3"/>
      <c r="K91" s="7">
        <f t="shared" ref="K91" si="17">I91+F91</f>
        <v>461057</v>
      </c>
      <c r="L91" s="3">
        <f>IF(E91&gt;G91,E91,G91)</f>
        <v>461151</v>
      </c>
      <c r="M91" s="5">
        <f t="shared" si="13"/>
        <v>-94</v>
      </c>
      <c r="N91" s="2"/>
      <c r="O91" s="2"/>
      <c r="P91" s="2" t="s">
        <v>88</v>
      </c>
      <c r="Q91" s="59" t="s">
        <v>90</v>
      </c>
      <c r="R91" s="3">
        <v>1268801.3145999999</v>
      </c>
      <c r="S91" s="55">
        <f>R91/1.46</f>
        <v>869041.99630136986</v>
      </c>
      <c r="T91" s="39" t="s">
        <v>107</v>
      </c>
    </row>
    <row r="92" spans="1:20" hidden="1" x14ac:dyDescent="0.35">
      <c r="A92" s="2">
        <v>2025</v>
      </c>
      <c r="B92" s="2" t="s">
        <v>88</v>
      </c>
      <c r="C92" s="59" t="s">
        <v>89</v>
      </c>
      <c r="D92" s="3"/>
      <c r="E92" s="3">
        <v>267693</v>
      </c>
      <c r="F92" s="3">
        <v>267700</v>
      </c>
      <c r="G92" s="3"/>
      <c r="H92" s="3"/>
      <c r="I92" s="3"/>
      <c r="J92" s="3"/>
      <c r="K92" s="3">
        <f>F92+J92</f>
        <v>267700</v>
      </c>
      <c r="L92" s="55">
        <f>E92</f>
        <v>267693</v>
      </c>
      <c r="M92" s="66">
        <f t="shared" si="13"/>
        <v>7</v>
      </c>
      <c r="N92" s="2"/>
      <c r="O92" s="2"/>
      <c r="P92" s="2" t="s">
        <v>88</v>
      </c>
      <c r="Q92" s="59" t="s">
        <v>89</v>
      </c>
      <c r="R92" s="3">
        <v>898200.00399999996</v>
      </c>
      <c r="S92" s="55">
        <f t="shared" si="15"/>
        <v>742314.052892562</v>
      </c>
    </row>
    <row r="93" spans="1:20" hidden="1" x14ac:dyDescent="0.35">
      <c r="A93" s="2">
        <v>2026</v>
      </c>
      <c r="B93" s="59" t="s">
        <v>8</v>
      </c>
      <c r="C93" s="2" t="s">
        <v>3</v>
      </c>
      <c r="D93" s="3"/>
      <c r="E93" s="3">
        <v>7425000</v>
      </c>
      <c r="F93" s="3">
        <v>7525000</v>
      </c>
      <c r="G93" s="3"/>
      <c r="H93" s="3"/>
      <c r="I93" s="3"/>
      <c r="J93" s="3"/>
      <c r="K93" s="3">
        <f>F93+J93</f>
        <v>7525000</v>
      </c>
      <c r="L93" s="3">
        <f>E93</f>
        <v>7425000</v>
      </c>
      <c r="M93" s="5">
        <f t="shared" si="13"/>
        <v>100000</v>
      </c>
      <c r="N93" s="2"/>
      <c r="O93" s="2"/>
      <c r="P93" s="59" t="s">
        <v>8</v>
      </c>
      <c r="Q93" s="2" t="s">
        <v>3</v>
      </c>
      <c r="R93" s="3">
        <v>75154430</v>
      </c>
      <c r="S93" s="55">
        <f t="shared" si="15"/>
        <v>62111099.17355372</v>
      </c>
    </row>
    <row r="94" spans="1:20" hidden="1" x14ac:dyDescent="0.35">
      <c r="A94" s="2">
        <v>2026</v>
      </c>
      <c r="B94" s="59" t="s">
        <v>8</v>
      </c>
      <c r="C94" s="2" t="s">
        <v>4</v>
      </c>
      <c r="D94" s="3"/>
      <c r="E94" s="3">
        <v>850000</v>
      </c>
      <c r="F94" s="3">
        <v>850000</v>
      </c>
      <c r="G94" s="3"/>
      <c r="H94" s="3"/>
      <c r="I94" s="3"/>
      <c r="J94" s="3"/>
      <c r="K94" s="3">
        <f>F94+J94</f>
        <v>850000</v>
      </c>
      <c r="L94" s="3">
        <f>E94</f>
        <v>850000</v>
      </c>
      <c r="M94" s="5">
        <f t="shared" si="13"/>
        <v>0</v>
      </c>
      <c r="N94" s="2"/>
      <c r="O94" s="2"/>
      <c r="P94" s="59" t="s">
        <v>8</v>
      </c>
      <c r="Q94" s="2" t="s">
        <v>4</v>
      </c>
      <c r="R94" s="3">
        <v>25547206</v>
      </c>
      <c r="S94" s="55">
        <f t="shared" si="15"/>
        <v>21113393.388429753</v>
      </c>
    </row>
    <row r="95" spans="1:20" hidden="1" x14ac:dyDescent="0.35">
      <c r="A95" s="2">
        <v>2026</v>
      </c>
      <c r="B95" s="59" t="s">
        <v>8</v>
      </c>
      <c r="C95" s="2" t="s">
        <v>14</v>
      </c>
      <c r="D95" s="3"/>
      <c r="E95" s="3">
        <v>645612</v>
      </c>
      <c r="F95" s="3">
        <v>645479.21</v>
      </c>
      <c r="G95" s="3"/>
      <c r="H95" s="3"/>
      <c r="I95" s="3"/>
      <c r="J95" s="3"/>
      <c r="K95" s="7">
        <f t="shared" ref="K95" si="18">F95</f>
        <v>645479.21</v>
      </c>
      <c r="L95" s="3">
        <f>IF(E95&gt;G95,E95,G95)</f>
        <v>645612</v>
      </c>
      <c r="M95" s="5">
        <f t="shared" si="13"/>
        <v>-132.79000000003725</v>
      </c>
      <c r="N95" s="2"/>
      <c r="O95" s="2"/>
      <c r="P95" s="59" t="s">
        <v>8</v>
      </c>
      <c r="Q95" s="2" t="s">
        <v>14</v>
      </c>
      <c r="R95" s="3">
        <v>5451414</v>
      </c>
      <c r="S95" s="55">
        <f t="shared" si="15"/>
        <v>4505300.8264462808</v>
      </c>
    </row>
    <row r="96" spans="1:20" hidden="1" x14ac:dyDescent="0.35">
      <c r="A96" s="2">
        <v>2026</v>
      </c>
      <c r="B96" s="59" t="s">
        <v>8</v>
      </c>
      <c r="C96" s="2" t="s">
        <v>5</v>
      </c>
      <c r="D96" s="3"/>
      <c r="E96" s="3">
        <v>2000000</v>
      </c>
      <c r="G96" s="57">
        <f>S96*0.07</f>
        <v>2001530.7685950415</v>
      </c>
      <c r="H96" s="57">
        <f>IF(E96&gt;G96,E96*0.15,G96*0.15)</f>
        <v>300229.61528925621</v>
      </c>
      <c r="I96" s="3"/>
      <c r="J96" s="3"/>
      <c r="K96" s="3">
        <v>2451875.16</v>
      </c>
      <c r="L96" s="3">
        <f>IF(E96&gt;G96,E96+H96,G96+H96)</f>
        <v>2301760.3838842977</v>
      </c>
      <c r="M96" s="5">
        <f t="shared" si="13"/>
        <v>150114.77611570247</v>
      </c>
      <c r="N96" s="2"/>
      <c r="O96" s="2"/>
      <c r="P96" s="59" t="s">
        <v>8</v>
      </c>
      <c r="Q96" s="2" t="s">
        <v>5</v>
      </c>
      <c r="R96" s="3">
        <v>34597889</v>
      </c>
      <c r="S96" s="55">
        <f t="shared" si="15"/>
        <v>28593296.694214877</v>
      </c>
    </row>
    <row r="97" spans="1:20" hidden="1" x14ac:dyDescent="0.35">
      <c r="A97" s="2">
        <v>2026</v>
      </c>
      <c r="B97" s="59" t="s">
        <v>8</v>
      </c>
      <c r="C97" s="2" t="s">
        <v>6</v>
      </c>
      <c r="D97" s="3"/>
      <c r="E97" s="3"/>
      <c r="G97" s="57">
        <f>S97*0.08</f>
        <v>3323410.5785123967</v>
      </c>
      <c r="H97" s="3"/>
      <c r="I97" s="3"/>
      <c r="J97" s="3">
        <v>3323410.48</v>
      </c>
      <c r="K97" s="7">
        <f>J97+F97</f>
        <v>3323410.48</v>
      </c>
      <c r="L97" s="3">
        <f>G97</f>
        <v>3323410.5785123967</v>
      </c>
      <c r="M97" s="5">
        <f t="shared" si="13"/>
        <v>-9.8512396682053804E-2</v>
      </c>
      <c r="N97" s="2"/>
      <c r="O97" s="2"/>
      <c r="P97" s="59" t="s">
        <v>8</v>
      </c>
      <c r="Q97" s="2" t="s">
        <v>6</v>
      </c>
      <c r="R97" s="3">
        <v>50266585</v>
      </c>
      <c r="S97" s="55">
        <f t="shared" si="15"/>
        <v>41542632.23140496</v>
      </c>
    </row>
    <row r="98" spans="1:20" hidden="1" x14ac:dyDescent="0.35">
      <c r="A98" s="2">
        <v>2026</v>
      </c>
      <c r="B98" s="59" t="s">
        <v>8</v>
      </c>
      <c r="C98" s="2" t="s">
        <v>7</v>
      </c>
      <c r="D98" s="3"/>
      <c r="E98" s="3"/>
      <c r="F98" s="50">
        <v>1374452</v>
      </c>
      <c r="G98" s="57">
        <f>S98*0.1</f>
        <v>1374452.0661157025</v>
      </c>
      <c r="H98" s="3"/>
      <c r="I98" s="3"/>
      <c r="J98" s="3"/>
      <c r="K98" s="7">
        <f>F98+J98</f>
        <v>1374452</v>
      </c>
      <c r="L98" s="3">
        <f>IF(E98&gt;G98,E98,G98)</f>
        <v>1374452.0661157025</v>
      </c>
      <c r="M98" s="5">
        <f t="shared" si="13"/>
        <v>-6.6115702502429485E-2</v>
      </c>
      <c r="N98" s="2"/>
      <c r="O98" s="2"/>
      <c r="P98" s="59" t="s">
        <v>8</v>
      </c>
      <c r="Q98" s="2" t="s">
        <v>7</v>
      </c>
      <c r="R98" s="3">
        <v>16630870</v>
      </c>
      <c r="S98" s="55">
        <f t="shared" si="15"/>
        <v>13744520.661157025</v>
      </c>
    </row>
    <row r="99" spans="1:20" hidden="1" x14ac:dyDescent="0.35">
      <c r="A99" s="2">
        <v>2026</v>
      </c>
      <c r="B99" s="59" t="s">
        <v>8</v>
      </c>
      <c r="C99" s="2" t="s">
        <v>19</v>
      </c>
      <c r="D99" s="3"/>
      <c r="E99" s="3"/>
      <c r="F99" s="3"/>
      <c r="G99" s="57">
        <f>S99*0.09</f>
        <v>1369897.3636363635</v>
      </c>
      <c r="H99" s="3"/>
      <c r="I99" s="3"/>
      <c r="J99" s="3">
        <v>1369897.5</v>
      </c>
      <c r="K99" s="7">
        <f>J99+F99</f>
        <v>1369897.5</v>
      </c>
      <c r="L99" s="3">
        <f>IF(E99&gt;G99,E99,G99)</f>
        <v>1369897.3636363635</v>
      </c>
      <c r="M99" s="5">
        <f t="shared" si="13"/>
        <v>0.13636363646946847</v>
      </c>
      <c r="N99" s="2"/>
      <c r="O99" s="2"/>
      <c r="P99" s="59" t="s">
        <v>8</v>
      </c>
      <c r="Q99" s="2" t="s">
        <v>19</v>
      </c>
      <c r="R99" s="3">
        <v>18417509</v>
      </c>
      <c r="S99" s="55">
        <f t="shared" si="15"/>
        <v>15221081.818181818</v>
      </c>
    </row>
    <row r="100" spans="1:20" x14ac:dyDescent="0.35">
      <c r="A100" s="2">
        <v>2026</v>
      </c>
      <c r="B100" s="59" t="s">
        <v>8</v>
      </c>
      <c r="C100" s="2" t="s">
        <v>79</v>
      </c>
      <c r="D100" s="3"/>
      <c r="E100" s="3">
        <v>1486293</v>
      </c>
      <c r="F100" s="74"/>
      <c r="G100" s="3"/>
      <c r="H100" s="57">
        <f>E100*0.1</f>
        <v>148629.30000000002</v>
      </c>
      <c r="I100" s="57">
        <f>F100*0.1</f>
        <v>0</v>
      </c>
      <c r="J100" s="3"/>
      <c r="K100" s="3">
        <v>1619513.17</v>
      </c>
      <c r="L100" s="3">
        <f>E100+H100</f>
        <v>1634922.3</v>
      </c>
      <c r="M100" s="5">
        <f t="shared" si="13"/>
        <v>-15409.130000000121</v>
      </c>
      <c r="N100" s="2"/>
      <c r="O100" s="2"/>
      <c r="P100" s="59" t="s">
        <v>8</v>
      </c>
      <c r="Q100" s="2" t="s">
        <v>79</v>
      </c>
      <c r="R100" s="3">
        <v>21238500</v>
      </c>
      <c r="S100" s="3">
        <f>R100/1.46</f>
        <v>14546917.808219178</v>
      </c>
      <c r="T100" t="s">
        <v>107</v>
      </c>
    </row>
    <row r="101" spans="1:20" hidden="1" x14ac:dyDescent="0.35">
      <c r="A101" s="2">
        <v>2026</v>
      </c>
      <c r="B101" s="59" t="s">
        <v>8</v>
      </c>
      <c r="C101" s="59" t="s">
        <v>90</v>
      </c>
      <c r="D101" s="3"/>
      <c r="E101" s="3">
        <v>461151</v>
      </c>
      <c r="F101" s="3">
        <v>461057</v>
      </c>
      <c r="G101" s="57">
        <f>0.09*S101</f>
        <v>676208.21917808219</v>
      </c>
      <c r="H101" s="3"/>
      <c r="I101" s="3"/>
      <c r="J101" s="3"/>
      <c r="K101" s="7">
        <f t="shared" ref="K101" si="19">I101+F101</f>
        <v>461057</v>
      </c>
      <c r="L101" s="3">
        <f>IF(E101&gt;G101,E101,G101)</f>
        <v>676208.21917808219</v>
      </c>
      <c r="M101" s="5">
        <f t="shared" si="13"/>
        <v>-215151.21917808219</v>
      </c>
      <c r="N101" s="2"/>
      <c r="O101" s="2"/>
      <c r="P101" s="59" t="s">
        <v>8</v>
      </c>
      <c r="Q101" s="59" t="s">
        <v>90</v>
      </c>
      <c r="R101" s="3">
        <v>10969600</v>
      </c>
      <c r="S101" s="55">
        <f>R101/1.46</f>
        <v>7513424.6575342463</v>
      </c>
      <c r="T101" s="39" t="s">
        <v>107</v>
      </c>
    </row>
    <row r="102" spans="1:20" hidden="1" x14ac:dyDescent="0.35">
      <c r="A102" s="2">
        <v>2026</v>
      </c>
      <c r="B102" s="59" t="s">
        <v>8</v>
      </c>
      <c r="C102" s="59" t="s">
        <v>89</v>
      </c>
      <c r="D102" s="3"/>
      <c r="E102" s="3">
        <v>294719</v>
      </c>
      <c r="F102" s="3">
        <v>267700</v>
      </c>
      <c r="G102" s="3"/>
      <c r="H102" s="3"/>
      <c r="I102" s="3"/>
      <c r="J102" s="3"/>
      <c r="K102" s="3">
        <f>F102+J102</f>
        <v>267700</v>
      </c>
      <c r="L102" s="55">
        <f>E102</f>
        <v>294719</v>
      </c>
      <c r="M102" s="66">
        <f t="shared" si="13"/>
        <v>-27019</v>
      </c>
      <c r="N102" s="2"/>
      <c r="O102" s="2"/>
      <c r="P102" s="59" t="s">
        <v>8</v>
      </c>
      <c r="Q102" s="59" t="s">
        <v>89</v>
      </c>
      <c r="R102" s="3">
        <v>1162671</v>
      </c>
      <c r="S102" s="55">
        <f t="shared" si="15"/>
        <v>960885.12396694219</v>
      </c>
    </row>
    <row r="103" spans="1:20" hidden="1" x14ac:dyDescent="0.35">
      <c r="A103" s="2">
        <v>2026</v>
      </c>
      <c r="B103" s="59" t="s">
        <v>9</v>
      </c>
      <c r="C103" s="2" t="s">
        <v>3</v>
      </c>
      <c r="D103" s="3"/>
      <c r="E103" s="3">
        <v>7200000</v>
      </c>
      <c r="F103" s="3">
        <v>7100000</v>
      </c>
      <c r="G103" s="3"/>
      <c r="H103" s="3"/>
      <c r="I103" s="3"/>
      <c r="J103" s="3"/>
      <c r="K103" s="3">
        <f>F103+J103</f>
        <v>7100000</v>
      </c>
      <c r="L103" s="3">
        <f>E103</f>
        <v>7200000</v>
      </c>
      <c r="M103" s="5">
        <f t="shared" si="13"/>
        <v>-100000</v>
      </c>
      <c r="N103" s="2"/>
      <c r="O103" s="2"/>
      <c r="P103" s="59" t="s">
        <v>9</v>
      </c>
      <c r="Q103" s="2" t="s">
        <v>3</v>
      </c>
      <c r="R103" s="3">
        <v>49769692.299999997</v>
      </c>
      <c r="S103" s="55">
        <f t="shared" si="15"/>
        <v>41131977.107438013</v>
      </c>
    </row>
    <row r="104" spans="1:20" hidden="1" x14ac:dyDescent="0.35">
      <c r="A104" s="2">
        <v>2026</v>
      </c>
      <c r="B104" s="59" t="s">
        <v>9</v>
      </c>
      <c r="C104" s="2" t="s">
        <v>4</v>
      </c>
      <c r="D104" s="3"/>
      <c r="E104" s="3">
        <v>850000</v>
      </c>
      <c r="F104" s="3">
        <v>850000</v>
      </c>
      <c r="G104" s="3"/>
      <c r="H104" s="3"/>
      <c r="I104" s="3"/>
      <c r="J104" s="3"/>
      <c r="K104" s="3">
        <f>F104+J104</f>
        <v>850000</v>
      </c>
      <c r="L104" s="3">
        <f>E104</f>
        <v>850000</v>
      </c>
      <c r="M104" s="5">
        <f t="shared" si="13"/>
        <v>0</v>
      </c>
      <c r="N104" s="2"/>
      <c r="O104" s="2"/>
      <c r="P104" s="59" t="s">
        <v>9</v>
      </c>
      <c r="Q104" s="2" t="s">
        <v>4</v>
      </c>
      <c r="R104" s="3">
        <v>21769881.899999999</v>
      </c>
      <c r="S104" s="55">
        <f t="shared" si="15"/>
        <v>17991637.933884297</v>
      </c>
    </row>
    <row r="105" spans="1:20" hidden="1" x14ac:dyDescent="0.35">
      <c r="A105" s="2">
        <v>2026</v>
      </c>
      <c r="B105" s="59" t="s">
        <v>9</v>
      </c>
      <c r="C105" s="2" t="s">
        <v>14</v>
      </c>
      <c r="D105" s="3"/>
      <c r="E105" s="3">
        <v>716402</v>
      </c>
      <c r="F105" s="75">
        <v>715965.54</v>
      </c>
      <c r="G105" s="3"/>
      <c r="H105" s="3"/>
      <c r="I105" s="3"/>
      <c r="J105" s="3"/>
      <c r="K105" s="7">
        <f t="shared" ref="K105" si="20">F105</f>
        <v>715965.54</v>
      </c>
      <c r="L105" s="3">
        <f>IF(E105&gt;G105,E105,G105)</f>
        <v>716402</v>
      </c>
      <c r="M105" s="5">
        <f t="shared" si="13"/>
        <v>-436.45999999996275</v>
      </c>
      <c r="N105" s="2"/>
      <c r="O105" s="2"/>
      <c r="P105" s="59" t="s">
        <v>9</v>
      </c>
      <c r="Q105" s="2" t="s">
        <v>14</v>
      </c>
      <c r="R105" s="3">
        <v>3623340</v>
      </c>
      <c r="S105" s="55">
        <f t="shared" si="15"/>
        <v>2994495.867768595</v>
      </c>
    </row>
    <row r="106" spans="1:20" hidden="1" x14ac:dyDescent="0.35">
      <c r="A106" s="2">
        <v>2026</v>
      </c>
      <c r="B106" s="59" t="s">
        <v>9</v>
      </c>
      <c r="C106" s="2" t="s">
        <v>5</v>
      </c>
      <c r="D106" s="3"/>
      <c r="E106" s="3">
        <v>2000000</v>
      </c>
      <c r="F106" s="3"/>
      <c r="G106" s="57">
        <f>S106*0.07</f>
        <v>1473794.6595041321</v>
      </c>
      <c r="H106" s="57">
        <f>IF(E106&gt;G106,E106*0.15,G106*0.15)</f>
        <v>300000</v>
      </c>
      <c r="I106" s="3"/>
      <c r="J106" s="3"/>
      <c r="K106" s="3">
        <v>2300000</v>
      </c>
      <c r="L106" s="3">
        <f>IF(E106&gt;G106,E106+H106,G106+H106)</f>
        <v>2300000</v>
      </c>
      <c r="M106" s="5">
        <f t="shared" si="13"/>
        <v>0</v>
      </c>
      <c r="N106" s="2"/>
      <c r="O106" s="2"/>
      <c r="P106" s="59" t="s">
        <v>9</v>
      </c>
      <c r="Q106" s="2" t="s">
        <v>5</v>
      </c>
      <c r="R106" s="3">
        <v>25475593.399999995</v>
      </c>
      <c r="S106" s="55">
        <f t="shared" si="15"/>
        <v>21054209.4214876</v>
      </c>
    </row>
    <row r="107" spans="1:20" hidden="1" x14ac:dyDescent="0.35">
      <c r="A107" s="2">
        <v>2026</v>
      </c>
      <c r="B107" s="59" t="s">
        <v>9</v>
      </c>
      <c r="C107" s="2" t="s">
        <v>6</v>
      </c>
      <c r="D107" s="3"/>
      <c r="E107" s="3"/>
      <c r="F107" s="3"/>
      <c r="G107" s="57">
        <f>S107*0.08</f>
        <v>2622347.1074380167</v>
      </c>
      <c r="H107" s="3"/>
      <c r="I107" s="3"/>
      <c r="J107" s="3">
        <v>2622347.04</v>
      </c>
      <c r="K107" s="7">
        <f>J107+F107</f>
        <v>2622347.04</v>
      </c>
      <c r="L107" s="3">
        <f>G107</f>
        <v>2622347.1074380167</v>
      </c>
      <c r="M107" s="5">
        <f t="shared" si="13"/>
        <v>-6.7438016645610332E-2</v>
      </c>
      <c r="N107" s="2"/>
      <c r="O107" s="2"/>
      <c r="P107" s="59" t="s">
        <v>9</v>
      </c>
      <c r="Q107" s="2" t="s">
        <v>6</v>
      </c>
      <c r="R107" s="3">
        <v>39663000</v>
      </c>
      <c r="S107" s="55">
        <f t="shared" si="15"/>
        <v>32779338.842975207</v>
      </c>
    </row>
    <row r="108" spans="1:20" hidden="1" x14ac:dyDescent="0.35">
      <c r="A108" s="2">
        <v>2026</v>
      </c>
      <c r="B108" s="59" t="s">
        <v>9</v>
      </c>
      <c r="C108" s="2" t="s">
        <v>7</v>
      </c>
      <c r="D108" s="3"/>
      <c r="E108" s="3"/>
      <c r="F108" s="3">
        <v>1473060.3</v>
      </c>
      <c r="G108" s="57">
        <f>S108*0.1</f>
        <v>1473060.3429752067</v>
      </c>
      <c r="H108" s="3"/>
      <c r="I108" s="3"/>
      <c r="J108" s="3"/>
      <c r="K108" s="7">
        <f>F108+J108</f>
        <v>1473060.3</v>
      </c>
      <c r="L108" s="3">
        <f>IF(E108&gt;G108,E108,G108)</f>
        <v>1473060.3429752067</v>
      </c>
      <c r="M108" s="5">
        <f t="shared" si="13"/>
        <v>-4.2975206626579165E-2</v>
      </c>
      <c r="N108" s="2"/>
      <c r="O108" s="2"/>
      <c r="P108" s="59" t="s">
        <v>9</v>
      </c>
      <c r="Q108" s="2" t="s">
        <v>7</v>
      </c>
      <c r="R108" s="3">
        <v>17824030.149999999</v>
      </c>
      <c r="S108" s="55">
        <f t="shared" si="15"/>
        <v>14730603.429752065</v>
      </c>
    </row>
    <row r="109" spans="1:20" hidden="1" x14ac:dyDescent="0.35">
      <c r="A109" s="2">
        <v>2026</v>
      </c>
      <c r="B109" s="59" t="s">
        <v>9</v>
      </c>
      <c r="C109" s="2" t="s">
        <v>19</v>
      </c>
      <c r="D109" s="3"/>
      <c r="E109" s="3"/>
      <c r="F109" s="3"/>
      <c r="G109" s="57">
        <f>S109*0.09</f>
        <v>1199300.5710743801</v>
      </c>
      <c r="H109" s="3"/>
      <c r="I109" s="3"/>
      <c r="J109" s="3">
        <v>1199300.67</v>
      </c>
      <c r="K109" s="7">
        <f>J109+F109</f>
        <v>1199300.67</v>
      </c>
      <c r="L109" s="3">
        <f>IF(E109&gt;G109,E109,G109)</f>
        <v>1199300.5710743801</v>
      </c>
      <c r="M109" s="5">
        <f t="shared" si="13"/>
        <v>9.8925619851797819E-2</v>
      </c>
      <c r="N109" s="2"/>
      <c r="O109" s="2"/>
      <c r="P109" s="59" t="s">
        <v>9</v>
      </c>
      <c r="Q109" s="2" t="s">
        <v>19</v>
      </c>
      <c r="R109" s="3">
        <v>16123929.9</v>
      </c>
      <c r="S109" s="55">
        <f t="shared" si="15"/>
        <v>13325561.900826447</v>
      </c>
    </row>
    <row r="110" spans="1:20" x14ac:dyDescent="0.35">
      <c r="A110" s="2">
        <v>2026</v>
      </c>
      <c r="B110" s="59" t="s">
        <v>9</v>
      </c>
      <c r="C110" s="2" t="s">
        <v>79</v>
      </c>
      <c r="D110" s="3"/>
      <c r="E110" s="3">
        <v>1486293</v>
      </c>
      <c r="F110" s="3"/>
      <c r="G110" s="3"/>
      <c r="H110" s="57">
        <f>E110*0.1</f>
        <v>148629.30000000002</v>
      </c>
      <c r="I110" s="57">
        <f>F110*0.1</f>
        <v>0</v>
      </c>
      <c r="J110" s="3"/>
      <c r="K110" s="3">
        <v>1619513.17</v>
      </c>
      <c r="L110" s="3">
        <f>E110+H110</f>
        <v>1634922.3</v>
      </c>
      <c r="M110" s="5">
        <f t="shared" ref="M110:M141" si="21">K110-L110</f>
        <v>-15409.130000000121</v>
      </c>
      <c r="N110" s="2"/>
      <c r="O110" s="2"/>
      <c r="P110" s="59" t="s">
        <v>9</v>
      </c>
      <c r="Q110" s="2" t="s">
        <v>79</v>
      </c>
      <c r="R110" s="3">
        <v>4959712.9000000004</v>
      </c>
      <c r="S110" s="3">
        <f>R110/1.46</f>
        <v>3397063.6301369867</v>
      </c>
      <c r="T110" t="s">
        <v>107</v>
      </c>
    </row>
    <row r="111" spans="1:20" hidden="1" x14ac:dyDescent="0.35">
      <c r="A111" s="2">
        <v>2026</v>
      </c>
      <c r="B111" s="59" t="s">
        <v>9</v>
      </c>
      <c r="C111" s="59" t="s">
        <v>90</v>
      </c>
      <c r="D111" s="3"/>
      <c r="E111" s="3">
        <v>511715</v>
      </c>
      <c r="F111" s="3">
        <v>511403.96</v>
      </c>
      <c r="G111" s="57">
        <f>0.09*S111</f>
        <v>307171.23287671228</v>
      </c>
      <c r="H111" s="3"/>
      <c r="I111" s="3"/>
      <c r="J111" s="3"/>
      <c r="K111" s="7">
        <f t="shared" ref="K111" si="22">I111+F111</f>
        <v>511403.96</v>
      </c>
      <c r="L111" s="3">
        <f>IF(E111&gt;G111,E111,G111)</f>
        <v>511715</v>
      </c>
      <c r="M111" s="5">
        <f t="shared" si="21"/>
        <v>-311.03999999997905</v>
      </c>
      <c r="N111" s="2"/>
      <c r="O111" s="2"/>
      <c r="P111" s="59" t="s">
        <v>9</v>
      </c>
      <c r="Q111" s="59" t="s">
        <v>90</v>
      </c>
      <c r="R111" s="3">
        <v>4983000</v>
      </c>
      <c r="S111" s="55">
        <f>R111/1.46</f>
        <v>3413013.6986301369</v>
      </c>
      <c r="T111" s="39" t="s">
        <v>107</v>
      </c>
    </row>
    <row r="112" spans="1:20" hidden="1" x14ac:dyDescent="0.35">
      <c r="A112" s="2">
        <v>2026</v>
      </c>
      <c r="B112" s="59" t="s">
        <v>9</v>
      </c>
      <c r="C112" s="59" t="s">
        <v>89</v>
      </c>
      <c r="D112" s="3"/>
      <c r="E112" s="3">
        <v>294719</v>
      </c>
      <c r="F112" s="3">
        <v>294630.62</v>
      </c>
      <c r="G112" s="3"/>
      <c r="H112" s="3"/>
      <c r="I112" s="3"/>
      <c r="J112" s="3"/>
      <c r="K112" s="3">
        <f>F112+J112</f>
        <v>294630.62</v>
      </c>
      <c r="L112" s="55">
        <f>E112</f>
        <v>294719</v>
      </c>
      <c r="M112" s="66">
        <f t="shared" si="21"/>
        <v>-88.380000000004657</v>
      </c>
      <c r="N112" s="2"/>
      <c r="O112" s="2"/>
      <c r="P112" s="59" t="s">
        <v>9</v>
      </c>
      <c r="Q112" s="59" t="s">
        <v>89</v>
      </c>
      <c r="R112" s="3">
        <v>623750.01</v>
      </c>
      <c r="S112" s="55">
        <f t="shared" si="15"/>
        <v>515495.87603305787</v>
      </c>
    </row>
    <row r="113" spans="1:20" hidden="1" x14ac:dyDescent="0.35">
      <c r="A113" s="2">
        <v>2026</v>
      </c>
      <c r="B113" s="59" t="s">
        <v>12</v>
      </c>
      <c r="C113" s="2" t="s">
        <v>3</v>
      </c>
      <c r="D113" s="3"/>
      <c r="E113" s="3">
        <v>7175000</v>
      </c>
      <c r="F113" s="3">
        <v>7100000</v>
      </c>
      <c r="G113" s="3"/>
      <c r="H113" s="3"/>
      <c r="I113" s="3"/>
      <c r="J113" s="3"/>
      <c r="K113" s="3">
        <f>F113+J113</f>
        <v>7100000</v>
      </c>
      <c r="L113" s="3">
        <f>E113</f>
        <v>7175000</v>
      </c>
      <c r="M113" s="5">
        <f t="shared" si="21"/>
        <v>-75000</v>
      </c>
      <c r="N113" s="2"/>
      <c r="O113" s="2"/>
      <c r="P113" s="59" t="s">
        <v>12</v>
      </c>
      <c r="Q113" s="2" t="s">
        <v>3</v>
      </c>
      <c r="R113" s="3">
        <v>56105566.406199992</v>
      </c>
      <c r="S113" s="55">
        <f t="shared" si="15"/>
        <v>46368236.699338838</v>
      </c>
    </row>
    <row r="114" spans="1:20" hidden="1" x14ac:dyDescent="0.35">
      <c r="A114" s="2">
        <v>2026</v>
      </c>
      <c r="B114" s="59" t="s">
        <v>12</v>
      </c>
      <c r="C114" s="2" t="s">
        <v>4</v>
      </c>
      <c r="D114" s="3"/>
      <c r="E114" s="3">
        <v>925424</v>
      </c>
      <c r="F114" s="3">
        <v>923100</v>
      </c>
      <c r="G114" s="3"/>
      <c r="H114" s="3"/>
      <c r="I114" s="3"/>
      <c r="J114" s="3"/>
      <c r="K114" s="3">
        <f>F114+J114</f>
        <v>923100</v>
      </c>
      <c r="L114" s="3">
        <f>E114</f>
        <v>925424</v>
      </c>
      <c r="M114" s="5">
        <f t="shared" si="21"/>
        <v>-2324</v>
      </c>
      <c r="N114" s="2"/>
      <c r="O114" s="2"/>
      <c r="P114" s="59" t="s">
        <v>12</v>
      </c>
      <c r="Q114" s="2" t="s">
        <v>4</v>
      </c>
      <c r="R114" s="3">
        <v>16278681.891899999</v>
      </c>
      <c r="S114" s="55">
        <f t="shared" si="15"/>
        <v>13453456.109008264</v>
      </c>
    </row>
    <row r="115" spans="1:20" hidden="1" x14ac:dyDescent="0.35">
      <c r="A115" s="2">
        <v>2026</v>
      </c>
      <c r="B115" s="59" t="s">
        <v>12</v>
      </c>
      <c r="C115" s="2" t="s">
        <v>14</v>
      </c>
      <c r="D115" s="3"/>
      <c r="E115" s="3">
        <v>716402</v>
      </c>
      <c r="F115" s="75">
        <v>715965.54</v>
      </c>
      <c r="G115" s="3"/>
      <c r="H115" s="3"/>
      <c r="I115" s="3"/>
      <c r="J115" s="3"/>
      <c r="K115" s="7">
        <f t="shared" ref="K115" si="23">F115</f>
        <v>715965.54</v>
      </c>
      <c r="L115" s="3">
        <f>IF(E115&gt;G115,E115,G115)</f>
        <v>716402</v>
      </c>
      <c r="M115" s="5">
        <f t="shared" si="21"/>
        <v>-436.45999999996275</v>
      </c>
      <c r="N115" s="2"/>
      <c r="O115" s="2"/>
      <c r="P115" s="59" t="s">
        <v>12</v>
      </c>
      <c r="Q115" s="2" t="s">
        <v>14</v>
      </c>
      <c r="R115" s="3">
        <v>2967396.8247000002</v>
      </c>
      <c r="S115" s="55">
        <f t="shared" si="15"/>
        <v>2452394.0700000003</v>
      </c>
    </row>
    <row r="116" spans="1:20" hidden="1" x14ac:dyDescent="0.35">
      <c r="A116" s="2">
        <v>2026</v>
      </c>
      <c r="B116" s="59" t="s">
        <v>12</v>
      </c>
      <c r="C116" s="2" t="s">
        <v>5</v>
      </c>
      <c r="D116" s="3"/>
      <c r="E116" s="3">
        <v>2000000</v>
      </c>
      <c r="F116" s="3"/>
      <c r="G116" s="57">
        <f>S116*0.07</f>
        <v>1211599.0690190082</v>
      </c>
      <c r="H116" s="57">
        <f>IF(E116&gt;G116,E116*0.15,G116*0.15)</f>
        <v>300000</v>
      </c>
      <c r="I116" s="3"/>
      <c r="J116" s="3"/>
      <c r="K116" s="3">
        <v>2300000</v>
      </c>
      <c r="L116" s="3">
        <f>IF(E116&gt;G116,E116+H116,G116+H116)</f>
        <v>2300000</v>
      </c>
      <c r="M116" s="5">
        <f t="shared" si="21"/>
        <v>0</v>
      </c>
      <c r="N116" s="2"/>
      <c r="O116" s="2"/>
      <c r="P116" s="59" t="s">
        <v>12</v>
      </c>
      <c r="Q116" s="2" t="s">
        <v>5</v>
      </c>
      <c r="R116" s="3">
        <v>20943355.335899998</v>
      </c>
      <c r="S116" s="55">
        <f t="shared" si="15"/>
        <v>17308558.128842972</v>
      </c>
    </row>
    <row r="117" spans="1:20" hidden="1" x14ac:dyDescent="0.35">
      <c r="A117" s="2">
        <v>2026</v>
      </c>
      <c r="B117" s="59" t="s">
        <v>12</v>
      </c>
      <c r="C117" s="2" t="s">
        <v>6</v>
      </c>
      <c r="D117" s="3"/>
      <c r="E117" s="3"/>
      <c r="F117" s="3"/>
      <c r="G117" s="57">
        <f>S117*0.08</f>
        <v>2012472.0661157027</v>
      </c>
      <c r="H117" s="3"/>
      <c r="I117" s="3"/>
      <c r="J117" s="3">
        <v>2012472</v>
      </c>
      <c r="K117" s="7">
        <f>J117+F117</f>
        <v>2012472</v>
      </c>
      <c r="L117" s="3">
        <f>G117</f>
        <v>2012472.0661157027</v>
      </c>
      <c r="M117" s="5">
        <f t="shared" si="21"/>
        <v>-6.6115702735260129E-2</v>
      </c>
      <c r="N117" s="2"/>
      <c r="O117" s="2"/>
      <c r="P117" s="59" t="s">
        <v>12</v>
      </c>
      <c r="Q117" s="2" t="s">
        <v>6</v>
      </c>
      <c r="R117" s="3">
        <v>30438640.000000004</v>
      </c>
      <c r="S117" s="55">
        <f t="shared" si="15"/>
        <v>25155900.826446284</v>
      </c>
    </row>
    <row r="118" spans="1:20" hidden="1" x14ac:dyDescent="0.35">
      <c r="A118" s="2">
        <v>2026</v>
      </c>
      <c r="B118" s="59" t="s">
        <v>12</v>
      </c>
      <c r="C118" s="2" t="s">
        <v>7</v>
      </c>
      <c r="D118" s="3"/>
      <c r="E118" s="3"/>
      <c r="F118" s="3">
        <v>1070367.2</v>
      </c>
      <c r="G118" s="57">
        <f>S118*0.1</f>
        <v>1070367.2733636363</v>
      </c>
      <c r="H118" s="3"/>
      <c r="I118" s="3"/>
      <c r="J118" s="3"/>
      <c r="K118" s="7">
        <f>F118+J118</f>
        <v>1070367.2</v>
      </c>
      <c r="L118" s="3">
        <f>IF(E118&gt;G118,E118,G118)</f>
        <v>1070367.2733636363</v>
      </c>
      <c r="M118" s="5">
        <f t="shared" si="21"/>
        <v>-7.3363636387512088E-2</v>
      </c>
      <c r="N118" s="2"/>
      <c r="O118" s="2"/>
      <c r="P118" s="59" t="s">
        <v>12</v>
      </c>
      <c r="Q118" s="2" t="s">
        <v>7</v>
      </c>
      <c r="R118" s="3">
        <v>12951444.007699998</v>
      </c>
      <c r="S118" s="55">
        <f t="shared" si="15"/>
        <v>10703672.733636362</v>
      </c>
    </row>
    <row r="119" spans="1:20" hidden="1" x14ac:dyDescent="0.35">
      <c r="A119" s="2">
        <v>2026</v>
      </c>
      <c r="B119" s="59" t="s">
        <v>12</v>
      </c>
      <c r="C119" s="2" t="s">
        <v>19</v>
      </c>
      <c r="D119" s="3"/>
      <c r="E119" s="3"/>
      <c r="F119" s="3"/>
      <c r="G119" s="57">
        <f>S119*0.09</f>
        <v>1026394.1906801652</v>
      </c>
      <c r="H119" s="3"/>
      <c r="I119" s="3"/>
      <c r="J119" s="3">
        <v>1026394.29</v>
      </c>
      <c r="K119" s="7">
        <f>J119+F119</f>
        <v>1026394.29</v>
      </c>
      <c r="L119" s="3">
        <f>IF(E119&gt;G119,E119,G119)</f>
        <v>1026394.1906801652</v>
      </c>
      <c r="M119" s="5">
        <f t="shared" si="21"/>
        <v>9.9319834844209254E-2</v>
      </c>
      <c r="N119" s="2"/>
      <c r="O119" s="2"/>
      <c r="P119" s="59" t="s">
        <v>12</v>
      </c>
      <c r="Q119" s="2" t="s">
        <v>19</v>
      </c>
      <c r="R119" s="3">
        <v>13799299.674699999</v>
      </c>
      <c r="S119" s="55">
        <f t="shared" si="15"/>
        <v>11404379.89644628</v>
      </c>
    </row>
    <row r="120" spans="1:20" x14ac:dyDescent="0.35">
      <c r="A120" s="2">
        <v>2026</v>
      </c>
      <c r="B120" s="59" t="s">
        <v>12</v>
      </c>
      <c r="C120" s="2" t="s">
        <v>79</v>
      </c>
      <c r="D120" s="3"/>
      <c r="E120" s="3">
        <v>1573410</v>
      </c>
      <c r="F120" s="3"/>
      <c r="G120" s="3"/>
      <c r="H120" s="57">
        <f>E120*0.1</f>
        <v>157341</v>
      </c>
      <c r="I120" s="57">
        <f>F120*0.1</f>
        <v>0</v>
      </c>
      <c r="J120" s="3"/>
      <c r="K120" s="3">
        <v>1872828.4</v>
      </c>
      <c r="L120" s="3">
        <f>E120+H120</f>
        <v>1730751</v>
      </c>
      <c r="M120" s="5">
        <f t="shared" si="21"/>
        <v>142077.39999999991</v>
      </c>
      <c r="N120" s="2"/>
      <c r="O120" s="2"/>
      <c r="P120" s="59" t="s">
        <v>12</v>
      </c>
      <c r="Q120" s="2" t="s">
        <v>79</v>
      </c>
      <c r="R120" s="3">
        <v>7961630.0196999982</v>
      </c>
      <c r="S120" s="3">
        <f>R120/1.46</f>
        <v>5453171.246369862</v>
      </c>
      <c r="T120" t="s">
        <v>107</v>
      </c>
    </row>
    <row r="121" spans="1:20" hidden="1" x14ac:dyDescent="0.35">
      <c r="A121" s="2">
        <v>2026</v>
      </c>
      <c r="B121" s="59" t="s">
        <v>12</v>
      </c>
      <c r="C121" s="59" t="s">
        <v>90</v>
      </c>
      <c r="D121" s="3"/>
      <c r="E121" s="3">
        <v>511715</v>
      </c>
      <c r="F121" s="3">
        <v>583226.46</v>
      </c>
      <c r="G121" s="57">
        <f>0.09*S121</f>
        <v>582398.63080273976</v>
      </c>
      <c r="H121" s="3"/>
      <c r="I121" s="3"/>
      <c r="J121" s="3"/>
      <c r="K121" s="7">
        <f t="shared" ref="K121" si="24">I121+F121</f>
        <v>583226.46</v>
      </c>
      <c r="L121" s="3">
        <f>IF(E121&gt;G121,E121,G121)</f>
        <v>582398.63080273976</v>
      </c>
      <c r="M121" s="5">
        <f t="shared" si="21"/>
        <v>827.82919726020191</v>
      </c>
      <c r="N121" s="2"/>
      <c r="O121" s="2"/>
      <c r="P121" s="59" t="s">
        <v>12</v>
      </c>
      <c r="Q121" s="59" t="s">
        <v>90</v>
      </c>
      <c r="R121" s="3">
        <v>9447800.0108000003</v>
      </c>
      <c r="S121" s="55">
        <f>R121/1.46</f>
        <v>6471095.8978082193</v>
      </c>
      <c r="T121" s="39" t="s">
        <v>107</v>
      </c>
    </row>
    <row r="122" spans="1:20" s="76" customFormat="1" hidden="1" x14ac:dyDescent="0.35">
      <c r="A122" s="70">
        <v>2026</v>
      </c>
      <c r="B122" s="70" t="s">
        <v>12</v>
      </c>
      <c r="C122" s="70" t="s">
        <v>89</v>
      </c>
      <c r="D122" s="71"/>
      <c r="E122" s="52">
        <v>294719</v>
      </c>
      <c r="F122" s="75">
        <v>294630.62</v>
      </c>
      <c r="G122" s="52"/>
      <c r="H122" s="52"/>
      <c r="I122" s="52"/>
      <c r="J122" s="52"/>
      <c r="K122" s="3">
        <f>F122+J122</f>
        <v>294630.62</v>
      </c>
      <c r="L122" s="55">
        <f>E122</f>
        <v>294719</v>
      </c>
      <c r="M122" s="66">
        <f t="shared" si="21"/>
        <v>-88.380000000004657</v>
      </c>
      <c r="N122" s="59"/>
      <c r="O122" s="59"/>
      <c r="P122" s="70" t="s">
        <v>12</v>
      </c>
      <c r="Q122" s="70" t="s">
        <v>89</v>
      </c>
      <c r="R122" s="52">
        <v>174650.0068</v>
      </c>
      <c r="S122" s="55">
        <f t="shared" si="15"/>
        <v>144338.84859504132</v>
      </c>
    </row>
    <row r="123" spans="1:20" hidden="1" x14ac:dyDescent="0.35">
      <c r="A123" s="2">
        <v>2026</v>
      </c>
      <c r="B123" s="59" t="s">
        <v>2</v>
      </c>
      <c r="C123" s="2" t="s">
        <v>3</v>
      </c>
      <c r="D123" s="3"/>
      <c r="E123" s="3"/>
      <c r="F123" s="3"/>
      <c r="G123" s="3"/>
      <c r="H123" s="3"/>
      <c r="I123" s="3"/>
      <c r="J123" s="3"/>
      <c r="K123" s="3">
        <f>F123+J123</f>
        <v>0</v>
      </c>
      <c r="L123" s="3">
        <f>E123</f>
        <v>0</v>
      </c>
      <c r="M123" s="5">
        <f t="shared" si="21"/>
        <v>0</v>
      </c>
      <c r="N123" s="2"/>
      <c r="O123" s="2"/>
      <c r="P123" s="59" t="s">
        <v>2</v>
      </c>
      <c r="Q123" s="2" t="s">
        <v>3</v>
      </c>
      <c r="R123" s="3"/>
      <c r="S123" s="55">
        <f t="shared" si="15"/>
        <v>0</v>
      </c>
    </row>
    <row r="124" spans="1:20" hidden="1" x14ac:dyDescent="0.35">
      <c r="A124" s="2">
        <v>2026</v>
      </c>
      <c r="B124" s="59" t="s">
        <v>2</v>
      </c>
      <c r="C124" s="2" t="s">
        <v>4</v>
      </c>
      <c r="D124" s="3"/>
      <c r="E124" s="3">
        <v>925424</v>
      </c>
      <c r="F124" s="3">
        <v>923100</v>
      </c>
      <c r="G124" s="3"/>
      <c r="H124" s="3"/>
      <c r="I124" s="3"/>
      <c r="J124" s="3"/>
      <c r="K124" s="3">
        <f>F124+J124</f>
        <v>923100</v>
      </c>
      <c r="L124" s="3">
        <f>E124</f>
        <v>925424</v>
      </c>
      <c r="M124" s="5">
        <f t="shared" si="21"/>
        <v>-2324</v>
      </c>
      <c r="N124" s="2"/>
      <c r="O124" s="2"/>
      <c r="P124" s="59" t="s">
        <v>2</v>
      </c>
      <c r="Q124" s="2" t="s">
        <v>4</v>
      </c>
      <c r="R124" s="3"/>
      <c r="S124" s="55">
        <f t="shared" si="15"/>
        <v>0</v>
      </c>
    </row>
    <row r="125" spans="1:20" hidden="1" x14ac:dyDescent="0.35">
      <c r="A125" s="2">
        <v>2026</v>
      </c>
      <c r="B125" s="59" t="s">
        <v>2</v>
      </c>
      <c r="C125" s="2" t="s">
        <v>14</v>
      </c>
      <c r="D125" s="3"/>
      <c r="E125" s="3">
        <v>716402</v>
      </c>
      <c r="F125" s="3">
        <v>715965.54</v>
      </c>
      <c r="G125" s="3"/>
      <c r="H125" s="3"/>
      <c r="I125" s="3"/>
      <c r="J125" s="3"/>
      <c r="K125" s="7">
        <f t="shared" ref="K125" si="25">F125</f>
        <v>715965.54</v>
      </c>
      <c r="L125" s="3">
        <f>IF(E125&gt;G125,E125,G125)</f>
        <v>716402</v>
      </c>
      <c r="M125" s="5">
        <f t="shared" si="21"/>
        <v>-436.45999999996275</v>
      </c>
      <c r="N125" s="2"/>
      <c r="O125" s="2"/>
      <c r="P125" s="59" t="s">
        <v>2</v>
      </c>
      <c r="Q125" s="2" t="s">
        <v>14</v>
      </c>
      <c r="R125" s="3"/>
      <c r="S125" s="55">
        <f t="shared" si="15"/>
        <v>0</v>
      </c>
    </row>
    <row r="126" spans="1:20" hidden="1" x14ac:dyDescent="0.35">
      <c r="A126" s="2">
        <v>2026</v>
      </c>
      <c r="B126" s="59" t="s">
        <v>2</v>
      </c>
      <c r="C126" s="2" t="s">
        <v>5</v>
      </c>
      <c r="D126" s="3"/>
      <c r="E126" s="3">
        <v>2188846</v>
      </c>
      <c r="F126" s="3"/>
      <c r="G126" s="57">
        <f>S126*0.07</f>
        <v>0</v>
      </c>
      <c r="H126" s="57">
        <f>IF(E126&gt;G126,E126*0.15,G126*0.15)</f>
        <v>328326.89999999997</v>
      </c>
      <c r="I126" s="3"/>
      <c r="J126" s="3"/>
      <c r="K126" s="3">
        <v>2504086.52</v>
      </c>
      <c r="L126" s="3">
        <f>IF(E126&gt;G126,E126+H126,G126+H126)</f>
        <v>2517172.9</v>
      </c>
      <c r="M126" s="5">
        <f t="shared" si="21"/>
        <v>-13086.379999999888</v>
      </c>
      <c r="N126" s="2"/>
      <c r="O126" s="2"/>
      <c r="P126" s="59" t="s">
        <v>2</v>
      </c>
      <c r="Q126" s="2" t="s">
        <v>5</v>
      </c>
      <c r="R126" s="3"/>
      <c r="S126" s="55">
        <f t="shared" si="15"/>
        <v>0</v>
      </c>
    </row>
    <row r="127" spans="1:20" hidden="1" x14ac:dyDescent="0.35">
      <c r="A127" s="2">
        <v>2026</v>
      </c>
      <c r="B127" s="59" t="s">
        <v>2</v>
      </c>
      <c r="C127" s="2" t="s">
        <v>6</v>
      </c>
      <c r="D127" s="3"/>
      <c r="E127" s="3"/>
      <c r="F127" s="3"/>
      <c r="G127" s="57">
        <f>S127*0.08</f>
        <v>0</v>
      </c>
      <c r="H127" s="3"/>
      <c r="I127" s="3"/>
      <c r="J127" s="3">
        <v>2239640.96</v>
      </c>
      <c r="K127" s="7">
        <f>J127+F127</f>
        <v>2239640.96</v>
      </c>
      <c r="L127" s="3">
        <f>G127</f>
        <v>0</v>
      </c>
      <c r="M127" s="5">
        <f t="shared" si="21"/>
        <v>2239640.96</v>
      </c>
      <c r="N127" s="2"/>
      <c r="O127" s="2"/>
      <c r="P127" s="59" t="s">
        <v>2</v>
      </c>
      <c r="Q127" s="2" t="s">
        <v>6</v>
      </c>
      <c r="R127" s="3"/>
      <c r="S127" s="55">
        <f t="shared" si="15"/>
        <v>0</v>
      </c>
    </row>
    <row r="128" spans="1:20" hidden="1" x14ac:dyDescent="0.35">
      <c r="A128" s="2">
        <v>2026</v>
      </c>
      <c r="B128" s="59" t="s">
        <v>2</v>
      </c>
      <c r="C128" s="2" t="s">
        <v>7</v>
      </c>
      <c r="D128" s="3"/>
      <c r="E128" s="3"/>
      <c r="F128" s="3">
        <v>1230248.2</v>
      </c>
      <c r="G128" s="57">
        <f>S128*0.1</f>
        <v>0</v>
      </c>
      <c r="H128" s="3"/>
      <c r="I128" s="3"/>
      <c r="J128" s="3"/>
      <c r="K128" s="7">
        <f>F128+J128</f>
        <v>1230248.2</v>
      </c>
      <c r="L128" s="3">
        <f>IF(E128&gt;G128,E128,G128)</f>
        <v>0</v>
      </c>
      <c r="M128" s="5">
        <f t="shared" si="21"/>
        <v>1230248.2</v>
      </c>
      <c r="N128" s="2"/>
      <c r="O128" s="2"/>
      <c r="P128" s="59" t="s">
        <v>2</v>
      </c>
      <c r="Q128" s="2" t="s">
        <v>7</v>
      </c>
      <c r="R128" s="3"/>
      <c r="S128" s="55">
        <f t="shared" si="15"/>
        <v>0</v>
      </c>
    </row>
    <row r="129" spans="1:20" hidden="1" x14ac:dyDescent="0.35">
      <c r="A129" s="2">
        <v>2026</v>
      </c>
      <c r="B129" s="59" t="s">
        <v>2</v>
      </c>
      <c r="C129" s="2" t="s">
        <v>19</v>
      </c>
      <c r="D129" s="3"/>
      <c r="E129" s="3"/>
      <c r="F129" s="3"/>
      <c r="G129" s="57">
        <f>S129*0.09</f>
        <v>0</v>
      </c>
      <c r="H129" s="3"/>
      <c r="I129" s="3"/>
      <c r="J129" s="3"/>
      <c r="K129" s="7">
        <v>1089870.3899999999</v>
      </c>
      <c r="L129" s="3">
        <f>IF(E129&gt;G129,E129,G129)</f>
        <v>0</v>
      </c>
      <c r="M129" s="5">
        <f t="shared" si="21"/>
        <v>1089870.3899999999</v>
      </c>
      <c r="N129" s="2"/>
      <c r="O129" s="2"/>
      <c r="P129" s="59" t="s">
        <v>2</v>
      </c>
      <c r="Q129" s="2" t="s">
        <v>19</v>
      </c>
      <c r="R129" s="3"/>
      <c r="S129" s="55">
        <f t="shared" si="15"/>
        <v>0</v>
      </c>
    </row>
    <row r="130" spans="1:20" x14ac:dyDescent="0.35">
      <c r="A130" s="2">
        <v>2026</v>
      </c>
      <c r="B130" s="59" t="s">
        <v>2</v>
      </c>
      <c r="C130" s="2" t="s">
        <v>79</v>
      </c>
      <c r="D130" s="3"/>
      <c r="E130" s="3">
        <v>1573410</v>
      </c>
      <c r="F130" s="3"/>
      <c r="G130" s="3"/>
      <c r="H130" s="57">
        <f>E130*0.1</f>
        <v>157341</v>
      </c>
      <c r="I130" s="57">
        <f>F130*0.1</f>
        <v>0</v>
      </c>
      <c r="J130" s="3"/>
      <c r="K130" s="3">
        <f>1713587.25+159241</f>
        <v>1872828.25</v>
      </c>
      <c r="L130" s="3">
        <f>E130+H130</f>
        <v>1730751</v>
      </c>
      <c r="M130" s="5">
        <f t="shared" si="21"/>
        <v>142077.25</v>
      </c>
      <c r="N130" s="2"/>
      <c r="O130" s="2"/>
      <c r="P130" s="59" t="s">
        <v>2</v>
      </c>
      <c r="Q130" s="2" t="s">
        <v>79</v>
      </c>
      <c r="R130" s="3"/>
      <c r="S130" s="3">
        <f>R130/1.46</f>
        <v>0</v>
      </c>
      <c r="T130" t="s">
        <v>108</v>
      </c>
    </row>
    <row r="131" spans="1:20" hidden="1" x14ac:dyDescent="0.35">
      <c r="A131" s="2">
        <v>2026</v>
      </c>
      <c r="B131" s="59" t="s">
        <v>2</v>
      </c>
      <c r="C131" s="59" t="s">
        <v>90</v>
      </c>
      <c r="D131" s="3"/>
      <c r="E131" s="3">
        <v>511715</v>
      </c>
      <c r="F131" s="3">
        <f>511403.9+71822.5</f>
        <v>583226.4</v>
      </c>
      <c r="G131" s="57">
        <f>0.09*S131</f>
        <v>0</v>
      </c>
      <c r="H131" s="3"/>
      <c r="I131" s="3"/>
      <c r="J131" s="3"/>
      <c r="K131" s="7">
        <f t="shared" ref="K131" si="26">I131+F131</f>
        <v>583226.4</v>
      </c>
      <c r="L131" s="3">
        <f>IF(E131&gt;G131,E131,G131)</f>
        <v>511715</v>
      </c>
      <c r="M131" s="5">
        <f t="shared" si="21"/>
        <v>71511.400000000023</v>
      </c>
      <c r="N131" s="2"/>
      <c r="O131" s="2"/>
      <c r="P131" s="59" t="s">
        <v>2</v>
      </c>
      <c r="Q131" s="59" t="s">
        <v>90</v>
      </c>
      <c r="R131" s="3"/>
      <c r="S131" s="55">
        <f>R131/1.46</f>
        <v>0</v>
      </c>
    </row>
    <row r="132" spans="1:20" hidden="1" x14ac:dyDescent="0.35">
      <c r="A132" s="2">
        <v>2026</v>
      </c>
      <c r="B132" s="59" t="s">
        <v>13</v>
      </c>
      <c r="C132" s="2" t="s">
        <v>3</v>
      </c>
      <c r="D132" s="3"/>
      <c r="E132" s="3"/>
      <c r="F132" s="3"/>
      <c r="G132" s="3"/>
      <c r="H132" s="3"/>
      <c r="I132" s="3"/>
      <c r="J132" s="3"/>
      <c r="K132" s="3">
        <f>F132+J132</f>
        <v>0</v>
      </c>
      <c r="L132" s="3">
        <f>E132</f>
        <v>0</v>
      </c>
      <c r="M132" s="5">
        <f t="shared" si="21"/>
        <v>0</v>
      </c>
      <c r="N132" s="2"/>
      <c r="O132" s="2"/>
      <c r="P132" s="59" t="s">
        <v>13</v>
      </c>
      <c r="Q132" s="2" t="s">
        <v>3</v>
      </c>
      <c r="R132" s="3"/>
      <c r="S132" s="55">
        <f t="shared" si="15"/>
        <v>0</v>
      </c>
    </row>
    <row r="133" spans="1:20" hidden="1" x14ac:dyDescent="0.35">
      <c r="A133" s="2">
        <v>2026</v>
      </c>
      <c r="B133" s="59" t="s">
        <v>13</v>
      </c>
      <c r="C133" s="2" t="s">
        <v>4</v>
      </c>
      <c r="D133" s="3"/>
      <c r="E133" s="3">
        <v>925424</v>
      </c>
      <c r="F133" s="3"/>
      <c r="G133" s="3"/>
      <c r="H133" s="3"/>
      <c r="I133" s="3"/>
      <c r="J133" s="3"/>
      <c r="K133" s="3">
        <f>F133+J133</f>
        <v>0</v>
      </c>
      <c r="L133" s="3">
        <f>E133</f>
        <v>925424</v>
      </c>
      <c r="M133" s="5">
        <f t="shared" si="21"/>
        <v>-925424</v>
      </c>
      <c r="N133" s="2"/>
      <c r="O133" s="2"/>
      <c r="P133" s="59" t="s">
        <v>13</v>
      </c>
      <c r="Q133" s="2" t="s">
        <v>4</v>
      </c>
      <c r="R133" s="3"/>
      <c r="S133" s="55">
        <f t="shared" si="15"/>
        <v>0</v>
      </c>
    </row>
    <row r="134" spans="1:20" hidden="1" x14ac:dyDescent="0.35">
      <c r="A134" s="2">
        <v>2026</v>
      </c>
      <c r="B134" s="59" t="s">
        <v>13</v>
      </c>
      <c r="C134" s="2" t="s">
        <v>14</v>
      </c>
      <c r="D134" s="3"/>
      <c r="E134" s="3">
        <v>716402</v>
      </c>
      <c r="F134" s="3"/>
      <c r="G134" s="3"/>
      <c r="H134" s="3"/>
      <c r="I134" s="3"/>
      <c r="J134" s="3"/>
      <c r="K134" s="7">
        <f t="shared" ref="K134" si="27">F134</f>
        <v>0</v>
      </c>
      <c r="L134" s="3">
        <f>IF(E134&gt;G134,E134,G134)</f>
        <v>716402</v>
      </c>
      <c r="M134" s="5">
        <f t="shared" si="21"/>
        <v>-716402</v>
      </c>
      <c r="N134" s="2"/>
      <c r="O134" s="2"/>
      <c r="P134" s="59" t="s">
        <v>13</v>
      </c>
      <c r="Q134" s="2" t="s">
        <v>14</v>
      </c>
      <c r="R134" s="3"/>
      <c r="S134" s="55">
        <f t="shared" si="15"/>
        <v>0</v>
      </c>
    </row>
    <row r="135" spans="1:20" hidden="1" x14ac:dyDescent="0.35">
      <c r="A135" s="2">
        <v>2026</v>
      </c>
      <c r="B135" s="59" t="s">
        <v>13</v>
      </c>
      <c r="C135" s="2" t="s">
        <v>5</v>
      </c>
      <c r="D135" s="3"/>
      <c r="E135" s="3">
        <v>2188846</v>
      </c>
      <c r="F135" s="3"/>
      <c r="G135" s="57">
        <f>S135*0.07</f>
        <v>0</v>
      </c>
      <c r="H135" s="57">
        <f>IF(E135&gt;G135,E135*0.15,G135*0.15)</f>
        <v>328326.89999999997</v>
      </c>
      <c r="I135" s="3"/>
      <c r="J135" s="3"/>
      <c r="K135" s="3">
        <f>F135+J135</f>
        <v>0</v>
      </c>
      <c r="L135" s="3">
        <f>IF(E135&gt;G135,E135+H135,G135+H135)</f>
        <v>2517172.9</v>
      </c>
      <c r="M135" s="5">
        <f t="shared" si="21"/>
        <v>-2517172.9</v>
      </c>
      <c r="N135" s="2"/>
      <c r="O135" s="2"/>
      <c r="P135" s="59" t="s">
        <v>13</v>
      </c>
      <c r="Q135" s="2" t="s">
        <v>5</v>
      </c>
      <c r="R135" s="3"/>
      <c r="S135" s="55">
        <f t="shared" si="15"/>
        <v>0</v>
      </c>
    </row>
    <row r="136" spans="1:20" hidden="1" x14ac:dyDescent="0.35">
      <c r="A136" s="2">
        <v>2026</v>
      </c>
      <c r="B136" s="59" t="s">
        <v>13</v>
      </c>
      <c r="C136" s="2" t="s">
        <v>6</v>
      </c>
      <c r="D136" s="3"/>
      <c r="E136" s="3"/>
      <c r="F136" s="3"/>
      <c r="G136" s="57">
        <f>S136*0.08</f>
        <v>0</v>
      </c>
      <c r="H136" s="3"/>
      <c r="I136" s="3"/>
      <c r="J136" s="3"/>
      <c r="K136" s="7">
        <f>J136+F136</f>
        <v>0</v>
      </c>
      <c r="L136" s="3">
        <f>G136</f>
        <v>0</v>
      </c>
      <c r="M136" s="5">
        <f t="shared" si="21"/>
        <v>0</v>
      </c>
      <c r="N136" s="2"/>
      <c r="O136" s="2"/>
      <c r="P136" s="59" t="s">
        <v>13</v>
      </c>
      <c r="Q136" s="2" t="s">
        <v>6</v>
      </c>
      <c r="R136" s="3"/>
      <c r="S136" s="55">
        <f t="shared" si="15"/>
        <v>0</v>
      </c>
    </row>
    <row r="137" spans="1:20" hidden="1" x14ac:dyDescent="0.35">
      <c r="A137" s="2">
        <v>2026</v>
      </c>
      <c r="B137" s="59" t="s">
        <v>13</v>
      </c>
      <c r="C137" s="2" t="s">
        <v>7</v>
      </c>
      <c r="D137" s="3"/>
      <c r="E137" s="3"/>
      <c r="F137" s="3"/>
      <c r="G137" s="57">
        <f>S137*0.1</f>
        <v>0</v>
      </c>
      <c r="H137" s="3"/>
      <c r="I137" s="3"/>
      <c r="J137" s="3"/>
      <c r="K137" s="7">
        <f>F137+J137</f>
        <v>0</v>
      </c>
      <c r="L137" s="3">
        <f>IF(E137&gt;G137,E137,G137)</f>
        <v>0</v>
      </c>
      <c r="M137" s="5">
        <f t="shared" si="21"/>
        <v>0</v>
      </c>
      <c r="N137" s="2"/>
      <c r="O137" s="2"/>
      <c r="P137" s="59" t="s">
        <v>13</v>
      </c>
      <c r="Q137" s="2" t="s">
        <v>7</v>
      </c>
      <c r="R137" s="3"/>
      <c r="S137" s="55">
        <f t="shared" si="15"/>
        <v>0</v>
      </c>
    </row>
    <row r="138" spans="1:20" hidden="1" x14ac:dyDescent="0.35">
      <c r="A138" s="2">
        <v>2026</v>
      </c>
      <c r="B138" s="59" t="s">
        <v>13</v>
      </c>
      <c r="C138" s="2" t="s">
        <v>19</v>
      </c>
      <c r="D138" s="3"/>
      <c r="E138" s="3"/>
      <c r="F138" s="3"/>
      <c r="G138" s="57">
        <f>S138*0.09</f>
        <v>0</v>
      </c>
      <c r="H138" s="3"/>
      <c r="I138" s="3"/>
      <c r="J138" s="3"/>
      <c r="K138" s="7">
        <f>J138+F138</f>
        <v>0</v>
      </c>
      <c r="L138" s="3">
        <f>IF(E138&gt;G138,E138,G138)</f>
        <v>0</v>
      </c>
      <c r="M138" s="5">
        <f t="shared" si="21"/>
        <v>0</v>
      </c>
      <c r="N138" s="2"/>
      <c r="O138" s="2"/>
      <c r="P138" s="59" t="s">
        <v>13</v>
      </c>
      <c r="Q138" s="2" t="s">
        <v>19</v>
      </c>
      <c r="R138" s="3"/>
      <c r="S138" s="55">
        <f t="shared" si="15"/>
        <v>0</v>
      </c>
    </row>
    <row r="139" spans="1:20" x14ac:dyDescent="0.35">
      <c r="A139" s="2">
        <v>2026</v>
      </c>
      <c r="B139" s="59" t="s">
        <v>13</v>
      </c>
      <c r="C139" s="2" t="s">
        <v>79</v>
      </c>
      <c r="D139" s="3"/>
      <c r="E139" s="3"/>
      <c r="F139" s="3"/>
      <c r="G139" s="3"/>
      <c r="H139" s="57">
        <f>E139*0.1</f>
        <v>0</v>
      </c>
      <c r="I139" s="57">
        <f>F139*0.1</f>
        <v>0</v>
      </c>
      <c r="J139" s="3"/>
      <c r="K139" s="3">
        <f>F139+J139</f>
        <v>0</v>
      </c>
      <c r="L139" s="3">
        <f>E139+H139</f>
        <v>0</v>
      </c>
      <c r="M139" s="5">
        <f t="shared" si="21"/>
        <v>0</v>
      </c>
      <c r="N139" s="2"/>
      <c r="O139" s="2"/>
      <c r="P139" s="59" t="s">
        <v>13</v>
      </c>
      <c r="Q139" s="2" t="s">
        <v>79</v>
      </c>
      <c r="R139" s="3"/>
      <c r="S139" s="55">
        <f t="shared" si="15"/>
        <v>0</v>
      </c>
    </row>
    <row r="140" spans="1:20" hidden="1" x14ac:dyDescent="0.35">
      <c r="A140" s="2">
        <v>2026</v>
      </c>
      <c r="B140" s="59" t="s">
        <v>13</v>
      </c>
      <c r="C140" s="59" t="s">
        <v>90</v>
      </c>
      <c r="D140" s="3"/>
      <c r="E140" s="3">
        <v>511715</v>
      </c>
      <c r="F140" s="3">
        <f>511403.9+25409</f>
        <v>536812.9</v>
      </c>
      <c r="G140" s="57">
        <f>0.09*S140</f>
        <v>0</v>
      </c>
      <c r="H140" s="3"/>
      <c r="I140" s="3"/>
      <c r="J140" s="3"/>
      <c r="K140" s="7">
        <f t="shared" ref="K140" si="28">I140+F140</f>
        <v>536812.9</v>
      </c>
      <c r="L140" s="3">
        <f>IF(E140&gt;G140,E140,G140)</f>
        <v>511715</v>
      </c>
      <c r="M140" s="5">
        <f t="shared" si="21"/>
        <v>25097.900000000023</v>
      </c>
      <c r="N140" s="2"/>
      <c r="O140" s="2"/>
      <c r="P140" s="59" t="s">
        <v>13</v>
      </c>
      <c r="Q140" s="59" t="s">
        <v>90</v>
      </c>
      <c r="R140" s="3"/>
      <c r="S140" s="55">
        <f t="shared" si="15"/>
        <v>0</v>
      </c>
      <c r="T140" t="s">
        <v>108</v>
      </c>
    </row>
  </sheetData>
  <autoFilter ref="A2:S140">
    <filterColumn colId="2">
      <filters>
        <filter val="El Solar"/>
      </filters>
    </filterColumn>
  </autoFilter>
  <sortState ref="B2:F49">
    <sortCondition ref="B2:B49" customList="enero,febrero,marzo,abril,mayo,junio,julio,agosto,septiembre,octubre,noviembre,diciembre"/>
  </sortState>
  <mergeCells count="2">
    <mergeCell ref="E1:F1"/>
    <mergeCell ref="G1:J1"/>
  </mergeCells>
  <conditionalFormatting sqref="M141:M1048576 M1:M10 M83 M93 M103 M113 M13:M14 M20:M21 M27:M28 M34:M35 M41:M42 M48:M49 M55:M56 M62:M63 M87 M97 M107 M117 M16:M17 M23:M24 M30:M31 M37:M38 M44:M45 M51:M52 M58:M59 M65 M89 M99 M109 M119">
    <cfRule type="cellIs" dxfId="44" priority="35" operator="greaterThan">
      <formula>0.5</formula>
    </cfRule>
  </conditionalFormatting>
  <conditionalFormatting sqref="M80">
    <cfRule type="cellIs" dxfId="43" priority="20" operator="greaterThan">
      <formula>0.5</formula>
    </cfRule>
  </conditionalFormatting>
  <conditionalFormatting sqref="M81:M82">
    <cfRule type="cellIs" dxfId="42" priority="19" operator="greaterThan">
      <formula>0.5</formula>
    </cfRule>
  </conditionalFormatting>
  <conditionalFormatting sqref="M135 M126 M116 M106 M96 M86 M76 M69">
    <cfRule type="cellIs" dxfId="41" priority="10" operator="greaterThan">
      <formula>0.5</formula>
    </cfRule>
  </conditionalFormatting>
  <conditionalFormatting sqref="M122 M112 M102 M92">
    <cfRule type="cellIs" dxfId="40" priority="9" operator="greaterThan">
      <formula>0.5</formula>
    </cfRule>
  </conditionalFormatting>
  <conditionalFormatting sqref="M138 M129 M79 M72">
    <cfRule type="cellIs" dxfId="39" priority="8" operator="greaterThan">
      <formula>0.5</formula>
    </cfRule>
  </conditionalFormatting>
  <conditionalFormatting sqref="M139 M130 M120 M110 M100 M90">
    <cfRule type="cellIs" dxfId="38" priority="7" operator="greaterThan">
      <formula>0.5</formula>
    </cfRule>
  </conditionalFormatting>
  <conditionalFormatting sqref="M132 M123 M73 M66">
    <cfRule type="cellIs" dxfId="37" priority="6" operator="greaterThan">
      <formula>0.5</formula>
    </cfRule>
  </conditionalFormatting>
  <conditionalFormatting sqref="M133 M124 M114 M104 M94 M84 M74 M67 M60 M53 M46 M39 M32 M25 M18 M11">
    <cfRule type="cellIs" dxfId="36" priority="5" operator="greaterThan">
      <formula>0.5</formula>
    </cfRule>
  </conditionalFormatting>
  <conditionalFormatting sqref="M134 M125 M115 M105 M95 M85 M75 M68 M61 M54 M47 M40 M33 M26 M19 M12">
    <cfRule type="cellIs" dxfId="35" priority="4" operator="greaterThan">
      <formula>0.5</formula>
    </cfRule>
  </conditionalFormatting>
  <conditionalFormatting sqref="M140 M131 M121 M111 M101 M91">
    <cfRule type="cellIs" dxfId="34" priority="3" operator="greaterThan">
      <formula>0.5</formula>
    </cfRule>
  </conditionalFormatting>
  <conditionalFormatting sqref="M136 M127 M77 M70">
    <cfRule type="cellIs" dxfId="33" priority="2" operator="greaterThan">
      <formula>0.5</formula>
    </cfRule>
  </conditionalFormatting>
  <conditionalFormatting sqref="M137 M128 M118 M108 M98 M88 M78 M71 M64 M57 M50 M43 M36 M29 M22 M15">
    <cfRule type="cellIs" dxfId="32" priority="1" operator="greaterThan">
      <formula>0.5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J14" sqref="J14"/>
    </sheetView>
  </sheetViews>
  <sheetFormatPr baseColWidth="10" defaultRowHeight="14.5" x14ac:dyDescent="0.35"/>
  <cols>
    <col min="1" max="1" width="17.6328125" bestFit="1" customWidth="1"/>
    <col min="2" max="8" width="12.6328125" customWidth="1"/>
    <col min="9" max="9" width="16.54296875" customWidth="1"/>
    <col min="10" max="10" width="12.6328125" customWidth="1"/>
    <col min="11" max="11" width="12" customWidth="1"/>
    <col min="12" max="17" width="10" customWidth="1"/>
    <col min="18" max="19" width="9" customWidth="1"/>
    <col min="20" max="22" width="10" customWidth="1"/>
    <col min="23" max="25" width="9" customWidth="1"/>
    <col min="26" max="30" width="10" customWidth="1"/>
    <col min="31" max="31" width="9" customWidth="1"/>
    <col min="32" max="32" width="10" customWidth="1"/>
    <col min="33" max="33" width="11" customWidth="1"/>
    <col min="34" max="34" width="8" customWidth="1"/>
    <col min="35" max="40" width="11" customWidth="1"/>
    <col min="41" max="41" width="10.54296875" customWidth="1"/>
    <col min="42" max="42" width="11.90625" bestFit="1" customWidth="1"/>
  </cols>
  <sheetData>
    <row r="1" spans="1:9" x14ac:dyDescent="0.35">
      <c r="A1" s="37" t="s">
        <v>74</v>
      </c>
    </row>
    <row r="2" spans="1:9" x14ac:dyDescent="0.35">
      <c r="A2" s="37"/>
    </row>
    <row r="3" spans="1:9" x14ac:dyDescent="0.35">
      <c r="A3" s="37"/>
    </row>
    <row r="4" spans="1:9" x14ac:dyDescent="0.35">
      <c r="A4" s="37" t="s">
        <v>75</v>
      </c>
    </row>
    <row r="5" spans="1:9" ht="29" x14ac:dyDescent="0.35">
      <c r="I5" s="45" t="s">
        <v>76</v>
      </c>
    </row>
    <row r="6" spans="1:9" s="38" customFormat="1" x14ac:dyDescent="0.35">
      <c r="A6" s="41" t="s">
        <v>72</v>
      </c>
      <c r="B6" s="42" t="s">
        <v>8</v>
      </c>
      <c r="C6" s="42" t="s">
        <v>9</v>
      </c>
      <c r="D6" s="42" t="s">
        <v>12</v>
      </c>
      <c r="E6" s="42" t="s">
        <v>2</v>
      </c>
      <c r="F6" s="42" t="s">
        <v>13</v>
      </c>
      <c r="G6" s="42" t="s">
        <v>11</v>
      </c>
      <c r="H6" s="43" t="s">
        <v>10</v>
      </c>
      <c r="I6" s="42" t="s">
        <v>16</v>
      </c>
    </row>
    <row r="7" spans="1:9" x14ac:dyDescent="0.35">
      <c r="A7" s="2" t="s">
        <v>3</v>
      </c>
      <c r="B7" s="3">
        <v>493580.5</v>
      </c>
      <c r="C7" s="3">
        <v>386280.5</v>
      </c>
      <c r="D7" s="3">
        <v>407740.5</v>
      </c>
      <c r="E7" s="3">
        <v>515040.5</v>
      </c>
      <c r="F7" s="3">
        <v>515040.5</v>
      </c>
      <c r="G7" s="3">
        <v>515040.5</v>
      </c>
      <c r="H7" s="44">
        <v>407740.5</v>
      </c>
      <c r="I7" s="46">
        <f>H7*I19+H7</f>
        <v>440228.55516975361</v>
      </c>
    </row>
    <row r="8" spans="1:9" x14ac:dyDescent="0.35">
      <c r="A8" s="2" t="s">
        <v>4</v>
      </c>
      <c r="B8" s="3">
        <v>214600</v>
      </c>
      <c r="C8" s="3">
        <v>217830</v>
      </c>
      <c r="D8" s="3">
        <v>214646.93</v>
      </c>
      <c r="E8" s="3">
        <v>262951.78999999998</v>
      </c>
      <c r="F8" s="3">
        <v>240529.21</v>
      </c>
      <c r="G8" s="3">
        <v>217135.92</v>
      </c>
      <c r="H8" s="44">
        <v>242602.21</v>
      </c>
      <c r="I8" s="46">
        <f t="shared" ref="I8:I13" si="0">H8*I20+H8</f>
        <v>271502.38447097031</v>
      </c>
    </row>
    <row r="9" spans="1:9" x14ac:dyDescent="0.35">
      <c r="A9" s="2" t="s">
        <v>14</v>
      </c>
      <c r="B9" s="3">
        <v>265397</v>
      </c>
      <c r="C9" s="3">
        <v>257727</v>
      </c>
      <c r="D9" s="3">
        <v>280206.89</v>
      </c>
      <c r="E9" s="3">
        <v>274476.14</v>
      </c>
      <c r="F9" s="3">
        <v>282173.06</v>
      </c>
      <c r="G9" s="3">
        <v>306815.86</v>
      </c>
      <c r="H9" s="44">
        <v>328003.06</v>
      </c>
      <c r="I9" s="46">
        <f t="shared" si="0"/>
        <v>350278.82951754075</v>
      </c>
    </row>
    <row r="10" spans="1:9" x14ac:dyDescent="0.35">
      <c r="A10" s="2" t="s">
        <v>5</v>
      </c>
      <c r="B10" s="3">
        <v>1744856</v>
      </c>
      <c r="C10" s="3">
        <v>1858800.59</v>
      </c>
      <c r="D10" s="3">
        <v>1855294.61</v>
      </c>
      <c r="E10" s="3">
        <v>1997735.13</v>
      </c>
      <c r="F10" s="3">
        <v>1912694.22</v>
      </c>
      <c r="G10" s="3">
        <v>1846064.21</v>
      </c>
      <c r="H10" s="44">
        <v>1901854.12</v>
      </c>
      <c r="I10" s="46">
        <f t="shared" si="0"/>
        <v>2011083.4972640695</v>
      </c>
    </row>
    <row r="11" spans="1:9" x14ac:dyDescent="0.35">
      <c r="A11" s="2" t="s">
        <v>6</v>
      </c>
      <c r="B11" s="3">
        <v>417334.96</v>
      </c>
      <c r="C11" s="3">
        <v>339596.76</v>
      </c>
      <c r="D11" s="3">
        <v>343004.49</v>
      </c>
      <c r="E11" s="3">
        <v>477750.98</v>
      </c>
      <c r="F11" s="3">
        <v>529932.19999999995</v>
      </c>
      <c r="G11" s="3">
        <v>482202.15</v>
      </c>
      <c r="H11" s="44">
        <v>573285.05000000005</v>
      </c>
      <c r="I11" s="46">
        <f t="shared" si="0"/>
        <v>673751.6052298455</v>
      </c>
    </row>
    <row r="12" spans="1:9" x14ac:dyDescent="0.35">
      <c r="A12" s="2" t="s">
        <v>7</v>
      </c>
      <c r="B12" s="3">
        <v>417334.96</v>
      </c>
      <c r="C12" s="3">
        <v>339596.76</v>
      </c>
      <c r="D12" s="3">
        <v>343004.49</v>
      </c>
      <c r="E12" s="3">
        <v>477750.98</v>
      </c>
      <c r="F12" s="3">
        <v>529932.19999999995</v>
      </c>
      <c r="G12" s="3">
        <v>482202.15</v>
      </c>
      <c r="H12" s="44">
        <v>573285.05000000005</v>
      </c>
      <c r="I12" s="46">
        <f t="shared" si="0"/>
        <v>673751.6052298455</v>
      </c>
    </row>
    <row r="13" spans="1:9" x14ac:dyDescent="0.35">
      <c r="A13" s="2" t="s">
        <v>19</v>
      </c>
      <c r="B13" s="3">
        <v>834669.92</v>
      </c>
      <c r="C13" s="3">
        <v>679193.52</v>
      </c>
      <c r="D13" s="3">
        <v>686008.98</v>
      </c>
      <c r="E13" s="3">
        <v>955501.96</v>
      </c>
      <c r="F13" s="3">
        <v>1059864.3999999999</v>
      </c>
      <c r="G13" s="3">
        <v>964404.3</v>
      </c>
      <c r="H13" s="44">
        <v>1146570.01</v>
      </c>
      <c r="I13" s="46">
        <f t="shared" si="0"/>
        <v>1347503.0779374393</v>
      </c>
    </row>
    <row r="15" spans="1:9" x14ac:dyDescent="0.35">
      <c r="G15" s="39"/>
      <c r="H15" s="39"/>
    </row>
    <row r="16" spans="1:9" x14ac:dyDescent="0.35">
      <c r="A16" s="37" t="s">
        <v>73</v>
      </c>
    </row>
    <row r="18" spans="1:10" ht="29" x14ac:dyDescent="0.35">
      <c r="A18" s="41" t="s">
        <v>72</v>
      </c>
      <c r="B18" s="42" t="s">
        <v>8</v>
      </c>
      <c r="C18" s="42" t="s">
        <v>9</v>
      </c>
      <c r="D18" s="42" t="s">
        <v>12</v>
      </c>
      <c r="E18" s="42" t="s">
        <v>2</v>
      </c>
      <c r="F18" s="42" t="s">
        <v>13</v>
      </c>
      <c r="G18" s="42" t="s">
        <v>11</v>
      </c>
      <c r="H18" s="42" t="s">
        <v>10</v>
      </c>
      <c r="I18" s="47" t="s">
        <v>77</v>
      </c>
      <c r="J18" s="38"/>
    </row>
    <row r="19" spans="1:10" x14ac:dyDescent="0.35">
      <c r="A19" s="2" t="s">
        <v>3</v>
      </c>
      <c r="B19" s="49"/>
      <c r="C19" s="48">
        <f>C7/B7-1</f>
        <v>-0.21739108412913399</v>
      </c>
      <c r="D19" s="48">
        <f t="shared" ref="D19:H19" si="1">D7/C7-1</f>
        <v>5.5555483644657233E-2</v>
      </c>
      <c r="E19" s="48">
        <f t="shared" si="1"/>
        <v>0.26315757203417367</v>
      </c>
      <c r="F19" s="48">
        <f t="shared" si="1"/>
        <v>0</v>
      </c>
      <c r="G19" s="48">
        <f t="shared" si="1"/>
        <v>0</v>
      </c>
      <c r="H19" s="48">
        <f t="shared" si="1"/>
        <v>-0.2083331310838662</v>
      </c>
      <c r="I19" s="48">
        <f>AVERAGEIF(C19:H19,"&gt;=0")</f>
        <v>7.9678263919707726E-2</v>
      </c>
      <c r="J19" s="40"/>
    </row>
    <row r="20" spans="1:10" x14ac:dyDescent="0.35">
      <c r="A20" s="2" t="s">
        <v>4</v>
      </c>
      <c r="B20" s="49"/>
      <c r="C20" s="48">
        <f t="shared" ref="C20:H25" si="2">C8/B8-1</f>
        <v>1.5051258154706426E-2</v>
      </c>
      <c r="D20" s="48">
        <f t="shared" si="2"/>
        <v>-1.4612633705182954E-2</v>
      </c>
      <c r="E20" s="48">
        <f t="shared" si="2"/>
        <v>0.22504333045900071</v>
      </c>
      <c r="F20" s="48">
        <f t="shared" si="2"/>
        <v>-8.5272589321411352E-2</v>
      </c>
      <c r="G20" s="48">
        <f t="shared" si="2"/>
        <v>-9.7257584640135675E-2</v>
      </c>
      <c r="H20" s="48">
        <f t="shared" si="2"/>
        <v>0.11728271397933598</v>
      </c>
      <c r="I20" s="48">
        <f t="shared" ref="I20:I25" si="3">AVERAGEIF(C20:H20,"&gt;=0")</f>
        <v>0.11912576753101438</v>
      </c>
      <c r="J20" s="40"/>
    </row>
    <row r="21" spans="1:10" x14ac:dyDescent="0.35">
      <c r="A21" s="2" t="s">
        <v>14</v>
      </c>
      <c r="B21" s="49"/>
      <c r="C21" s="48">
        <f t="shared" si="2"/>
        <v>-2.8900100604000833E-2</v>
      </c>
      <c r="D21" s="48">
        <f t="shared" si="2"/>
        <v>8.7223651383052658E-2</v>
      </c>
      <c r="E21" s="48">
        <f t="shared" si="2"/>
        <v>-2.0451852557943906E-2</v>
      </c>
      <c r="F21" s="48">
        <f t="shared" si="2"/>
        <v>2.8042218897423865E-2</v>
      </c>
      <c r="G21" s="48">
        <f t="shared" si="2"/>
        <v>8.7332220871829458E-2</v>
      </c>
      <c r="H21" s="48">
        <f t="shared" si="2"/>
        <v>6.9055100345855713E-2</v>
      </c>
      <c r="I21" s="48">
        <f t="shared" si="3"/>
        <v>6.7913297874540424E-2</v>
      </c>
      <c r="J21" s="40"/>
    </row>
    <row r="22" spans="1:10" x14ac:dyDescent="0.35">
      <c r="A22" s="2" t="s">
        <v>5</v>
      </c>
      <c r="B22" s="49"/>
      <c r="C22" s="48">
        <f t="shared" si="2"/>
        <v>6.5303148225412277E-2</v>
      </c>
      <c r="D22" s="48">
        <f t="shared" si="2"/>
        <v>-1.8861517576772568E-3</v>
      </c>
      <c r="E22" s="48">
        <f t="shared" si="2"/>
        <v>7.677514893443238E-2</v>
      </c>
      <c r="F22" s="48">
        <f t="shared" si="2"/>
        <v>-4.2568661241893402E-2</v>
      </c>
      <c r="G22" s="48">
        <f t="shared" si="2"/>
        <v>-3.4835683248940819E-2</v>
      </c>
      <c r="H22" s="48">
        <f t="shared" si="2"/>
        <v>3.0221001901120204E-2</v>
      </c>
      <c r="I22" s="48">
        <f t="shared" si="3"/>
        <v>5.7433099686988287E-2</v>
      </c>
      <c r="J22" s="40"/>
    </row>
    <row r="23" spans="1:10" x14ac:dyDescent="0.35">
      <c r="A23" s="2" t="s">
        <v>6</v>
      </c>
      <c r="B23" s="49"/>
      <c r="C23" s="48">
        <f t="shared" si="2"/>
        <v>-0.18627291612473584</v>
      </c>
      <c r="D23" s="48">
        <f t="shared" si="2"/>
        <v>1.0034636372855843E-2</v>
      </c>
      <c r="E23" s="48">
        <f t="shared" si="2"/>
        <v>0.39284176717336838</v>
      </c>
      <c r="F23" s="48">
        <f t="shared" si="2"/>
        <v>0.10922263309643032</v>
      </c>
      <c r="G23" s="48">
        <f t="shared" si="2"/>
        <v>-9.0068220047772041E-2</v>
      </c>
      <c r="H23" s="48">
        <f t="shared" si="2"/>
        <v>0.18888945227639486</v>
      </c>
      <c r="I23" s="48">
        <f t="shared" si="3"/>
        <v>0.17524712222976235</v>
      </c>
      <c r="J23" s="40"/>
    </row>
    <row r="24" spans="1:10" x14ac:dyDescent="0.35">
      <c r="A24" s="2" t="s">
        <v>7</v>
      </c>
      <c r="B24" s="49"/>
      <c r="C24" s="48">
        <f t="shared" si="2"/>
        <v>-0.18627291612473584</v>
      </c>
      <c r="D24" s="48">
        <f t="shared" si="2"/>
        <v>1.0034636372855843E-2</v>
      </c>
      <c r="E24" s="48">
        <f t="shared" si="2"/>
        <v>0.39284176717336838</v>
      </c>
      <c r="F24" s="48">
        <f t="shared" si="2"/>
        <v>0.10922263309643032</v>
      </c>
      <c r="G24" s="48">
        <f t="shared" si="2"/>
        <v>-9.0068220047772041E-2</v>
      </c>
      <c r="H24" s="48">
        <f t="shared" si="2"/>
        <v>0.18888945227639486</v>
      </c>
      <c r="I24" s="48">
        <f t="shared" si="3"/>
        <v>0.17524712222976235</v>
      </c>
      <c r="J24" s="40"/>
    </row>
    <row r="25" spans="1:10" x14ac:dyDescent="0.35">
      <c r="A25" s="2" t="s">
        <v>19</v>
      </c>
      <c r="B25" s="49"/>
      <c r="C25" s="48">
        <f t="shared" si="2"/>
        <v>-0.18627291612473584</v>
      </c>
      <c r="D25" s="48">
        <f t="shared" si="2"/>
        <v>1.0034636372855843E-2</v>
      </c>
      <c r="E25" s="48">
        <f t="shared" si="2"/>
        <v>0.39284176717336838</v>
      </c>
      <c r="F25" s="48">
        <f t="shared" si="2"/>
        <v>0.10922263309643032</v>
      </c>
      <c r="G25" s="48">
        <f t="shared" si="2"/>
        <v>-9.0068220047772041E-2</v>
      </c>
      <c r="H25" s="48">
        <f t="shared" si="2"/>
        <v>0.18888935895453796</v>
      </c>
      <c r="I25" s="48">
        <f t="shared" si="3"/>
        <v>0.17524709889929813</v>
      </c>
      <c r="J25" s="4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Valor alquiler x contrato</vt:lpstr>
      <vt:lpstr>Hoja1</vt:lpstr>
      <vt:lpstr>alquileres pagados y calculados</vt:lpstr>
      <vt:lpstr>expensas y % de variación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2025-08-18T14:48:13Z</dcterms:created>
  <dcterms:modified xsi:type="dcterms:W3CDTF">2026-04-16T15:25:13Z</dcterms:modified>
</cp:coreProperties>
</file>