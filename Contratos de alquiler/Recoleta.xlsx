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Contratos de alquiler\"/>
    </mc:Choice>
  </mc:AlternateContent>
  <bookViews>
    <workbookView xWindow="0" yWindow="0" windowWidth="23040" windowHeight="9192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9" i="1"/>
  <c r="J8" i="1"/>
  <c r="J7" i="1"/>
  <c r="J6" i="1"/>
  <c r="J5" i="1"/>
  <c r="J4" i="1"/>
  <c r="J3" i="1"/>
  <c r="C13" i="1" l="1"/>
  <c r="D13" i="1" s="1"/>
  <c r="C12" i="1"/>
  <c r="D12" i="1" s="1"/>
  <c r="E12" i="1" s="1"/>
  <c r="G12" i="1" s="1"/>
  <c r="C11" i="1"/>
  <c r="D11" i="1" s="1"/>
  <c r="C10" i="1"/>
  <c r="D10" i="1" s="1"/>
  <c r="C9" i="1"/>
  <c r="D9" i="1" s="1"/>
  <c r="E9" i="1" s="1"/>
  <c r="G9" i="1" s="1"/>
  <c r="C8" i="1"/>
  <c r="D8" i="1" s="1"/>
  <c r="E8" i="1" s="1"/>
  <c r="G8" i="1" s="1"/>
  <c r="C7" i="1"/>
  <c r="C6" i="1"/>
  <c r="C5" i="1"/>
  <c r="D5" i="1" s="1"/>
  <c r="E5" i="1" s="1"/>
  <c r="G5" i="1" s="1"/>
  <c r="C4" i="1"/>
  <c r="D4" i="1" s="1"/>
  <c r="E4" i="1" s="1"/>
  <c r="G4" i="1" s="1"/>
  <c r="C3" i="1"/>
  <c r="E13" i="1" l="1"/>
  <c r="G13" i="1" s="1"/>
  <c r="E11" i="1"/>
  <c r="G11" i="1" s="1"/>
  <c r="D7" i="1"/>
  <c r="E7" i="1" s="1"/>
  <c r="G7" i="1" s="1"/>
  <c r="E10" i="1"/>
  <c r="G10" i="1" s="1"/>
  <c r="D6" i="1"/>
  <c r="E6" i="1" s="1"/>
  <c r="G6" i="1" s="1"/>
  <c r="D3" i="1"/>
  <c r="E3" i="1" s="1"/>
  <c r="G3" i="1" s="1"/>
</calcChain>
</file>

<file path=xl/sharedStrings.xml><?xml version="1.0" encoding="utf-8"?>
<sst xmlns="http://schemas.openxmlformats.org/spreadsheetml/2006/main" count="21" uniqueCount="21">
  <si>
    <t>MES ALQUILER</t>
  </si>
  <si>
    <t>ALQUILER TOTAL PAGADO (SIN IVA)</t>
  </si>
  <si>
    <t>FACTURADO MES ANTERIOR</t>
  </si>
  <si>
    <t>SIN IVA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</si>
  <si>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</si>
  <si>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</si>
  <si>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</si>
  <si>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</si>
  <si>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</si>
  <si>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</si>
  <si>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</si>
  <si>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</si>
  <si>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</si>
  <si>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</si>
  <si>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</si>
  <si>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NUESTRO CÁLCULO</t>
  </si>
  <si>
    <t>TOTAL A PAGAR CALCULADO (SIN IVA)</t>
  </si>
  <si>
    <t>CÁNON LOCATIVO (SOBRE FACTURACIÓN)</t>
  </si>
  <si>
    <t>CÁNON BÁSICO (VALOR FIJO INDEXABLE)</t>
  </si>
  <si>
    <t>FFP SOBRE EL CÁNON DE MAYOR VALOR</t>
  </si>
  <si>
    <t>DIFERENCIA ENTRE PAGADO Y CALCULADO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</si>
</sst>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164" fontId="2" fillId="2" borderId="1" xfId="1" applyNumberFormat="1" applyFont="1" applyFill="1" applyBorder="1" applyAlignment="1">
      <alignment horizontal="left" vertical="center" wrapText="1"/>
    </xf>
    <xf numFmtId="164" fontId="2" fillId="3" borderId="3" xfId="1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164" fontId="2" fillId="4" borderId="4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164" fontId="0" fillId="0" borderId="1" xfId="1" applyNumberFormat="1" applyFont="1" applyBorder="1"/>
    <xf numFmtId="164" fontId="0" fillId="0" borderId="4" xfId="1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5" xfId="1" applyNumberFormat="1" applyFont="1" applyBorder="1"/>
    <xf numFmtId="164" fontId="2" fillId="3" borderId="2" xfId="1" applyNumberFormat="1" applyFont="1" applyFill="1" applyBorder="1" applyAlignment="1">
      <alignment horizontal="center" vertical="center" wrapText="1"/>
    </xf>
    <xf numFmtId="164" fontId="2" fillId="3" borderId="5" xfId="1" applyNumberFormat="1" applyFont="1" applyFill="1" applyBorder="1" applyAlignment="1">
      <alignment horizontal="center" vertical="center" wrapText="1"/>
    </xf>
    <xf numFmtId="164" fontId="2" fillId="3" borderId="6" xfId="1" applyNumberFormat="1" applyFont="1" applyFill="1" applyBorder="1" applyAlignment="1">
      <alignment horizontal="center" vertical="center" wrapText="1"/>
    </xf>
    <xf numFmtId="164" fontId="2" fillId="3" borderId="4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Fill="1" applyBorder="1"/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H12" sqref="H12"/>
    </sheetView>
  </sheetViews>
  <sheetFormatPr baseColWidth="10" defaultRowHeight="14.4" x14ac:dyDescent="0.3"/>
  <cols>
    <col min="1" max="1" width="10.33203125" bestFit="1" customWidth="1"/>
    <col min="2" max="2" width="11.6640625" bestFit="1" customWidth="1"/>
    <col min="3" max="3" width="14.88671875" customWidth="1"/>
    <col min="4" max="4" width="10.6640625" bestFit="1" customWidth="1"/>
    <col min="5" max="6" width="11.6640625" bestFit="1" customWidth="1"/>
    <col min="7" max="7" width="11.88671875" bestFit="1" customWidth="1"/>
    <col min="8" max="8" width="11.6640625" bestFit="1" customWidth="1"/>
    <col min="9" max="9" width="12.88671875" bestFit="1" customWidth="1"/>
    <col min="10" max="10" width="12.6640625" bestFit="1" customWidth="1"/>
  </cols>
  <sheetData>
    <row r="1" spans="1:10" ht="22.5" customHeight="1" x14ac:dyDescent="0.3">
      <c r="B1" s="16" t="s">
        <v>15</v>
      </c>
      <c r="C1" s="17"/>
      <c r="D1" s="17"/>
      <c r="E1" s="18"/>
    </row>
    <row r="2" spans="1:10" ht="57.6" x14ac:dyDescent="0.3">
      <c r="A2" s="1" t="s">
        <v>0</v>
      </c>
      <c r="B2" s="2" t="s">
        <v>18</v>
      </c>
      <c r="C2" s="2" t="s">
        <v>17</v>
      </c>
      <c r="D2" s="3" t="s">
        <v>19</v>
      </c>
      <c r="E2" s="15" t="s">
        <v>16</v>
      </c>
      <c r="F2" s="4" t="s">
        <v>1</v>
      </c>
      <c r="G2" s="5" t="s">
        <v>20</v>
      </c>
      <c r="H2" s="6"/>
      <c r="I2" s="5" t="s">
        <v>2</v>
      </c>
      <c r="J2" s="5" t="s">
        <v>3</v>
      </c>
    </row>
    <row r="3" spans="1:10" x14ac:dyDescent="0.3">
      <c r="A3" s="7" t="s">
        <v>4</v>
      </c>
      <c r="B3" s="9">
        <v>949386</v>
      </c>
      <c r="C3" s="9">
        <f>J3*0.07</f>
        <v>1660350.6528925621</v>
      </c>
      <c r="D3" s="10">
        <f>IF(B3&gt;C3,B3*0.15,C3*0.15)</f>
        <v>249052.5979338843</v>
      </c>
      <c r="E3" s="8">
        <f>IF(B3&gt;C3,B3+D3,C3+D3)</f>
        <v>1909403.2508264463</v>
      </c>
      <c r="F3" s="11">
        <v>2130545</v>
      </c>
      <c r="G3" s="12">
        <f>F3-E3</f>
        <v>221141.74917355366</v>
      </c>
      <c r="H3" s="6"/>
      <c r="I3" s="19">
        <v>28700347</v>
      </c>
      <c r="J3" s="10">
        <f>I3/1.21</f>
        <v>23719295.041322313</v>
      </c>
    </row>
    <row r="4" spans="1:10" x14ac:dyDescent="0.3">
      <c r="A4" s="7" t="s">
        <v>5</v>
      </c>
      <c r="B4" s="9">
        <v>949386</v>
      </c>
      <c r="C4" s="9">
        <f t="shared" ref="C4:C13" si="0">J4*0.07</f>
        <v>1152426.9504132234</v>
      </c>
      <c r="D4" s="10">
        <f t="shared" ref="D4:D13" si="1">IF(B4&gt;C4,B4*0.15,C4*0.15)</f>
        <v>172864.04256198349</v>
      </c>
      <c r="E4" s="8">
        <f t="shared" ref="E4:E13" si="2">IF(B4&gt;C4,B4+D4,C4+D4)</f>
        <v>1325290.9929752068</v>
      </c>
      <c r="F4" s="11">
        <v>1325289</v>
      </c>
      <c r="G4" s="12">
        <f t="shared" ref="G4:G13" si="3">F4-E4</f>
        <v>-1.9929752068128437</v>
      </c>
      <c r="H4" s="13"/>
      <c r="I4" s="19">
        <v>19920523</v>
      </c>
      <c r="J4" s="10">
        <f t="shared" ref="J4:J13" si="4">I4/1.21</f>
        <v>16463242.148760332</v>
      </c>
    </row>
    <row r="5" spans="1:10" x14ac:dyDescent="0.3">
      <c r="A5" s="7" t="s">
        <v>6</v>
      </c>
      <c r="B5" s="9">
        <v>949386</v>
      </c>
      <c r="C5" s="9">
        <f t="shared" si="0"/>
        <v>872355.04132231418</v>
      </c>
      <c r="D5" s="10">
        <f t="shared" si="1"/>
        <v>142407.9</v>
      </c>
      <c r="E5" s="8">
        <f t="shared" si="2"/>
        <v>1091793.8999999999</v>
      </c>
      <c r="F5" s="11">
        <v>1117534</v>
      </c>
      <c r="G5" s="12">
        <f t="shared" si="3"/>
        <v>25740.100000000093</v>
      </c>
      <c r="H5" s="13"/>
      <c r="I5" s="19">
        <v>15079280</v>
      </c>
      <c r="J5" s="10">
        <f t="shared" si="4"/>
        <v>12462214.876033058</v>
      </c>
    </row>
    <row r="6" spans="1:10" x14ac:dyDescent="0.3">
      <c r="A6" s="7" t="s">
        <v>7</v>
      </c>
      <c r="B6" s="9">
        <v>1030740</v>
      </c>
      <c r="C6" s="9">
        <f t="shared" si="0"/>
        <v>1471623.2479338844</v>
      </c>
      <c r="D6" s="10">
        <f t="shared" si="1"/>
        <v>220743.48719008264</v>
      </c>
      <c r="E6" s="8">
        <f t="shared" si="2"/>
        <v>1692366.7351239671</v>
      </c>
      <c r="F6" s="11">
        <v>1776140</v>
      </c>
      <c r="G6" s="12">
        <f t="shared" si="3"/>
        <v>83773.264876032947</v>
      </c>
      <c r="H6" s="13"/>
      <c r="I6" s="19">
        <v>25438059</v>
      </c>
      <c r="J6" s="10">
        <f t="shared" si="4"/>
        <v>21023189.256198347</v>
      </c>
    </row>
    <row r="7" spans="1:10" x14ac:dyDescent="0.3">
      <c r="A7" s="7" t="s">
        <v>8</v>
      </c>
      <c r="B7" s="9">
        <v>1030740</v>
      </c>
      <c r="C7" s="9">
        <f t="shared" si="0"/>
        <v>935440.66057851247</v>
      </c>
      <c r="D7" s="10">
        <f t="shared" si="1"/>
        <v>154611</v>
      </c>
      <c r="E7" s="8">
        <f t="shared" si="2"/>
        <v>1185351</v>
      </c>
      <c r="F7" s="11">
        <v>1201308</v>
      </c>
      <c r="G7" s="12">
        <f t="shared" si="3"/>
        <v>15957</v>
      </c>
      <c r="H7" s="13"/>
      <c r="I7" s="19">
        <v>16169759.99</v>
      </c>
      <c r="J7" s="10">
        <f t="shared" si="4"/>
        <v>13363438.008264463</v>
      </c>
    </row>
    <row r="8" spans="1:10" x14ac:dyDescent="0.3">
      <c r="A8" s="7" t="s">
        <v>9</v>
      </c>
      <c r="B8" s="9">
        <v>1030740</v>
      </c>
      <c r="C8" s="9">
        <f t="shared" si="0"/>
        <v>877337.76743801672</v>
      </c>
      <c r="D8" s="10">
        <f t="shared" si="1"/>
        <v>154611</v>
      </c>
      <c r="E8" s="8">
        <f t="shared" si="2"/>
        <v>1185351</v>
      </c>
      <c r="F8" s="11">
        <v>1201308</v>
      </c>
      <c r="G8" s="12">
        <f t="shared" si="3"/>
        <v>15957</v>
      </c>
      <c r="H8" s="13"/>
      <c r="I8" s="19">
        <v>15165409.98</v>
      </c>
      <c r="J8" s="10">
        <f t="shared" si="4"/>
        <v>12533396.677685952</v>
      </c>
    </row>
    <row r="9" spans="1:10" x14ac:dyDescent="0.3">
      <c r="A9" s="7" t="s">
        <v>10</v>
      </c>
      <c r="B9" s="9">
        <v>1092714</v>
      </c>
      <c r="C9" s="9">
        <f t="shared" si="0"/>
        <v>1003803.0082644629</v>
      </c>
      <c r="D9" s="10">
        <f t="shared" si="1"/>
        <v>163907.1</v>
      </c>
      <c r="E9" s="8">
        <f t="shared" si="2"/>
        <v>1256621.1000000001</v>
      </c>
      <c r="F9" s="11">
        <v>1299989</v>
      </c>
      <c r="G9" s="12">
        <f t="shared" si="3"/>
        <v>43367.899999999907</v>
      </c>
      <c r="H9" s="13"/>
      <c r="I9" s="19">
        <v>17351452</v>
      </c>
      <c r="J9" s="10">
        <f t="shared" si="4"/>
        <v>14340042.975206612</v>
      </c>
    </row>
    <row r="10" spans="1:10" x14ac:dyDescent="0.3">
      <c r="A10" s="7" t="s">
        <v>11</v>
      </c>
      <c r="B10" s="14">
        <v>1092714</v>
      </c>
      <c r="C10" s="9">
        <f t="shared" si="0"/>
        <v>1045680.5938842976</v>
      </c>
      <c r="D10" s="10">
        <f t="shared" si="1"/>
        <v>163907.1</v>
      </c>
      <c r="E10" s="8">
        <f t="shared" si="2"/>
        <v>1256621.1000000001</v>
      </c>
      <c r="F10" s="11">
        <v>1299989</v>
      </c>
      <c r="G10" s="12">
        <f t="shared" si="3"/>
        <v>43367.899999999907</v>
      </c>
      <c r="H10" s="13"/>
      <c r="I10" s="19">
        <v>18075335.98</v>
      </c>
      <c r="J10" s="10">
        <f t="shared" si="4"/>
        <v>14938294.198347108</v>
      </c>
    </row>
    <row r="11" spans="1:10" x14ac:dyDescent="0.3">
      <c r="A11" s="7" t="s">
        <v>12</v>
      </c>
      <c r="B11" s="14">
        <v>1092714</v>
      </c>
      <c r="C11" s="9">
        <f t="shared" si="0"/>
        <v>1259439.7535537193</v>
      </c>
      <c r="D11" s="10">
        <f t="shared" si="1"/>
        <v>188915.96303305789</v>
      </c>
      <c r="E11" s="8">
        <f t="shared" si="2"/>
        <v>1448355.7165867772</v>
      </c>
      <c r="F11" s="11">
        <v>1448355.7100000002</v>
      </c>
      <c r="G11" s="12">
        <f t="shared" si="3"/>
        <v>-6.5867770463228226E-3</v>
      </c>
      <c r="H11" s="13"/>
      <c r="I11" s="19">
        <v>21770315.739999998</v>
      </c>
      <c r="J11" s="10">
        <f t="shared" si="4"/>
        <v>17991996.479338843</v>
      </c>
    </row>
    <row r="12" spans="1:10" x14ac:dyDescent="0.3">
      <c r="A12" s="7" t="s">
        <v>13</v>
      </c>
      <c r="B12" s="14">
        <v>1157930</v>
      </c>
      <c r="C12" s="9">
        <f t="shared" si="0"/>
        <v>1323934.2969421488</v>
      </c>
      <c r="D12" s="10">
        <f t="shared" si="1"/>
        <v>198590.14454132231</v>
      </c>
      <c r="E12" s="8">
        <f t="shared" si="2"/>
        <v>1522524.4414834711</v>
      </c>
      <c r="F12" s="11">
        <v>1572090.0000000002</v>
      </c>
      <c r="G12" s="12">
        <f t="shared" si="3"/>
        <v>49565.558516529156</v>
      </c>
      <c r="H12" s="13"/>
      <c r="I12" s="10">
        <v>22885149.989999998</v>
      </c>
      <c r="J12" s="10">
        <f t="shared" si="4"/>
        <v>18913347.099173553</v>
      </c>
    </row>
    <row r="13" spans="1:10" x14ac:dyDescent="0.3">
      <c r="A13" s="7" t="s">
        <v>14</v>
      </c>
      <c r="B13" s="14">
        <v>1157930</v>
      </c>
      <c r="C13" s="9">
        <f t="shared" si="0"/>
        <v>1835269.6044628101</v>
      </c>
      <c r="D13" s="10">
        <f t="shared" si="1"/>
        <v>275290.44066942151</v>
      </c>
      <c r="E13" s="8">
        <f t="shared" si="2"/>
        <v>2110560.0451322314</v>
      </c>
      <c r="F13" s="11">
        <v>2248205.2600000002</v>
      </c>
      <c r="G13" s="12">
        <f t="shared" si="3"/>
        <v>137645.21486776881</v>
      </c>
      <c r="H13" s="13"/>
      <c r="I13" s="10">
        <v>31723946.02</v>
      </c>
      <c r="J13" s="10">
        <f t="shared" si="4"/>
        <v>26218137.20661157</v>
      </c>
    </row>
  </sheetData>
  <mergeCells count="1">
    <mergeCell ref="B1:E1"/>
  </mergeCells>
  <conditionalFormatting sqref="G2:G13">
    <cfRule type="cellIs" dxfId="0" priority="3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2025-11-20T13:32:39Z</dcterms:created>
  <dcterms:modified xsi:type="dcterms:W3CDTF">2025-11-21T14:54:08Z</dcterms:modified>
</cp:coreProperties>
</file>