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Contratos de alquiler\"/>
    </mc:Choice>
  </mc:AlternateContent>
  <bookViews>
    <workbookView xWindow="0" yWindow="0" windowWidth="19200" windowHeight="6310"/>
  </bookViews>
  <sheets>
    <sheet name="Hoja1" sheetId="3" r:id="rId1"/>
  </sheets>
  <calcPr calcId="162913"/>
  <pivotCaches>
    <pivotCache cacheId="3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<sst xmlns="http://schemas.openxmlformats.org/spreadsheetml/2006/main" count="47" uniqueCount="27">
  <si>
    <t>AÑO</t>
  </si>
  <si>
    <t>Suma de DIFERENCIA</t>
  </si>
  <si>
    <t>Etiquetas de columna</t>
  </si>
  <si>
    <t>Etiquetas de fila</t>
  </si>
  <si>
    <t>Enero</t>
  </si>
  <si>
    <t>Febrero</t>
  </si>
  <si>
    <t>Marzo</t>
  </si>
  <si>
    <t>Total general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</si>
  <si>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</si>
  <si>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</si>
  <si>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</si>
  <si>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</si>
  <si>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</si>
  <si>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</si>
  <si>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</si>
  <si>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</si>
  <si>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</si>
  <si>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AS Güemes (góndola 13)</t>
  </si>
  <si>
    <t>AS San Telmo</t>
  </si>
  <si>
    <t>El Solar</t>
  </si>
  <si>
    <t>Florida</t>
  </si>
  <si>
    <t>French</t>
  </si>
  <si>
    <t>Güemes</t>
  </si>
  <si>
    <t>Güemes 2 (góndola 7)</t>
  </si>
  <si>
    <t>Recoleta</t>
  </si>
  <si>
    <t>San Telmo</t>
  </si>
  <si>
    <t>San Telmo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</si>
</sst>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&quot;$&quot;\ * #,##0_-;\-&quot;$&quot;\ * #,##0_-;_-&quot;$&quot;\ * &quot;-&quot;??_-;_-@_-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8">
    <dxf>
      <numFmt numFmtId="34" formatCode="_-&quot;$&quot;\ * #,##0.00_-;\-&quot;$&quot;\ * #,##0.00_-;_-&quot;$&quot;\ * &quot;-&quot;??_-;_-@_-"/>
    </dxf>
    <dxf>
      <numFmt numFmtId="165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5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Valor%20alquiler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28.51744398148" createdVersion="6" refreshedVersion="6" minRefreshableVersion="3" recordCount="138">
  <cacheSource type="worksheet">
    <worksheetSource ref="A2:S140" sheet="alquileres pagados y calculados" r:id="rId2"/>
  </cacheSource>
  <cacheFields count="19">
    <cacheField name="AÑO" numFmtId="0">
      <sharedItems containsSemiMixedTypes="0" containsString="0" containsNumber="1" containsInteger="1" minValue="2025" maxValue="2026" count="2">
        <n v="2025"/>
        <n v="2026"/>
      </sharedItems>
    </cacheField>
    <cacheField name="MES ALQUILER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TIENDA" numFmtId="0">
      <sharedItems count="10">
        <s v="Florida"/>
        <s v="French"/>
        <s v="Güemes"/>
        <s v="Recoleta"/>
        <s v="San Telmo"/>
        <s v="San Telmo 2"/>
        <s v="AS San Telmo"/>
        <s v="El Solar"/>
        <s v="Güemes 2 (góndola 7)"/>
        <s v="AS Güemes (góndola 13)"/>
      </sharedItems>
    </cacheField>
    <cacheField name="EXPENSAS" numFmtId="164">
      <sharedItems containsString="0" containsBlank="1" containsNumber="1" minValue="19515" maxValue="2081805.58"/>
    </cacheField>
    <cacheField name="X CONTRATO" numFmtId="164">
      <sharedItems containsString="0" containsBlank="1" containsNumber="1" containsInteger="1" minValue="267693" maxValue="7425000"/>
    </cacheField>
    <cacheField name="PAGADO" numFmtId="0">
      <sharedItems containsString="0" containsBlank="1" containsNumber="1" minValue="267700" maxValue="7525000"/>
    </cacheField>
    <cacheField name="SEGÚN FACTURACIÓN MES ANTERIOR" numFmtId="164">
      <sharedItems containsString="0" containsBlank="1" containsNumber="1" minValue="0" maxValue="4159281.9828760331"/>
    </cacheField>
    <cacheField name="FONDO PROMOCIÓN PERMANENTE (15% RECOLETA, 10% SOLAR)" numFmtId="164">
      <sharedItems containsString="0" containsBlank="1" containsNumber="1" minValue="0" maxValue="328326.89999999997"/>
    </cacheField>
    <cacheField name="FONDO PROMOCIÓN PERMANENTE (15% RECOLETA, 10% SOLAR)2" numFmtId="164">
      <sharedItems containsString="0" containsBlank="1" containsNumber="1" minValue="0" maxValue="391324"/>
    </cacheField>
    <cacheField name="PAGADO2" numFmtId="164">
      <sharedItems containsString="0" containsBlank="1" containsNumber="1" minValue="15619" maxValue="4159281.92"/>
    </cacheField>
    <cacheField name="ALQUILER TOTAL PAGADO (SIN IVA)" numFmtId="164">
      <sharedItems containsSemiMixedTypes="0" containsString="0" containsNumber="1" minValue="0" maxValue="7525000"/>
    </cacheField>
    <cacheField name="TOTAL POR CONTRATO" numFmtId="164">
      <sharedItems containsSemiMixedTypes="0" containsString="0" containsNumber="1" minValue="0" maxValue="7425000"/>
    </cacheField>
    <cacheField name="DIFERENCIA" numFmtId="0">
      <sharedItems containsString="0" containsBlank="1" containsNumber="1" minValue="-2517172.9" maxValue="2239640.96"/>
    </cacheField>
    <cacheField name="Observaciones" numFmtId="0">
      <sharedItems containsBlank="1"/>
    </cacheField>
    <cacheField name="Alquiler + expensas" numFmtId="0">
      <sharedItems containsString="0" containsBlank="1" containsNumber="1" minValue="599275.1" maxValue="7275000"/>
    </cacheField>
    <cacheField name="MES ALQUILER2" numFmtId="0">
      <sharedItems/>
    </cacheField>
    <cacheField name="TIENDA2" numFmtId="0">
      <sharedItems/>
    </cacheField>
    <cacheField name="FACTURADO MES ANTERIOR" numFmtId="164">
      <sharedItems containsBlank="1" containsMixedTypes="1" containsNumber="1" minValue="174650.0068" maxValue="84288371.949400023"/>
    </cacheField>
    <cacheField name="SIN IVA" numFmtId="164">
      <sharedItems containsString="0" containsBlank="1" containsNumber="1" minValue="0" maxValue="69659811.5284297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">
  <r>
    <x v="0"/>
    <x v="0"/>
    <x v="0"/>
    <n v="493580.5"/>
    <m/>
    <m/>
    <n v="0"/>
    <m/>
    <m/>
    <m/>
    <n v="2943984.8"/>
    <n v="0"/>
    <m/>
    <m/>
    <m/>
    <s v="Enero"/>
    <s v="Florida"/>
    <n v="44527770"/>
    <n v="36799809.917355374"/>
  </r>
  <r>
    <x v="0"/>
    <x v="0"/>
    <x v="1"/>
    <n v="214600"/>
    <n v="570000"/>
    <n v="570000"/>
    <n v="0"/>
    <m/>
    <m/>
    <m/>
    <n v="570000"/>
    <n v="570000"/>
    <n v="0"/>
    <m/>
    <m/>
    <s v="Enero"/>
    <s v="French"/>
    <n v="20808637"/>
    <n v="17197220.661157027"/>
  </r>
  <r>
    <x v="0"/>
    <x v="0"/>
    <x v="2"/>
    <n v="265397"/>
    <n v="490000"/>
    <n v="490000"/>
    <n v="92146.834710743802"/>
    <m/>
    <m/>
    <m/>
    <n v="490000"/>
    <n v="490000"/>
    <n v="0"/>
    <m/>
    <m/>
    <s v="Enero"/>
    <s v="Güemes"/>
    <n v="1238863"/>
    <n v="1023853.7190082645"/>
  </r>
  <r>
    <x v="0"/>
    <x v="0"/>
    <x v="3"/>
    <n v="1744856"/>
    <n v="949386"/>
    <n v="971769"/>
    <n v="1660350.6528925621"/>
    <n v="249052.5979338843"/>
    <n v="391324"/>
    <n v="767452"/>
    <n v="2130545"/>
    <n v="1909403.2508264463"/>
    <n v="221141.74917355366"/>
    <m/>
    <m/>
    <s v="Enero"/>
    <s v="Recoleta"/>
    <n v="28700347"/>
    <n v="23719295.041322313"/>
  </r>
  <r>
    <x v="0"/>
    <x v="0"/>
    <x v="4"/>
    <n v="417334.96"/>
    <m/>
    <n v="760000"/>
    <n v="2722837.6859504133"/>
    <m/>
    <m/>
    <n v="1962837"/>
    <n v="2722837"/>
    <n v="2722837.6859504133"/>
    <n v="-0.68595041334629059"/>
    <m/>
    <m/>
    <s v="Enero"/>
    <s v="San Telmo"/>
    <n v="41182920"/>
    <n v="34035471.074380167"/>
  </r>
  <r>
    <x v="0"/>
    <x v="0"/>
    <x v="5"/>
    <n v="417334.96"/>
    <n v="825000"/>
    <n v="825000"/>
    <n v="596222.31404958689"/>
    <m/>
    <m/>
    <m/>
    <n v="825000"/>
    <n v="825000"/>
    <n v="0"/>
    <m/>
    <m/>
    <s v="Enero"/>
    <s v="San Telmo 2"/>
    <n v="7214290"/>
    <n v="5962223.1404958684"/>
  </r>
  <r>
    <x v="0"/>
    <x v="0"/>
    <x v="6"/>
    <n v="834669.92"/>
    <m/>
    <n v="684480"/>
    <n v="1487361.570247934"/>
    <m/>
    <m/>
    <n v="802880"/>
    <n v="1487360"/>
    <n v="1487361.570247934"/>
    <n v="-1.570247933967039"/>
    <m/>
    <m/>
    <s v="Enero"/>
    <s v="AS San Telmo"/>
    <n v="19996750"/>
    <n v="16526239.669421488"/>
  </r>
  <r>
    <x v="0"/>
    <x v="1"/>
    <x v="0"/>
    <n v="386280.5"/>
    <m/>
    <m/>
    <n v="0"/>
    <m/>
    <m/>
    <m/>
    <n v="2621100.48"/>
    <n v="0"/>
    <m/>
    <m/>
    <n v="3114680.98"/>
    <s v="Febrero"/>
    <s v="Florida"/>
    <n v="39644145"/>
    <n v="32763756.198347107"/>
  </r>
  <r>
    <x v="0"/>
    <x v="1"/>
    <x v="1"/>
    <n v="217830"/>
    <n v="570000"/>
    <n v="570000"/>
    <n v="0"/>
    <m/>
    <m/>
    <m/>
    <n v="570000"/>
    <n v="570000"/>
    <n v="0"/>
    <m/>
    <n v="784600"/>
    <s v="Febrero"/>
    <s v="French"/>
    <n v="15365290"/>
    <n v="12698586.776859505"/>
  </r>
  <r>
    <x v="0"/>
    <x v="1"/>
    <x v="2"/>
    <n v="257727"/>
    <n v="541041"/>
    <n v="540862"/>
    <n v="185137.88429752065"/>
    <m/>
    <m/>
    <m/>
    <n v="540862"/>
    <n v="541041"/>
    <n v="-179"/>
    <m/>
    <n v="806259"/>
    <s v="Febrero"/>
    <s v="Güemes"/>
    <n v="2489076"/>
    <n v="2057087.6033057852"/>
  </r>
  <r>
    <x v="0"/>
    <x v="1"/>
    <x v="3"/>
    <n v="1858800.59"/>
    <n v="949386"/>
    <n v="971769"/>
    <n v="1152426.9504132234"/>
    <n v="172864.04256198349"/>
    <n v="172863"/>
    <n v="180657"/>
    <n v="1325289"/>
    <n v="1325290.9929752068"/>
    <n v="-1.9929752068128437"/>
    <m/>
    <n v="3070145"/>
    <s v="Febrero"/>
    <s v="Recoleta"/>
    <n v="19920523"/>
    <n v="16463242.148760332"/>
  </r>
  <r>
    <x v="0"/>
    <x v="1"/>
    <x v="4"/>
    <n v="339596.76"/>
    <m/>
    <n v="760000"/>
    <n v="2639238.3471074384"/>
    <m/>
    <m/>
    <n v="1879238"/>
    <n v="2639238"/>
    <n v="2639238.3471074384"/>
    <n v="-0.34710743837058544"/>
    <m/>
    <n v="3056572.96"/>
    <s v="Febrero"/>
    <s v="San Telmo"/>
    <n v="39918480"/>
    <n v="32990479.338842977"/>
  </r>
  <r>
    <x v="0"/>
    <x v="1"/>
    <x v="5"/>
    <n v="339596.76"/>
    <n v="825000"/>
    <n v="825000"/>
    <n v="204356.19834710745"/>
    <m/>
    <m/>
    <m/>
    <n v="825000"/>
    <n v="825000"/>
    <n v="0"/>
    <m/>
    <n v="1242334.96"/>
    <s v="Febrero"/>
    <s v="San Telmo 2"/>
    <n v="2472710"/>
    <n v="2043561.9834710744"/>
  </r>
  <r>
    <x v="0"/>
    <x v="1"/>
    <x v="6"/>
    <n v="679193.52"/>
    <m/>
    <n v="684480"/>
    <n v="1083696.57"/>
    <m/>
    <m/>
    <n v="1085772"/>
    <n v="1083696.57"/>
    <n v="1083696.57"/>
    <n v="0"/>
    <s v="se reclamó, era $686555"/>
    <n v="1918366.4900000002"/>
    <s v="Febrero"/>
    <s v="AS San Telmo"/>
    <n v="14599470"/>
    <n v="12041073"/>
  </r>
  <r>
    <x v="0"/>
    <x v="2"/>
    <x v="0"/>
    <n v="407740.5"/>
    <m/>
    <m/>
    <n v="0"/>
    <m/>
    <m/>
    <m/>
    <n v="1577279.92"/>
    <n v="0"/>
    <m/>
    <m/>
    <n v="1963560.42"/>
    <s v="Marzo"/>
    <s v="Florida"/>
    <n v="23856359"/>
    <n v="19715999.17355372"/>
  </r>
  <r>
    <x v="0"/>
    <x v="2"/>
    <x v="1"/>
    <n v="214646.93"/>
    <n v="612727"/>
    <n v="610400"/>
    <n v="0"/>
    <m/>
    <m/>
    <m/>
    <n v="610400"/>
    <n v="612727"/>
    <n v="-2327"/>
    <m/>
    <n v="828230"/>
    <s v="Marzo"/>
    <s v="French"/>
    <n v="10851153"/>
    <n v="8967895.0413223151"/>
  </r>
  <r>
    <x v="0"/>
    <x v="2"/>
    <x v="2"/>
    <n v="280206.89"/>
    <n v="541041"/>
    <n v="540862"/>
    <n v="232847.10743801654"/>
    <m/>
    <m/>
    <m/>
    <n v="540862"/>
    <n v="541041"/>
    <n v="-179"/>
    <m/>
    <n v="798589"/>
    <s v="Marzo"/>
    <s v="Güemes"/>
    <n v="3130500"/>
    <n v="2587190.0826446284"/>
  </r>
  <r>
    <x v="0"/>
    <x v="2"/>
    <x v="3"/>
    <n v="1855294.61"/>
    <n v="949386"/>
    <n v="971769"/>
    <n v="872438.9256198348"/>
    <n v="142407.9"/>
    <n v="145765"/>
    <m/>
    <n v="1117534"/>
    <n v="1091793.8999999999"/>
    <n v="25740.100000000093"/>
    <m/>
    <n v="2976334.59"/>
    <s v="Marzo"/>
    <s v="Recoleta"/>
    <n v="15080730"/>
    <n v="12463413.223140497"/>
  </r>
  <r>
    <x v="0"/>
    <x v="2"/>
    <x v="4"/>
    <n v="343004.49"/>
    <m/>
    <n v="819280"/>
    <n v="2143033.3884297521"/>
    <m/>
    <m/>
    <n v="1323753"/>
    <n v="2143033"/>
    <n v="2143033.3884297521"/>
    <n v="-0.3884297520853579"/>
    <m/>
    <n v="2482629.7599999998"/>
    <s v="Marzo"/>
    <s v="San Telmo"/>
    <n v="32413380"/>
    <n v="26787917.3553719"/>
  </r>
  <r>
    <x v="0"/>
    <x v="2"/>
    <x v="5"/>
    <n v="343004.49"/>
    <n v="825000"/>
    <n v="825000"/>
    <n v="376152.0661157025"/>
    <m/>
    <m/>
    <m/>
    <n v="825000"/>
    <n v="825000"/>
    <n v="0"/>
    <m/>
    <n v="1164596.76"/>
    <s v="Marzo"/>
    <s v="San Telmo 2"/>
    <n v="4551440"/>
    <n v="3761520.661157025"/>
  </r>
  <r>
    <x v="0"/>
    <x v="2"/>
    <x v="6"/>
    <n v="686008.98"/>
    <m/>
    <n v="737869"/>
    <n v="1081465.2148760331"/>
    <m/>
    <m/>
    <n v="345827"/>
    <n v="1083696"/>
    <n v="1081465.2148760331"/>
    <n v="2230.7851239668671"/>
    <m/>
    <n v="1762889.52"/>
    <s v="Marzo"/>
    <s v="AS San Telmo"/>
    <n v="14539699"/>
    <n v="12016280.165289257"/>
  </r>
  <r>
    <x v="0"/>
    <x v="3"/>
    <x v="0"/>
    <n v="515040.5"/>
    <m/>
    <m/>
    <n v="0"/>
    <m/>
    <m/>
    <m/>
    <n v="2924376.08"/>
    <n v="0"/>
    <m/>
    <m/>
    <n v="3332116.58"/>
    <s v="Abril"/>
    <s v="Florida"/>
    <n v="44231189"/>
    <n v="36554701.65289256"/>
  </r>
  <r>
    <x v="0"/>
    <x v="3"/>
    <x v="1"/>
    <n v="262951.78999999998"/>
    <n v="612727"/>
    <n v="610400"/>
    <n v="0"/>
    <m/>
    <m/>
    <m/>
    <n v="610400"/>
    <n v="612727"/>
    <n v="-2327"/>
    <m/>
    <n v="825046.92999999993"/>
    <s v="Abril"/>
    <s v="French"/>
    <n v="20053520"/>
    <n v="16573157.024793388"/>
  </r>
  <r>
    <x v="0"/>
    <x v="3"/>
    <x v="2"/>
    <n v="274476.14"/>
    <n v="541041"/>
    <n v="540862"/>
    <n v="214629.17355371901"/>
    <m/>
    <m/>
    <m/>
    <n v="540862"/>
    <n v="541041"/>
    <n v="-179"/>
    <m/>
    <n v="821068.89"/>
    <s v="Abril"/>
    <s v="Güemes"/>
    <n v="2885570"/>
    <n v="2384768.5950413225"/>
  </r>
  <r>
    <x v="0"/>
    <x v="3"/>
    <x v="3"/>
    <n v="1997735.13"/>
    <n v="1030740"/>
    <n v="1044616"/>
    <n v="1471623.7685950415"/>
    <n v="220743.56528925622"/>
    <n v="231670"/>
    <n v="499854"/>
    <n v="1776140"/>
    <n v="1692367.3338842976"/>
    <n v="83772.666115702363"/>
    <m/>
    <n v="3631434.6100000003"/>
    <s v="Abril"/>
    <s v="Recoleta"/>
    <n v="25438068"/>
    <n v="21023196.694214877"/>
  </r>
  <r>
    <x v="0"/>
    <x v="3"/>
    <x v="4"/>
    <n v="477750.98"/>
    <m/>
    <n v="819280"/>
    <n v="2333371.2396694217"/>
    <m/>
    <m/>
    <n v="1514091"/>
    <n v="2333371"/>
    <n v="2333371.2396694217"/>
    <n v="-0.23966942168772221"/>
    <m/>
    <n v="2676375.4900000002"/>
    <s v="Abril"/>
    <s v="San Telmo"/>
    <n v="35292240"/>
    <n v="29167140.49586777"/>
  </r>
  <r>
    <x v="0"/>
    <x v="3"/>
    <x v="5"/>
    <n v="477750.98"/>
    <n v="825000"/>
    <n v="825000"/>
    <n v="807201.6528925621"/>
    <m/>
    <m/>
    <m/>
    <n v="825000"/>
    <n v="825000"/>
    <n v="0"/>
    <m/>
    <n v="1168004.49"/>
    <s v="Abril"/>
    <s v="San Telmo 2"/>
    <n v="9767140"/>
    <n v="8072016.52892562"/>
  </r>
  <r>
    <x v="0"/>
    <x v="3"/>
    <x v="6"/>
    <n v="955501.96"/>
    <m/>
    <n v="737869"/>
    <n v="1696728.3471074381"/>
    <m/>
    <m/>
    <n v="958859"/>
    <n v="1696728"/>
    <n v="1696728.3471074381"/>
    <n v="-0.3471074381377548"/>
    <m/>
    <n v="2382736.98"/>
    <s v="Abril"/>
    <s v="AS San Telmo"/>
    <n v="22811570"/>
    <n v="18852537.190082647"/>
  </r>
  <r>
    <x v="0"/>
    <x v="4"/>
    <x v="0"/>
    <n v="515040.5"/>
    <m/>
    <m/>
    <n v="0"/>
    <m/>
    <m/>
    <m/>
    <n v="2139397.7599999998"/>
    <n v="0"/>
    <m/>
    <m/>
    <n v="2654438.2599999998"/>
    <s v="Mayo"/>
    <s v="Florida"/>
    <n v="32137701"/>
    <n v="26560083.47107438"/>
  </r>
  <r>
    <x v="0"/>
    <x v="4"/>
    <x v="1"/>
    <n v="240529.21"/>
    <n v="612727"/>
    <n v="610400"/>
    <n v="0"/>
    <m/>
    <m/>
    <m/>
    <n v="610400"/>
    <n v="612727"/>
    <n v="-2327"/>
    <m/>
    <n v="873351.79"/>
    <s v="Mayo"/>
    <s v="French"/>
    <n v="13933870"/>
    <n v="11515595.041322315"/>
  </r>
  <r>
    <x v="0"/>
    <x v="4"/>
    <x v="2"/>
    <n v="282173.06"/>
    <n v="541041"/>
    <n v="540862"/>
    <n v="205633.63636363638"/>
    <m/>
    <m/>
    <m/>
    <n v="540862"/>
    <n v="541041"/>
    <n v="-179"/>
    <m/>
    <n v="815338.14"/>
    <s v="Mayo"/>
    <s v="Güemes"/>
    <n v="2764630"/>
    <n v="2284818.1818181821"/>
  </r>
  <r>
    <x v="0"/>
    <x v="4"/>
    <x v="3"/>
    <n v="1912694.22"/>
    <n v="1030740"/>
    <n v="1044616"/>
    <n v="936019.17355371907"/>
    <n v="154611"/>
    <n v="156692"/>
    <m/>
    <n v="1201308"/>
    <n v="1185351"/>
    <n v="15957"/>
    <m/>
    <n v="3199043.13"/>
    <s v="Mayo"/>
    <s v="Recoleta"/>
    <n v="16179760"/>
    <n v="13371702.479338843"/>
  </r>
  <r>
    <x v="0"/>
    <x v="4"/>
    <x v="4"/>
    <n v="529932.19999999995"/>
    <m/>
    <n v="819280"/>
    <n v="1609417.5206611571"/>
    <m/>
    <m/>
    <n v="804353"/>
    <n v="1623633"/>
    <n v="1609417.5206611571"/>
    <n v="14215.47933884291"/>
    <m/>
    <n v="2101383.98"/>
    <s v="Mayo"/>
    <s v="San Telmo"/>
    <n v="24342440"/>
    <n v="20117719.008264463"/>
  </r>
  <r>
    <x v="0"/>
    <x v="4"/>
    <x v="5"/>
    <n v="529932.19999999995"/>
    <n v="825000"/>
    <n v="825000"/>
    <n v="627856.19834710739"/>
    <m/>
    <m/>
    <m/>
    <n v="825000"/>
    <n v="825000"/>
    <n v="0"/>
    <m/>
    <n v="1302750.98"/>
    <s v="Mayo"/>
    <s v="San Telmo 2"/>
    <n v="7597060"/>
    <n v="6278561.9834710741"/>
  </r>
  <r>
    <x v="0"/>
    <x v="4"/>
    <x v="6"/>
    <n v="1059864.3999999999"/>
    <m/>
    <n v="737869"/>
    <n v="1200551.6528925619"/>
    <m/>
    <m/>
    <n v="462684"/>
    <n v="1200553"/>
    <n v="1200551.6528925619"/>
    <n v="1.3471074381377548"/>
    <m/>
    <n v="2156054.96"/>
    <s v="Mayo"/>
    <s v="AS San Telmo"/>
    <n v="16140750"/>
    <n v="13339462.809917355"/>
  </r>
  <r>
    <x v="0"/>
    <x v="5"/>
    <x v="0"/>
    <n v="515040.5"/>
    <m/>
    <m/>
    <n v="0"/>
    <m/>
    <m/>
    <m/>
    <n v="2338348.56"/>
    <n v="0"/>
    <m/>
    <m/>
    <n v="2853389.06"/>
    <s v="Junio"/>
    <s v="Florida"/>
    <n v="35367522"/>
    <n v="29229357.02479339"/>
  </r>
  <r>
    <x v="0"/>
    <x v="5"/>
    <x v="1"/>
    <n v="217135.92"/>
    <n v="663059"/>
    <n v="667200"/>
    <n v="0"/>
    <m/>
    <m/>
    <m/>
    <n v="667200"/>
    <n v="663059"/>
    <n v="4141"/>
    <m/>
    <n v="907729.21"/>
    <s v="Junio"/>
    <s v="French"/>
    <n v="16508620"/>
    <n v="13643487.603305785"/>
  </r>
  <r>
    <x v="0"/>
    <x v="5"/>
    <x v="2"/>
    <n v="306815.86"/>
    <n v="599544"/>
    <n v="599275.1"/>
    <n v="287735.20661157026"/>
    <m/>
    <m/>
    <m/>
    <n v="599275.1"/>
    <n v="599544"/>
    <n v="-268.90000000002328"/>
    <m/>
    <n v="881448.15999999992"/>
    <s v="Junio"/>
    <s v="Güemes"/>
    <n v="3868440"/>
    <n v="3197057.8512396696"/>
  </r>
  <r>
    <x v="0"/>
    <x v="5"/>
    <x v="3"/>
    <n v="1846064.21"/>
    <n v="1030740"/>
    <n v="1044616"/>
    <n v="877337.76859504147"/>
    <n v="154611"/>
    <n v="156692"/>
    <m/>
    <n v="1201308"/>
    <n v="1185351"/>
    <n v="15957"/>
    <m/>
    <n v="3114002.2199999997"/>
    <s v="Junio"/>
    <s v="Recoleta"/>
    <n v="15165410"/>
    <n v="12533396.694214877"/>
  </r>
  <r>
    <x v="0"/>
    <x v="5"/>
    <x v="4"/>
    <n v="482202.15"/>
    <m/>
    <n v="876549"/>
    <n v="1533840.6611570248"/>
    <m/>
    <m/>
    <n v="657285"/>
    <n v="1533834"/>
    <n v="1533840.6611570248"/>
    <n v="-6.6611570247914642"/>
    <m/>
    <n v="2063766.2"/>
    <s v="Junio"/>
    <s v="San Telmo"/>
    <n v="23199340"/>
    <n v="19173008.26446281"/>
  </r>
  <r>
    <x v="0"/>
    <x v="5"/>
    <x v="5"/>
    <n v="482202.15"/>
    <n v="887700"/>
    <n v="887700"/>
    <n v="579102.47933884303"/>
    <m/>
    <m/>
    <m/>
    <n v="887700"/>
    <n v="887700"/>
    <n v="0"/>
    <m/>
    <n v="1417632.2"/>
    <s v="Junio"/>
    <s v="San Telmo 2"/>
    <n v="7007140"/>
    <n v="5791024.79338843"/>
  </r>
  <r>
    <x v="0"/>
    <x v="5"/>
    <x v="6"/>
    <n v="964404.3"/>
    <m/>
    <n v="789519"/>
    <n v="1045606.6115702479"/>
    <m/>
    <m/>
    <n v="256054"/>
    <n v="1045573"/>
    <n v="1045606.6115702479"/>
    <n v="-33.611570247914642"/>
    <m/>
    <n v="2105437.4"/>
    <s v="Junio"/>
    <s v="AS San Telmo"/>
    <n v="14057600"/>
    <n v="11617851.239669422"/>
  </r>
  <r>
    <x v="0"/>
    <x v="6"/>
    <x v="0"/>
    <n v="407740.5"/>
    <m/>
    <m/>
    <n v="0"/>
    <m/>
    <m/>
    <m/>
    <n v="6375000"/>
    <n v="0"/>
    <m/>
    <m/>
    <n v="6890040.5"/>
    <s v="Julio"/>
    <s v="Florida"/>
    <n v="29116758"/>
    <n v="24063436.363636363"/>
  </r>
  <r>
    <x v="0"/>
    <x v="6"/>
    <x v="1"/>
    <n v="242602.21"/>
    <n v="663059"/>
    <n v="667200"/>
    <n v="0"/>
    <m/>
    <m/>
    <m/>
    <n v="667200"/>
    <n v="663059"/>
    <n v="4141"/>
    <m/>
    <n v="884335.92"/>
    <s v="Julio"/>
    <s v="French"/>
    <n v="16952183"/>
    <n v="14010068.595041323"/>
  </r>
  <r>
    <x v="0"/>
    <x v="6"/>
    <x v="2"/>
    <n v="328003.06"/>
    <n v="599544"/>
    <n v="599275.1"/>
    <n v="280739.75206611567"/>
    <m/>
    <m/>
    <m/>
    <n v="599275.1"/>
    <n v="599544"/>
    <n v="-268.90000000002328"/>
    <m/>
    <n v="906090.96"/>
    <s v="Julio"/>
    <s v="Güemes"/>
    <n v="3774390"/>
    <n v="3119330.5785123967"/>
  </r>
  <r>
    <x v="0"/>
    <x v="6"/>
    <x v="3"/>
    <n v="1901854.12"/>
    <n v="1092714"/>
    <n v="1130425"/>
    <n v="1003803.0082644629"/>
    <n v="163907.1"/>
    <n v="169564"/>
    <m/>
    <n v="1299989"/>
    <n v="1256621.1000000001"/>
    <n v="43367.899999999907"/>
    <m/>
    <n v="3146053.21"/>
    <s v="Julio"/>
    <s v="Recoleta"/>
    <n v="17351452"/>
    <n v="14340042.975206612"/>
  </r>
  <r>
    <x v="0"/>
    <x v="6"/>
    <x v="4"/>
    <n v="573285.05000000005"/>
    <m/>
    <n v="876549"/>
    <n v="1594208.9256198348"/>
    <m/>
    <m/>
    <n v="717653"/>
    <n v="1594202"/>
    <n v="1594208.9256198348"/>
    <n v="-6.9256198348011822"/>
    <m/>
    <n v="2076404.15"/>
    <s v="Julio"/>
    <s v="San Telmo"/>
    <n v="24112410"/>
    <n v="19927611.570247933"/>
  </r>
  <r>
    <x v="0"/>
    <x v="6"/>
    <x v="5"/>
    <n v="573285.05000000005"/>
    <n v="887700"/>
    <n v="887700"/>
    <n v="872080.66115702491"/>
    <m/>
    <m/>
    <n v="15619"/>
    <n v="903319"/>
    <n v="887700"/>
    <n v="15619"/>
    <m/>
    <n v="1385521.15"/>
    <s v="Julio"/>
    <s v="San Telmo 2"/>
    <n v="10552176"/>
    <n v="8720806.6115702484"/>
  </r>
  <r>
    <x v="0"/>
    <x v="6"/>
    <x v="6"/>
    <n v="1146570.01"/>
    <m/>
    <n v="789519"/>
    <n v="1294258.0165289256"/>
    <m/>
    <m/>
    <n v="504738"/>
    <n v="1294257"/>
    <n v="1294258.0165289256"/>
    <n v="-1.0165289256256074"/>
    <m/>
    <n v="2258661.2999999998"/>
    <s v="Julio"/>
    <s v="AS San Telmo"/>
    <n v="17400580"/>
    <n v="14380644.628099173"/>
  </r>
  <r>
    <x v="0"/>
    <x v="7"/>
    <x v="0"/>
    <m/>
    <n v="6550000"/>
    <n v="6550000"/>
    <n v="0"/>
    <m/>
    <m/>
    <m/>
    <n v="6550000"/>
    <n v="6550000"/>
    <n v="0"/>
    <m/>
    <n v="6957740.5"/>
    <s v="Agosto"/>
    <s v="Florida"/>
    <n v="34957464"/>
    <n v="28890466.11570248"/>
  </r>
  <r>
    <x v="0"/>
    <x v="7"/>
    <x v="1"/>
    <m/>
    <n v="663059"/>
    <n v="667200"/>
    <n v="0"/>
    <m/>
    <m/>
    <m/>
    <n v="667200"/>
    <n v="663059"/>
    <n v="4141"/>
    <m/>
    <n v="909802.21"/>
    <s v="Agosto"/>
    <s v="French"/>
    <n v="15436371"/>
    <n v="12757331.404958678"/>
  </r>
  <r>
    <x v="0"/>
    <x v="7"/>
    <x v="2"/>
    <m/>
    <n v="599544"/>
    <n v="599275.1"/>
    <n v="311597.10743801657"/>
    <m/>
    <m/>
    <m/>
    <n v="599275.1"/>
    <n v="599544"/>
    <n v="-268.90000000002328"/>
    <m/>
    <n v="927278.15999999992"/>
    <s v="Agosto"/>
    <s v="Güemes"/>
    <n v="4189250"/>
    <n v="3462190.0826446284"/>
  </r>
  <r>
    <x v="0"/>
    <x v="7"/>
    <x v="3"/>
    <m/>
    <n v="1092714"/>
    <n v="1130425"/>
    <n v="1045680.5950413224"/>
    <n v="163907.1"/>
    <n v="169564"/>
    <m/>
    <n v="1299989"/>
    <n v="1256621.1000000001"/>
    <n v="43367.899999999907"/>
    <m/>
    <n v="3201843.12"/>
    <s v="Agosto"/>
    <s v="Recoleta"/>
    <n v="18075336"/>
    <n v="14938294.214876033"/>
  </r>
  <r>
    <x v="0"/>
    <x v="7"/>
    <x v="4"/>
    <m/>
    <m/>
    <n v="928265"/>
    <n v="1741513.4545454548"/>
    <m/>
    <m/>
    <n v="813248"/>
    <n v="1741513"/>
    <n v="1741513.4545454548"/>
    <n v="-0.45454545482061803"/>
    <m/>
    <n v="2314798.0499999998"/>
    <s v="Agosto"/>
    <s v="San Telmo"/>
    <n v="26340391"/>
    <n v="21768918.181818184"/>
  </r>
  <r>
    <x v="0"/>
    <x v="7"/>
    <x v="5"/>
    <m/>
    <n v="887700"/>
    <n v="887700"/>
    <n v="780973.38842975209"/>
    <m/>
    <m/>
    <m/>
    <n v="887700"/>
    <n v="887700"/>
    <n v="0"/>
    <m/>
    <n v="1460985.05"/>
    <s v="Agosto"/>
    <s v="San Telmo 2"/>
    <n v="9449778"/>
    <n v="7809733.8842975209"/>
  </r>
  <r>
    <x v="0"/>
    <x v="7"/>
    <x v="6"/>
    <m/>
    <m/>
    <n v="836100"/>
    <n v="1569765.1239669423"/>
    <m/>
    <m/>
    <n v="733664"/>
    <n v="1569764"/>
    <n v="1569765.1239669423"/>
    <n v="-1.1239669423084706"/>
    <m/>
    <n v="2716334.01"/>
    <s v="Agosto"/>
    <s v="AS San Telmo"/>
    <n v="21104620"/>
    <n v="17441834.710743804"/>
  </r>
  <r>
    <x v="0"/>
    <x v="8"/>
    <x v="0"/>
    <m/>
    <n v="7000000"/>
    <n v="7000000"/>
    <n v="0"/>
    <m/>
    <m/>
    <m/>
    <n v="7000000"/>
    <n v="7000000"/>
    <n v="0"/>
    <s v="depende del precio del dólar"/>
    <n v="7000000"/>
    <s v="Septiembre"/>
    <s v="Florida"/>
    <n v="45735238.490000002"/>
    <n v="37797717.76033058"/>
  </r>
  <r>
    <x v="0"/>
    <x v="8"/>
    <x v="1"/>
    <m/>
    <n v="699486"/>
    <n v="703000"/>
    <n v="0"/>
    <m/>
    <m/>
    <m/>
    <n v="703000"/>
    <n v="699486"/>
    <n v="3514"/>
    <m/>
    <n v="703000"/>
    <s v="Septiembre"/>
    <s v="French"/>
    <n v="16141623"/>
    <n v="13340184.297520662"/>
  </r>
  <r>
    <x v="0"/>
    <x v="8"/>
    <x v="2"/>
    <m/>
    <n v="599544"/>
    <n v="599275.1"/>
    <n v="310077.3347107438"/>
    <m/>
    <m/>
    <m/>
    <n v="599275.1"/>
    <n v="599544"/>
    <n v="-268.90000000002328"/>
    <m/>
    <n v="599275.1"/>
    <s v="Septiembre"/>
    <s v="Güemes"/>
    <n v="4168817.5"/>
    <n v="3445303.7190082646"/>
  </r>
  <r>
    <x v="0"/>
    <x v="8"/>
    <x v="3"/>
    <m/>
    <n v="1092714"/>
    <n v="1259439.7478260871"/>
    <n v="1259439.7535537193"/>
    <n v="188915.96303305789"/>
    <n v="188915.96217391305"/>
    <m/>
    <n v="1448355.7100000002"/>
    <n v="1448355.7165867772"/>
    <n v="-6.5867770463228226E-3"/>
    <m/>
    <n v="1448355.7100000002"/>
    <s v="Septiembre"/>
    <s v="Recoleta"/>
    <n v="21770315.739999998"/>
    <n v="17991996.479338843"/>
  </r>
  <r>
    <x v="0"/>
    <x v="8"/>
    <x v="4"/>
    <m/>
    <m/>
    <m/>
    <n v="2250398.6770247938"/>
    <m/>
    <m/>
    <n v="2250334.64"/>
    <n v="2250334.64"/>
    <n v="2250398.6770247938"/>
    <n v="-64.037024793680757"/>
    <m/>
    <n v="2250334.64"/>
    <s v="Septiembre"/>
    <s v="San Telmo"/>
    <n v="34037279.990000002"/>
    <n v="28129983.46280992"/>
  </r>
  <r>
    <x v="0"/>
    <x v="8"/>
    <x v="5"/>
    <m/>
    <m/>
    <n v="900710.7"/>
    <n v="900710.74462809926"/>
    <m/>
    <m/>
    <m/>
    <n v="900710.7"/>
    <n v="900710.74462809926"/>
    <n v="-4.4628099305555224E-2"/>
    <m/>
    <n v="900710.7"/>
    <s v="Septiembre"/>
    <s v="San Telmo 2"/>
    <n v="10898600.01"/>
    <n v="9007107.4462809917"/>
  </r>
  <r>
    <x v="0"/>
    <x v="8"/>
    <x v="6"/>
    <m/>
    <m/>
    <n v="1091639.7"/>
    <n v="1091639.7528099173"/>
    <m/>
    <m/>
    <m/>
    <n v="1091639.7"/>
    <n v="1091639.7528099173"/>
    <n v="-5.2809917367994785E-2"/>
    <m/>
    <n v="1091639.7"/>
    <s v="Septiembre"/>
    <s v="AS San Telmo"/>
    <n v="14676490.01"/>
    <n v="12129330.58677686"/>
  </r>
  <r>
    <x v="0"/>
    <x v="9"/>
    <x v="0"/>
    <m/>
    <n v="7275000"/>
    <n v="7275000"/>
    <n v="0"/>
    <m/>
    <m/>
    <m/>
    <n v="7275000"/>
    <n v="7275000"/>
    <n v="0"/>
    <s v="depende del precio del dólar"/>
    <n v="7275000"/>
    <s v="Octubre"/>
    <s v="Florida"/>
    <n v="62713661.020000003"/>
    <n v="51829471.917355374"/>
  </r>
  <r>
    <x v="0"/>
    <x v="9"/>
    <x v="1"/>
    <m/>
    <n v="699486"/>
    <n v="703000"/>
    <n v="0"/>
    <m/>
    <m/>
    <m/>
    <n v="703000"/>
    <n v="699486"/>
    <n v="3514"/>
    <s v="estimación que toma el valor pagado y no calculado, como base"/>
    <n v="703000"/>
    <s v="Octubre"/>
    <s v="French"/>
    <n v="19997040.02"/>
    <n v="16526479.355371902"/>
  </r>
  <r>
    <x v="0"/>
    <x v="9"/>
    <x v="2"/>
    <m/>
    <n v="645612"/>
    <n v="645479"/>
    <n v="358072.80991735536"/>
    <m/>
    <m/>
    <m/>
    <n v="645479"/>
    <n v="645612"/>
    <n v="-133"/>
    <m/>
    <n v="645479"/>
    <s v="Octubre"/>
    <s v="Güemes"/>
    <n v="4814090"/>
    <n v="3978586.7768595042"/>
  </r>
  <r>
    <x v="0"/>
    <x v="9"/>
    <x v="3"/>
    <m/>
    <n v="1157930"/>
    <n v="1367034.7826086958"/>
    <n v="1323934.2969421488"/>
    <n v="198590.14454132231"/>
    <n v="205055.21739130435"/>
    <m/>
    <n v="1572090.0000000002"/>
    <n v="1522524.4414834711"/>
    <n v="49565.558516529156"/>
    <m/>
    <n v="1572090.0000000002"/>
    <s v="Octubre"/>
    <s v="Recoleta"/>
    <n v="22885149.989999998"/>
    <n v="18913347.099173553"/>
  </r>
  <r>
    <x v="0"/>
    <x v="9"/>
    <x v="4"/>
    <m/>
    <m/>
    <m/>
    <n v="2190647.2727272729"/>
    <m/>
    <m/>
    <n v="2190647"/>
    <n v="2190647"/>
    <n v="2190647.2727272729"/>
    <n v="-0.27272727293893695"/>
    <m/>
    <n v="2190647"/>
    <s v="Octubre"/>
    <s v="San Telmo"/>
    <n v="33133540"/>
    <n v="27383090.90909091"/>
  </r>
  <r>
    <x v="0"/>
    <x v="9"/>
    <x v="5"/>
    <m/>
    <m/>
    <n v="1058553"/>
    <n v="1058553.7198347109"/>
    <m/>
    <m/>
    <m/>
    <n v="1058553"/>
    <n v="1058553.7198347109"/>
    <n v="-0.71983471093699336"/>
    <m/>
    <n v="1058553"/>
    <s v="Octubre"/>
    <s v="San Telmo 2"/>
    <n v="12808500.01"/>
    <n v="10585537.198347108"/>
  </r>
  <r>
    <x v="0"/>
    <x v="9"/>
    <x v="6"/>
    <m/>
    <n v="836100"/>
    <n v="957292.11"/>
    <n v="957308.43123966944"/>
    <m/>
    <m/>
    <m/>
    <n v="957292.11"/>
    <n v="957308.43123966944"/>
    <n v="-16.321239669458009"/>
    <m/>
    <n v="957292.11"/>
    <s v="Octubre"/>
    <s v="AS San Telmo"/>
    <n v="12870480.02"/>
    <n v="10636760.347107438"/>
  </r>
  <r>
    <x v="0"/>
    <x v="10"/>
    <x v="0"/>
    <n v="482850.5"/>
    <n v="7050000"/>
    <n v="7050000"/>
    <n v="0"/>
    <m/>
    <m/>
    <m/>
    <n v="7050000"/>
    <n v="7050000"/>
    <n v="0"/>
    <s v="depende del precio del dólar"/>
    <n v="7050000"/>
    <s v="Noviembre"/>
    <s v="Florida"/>
    <n v="58604767"/>
    <n v="48433691.735537194"/>
  </r>
  <r>
    <x v="0"/>
    <x v="10"/>
    <x v="1"/>
    <n v="246306"/>
    <n v="699486"/>
    <n v="703000"/>
    <n v="0"/>
    <m/>
    <m/>
    <m/>
    <n v="703000"/>
    <n v="699486"/>
    <n v="3514"/>
    <s v="estimación que toma el valor pagado y no calculado, como base"/>
    <n v="703000"/>
    <s v="Noviembre"/>
    <s v="French"/>
    <n v="19749648.989999998"/>
    <n v="16322023.958677685"/>
  </r>
  <r>
    <x v="0"/>
    <x v="10"/>
    <x v="2"/>
    <n v="352047.74"/>
    <n v="645612"/>
    <n v="645479.21"/>
    <n v="445191.02404958673"/>
    <m/>
    <m/>
    <m/>
    <n v="645479.21"/>
    <n v="645612"/>
    <n v="-132.79000000003725"/>
    <m/>
    <n v="645479.21"/>
    <s v="Noviembre"/>
    <s v="Güemes"/>
    <n v="5985345.9900000002"/>
    <n v="4946566.9338842975"/>
  </r>
  <r>
    <x v="0"/>
    <x v="10"/>
    <x v="3"/>
    <n v="2081805.58"/>
    <n v="1157930"/>
    <n v="1954961.095652174"/>
    <n v="1835269.6044628101"/>
    <n v="275290.44066942151"/>
    <n v="293244.1643478261"/>
    <m/>
    <n v="2248205.2600000002"/>
    <n v="2110560.0451322314"/>
    <n v="137645.21486776881"/>
    <m/>
    <n v="2248205.2600000002"/>
    <s v="Noviembre"/>
    <s v="Recoleta"/>
    <n v="31723946.02"/>
    <n v="26218137.20661157"/>
  </r>
  <r>
    <x v="0"/>
    <x v="10"/>
    <x v="4"/>
    <n v="650090.67000000004"/>
    <m/>
    <m/>
    <n v="2138745.110743802"/>
    <m/>
    <m/>
    <n v="2138745.04"/>
    <n v="2138745.04"/>
    <n v="2138745.110743802"/>
    <n v="-7.074380200356245E-2"/>
    <m/>
    <n v="2138745.04"/>
    <s v="Noviembre"/>
    <s v="San Telmo"/>
    <n v="32348519.800000001"/>
    <n v="26734313.884297524"/>
  </r>
  <r>
    <x v="0"/>
    <x v="10"/>
    <x v="5"/>
    <n v="650090.67000000004"/>
    <m/>
    <n v="1200587.6000000001"/>
    <n v="1200587.6033057852"/>
    <m/>
    <m/>
    <m/>
    <n v="1200587.6000000001"/>
    <n v="1200587.6033057852"/>
    <n v="-3.3057851251214743E-3"/>
    <m/>
    <n v="1200587.6000000001"/>
    <s v="Noviembre"/>
    <s v="San Telmo 2"/>
    <n v="14527110"/>
    <n v="12005876.033057852"/>
  </r>
  <r>
    <x v="0"/>
    <x v="10"/>
    <x v="6"/>
    <n v="1300181.3400000001"/>
    <n v="836100"/>
    <n v="1425831.84"/>
    <n v="1425831.9173553719"/>
    <m/>
    <m/>
    <m/>
    <n v="1425831.84"/>
    <n v="1425831.9173553719"/>
    <n v="-7.7355371788144112E-2"/>
    <m/>
    <n v="1425831.84"/>
    <s v="Noviembre"/>
    <s v="AS San Telmo"/>
    <n v="19169518"/>
    <n v="15842576.859504133"/>
  </r>
  <r>
    <x v="0"/>
    <x v="10"/>
    <x v="7"/>
    <n v="236898.87"/>
    <n v="1410298"/>
    <n v="1403877.7727272727"/>
    <m/>
    <n v="141029.80000000002"/>
    <n v="140387.77727272728"/>
    <m/>
    <n v="1544265.55"/>
    <n v="1551327.8"/>
    <n v="-7062.25"/>
    <m/>
    <m/>
    <s v="Noviembre"/>
    <s v="El Solar"/>
    <n v="6544524.0199999996"/>
    <n v="4482550.6986301364"/>
  </r>
  <r>
    <x v="0"/>
    <x v="10"/>
    <x v="8"/>
    <n v="53861"/>
    <n v="461151"/>
    <n v="461057"/>
    <n v="0"/>
    <m/>
    <m/>
    <m/>
    <n v="461057"/>
    <n v="461151"/>
    <n v="-94"/>
    <m/>
    <m/>
    <s v="Noviembre"/>
    <s v="Güemes 2 (góndola 7)"/>
    <s v="abrió el 19/11"/>
    <m/>
  </r>
  <r>
    <x v="0"/>
    <x v="10"/>
    <x v="9"/>
    <n v="19515"/>
    <n v="267693"/>
    <n v="267700"/>
    <m/>
    <m/>
    <m/>
    <m/>
    <n v="267700"/>
    <n v="267693"/>
    <n v="7"/>
    <m/>
    <m/>
    <s v="Noviembre"/>
    <s v="AS Güemes (góndola 13)"/>
    <s v="abrió el 11/11"/>
    <m/>
  </r>
  <r>
    <x v="0"/>
    <x v="11"/>
    <x v="0"/>
    <m/>
    <n v="7200000"/>
    <n v="7200000"/>
    <m/>
    <m/>
    <m/>
    <m/>
    <n v="7200000"/>
    <n v="7200000"/>
    <n v="0"/>
    <m/>
    <m/>
    <s v="Diciembre"/>
    <s v="Florida"/>
    <n v="84288371.949400023"/>
    <n v="69659811.528429776"/>
  </r>
  <r>
    <x v="0"/>
    <x v="11"/>
    <x v="1"/>
    <m/>
    <n v="850000"/>
    <n v="850000"/>
    <m/>
    <m/>
    <m/>
    <m/>
    <n v="850000"/>
    <n v="850000"/>
    <n v="0"/>
    <m/>
    <m/>
    <s v="Diciembre"/>
    <s v="French"/>
    <n v="31448390.003300004"/>
    <n v="25990404.961404964"/>
  </r>
  <r>
    <x v="0"/>
    <x v="11"/>
    <x v="2"/>
    <m/>
    <n v="645612"/>
    <n v="645479.21"/>
    <m/>
    <m/>
    <m/>
    <m/>
    <n v="645479.21"/>
    <n v="645612"/>
    <n v="-132.79000000003725"/>
    <m/>
    <m/>
    <s v="Diciembre"/>
    <s v="Güemes"/>
    <n v="5000089.9892000007"/>
    <n v="4132305.7761983476"/>
  </r>
  <r>
    <x v="0"/>
    <x v="11"/>
    <x v="3"/>
    <m/>
    <n v="1157930"/>
    <m/>
    <n v="2029454.2267826449"/>
    <n v="304418.13401739672"/>
    <m/>
    <m/>
    <n v="2333872.36"/>
    <n v="2333872.3608000418"/>
    <n v="-8.0004194751381874E-4"/>
    <m/>
    <m/>
    <s v="Diciembre"/>
    <s v="Recoleta"/>
    <n v="35080565.920099996"/>
    <n v="28992203.239752065"/>
  </r>
  <r>
    <x v="0"/>
    <x v="11"/>
    <x v="4"/>
    <m/>
    <m/>
    <m/>
    <n v="4159281.9828760331"/>
    <m/>
    <m/>
    <n v="4159281.92"/>
    <n v="4159281.92"/>
    <n v="4159281.9828760331"/>
    <n v="-6.2876033131033182E-2"/>
    <m/>
    <m/>
    <s v="Diciembre"/>
    <s v="San Telmo"/>
    <n v="62909139.990999997"/>
    <n v="51991024.785950415"/>
  </r>
  <r>
    <x v="0"/>
    <x v="11"/>
    <x v="5"/>
    <m/>
    <m/>
    <n v="1999268.2"/>
    <n v="1999268.262867769"/>
    <m/>
    <m/>
    <m/>
    <n v="1999268.2"/>
    <n v="1999268.262867769"/>
    <n v="-6.2867769040167332E-2"/>
    <m/>
    <m/>
    <s v="Diciembre"/>
    <s v="San Telmo 2"/>
    <n v="24191145.980700001"/>
    <n v="19992682.628677689"/>
  </r>
  <r>
    <x v="0"/>
    <x v="11"/>
    <x v="6"/>
    <m/>
    <m/>
    <m/>
    <n v="1529517.2731661159"/>
    <m/>
    <m/>
    <n v="1529517.24"/>
    <n v="1529517.24"/>
    <n v="1529517.2731661159"/>
    <n v="-3.3166115870699286E-2"/>
    <m/>
    <m/>
    <s v="Diciembre"/>
    <s v="AS San Telmo"/>
    <n v="20563510.005900003"/>
    <n v="16994636.368512399"/>
  </r>
  <r>
    <x v="0"/>
    <x v="11"/>
    <x v="7"/>
    <m/>
    <n v="1410298"/>
    <m/>
    <m/>
    <n v="141029.80000000002"/>
    <n v="0"/>
    <m/>
    <n v="1544265.55"/>
    <n v="1551327.8"/>
    <n v="-7062.25"/>
    <m/>
    <m/>
    <s v="Diciembre"/>
    <s v="El Solar"/>
    <n v="6889989.9928000011"/>
    <n v="4719171.2279452067"/>
  </r>
  <r>
    <x v="0"/>
    <x v="11"/>
    <x v="8"/>
    <m/>
    <n v="461151"/>
    <n v="461057"/>
    <n v="78213.779667123279"/>
    <m/>
    <m/>
    <m/>
    <n v="461057"/>
    <n v="461151"/>
    <n v="-94"/>
    <m/>
    <m/>
    <s v="Diciembre"/>
    <s v="Güemes 2 (góndola 7)"/>
    <n v="1268801.3145999999"/>
    <n v="869041.99630136986"/>
  </r>
  <r>
    <x v="0"/>
    <x v="11"/>
    <x v="9"/>
    <m/>
    <n v="267693"/>
    <n v="267700"/>
    <m/>
    <m/>
    <m/>
    <m/>
    <n v="267700"/>
    <n v="267693"/>
    <n v="7"/>
    <m/>
    <m/>
    <s v="Diciembre"/>
    <s v="AS Güemes (góndola 13)"/>
    <n v="898200.00399999996"/>
    <n v="742314.052892562"/>
  </r>
  <r>
    <x v="1"/>
    <x v="0"/>
    <x v="0"/>
    <m/>
    <n v="7425000"/>
    <n v="7525000"/>
    <m/>
    <m/>
    <m/>
    <m/>
    <n v="7525000"/>
    <n v="7425000"/>
    <n v="100000"/>
    <m/>
    <m/>
    <s v="Enero"/>
    <s v="Florida"/>
    <n v="75154430"/>
    <n v="62111099.17355372"/>
  </r>
  <r>
    <x v="1"/>
    <x v="0"/>
    <x v="1"/>
    <m/>
    <n v="850000"/>
    <n v="850000"/>
    <m/>
    <m/>
    <m/>
    <m/>
    <n v="850000"/>
    <n v="850000"/>
    <n v="0"/>
    <m/>
    <m/>
    <s v="Enero"/>
    <s v="French"/>
    <n v="25547206"/>
    <n v="21113393.388429753"/>
  </r>
  <r>
    <x v="1"/>
    <x v="0"/>
    <x v="2"/>
    <m/>
    <n v="645612"/>
    <n v="645479.21"/>
    <m/>
    <m/>
    <m/>
    <m/>
    <n v="645479.21"/>
    <n v="645612"/>
    <n v="-132.79000000003725"/>
    <m/>
    <m/>
    <s v="Enero"/>
    <s v="Güemes"/>
    <n v="5451414"/>
    <n v="4505300.8264462808"/>
  </r>
  <r>
    <x v="1"/>
    <x v="0"/>
    <x v="3"/>
    <m/>
    <n v="2000000"/>
    <m/>
    <n v="2001530.7685950415"/>
    <n v="300229.61528925621"/>
    <m/>
    <m/>
    <n v="2451875.16"/>
    <n v="2301760.3838842977"/>
    <n v="150114.77611570247"/>
    <m/>
    <m/>
    <s v="Enero"/>
    <s v="Recoleta"/>
    <n v="34597889"/>
    <n v="28593296.694214877"/>
  </r>
  <r>
    <x v="1"/>
    <x v="0"/>
    <x v="4"/>
    <m/>
    <m/>
    <m/>
    <n v="3323410.5785123967"/>
    <m/>
    <m/>
    <n v="3323410.48"/>
    <n v="3323410.48"/>
    <n v="3323410.5785123967"/>
    <n v="-9.8512396682053804E-2"/>
    <m/>
    <m/>
    <s v="Enero"/>
    <s v="San Telmo"/>
    <n v="50266585"/>
    <n v="41542632.23140496"/>
  </r>
  <r>
    <x v="1"/>
    <x v="0"/>
    <x v="5"/>
    <m/>
    <m/>
    <n v="1374452"/>
    <n v="1374452.0661157025"/>
    <m/>
    <m/>
    <m/>
    <n v="1374452"/>
    <n v="1374452.0661157025"/>
    <n v="-6.6115702502429485E-2"/>
    <m/>
    <m/>
    <s v="Enero"/>
    <s v="San Telmo 2"/>
    <n v="16630870"/>
    <n v="13744520.661157025"/>
  </r>
  <r>
    <x v="1"/>
    <x v="0"/>
    <x v="6"/>
    <m/>
    <m/>
    <m/>
    <n v="1369897.3636363635"/>
    <m/>
    <m/>
    <n v="1369897.5"/>
    <n v="1369897.5"/>
    <n v="1369897.3636363635"/>
    <n v="0.13636363646946847"/>
    <m/>
    <m/>
    <s v="Enero"/>
    <s v="AS San Telmo"/>
    <n v="18417509"/>
    <n v="15221081.818181818"/>
  </r>
  <r>
    <x v="1"/>
    <x v="0"/>
    <x v="7"/>
    <m/>
    <n v="1486293"/>
    <m/>
    <m/>
    <n v="148629.30000000002"/>
    <n v="0"/>
    <m/>
    <n v="1619513.17"/>
    <n v="1634922.3"/>
    <n v="-15409.130000000121"/>
    <m/>
    <m/>
    <s v="Enero"/>
    <s v="El Solar"/>
    <n v="21238500"/>
    <n v="14546917.808219178"/>
  </r>
  <r>
    <x v="1"/>
    <x v="0"/>
    <x v="8"/>
    <m/>
    <n v="461151"/>
    <n v="461057"/>
    <n v="676208.21917808219"/>
    <m/>
    <m/>
    <m/>
    <n v="461057"/>
    <n v="676208.21917808219"/>
    <n v="-215151.21917808219"/>
    <m/>
    <m/>
    <s v="Enero"/>
    <s v="Güemes 2 (góndola 7)"/>
    <n v="10969600"/>
    <n v="7513424.6575342463"/>
  </r>
  <r>
    <x v="1"/>
    <x v="0"/>
    <x v="9"/>
    <m/>
    <n v="294719"/>
    <n v="267700"/>
    <m/>
    <m/>
    <m/>
    <m/>
    <n v="267700"/>
    <n v="294719"/>
    <n v="-27019"/>
    <m/>
    <m/>
    <s v="Enero"/>
    <s v="AS Güemes (góndola 13)"/>
    <n v="1162671"/>
    <n v="960885.12396694219"/>
  </r>
  <r>
    <x v="1"/>
    <x v="1"/>
    <x v="0"/>
    <m/>
    <n v="7200000"/>
    <n v="7100000"/>
    <m/>
    <m/>
    <m/>
    <m/>
    <n v="7100000"/>
    <n v="7200000"/>
    <n v="-100000"/>
    <m/>
    <m/>
    <s v="Febrero"/>
    <s v="Florida"/>
    <n v="49769692.299999997"/>
    <n v="41131977.107438013"/>
  </r>
  <r>
    <x v="1"/>
    <x v="1"/>
    <x v="1"/>
    <m/>
    <n v="850000"/>
    <n v="850000"/>
    <m/>
    <m/>
    <m/>
    <m/>
    <n v="850000"/>
    <n v="850000"/>
    <n v="0"/>
    <m/>
    <m/>
    <s v="Febrero"/>
    <s v="French"/>
    <n v="21769881.899999999"/>
    <n v="17991637.933884297"/>
  </r>
  <r>
    <x v="1"/>
    <x v="1"/>
    <x v="2"/>
    <m/>
    <n v="716402"/>
    <n v="715965.54"/>
    <m/>
    <m/>
    <m/>
    <m/>
    <n v="715965.54"/>
    <n v="716402"/>
    <n v="-436.45999999996275"/>
    <m/>
    <m/>
    <s v="Febrero"/>
    <s v="Güemes"/>
    <n v="3623340"/>
    <n v="2994495.867768595"/>
  </r>
  <r>
    <x v="1"/>
    <x v="1"/>
    <x v="3"/>
    <m/>
    <n v="2000000"/>
    <m/>
    <n v="1473794.6595041321"/>
    <n v="300000"/>
    <m/>
    <m/>
    <n v="2300000"/>
    <n v="2300000"/>
    <n v="0"/>
    <m/>
    <m/>
    <s v="Febrero"/>
    <s v="Recoleta"/>
    <n v="25475593.399999995"/>
    <n v="21054209.4214876"/>
  </r>
  <r>
    <x v="1"/>
    <x v="1"/>
    <x v="4"/>
    <m/>
    <m/>
    <m/>
    <n v="2622347.1074380167"/>
    <m/>
    <m/>
    <n v="2622347.04"/>
    <n v="2622347.04"/>
    <n v="2622347.1074380167"/>
    <n v="-6.7438016645610332E-2"/>
    <m/>
    <m/>
    <s v="Febrero"/>
    <s v="San Telmo"/>
    <n v="39663000"/>
    <n v="32779338.842975207"/>
  </r>
  <r>
    <x v="1"/>
    <x v="1"/>
    <x v="5"/>
    <m/>
    <m/>
    <n v="1473060.3"/>
    <n v="1473060.3429752067"/>
    <m/>
    <m/>
    <m/>
    <n v="1473060.3"/>
    <n v="1473060.3429752067"/>
    <n v="-4.2975206626579165E-2"/>
    <m/>
    <m/>
    <s v="Febrero"/>
    <s v="San Telmo 2"/>
    <n v="17824030.149999999"/>
    <n v="14730603.429752065"/>
  </r>
  <r>
    <x v="1"/>
    <x v="1"/>
    <x v="6"/>
    <m/>
    <m/>
    <m/>
    <n v="1199300.5710743801"/>
    <m/>
    <m/>
    <n v="1199300.67"/>
    <n v="1199300.67"/>
    <n v="1199300.5710743801"/>
    <n v="9.8925619851797819E-2"/>
    <m/>
    <m/>
    <s v="Febrero"/>
    <s v="AS San Telmo"/>
    <n v="16123929.9"/>
    <n v="13325561.900826447"/>
  </r>
  <r>
    <x v="1"/>
    <x v="1"/>
    <x v="7"/>
    <m/>
    <n v="1486293"/>
    <m/>
    <m/>
    <n v="148629.30000000002"/>
    <n v="0"/>
    <m/>
    <n v="1619513.17"/>
    <n v="1634922.3"/>
    <n v="-15409.130000000121"/>
    <m/>
    <m/>
    <s v="Febrero"/>
    <s v="El Solar"/>
    <n v="4959712.9000000004"/>
    <n v="3397063.6301369867"/>
  </r>
  <r>
    <x v="1"/>
    <x v="1"/>
    <x v="8"/>
    <m/>
    <n v="511715"/>
    <n v="511403.96"/>
    <n v="307171.23287671228"/>
    <m/>
    <m/>
    <m/>
    <n v="511403.96"/>
    <n v="511715"/>
    <n v="-311.03999999997905"/>
    <m/>
    <m/>
    <s v="Febrero"/>
    <s v="Güemes 2 (góndola 7)"/>
    <n v="4983000"/>
    <n v="3413013.6986301369"/>
  </r>
  <r>
    <x v="1"/>
    <x v="1"/>
    <x v="9"/>
    <m/>
    <n v="294719"/>
    <n v="294630.62"/>
    <m/>
    <m/>
    <m/>
    <m/>
    <n v="294630.62"/>
    <n v="294719"/>
    <n v="-88.380000000004657"/>
    <m/>
    <m/>
    <s v="Febrero"/>
    <s v="AS Güemes (góndola 13)"/>
    <n v="623750.01"/>
    <n v="515495.87603305787"/>
  </r>
  <r>
    <x v="1"/>
    <x v="2"/>
    <x v="0"/>
    <m/>
    <n v="7175000"/>
    <n v="7100000"/>
    <m/>
    <m/>
    <m/>
    <m/>
    <n v="7100000"/>
    <n v="7175000"/>
    <n v="-75000"/>
    <m/>
    <m/>
    <s v="Marzo"/>
    <s v="Florida"/>
    <n v="56105566.406199992"/>
    <n v="46368236.699338838"/>
  </r>
  <r>
    <x v="1"/>
    <x v="2"/>
    <x v="1"/>
    <m/>
    <n v="925424"/>
    <n v="923100"/>
    <m/>
    <m/>
    <m/>
    <m/>
    <n v="923100"/>
    <n v="925424"/>
    <n v="-2324"/>
    <m/>
    <m/>
    <s v="Marzo"/>
    <s v="French"/>
    <n v="16278681.891899999"/>
    <n v="13453456.109008264"/>
  </r>
  <r>
    <x v="1"/>
    <x v="2"/>
    <x v="2"/>
    <m/>
    <n v="716402"/>
    <n v="715965.54"/>
    <m/>
    <m/>
    <m/>
    <m/>
    <n v="715965.54"/>
    <n v="716402"/>
    <n v="-436.45999999996275"/>
    <m/>
    <m/>
    <s v="Marzo"/>
    <s v="Güemes"/>
    <n v="2967396.8247000002"/>
    <n v="2452394.0700000003"/>
  </r>
  <r>
    <x v="1"/>
    <x v="2"/>
    <x v="3"/>
    <m/>
    <n v="2000000"/>
    <m/>
    <n v="1211599.0690190082"/>
    <n v="300000"/>
    <m/>
    <m/>
    <n v="2300000"/>
    <n v="2300000"/>
    <n v="0"/>
    <m/>
    <m/>
    <s v="Marzo"/>
    <s v="Recoleta"/>
    <n v="20943355.335899998"/>
    <n v="17308558.128842972"/>
  </r>
  <r>
    <x v="1"/>
    <x v="2"/>
    <x v="4"/>
    <m/>
    <m/>
    <m/>
    <n v="2012472.0661157027"/>
    <m/>
    <m/>
    <n v="2012472"/>
    <n v="2012472"/>
    <n v="2012472.0661157027"/>
    <n v="-6.6115702735260129E-2"/>
    <m/>
    <m/>
    <s v="Marzo"/>
    <s v="San Telmo"/>
    <n v="30438640.000000004"/>
    <n v="25155900.826446284"/>
  </r>
  <r>
    <x v="1"/>
    <x v="2"/>
    <x v="5"/>
    <m/>
    <m/>
    <n v="1070367.2"/>
    <n v="1070367.2733636363"/>
    <m/>
    <m/>
    <m/>
    <n v="1070367.2"/>
    <n v="1070367.2733636363"/>
    <n v="-7.3363636387512088E-2"/>
    <m/>
    <m/>
    <s v="Marzo"/>
    <s v="San Telmo 2"/>
    <n v="12951444.007699998"/>
    <n v="10703672.733636362"/>
  </r>
  <r>
    <x v="1"/>
    <x v="2"/>
    <x v="6"/>
    <m/>
    <m/>
    <m/>
    <n v="1026394.1906801652"/>
    <m/>
    <m/>
    <n v="1026394.29"/>
    <n v="1026394.29"/>
    <n v="1026394.1906801652"/>
    <n v="9.9319834844209254E-2"/>
    <m/>
    <m/>
    <s v="Marzo"/>
    <s v="AS San Telmo"/>
    <n v="13799299.674699999"/>
    <n v="11404379.89644628"/>
  </r>
  <r>
    <x v="1"/>
    <x v="2"/>
    <x v="7"/>
    <m/>
    <n v="1573410"/>
    <m/>
    <m/>
    <n v="157341"/>
    <n v="0"/>
    <m/>
    <n v="1872828.4"/>
    <n v="1730751"/>
    <n v="142077.39999999991"/>
    <m/>
    <m/>
    <s v="Marzo"/>
    <s v="El Solar"/>
    <n v="7961630.0196999982"/>
    <n v="5453171.246369862"/>
  </r>
  <r>
    <x v="1"/>
    <x v="2"/>
    <x v="8"/>
    <m/>
    <n v="511715"/>
    <n v="583226.46"/>
    <n v="582398.63080273976"/>
    <m/>
    <m/>
    <m/>
    <n v="583226.46"/>
    <n v="582398.63080273976"/>
    <n v="827.82919726020191"/>
    <m/>
    <m/>
    <s v="Marzo"/>
    <s v="Güemes 2 (góndola 7)"/>
    <n v="9447800.0108000003"/>
    <n v="6471095.8978082193"/>
  </r>
  <r>
    <x v="1"/>
    <x v="2"/>
    <x v="9"/>
    <m/>
    <n v="294719"/>
    <n v="294630.62"/>
    <m/>
    <m/>
    <m/>
    <m/>
    <n v="294630.62"/>
    <n v="294719"/>
    <n v="-88.380000000004657"/>
    <m/>
    <m/>
    <s v="Marzo"/>
    <s v="AS Güemes (góndola 13)"/>
    <n v="174650.0068"/>
    <n v="144338.84859504132"/>
  </r>
  <r>
    <x v="1"/>
    <x v="3"/>
    <x v="0"/>
    <m/>
    <m/>
    <m/>
    <m/>
    <m/>
    <m/>
    <m/>
    <n v="0"/>
    <n v="0"/>
    <n v="0"/>
    <m/>
    <m/>
    <s v="Abril"/>
    <s v="Florida"/>
    <m/>
    <n v="0"/>
  </r>
  <r>
    <x v="1"/>
    <x v="3"/>
    <x v="1"/>
    <m/>
    <n v="925424"/>
    <n v="923100"/>
    <m/>
    <m/>
    <m/>
    <m/>
    <n v="923100"/>
    <n v="925424"/>
    <n v="-2324"/>
    <m/>
    <m/>
    <s v="Abril"/>
    <s v="French"/>
    <m/>
    <n v="0"/>
  </r>
  <r>
    <x v="1"/>
    <x v="3"/>
    <x v="2"/>
    <m/>
    <n v="716402"/>
    <n v="715965.54"/>
    <m/>
    <m/>
    <m/>
    <m/>
    <n v="715965.54"/>
    <n v="716402"/>
    <n v="-436.45999999996275"/>
    <m/>
    <m/>
    <s v="Abril"/>
    <s v="Güemes"/>
    <m/>
    <n v="0"/>
  </r>
  <r>
    <x v="1"/>
    <x v="3"/>
    <x v="3"/>
    <m/>
    <n v="2188846"/>
    <m/>
    <n v="0"/>
    <n v="328326.89999999997"/>
    <m/>
    <m/>
    <n v="2504086.52"/>
    <n v="2517172.9"/>
    <n v="-13086.379999999888"/>
    <m/>
    <m/>
    <s v="Abril"/>
    <s v="Recoleta"/>
    <m/>
    <n v="0"/>
  </r>
  <r>
    <x v="1"/>
    <x v="3"/>
    <x v="4"/>
    <m/>
    <m/>
    <m/>
    <n v="0"/>
    <m/>
    <m/>
    <n v="2239640.96"/>
    <n v="2239640.96"/>
    <n v="0"/>
    <n v="2239640.96"/>
    <m/>
    <m/>
    <s v="Abril"/>
    <s v="San Telmo"/>
    <m/>
    <n v="0"/>
  </r>
  <r>
    <x v="1"/>
    <x v="3"/>
    <x v="5"/>
    <m/>
    <m/>
    <n v="1230248.2"/>
    <n v="0"/>
    <m/>
    <m/>
    <m/>
    <n v="1230248.2"/>
    <n v="0"/>
    <n v="1230248.2"/>
    <m/>
    <m/>
    <s v="Abril"/>
    <s v="San Telmo 2"/>
    <m/>
    <n v="0"/>
  </r>
  <r>
    <x v="1"/>
    <x v="3"/>
    <x v="6"/>
    <m/>
    <m/>
    <m/>
    <n v="0"/>
    <m/>
    <m/>
    <m/>
    <n v="1089870.3899999999"/>
    <n v="0"/>
    <n v="1089870.3899999999"/>
    <m/>
    <m/>
    <s v="Abril"/>
    <s v="AS San Telmo"/>
    <m/>
    <n v="0"/>
  </r>
  <r>
    <x v="1"/>
    <x v="3"/>
    <x v="7"/>
    <m/>
    <n v="1573410"/>
    <m/>
    <m/>
    <n v="157341"/>
    <n v="0"/>
    <m/>
    <n v="1872828.25"/>
    <n v="1730751"/>
    <n v="142077.25"/>
    <m/>
    <m/>
    <s v="Abril"/>
    <s v="El Solar"/>
    <m/>
    <n v="0"/>
  </r>
  <r>
    <x v="1"/>
    <x v="3"/>
    <x v="8"/>
    <m/>
    <n v="511715"/>
    <n v="583226.4"/>
    <n v="0"/>
    <m/>
    <m/>
    <m/>
    <n v="583226.4"/>
    <n v="511715"/>
    <n v="71511.400000000023"/>
    <m/>
    <m/>
    <s v="Abril"/>
    <s v="Güemes 2 (góndola 7)"/>
    <m/>
    <n v="0"/>
  </r>
  <r>
    <x v="1"/>
    <x v="4"/>
    <x v="0"/>
    <m/>
    <m/>
    <m/>
    <m/>
    <m/>
    <m/>
    <m/>
    <n v="0"/>
    <n v="0"/>
    <n v="0"/>
    <m/>
    <m/>
    <s v="Mayo"/>
    <s v="Florida"/>
    <m/>
    <n v="0"/>
  </r>
  <r>
    <x v="1"/>
    <x v="4"/>
    <x v="1"/>
    <m/>
    <n v="925424"/>
    <m/>
    <m/>
    <m/>
    <m/>
    <m/>
    <n v="0"/>
    <n v="925424"/>
    <n v="-925424"/>
    <m/>
    <m/>
    <s v="Mayo"/>
    <s v="French"/>
    <m/>
    <n v="0"/>
  </r>
  <r>
    <x v="1"/>
    <x v="4"/>
    <x v="2"/>
    <m/>
    <n v="716402"/>
    <m/>
    <m/>
    <m/>
    <m/>
    <m/>
    <n v="0"/>
    <n v="716402"/>
    <n v="-716402"/>
    <m/>
    <m/>
    <s v="Mayo"/>
    <s v="Güemes"/>
    <m/>
    <n v="0"/>
  </r>
  <r>
    <x v="1"/>
    <x v="4"/>
    <x v="3"/>
    <m/>
    <n v="2188846"/>
    <m/>
    <n v="0"/>
    <n v="328326.89999999997"/>
    <m/>
    <m/>
    <n v="0"/>
    <n v="2517172.9"/>
    <n v="-2517172.9"/>
    <m/>
    <m/>
    <s v="Mayo"/>
    <s v="Recoleta"/>
    <m/>
    <n v="0"/>
  </r>
  <r>
    <x v="1"/>
    <x v="4"/>
    <x v="4"/>
    <m/>
    <m/>
    <m/>
    <n v="0"/>
    <m/>
    <m/>
    <m/>
    <n v="0"/>
    <n v="0"/>
    <n v="0"/>
    <m/>
    <m/>
    <s v="Mayo"/>
    <s v="San Telmo"/>
    <m/>
    <n v="0"/>
  </r>
  <r>
    <x v="1"/>
    <x v="4"/>
    <x v="5"/>
    <m/>
    <m/>
    <m/>
    <n v="0"/>
    <m/>
    <m/>
    <m/>
    <n v="0"/>
    <n v="0"/>
    <n v="0"/>
    <m/>
    <m/>
    <s v="Mayo"/>
    <s v="San Telmo 2"/>
    <m/>
    <n v="0"/>
  </r>
  <r>
    <x v="1"/>
    <x v="4"/>
    <x v="6"/>
    <m/>
    <m/>
    <m/>
    <n v="0"/>
    <m/>
    <m/>
    <m/>
    <n v="0"/>
    <n v="0"/>
    <n v="0"/>
    <m/>
    <m/>
    <s v="Mayo"/>
    <s v="AS San Telmo"/>
    <m/>
    <n v="0"/>
  </r>
  <r>
    <x v="1"/>
    <x v="4"/>
    <x v="7"/>
    <m/>
    <m/>
    <m/>
    <m/>
    <n v="0"/>
    <n v="0"/>
    <m/>
    <n v="0"/>
    <n v="0"/>
    <n v="0"/>
    <m/>
    <m/>
    <s v="Mayo"/>
    <s v="El Solar"/>
    <m/>
    <n v="0"/>
  </r>
  <r>
    <x v="1"/>
    <x v="4"/>
    <x v="8"/>
    <m/>
    <n v="511715"/>
    <n v="536812.9"/>
    <n v="0"/>
    <m/>
    <m/>
    <m/>
    <n v="536812.9"/>
    <n v="511715"/>
    <n v="25097.900000000023"/>
    <m/>
    <m/>
    <s v="Mayo"/>
    <s v="Güemes 2 (góndola 7)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3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E15" firstHeaderRow="1" firstDataRow="2" firstDataCol="1" rowPageCount="1" colPageCount="1"/>
  <pivotFields count="19">
    <pivotField axis="axisPage" showAll="0">
      <items count="3">
        <item x="0"/>
        <item x="1"/>
        <item t="default"/>
      </items>
    </pivotField>
    <pivotField axis="axisCol" showAll="0">
      <items count="13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axis="axisRow" showAll="0">
      <items count="11">
        <item x="9"/>
        <item x="6"/>
        <item x="7"/>
        <item x="0"/>
        <item x="1"/>
        <item x="2"/>
        <item x="8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item="1" hier="-1"/>
  </pageFields>
  <dataFields count="1">
    <dataField name="Suma de DIFERENCIA" fld="12" baseField="2" baseItem="0" numFmtId="164"/>
  </dataFields>
  <formats count="3">
    <format dxfId="0">
      <pivotArea outline="0" collapsedLevelsAreSubtotals="1" fieldPosition="0"/>
    </format>
    <format dxfId="1">
      <pivotArea outline="0" collapsedLevelsAreSubtotals="1" fieldPosition="0"/>
    </format>
    <format dxfId="2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3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3:T15" firstHeaderRow="1" firstDataRow="2" firstDataCol="1" rowPageCount="1" colPageCount="1"/>
  <pivotFields count="19">
    <pivotField axis="axisPage" showAll="0">
      <items count="3">
        <item x="0"/>
        <item x="1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1">
        <item x="9"/>
        <item x="6"/>
        <item x="7"/>
        <item x="0"/>
        <item x="1"/>
        <item x="2"/>
        <item x="8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0" item="0" hier="-1"/>
  </pageFields>
  <dataFields count="1">
    <dataField name="Suma de DIFERENCIA" fld="12" baseField="2" baseItem="0" numFmtId="164"/>
  </dataFields>
  <formats count="3">
    <format dxfId="3">
      <pivotArea outline="0" collapsedLevelsAreSubtotals="1" fieldPosition="0"/>
    </format>
    <format dxfId="4">
      <pivotArea outline="0" collapsedLevelsAreSubtotals="1" fieldPosition="0"/>
    </format>
    <format dxfId="5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>
      <selection activeCell="O7" sqref="O7"/>
    </sheetView>
  </sheetViews>
  <sheetFormatPr baseColWidth="10" defaultRowHeight="14.5" x14ac:dyDescent="0.35"/>
  <cols>
    <col min="1" max="2" width="21.26953125" customWidth="1"/>
    <col min="3" max="4" width="10.08984375" customWidth="1"/>
    <col min="5" max="5" width="11.7265625" customWidth="1"/>
    <col min="6" max="6" width="12.453125" customWidth="1"/>
    <col min="7" max="8" width="21.26953125" customWidth="1"/>
    <col min="9" max="9" width="7.36328125" bestFit="1" customWidth="1"/>
    <col min="10" max="15" width="9.08984375" bestFit="1" customWidth="1"/>
    <col min="16" max="16" width="10.453125" bestFit="1" customWidth="1"/>
    <col min="17" max="17" width="9.08984375" bestFit="1" customWidth="1"/>
    <col min="18" max="18" width="10.08984375" bestFit="1" customWidth="1"/>
    <col min="19" max="19" width="9.26953125" bestFit="1" customWidth="1"/>
    <col min="20" max="20" width="11.7265625" bestFit="1" customWidth="1"/>
  </cols>
  <sheetData>
    <row r="1" spans="1:20" x14ac:dyDescent="0.35">
      <c r="A1" t="s">
        <v>0</v>
      </c>
      <c r="B1" s="1">
        <v>2026</v>
      </c>
      <c r="G1" t="s">
        <v>0</v>
      </c>
      <c r="H1" s="1">
        <v>2025</v>
      </c>
    </row>
    <row r="3" spans="1:20" x14ac:dyDescent="0.35">
      <c r="A3" t="s">
        <v>1</v>
      </c>
      <c r="B3" t="s">
        <v>2</v>
      </c>
      <c r="G3" t="s">
        <v>1</v>
      </c>
      <c r="H3" t="s">
        <v>2</v>
      </c>
    </row>
    <row r="4" spans="1:20" x14ac:dyDescent="0.35">
      <c r="A4" t="s">
        <v>3</v>
      </c>
      <c r="B4" t="s">
        <v>4</v>
      </c>
      <c r="C4" t="s">
        <v>5</v>
      </c>
      <c r="D4" t="s">
        <v>6</v>
      </c>
      <c r="E4" t="s">
        <v>7</v>
      </c>
      <c r="G4" t="s">
        <v>3</v>
      </c>
      <c r="H4" t="s">
        <v>4</v>
      </c>
      <c r="I4" t="s">
        <v>5</v>
      </c>
      <c r="J4" t="s">
        <v>6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7</v>
      </c>
    </row>
    <row r="5" spans="1:20" x14ac:dyDescent="0.35">
      <c r="A5" s="1" t="s">
        <v>17</v>
      </c>
      <c r="B5" s="2">
        <v>-27019</v>
      </c>
      <c r="C5" s="2">
        <v>-88.380000000004657</v>
      </c>
      <c r="D5" s="2">
        <v>-88.380000000004657</v>
      </c>
      <c r="E5" s="2">
        <v>-27195.760000000009</v>
      </c>
      <c r="G5" s="1" t="s">
        <v>17</v>
      </c>
      <c r="H5" s="2"/>
      <c r="I5" s="2"/>
      <c r="J5" s="2"/>
      <c r="K5" s="2"/>
      <c r="L5" s="2"/>
      <c r="M5" s="2"/>
      <c r="N5" s="2"/>
      <c r="O5" s="2"/>
      <c r="P5" s="2"/>
      <c r="Q5" s="2"/>
      <c r="R5" s="2">
        <v>7</v>
      </c>
      <c r="S5" s="2">
        <v>7</v>
      </c>
      <c r="T5" s="2">
        <v>14</v>
      </c>
    </row>
    <row r="6" spans="1:20" x14ac:dyDescent="0.35">
      <c r="A6" s="1" t="s">
        <v>18</v>
      </c>
      <c r="B6" s="2">
        <v>0.13636363646946847</v>
      </c>
      <c r="C6" s="2">
        <v>9.8925619851797819E-2</v>
      </c>
      <c r="D6" s="2">
        <v>9.9319834844209254E-2</v>
      </c>
      <c r="E6" s="2">
        <v>0.33460909116547555</v>
      </c>
      <c r="G6" s="1" t="s">
        <v>18</v>
      </c>
      <c r="H6" s="2">
        <v>-1.570247933967039</v>
      </c>
      <c r="I6" s="2">
        <v>0</v>
      </c>
      <c r="J6" s="2">
        <v>2230.7851239668671</v>
      </c>
      <c r="K6" s="2">
        <v>-0.3471074381377548</v>
      </c>
      <c r="L6" s="2">
        <v>1.3471074381377548</v>
      </c>
      <c r="M6" s="2">
        <v>-33.611570247914642</v>
      </c>
      <c r="N6" s="2">
        <v>-1.0165289256256074</v>
      </c>
      <c r="O6" s="2">
        <v>-1.1239669423084706</v>
      </c>
      <c r="P6" s="2">
        <v>-5.2809917367994785E-2</v>
      </c>
      <c r="Q6" s="2">
        <v>-16.321239669458009</v>
      </c>
      <c r="R6" s="2">
        <v>-7.7355371788144112E-2</v>
      </c>
      <c r="S6" s="2">
        <v>-3.3166115870699286E-2</v>
      </c>
      <c r="T6" s="2">
        <v>2177.9782388425665</v>
      </c>
    </row>
    <row r="7" spans="1:20" x14ac:dyDescent="0.35">
      <c r="A7" s="1" t="s">
        <v>19</v>
      </c>
      <c r="B7" s="2">
        <v>-15409.130000000121</v>
      </c>
      <c r="C7" s="2">
        <v>-15409.130000000121</v>
      </c>
      <c r="D7" s="2">
        <v>142077.39999999991</v>
      </c>
      <c r="E7" s="2">
        <v>111259.13999999966</v>
      </c>
      <c r="G7" s="1" t="s">
        <v>19</v>
      </c>
      <c r="H7" s="2"/>
      <c r="I7" s="2"/>
      <c r="J7" s="2"/>
      <c r="K7" s="2"/>
      <c r="L7" s="2"/>
      <c r="M7" s="2"/>
      <c r="N7" s="2"/>
      <c r="O7" s="2"/>
      <c r="P7" s="2"/>
      <c r="Q7" s="2"/>
      <c r="R7" s="2">
        <v>-7062.25</v>
      </c>
      <c r="S7" s="2">
        <v>-7062.25</v>
      </c>
      <c r="T7" s="2">
        <v>-14124.5</v>
      </c>
    </row>
    <row r="8" spans="1:20" x14ac:dyDescent="0.35">
      <c r="A8" s="1" t="s">
        <v>20</v>
      </c>
      <c r="B8" s="2">
        <v>100000</v>
      </c>
      <c r="C8" s="2">
        <v>-100000</v>
      </c>
      <c r="D8" s="2">
        <v>-75000</v>
      </c>
      <c r="E8" s="2">
        <v>-75000</v>
      </c>
      <c r="G8" s="1" t="s">
        <v>20</v>
      </c>
      <c r="H8" s="2"/>
      <c r="I8" s="2"/>
      <c r="J8" s="2"/>
      <c r="K8" s="2"/>
      <c r="L8" s="2"/>
      <c r="M8" s="2"/>
      <c r="N8" s="2"/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</row>
    <row r="9" spans="1:20" x14ac:dyDescent="0.35">
      <c r="A9" s="1" t="s">
        <v>21</v>
      </c>
      <c r="B9" s="2">
        <v>0</v>
      </c>
      <c r="C9" s="2">
        <v>0</v>
      </c>
      <c r="D9" s="2">
        <v>-2324</v>
      </c>
      <c r="E9" s="2">
        <v>-2324</v>
      </c>
      <c r="G9" s="1" t="s">
        <v>21</v>
      </c>
      <c r="H9" s="2">
        <v>0</v>
      </c>
      <c r="I9" s="2">
        <v>0</v>
      </c>
      <c r="J9" s="2">
        <v>-2327</v>
      </c>
      <c r="K9" s="2">
        <v>-2327</v>
      </c>
      <c r="L9" s="2">
        <v>-2327</v>
      </c>
      <c r="M9" s="2">
        <v>4141</v>
      </c>
      <c r="N9" s="2">
        <v>4141</v>
      </c>
      <c r="O9" s="2">
        <v>4141</v>
      </c>
      <c r="P9" s="2">
        <v>3514</v>
      </c>
      <c r="Q9" s="2">
        <v>3514</v>
      </c>
      <c r="R9" s="2">
        <v>3514</v>
      </c>
      <c r="S9" s="2">
        <v>0</v>
      </c>
      <c r="T9" s="2">
        <v>15984</v>
      </c>
    </row>
    <row r="10" spans="1:20" x14ac:dyDescent="0.35">
      <c r="A10" s="1" t="s">
        <v>22</v>
      </c>
      <c r="B10" s="2">
        <v>-132.79000000003725</v>
      </c>
      <c r="C10" s="2">
        <v>-436.45999999996275</v>
      </c>
      <c r="D10" s="2">
        <v>-436.45999999996275</v>
      </c>
      <c r="E10" s="2">
        <v>-1005.7099999999627</v>
      </c>
      <c r="G10" s="1" t="s">
        <v>22</v>
      </c>
      <c r="H10" s="2">
        <v>0</v>
      </c>
      <c r="I10" s="2">
        <v>-179</v>
      </c>
      <c r="J10" s="2">
        <v>-179</v>
      </c>
      <c r="K10" s="2">
        <v>-179</v>
      </c>
      <c r="L10" s="2">
        <v>-179</v>
      </c>
      <c r="M10" s="2">
        <v>-268.90000000002328</v>
      </c>
      <c r="N10" s="2">
        <v>-268.90000000002328</v>
      </c>
      <c r="O10" s="2">
        <v>-268.90000000002328</v>
      </c>
      <c r="P10" s="2">
        <v>-268.90000000002328</v>
      </c>
      <c r="Q10" s="2">
        <v>-133</v>
      </c>
      <c r="R10" s="2">
        <v>-132.79000000003725</v>
      </c>
      <c r="S10" s="2">
        <v>-132.79000000003725</v>
      </c>
      <c r="T10" s="2">
        <v>-2190.1800000001676</v>
      </c>
    </row>
    <row r="11" spans="1:20" x14ac:dyDescent="0.35">
      <c r="A11" s="1" t="s">
        <v>23</v>
      </c>
      <c r="B11" s="2">
        <v>-215151.21917808219</v>
      </c>
      <c r="C11" s="2">
        <v>-311.03999999997905</v>
      </c>
      <c r="D11" s="2">
        <v>827.82919726020191</v>
      </c>
      <c r="E11" s="2">
        <v>-214634.42998082197</v>
      </c>
      <c r="G11" s="1" t="s">
        <v>23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>
        <v>-94</v>
      </c>
      <c r="S11" s="2">
        <v>-94</v>
      </c>
      <c r="T11" s="2">
        <v>-188</v>
      </c>
    </row>
    <row r="12" spans="1:20" x14ac:dyDescent="0.35">
      <c r="A12" s="1" t="s">
        <v>24</v>
      </c>
      <c r="B12" s="2">
        <v>150114.77611570247</v>
      </c>
      <c r="C12" s="2">
        <v>0</v>
      </c>
      <c r="D12" s="2">
        <v>0</v>
      </c>
      <c r="E12" s="2">
        <v>150114.77611570247</v>
      </c>
      <c r="G12" s="1" t="s">
        <v>24</v>
      </c>
      <c r="H12" s="2">
        <v>221141.74917355366</v>
      </c>
      <c r="I12" s="2">
        <v>-1.9929752068128437</v>
      </c>
      <c r="J12" s="2">
        <v>25740.100000000093</v>
      </c>
      <c r="K12" s="2">
        <v>83772.666115702363</v>
      </c>
      <c r="L12" s="2">
        <v>15957</v>
      </c>
      <c r="M12" s="2">
        <v>15957</v>
      </c>
      <c r="N12" s="2">
        <v>43367.899999999907</v>
      </c>
      <c r="O12" s="2">
        <v>43367.899999999907</v>
      </c>
      <c r="P12" s="2">
        <v>-6.5867770463228226E-3</v>
      </c>
      <c r="Q12" s="2">
        <v>49565.558516529156</v>
      </c>
      <c r="R12" s="2">
        <v>137645.21486776881</v>
      </c>
      <c r="S12" s="2">
        <v>-8.0004194751381874E-4</v>
      </c>
      <c r="T12" s="2">
        <v>636513.08831152809</v>
      </c>
    </row>
    <row r="13" spans="1:20" x14ac:dyDescent="0.35">
      <c r="A13" s="1" t="s">
        <v>25</v>
      </c>
      <c r="B13" s="2">
        <v>-9.8512396682053804E-2</v>
      </c>
      <c r="C13" s="2">
        <v>-6.7438016645610332E-2</v>
      </c>
      <c r="D13" s="2">
        <v>-6.6115702735260129E-2</v>
      </c>
      <c r="E13" s="2">
        <v>-0.23206611606292427</v>
      </c>
      <c r="G13" s="1" t="s">
        <v>25</v>
      </c>
      <c r="H13" s="2">
        <v>-0.68595041334629059</v>
      </c>
      <c r="I13" s="2">
        <v>-0.34710743837058544</v>
      </c>
      <c r="J13" s="2">
        <v>-0.3884297520853579</v>
      </c>
      <c r="K13" s="2">
        <v>-0.23966942168772221</v>
      </c>
      <c r="L13" s="2">
        <v>14215.47933884291</v>
      </c>
      <c r="M13" s="2">
        <v>-6.6611570247914642</v>
      </c>
      <c r="N13" s="2">
        <v>-6.9256198348011822</v>
      </c>
      <c r="O13" s="2">
        <v>-0.45454545482061803</v>
      </c>
      <c r="P13" s="2">
        <v>-64.037024793680757</v>
      </c>
      <c r="Q13" s="2">
        <v>-0.27272727293893695</v>
      </c>
      <c r="R13" s="2">
        <v>-7.074380200356245E-2</v>
      </c>
      <c r="S13" s="2">
        <v>-6.2876033131033182E-2</v>
      </c>
      <c r="T13" s="2">
        <v>14135.333487601252</v>
      </c>
    </row>
    <row r="14" spans="1:20" x14ac:dyDescent="0.35">
      <c r="A14" s="1" t="s">
        <v>26</v>
      </c>
      <c r="B14" s="2">
        <v>-6.6115702502429485E-2</v>
      </c>
      <c r="C14" s="2">
        <v>-4.2975206626579165E-2</v>
      </c>
      <c r="D14" s="2">
        <v>-7.3363636387512088E-2</v>
      </c>
      <c r="E14" s="2">
        <v>-0.18245454551652074</v>
      </c>
      <c r="G14" s="1" t="s">
        <v>26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15619</v>
      </c>
      <c r="O14" s="2">
        <v>0</v>
      </c>
      <c r="P14" s="2">
        <v>-4.4628099305555224E-2</v>
      </c>
      <c r="Q14" s="2">
        <v>-0.71983471093699336</v>
      </c>
      <c r="R14" s="2">
        <v>-3.3057851251214743E-3</v>
      </c>
      <c r="S14" s="2">
        <v>-6.2867769040167332E-2</v>
      </c>
      <c r="T14" s="2">
        <v>15618.169363635592</v>
      </c>
    </row>
    <row r="15" spans="1:20" x14ac:dyDescent="0.35">
      <c r="A15" s="1" t="s">
        <v>7</v>
      </c>
      <c r="B15" s="2">
        <v>-7597.3913268425968</v>
      </c>
      <c r="C15" s="2">
        <v>-116245.02148760349</v>
      </c>
      <c r="D15" s="2">
        <v>65056.349037755863</v>
      </c>
      <c r="E15" s="2">
        <v>-58786.063776690222</v>
      </c>
      <c r="G15" s="1" t="s">
        <v>7</v>
      </c>
      <c r="H15" s="2">
        <v>221139.49297520635</v>
      </c>
      <c r="I15" s="2">
        <v>-181.34008264518343</v>
      </c>
      <c r="J15" s="2">
        <v>25464.496694214875</v>
      </c>
      <c r="K15" s="2">
        <v>81266.079338842537</v>
      </c>
      <c r="L15" s="2">
        <v>27667.826446281048</v>
      </c>
      <c r="M15" s="2">
        <v>19788.827272727271</v>
      </c>
      <c r="N15" s="2">
        <v>62851.057851239457</v>
      </c>
      <c r="O15" s="2">
        <v>47238.421487602754</v>
      </c>
      <c r="P15" s="2">
        <v>3180.9589504125761</v>
      </c>
      <c r="Q15" s="2">
        <v>52929.244714875822</v>
      </c>
      <c r="R15" s="2">
        <v>133877.02346280986</v>
      </c>
      <c r="S15" s="2">
        <v>-7282.1997099600267</v>
      </c>
      <c r="T15" s="2">
        <v>667939.88940160733</v>
      </c>
    </row>
  </sheetData>
  <conditionalFormatting pivot="1" sqref="B5:E15">
    <cfRule type="cellIs" dxfId="7" priority="2" operator="greaterThan">
      <formula>10</formula>
    </cfRule>
  </conditionalFormatting>
  <conditionalFormatting pivot="1" sqref="H5:T15">
    <cfRule type="cellIs" dxfId="6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2026-04-16T14:26:21Z</dcterms:created>
  <dcterms:modified xsi:type="dcterms:W3CDTF">2026-04-16T15:25:36Z</dcterms:modified>
</cp:coreProperties>
</file>