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Cupones Tarjetas\"/>
    </mc:Choice>
  </mc:AlternateContent>
  <bookViews>
    <workbookView xWindow="0" yWindow="0" windowWidth="19200" windowHeight="6310" activeTab="1"/>
  </bookViews>
  <sheets>
    <sheet name="2026-01" sheetId="1" r:id="rId1"/>
    <sheet name="2026-02" sheetId="2" r:id="rId2"/>
    <sheet name="2026-03" sheetId="4" state="hidden" r:id="rId3"/>
    <sheet name="Hoja2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6" i="2" l="1"/>
  <c r="V26" i="2"/>
  <c r="P26" i="2"/>
  <c r="L26" i="2"/>
  <c r="F26" i="2"/>
  <c r="E7" i="2" l="1"/>
  <c r="V7" i="2"/>
  <c r="T7" i="2"/>
  <c r="S7" i="2"/>
  <c r="R7" i="2"/>
  <c r="P7" i="2"/>
  <c r="O7" i="2"/>
  <c r="N7" i="2"/>
  <c r="L7" i="2"/>
  <c r="K7" i="2"/>
  <c r="J7" i="2"/>
  <c r="I7" i="2"/>
  <c r="H7" i="2"/>
  <c r="F7" i="2"/>
  <c r="D7" i="2"/>
  <c r="B7" i="2"/>
  <c r="C11" i="3"/>
  <c r="M10" i="3"/>
  <c r="L10" i="3"/>
  <c r="K10" i="3"/>
  <c r="J10" i="3"/>
  <c r="I10" i="3"/>
  <c r="H10" i="3"/>
  <c r="G10" i="3"/>
  <c r="F10" i="3"/>
  <c r="E10" i="3"/>
  <c r="D10" i="3"/>
  <c r="M5" i="3"/>
  <c r="L5" i="3"/>
  <c r="K5" i="3"/>
  <c r="J5" i="3"/>
  <c r="I5" i="3"/>
  <c r="H5" i="3"/>
  <c r="G5" i="3"/>
  <c r="F5" i="3"/>
  <c r="E5" i="3"/>
  <c r="D5" i="3"/>
  <c r="C5" i="3"/>
  <c r="T28" i="4"/>
  <c r="H28" i="4"/>
  <c r="D28" i="4"/>
  <c r="V26" i="4"/>
  <c r="V28" i="4" s="1"/>
  <c r="U26" i="4"/>
  <c r="T26" i="4"/>
  <c r="S26" i="4"/>
  <c r="R26" i="4"/>
  <c r="R28" i="4" s="1"/>
  <c r="Q26" i="4"/>
  <c r="P26" i="4"/>
  <c r="P28" i="4" s="1"/>
  <c r="N26" i="4"/>
  <c r="O26" i="4" s="1"/>
  <c r="M26" i="4"/>
  <c r="L26" i="4"/>
  <c r="L28" i="4" s="1"/>
  <c r="K26" i="4"/>
  <c r="J26" i="4"/>
  <c r="J28" i="4" s="1"/>
  <c r="I26" i="4"/>
  <c r="H26" i="4"/>
  <c r="F26" i="4"/>
  <c r="F28" i="4" s="1"/>
  <c r="E26" i="4"/>
  <c r="D26" i="4"/>
  <c r="C26" i="4"/>
  <c r="B26" i="4"/>
  <c r="B28" i="4" s="1"/>
  <c r="T28" i="2"/>
  <c r="T30" i="2" s="1"/>
  <c r="R28" i="2"/>
  <c r="R30" i="2" s="1"/>
  <c r="P28" i="2"/>
  <c r="P30" i="2" s="1"/>
  <c r="N28" i="2"/>
  <c r="N30" i="2" s="1"/>
  <c r="L28" i="2"/>
  <c r="L30" i="2" s="1"/>
  <c r="J28" i="2"/>
  <c r="J30" i="2" s="1"/>
  <c r="H28" i="2"/>
  <c r="H30" i="2" s="1"/>
  <c r="D28" i="2"/>
  <c r="D30" i="2" s="1"/>
  <c r="B28" i="2"/>
  <c r="B30" i="2" s="1"/>
  <c r="V28" i="2"/>
  <c r="F28" i="2"/>
  <c r="V26" i="1"/>
  <c r="T26" i="1"/>
  <c r="T28" i="1" s="1"/>
  <c r="R26" i="1"/>
  <c r="P26" i="1"/>
  <c r="N26" i="1"/>
  <c r="N28" i="1" s="1"/>
  <c r="L26" i="1"/>
  <c r="J26" i="1"/>
  <c r="H26" i="1"/>
  <c r="H28" i="1" s="1"/>
  <c r="F26" i="1"/>
  <c r="F28" i="1" s="1"/>
  <c r="D26" i="1"/>
  <c r="V28" i="1"/>
  <c r="R28" i="1"/>
  <c r="P28" i="1"/>
  <c r="L28" i="1"/>
  <c r="J28" i="1"/>
  <c r="D28" i="1"/>
  <c r="B26" i="1"/>
  <c r="S7" i="1"/>
  <c r="Q7" i="1"/>
  <c r="O7" i="1"/>
  <c r="K7" i="1"/>
  <c r="I7" i="1"/>
  <c r="E7" i="1"/>
  <c r="R7" i="1"/>
  <c r="P7" i="1"/>
  <c r="N7" i="1"/>
  <c r="J7" i="1"/>
  <c r="H7" i="1"/>
  <c r="V8" i="1"/>
  <c r="V7" i="1" s="1"/>
  <c r="T8" i="1"/>
  <c r="T7" i="1" s="1"/>
  <c r="L8" i="1"/>
  <c r="L7" i="1" s="1"/>
  <c r="F8" i="1"/>
  <c r="F7" i="1" s="1"/>
  <c r="D8" i="1"/>
  <c r="D7" i="1" s="1"/>
  <c r="B8" i="1"/>
  <c r="B7" i="1" s="1"/>
  <c r="N28" i="4" l="1"/>
  <c r="G26" i="4"/>
  <c r="W26" i="4"/>
  <c r="O28" i="2"/>
  <c r="C28" i="2"/>
  <c r="I28" i="2"/>
  <c r="Q28" i="2"/>
  <c r="S28" i="2"/>
  <c r="K28" i="2"/>
  <c r="F30" i="2"/>
  <c r="G28" i="2"/>
  <c r="V30" i="2"/>
  <c r="W28" i="2"/>
  <c r="E28" i="2"/>
  <c r="M28" i="2"/>
  <c r="U28" i="2"/>
  <c r="V24" i="1"/>
  <c r="T24" i="1"/>
  <c r="F24" i="1"/>
  <c r="L24" i="1"/>
  <c r="C26" i="1" l="1"/>
  <c r="B28" i="1" l="1"/>
  <c r="O26" i="1" l="1"/>
  <c r="Q26" i="1"/>
  <c r="E26" i="1"/>
  <c r="I26" i="1"/>
  <c r="G26" i="1"/>
  <c r="S26" i="1"/>
  <c r="K26" i="1"/>
  <c r="U26" i="1"/>
  <c r="M26" i="1"/>
  <c r="W26" i="1"/>
  <c r="C10" i="3" l="1"/>
</calcChain>
</file>

<file path=xl/sharedStrings.xml><?xml version="1.0" encoding="utf-8"?>
<sst xmlns="http://schemas.openxmlformats.org/spreadsheetml/2006/main" count="652" uniqueCount="51">
  <si>
    <t>Total</t>
  </si>
  <si>
    <t>AS Güemes</t>
  </si>
  <si>
    <t>AS San Telmo</t>
  </si>
  <si>
    <t>ENERO 2026</t>
  </si>
  <si>
    <t>Monto</t>
  </si>
  <si>
    <t>Cantidad</t>
  </si>
  <si>
    <t>El Solar</t>
  </si>
  <si>
    <t>Florida</t>
  </si>
  <si>
    <t>French</t>
  </si>
  <si>
    <t>Güemes 2</t>
  </si>
  <si>
    <t>Recoleta</t>
  </si>
  <si>
    <t>San Telmo 1</t>
  </si>
  <si>
    <t>San Telmo 2</t>
  </si>
  <si>
    <t>Güemes 1</t>
  </si>
  <si>
    <t>Efectivo</t>
  </si>
  <si>
    <t>Débito</t>
  </si>
  <si>
    <t>Crédito</t>
  </si>
  <si>
    <t>% sobre facturación</t>
  </si>
  <si>
    <t>3 cuotas</t>
  </si>
  <si>
    <t>6 cuotas</t>
  </si>
  <si>
    <t>1 cuota</t>
  </si>
  <si>
    <t>Costo total</t>
  </si>
  <si>
    <t>Ventas Netas</t>
  </si>
  <si>
    <t>% sobre facturación en esa cant de cuotas</t>
  </si>
  <si>
    <t>Costo Mercado pago</t>
  </si>
  <si>
    <t>% sobre facturación con MP</t>
  </si>
  <si>
    <t>Comisión</t>
  </si>
  <si>
    <t>1 cuotas</t>
  </si>
  <si>
    <t>Crédito (TC)</t>
  </si>
  <si>
    <t>Débito (TD)</t>
  </si>
  <si>
    <t>Mercado pago (MP)</t>
  </si>
  <si>
    <t xml:space="preserve">Costo Financiero + Tasa (TC) </t>
  </si>
  <si>
    <t>Distribución de ventas por Método de Pago</t>
  </si>
  <si>
    <t>Distribución de ventas según cuotas con TC</t>
  </si>
  <si>
    <t>FEBRERO 2026</t>
  </si>
  <si>
    <t>CRÉDITO</t>
  </si>
  <si>
    <t>DÉBITO</t>
  </si>
  <si>
    <t>Güemes</t>
  </si>
  <si>
    <t>San Telmo</t>
  </si>
  <si>
    <t>AÑO-MES</t>
  </si>
  <si>
    <t>2026-01</t>
  </si>
  <si>
    <t>2026-02</t>
  </si>
  <si>
    <t>TARJETA</t>
  </si>
  <si>
    <t>VENTAS</t>
  </si>
  <si>
    <t>MP</t>
  </si>
  <si>
    <t>EFECTIVO</t>
  </si>
  <si>
    <t>TOTAL</t>
  </si>
  <si>
    <t>sin datos</t>
  </si>
  <si>
    <t>Ventas Brutas 
(Odoo)</t>
  </si>
  <si>
    <t>MARZO 2026</t>
  </si>
  <si>
    <t>2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</si>
</sst>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1115"/>
      <name val="Arial"/>
      <family val="2"/>
    </font>
    <font>
      <sz val="11"/>
      <color rgb="FF0F1115"/>
      <name val="Arial"/>
      <family val="2"/>
    </font>
    <font>
      <i/>
      <sz val="11"/>
      <color rgb="FF0F1115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  <font>
      <i/>
      <sz val="11"/>
      <color rgb="FF0F111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ont="1"/>
    <xf numFmtId="49" fontId="5" fillId="0" borderId="0" xfId="0" applyNumberFormat="1" applyFont="1"/>
    <xf numFmtId="0" fontId="0" fillId="0" borderId="0" xfId="0" applyFont="1" applyFill="1"/>
    <xf numFmtId="0" fontId="3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left" vertical="center" wrapText="1" indent="1"/>
    </xf>
    <xf numFmtId="9" fontId="3" fillId="0" borderId="0" xfId="0" applyNumberFormat="1" applyFont="1" applyFill="1" applyAlignment="1">
      <alignment horizontal="left" vertical="center" wrapText="1" indent="1"/>
    </xf>
    <xf numFmtId="0" fontId="0" fillId="0" borderId="0" xfId="0" applyFont="1" applyAlignment="1">
      <alignment horizontal="center"/>
    </xf>
    <xf numFmtId="164" fontId="0" fillId="0" borderId="1" xfId="1" applyNumberFormat="1" applyFont="1" applyBorder="1"/>
    <xf numFmtId="0" fontId="2" fillId="2" borderId="0" xfId="0" applyFont="1" applyFill="1" applyAlignment="1">
      <alignment horizontal="left" vertical="center" wrapText="1" indent="1"/>
    </xf>
    <xf numFmtId="0" fontId="0" fillId="2" borderId="2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Font="1" applyBorder="1"/>
    <xf numFmtId="165" fontId="0" fillId="0" borderId="0" xfId="2" applyNumberFormat="1" applyFont="1"/>
    <xf numFmtId="0" fontId="0" fillId="2" borderId="2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164" fontId="0" fillId="0" borderId="0" xfId="1" applyNumberFormat="1" applyFont="1"/>
    <xf numFmtId="0" fontId="9" fillId="0" borderId="0" xfId="0" applyFont="1" applyFill="1" applyAlignment="1">
      <alignment horizontal="left" vertical="center" wrapText="1" indent="1"/>
    </xf>
    <xf numFmtId="164" fontId="8" fillId="0" borderId="0" xfId="0" applyNumberFormat="1" applyFont="1" applyFill="1" applyAlignment="1">
      <alignment horizontal="left" vertical="center" wrapText="1" indent="1"/>
    </xf>
    <xf numFmtId="164" fontId="0" fillId="0" borderId="0" xfId="0" applyNumberFormat="1"/>
    <xf numFmtId="0" fontId="7" fillId="0" borderId="0" xfId="0" applyFont="1" applyAlignment="1">
      <alignment horizontal="right"/>
    </xf>
    <xf numFmtId="9" fontId="2" fillId="0" borderId="0" xfId="0" applyNumberFormat="1" applyFont="1" applyFill="1" applyAlignment="1">
      <alignment horizontal="left" vertical="center" wrapText="1" indent="1"/>
    </xf>
    <xf numFmtId="164" fontId="0" fillId="0" borderId="0" xfId="0" applyNumberFormat="1" applyFont="1"/>
    <xf numFmtId="10" fontId="0" fillId="0" borderId="0" xfId="2" applyNumberFormat="1" applyFont="1" applyFill="1"/>
    <xf numFmtId="164" fontId="0" fillId="0" borderId="0" xfId="1" applyNumberFormat="1" applyFont="1" applyFill="1"/>
    <xf numFmtId="164" fontId="0" fillId="0" borderId="0" xfId="0" applyNumberFormat="1" applyFill="1"/>
    <xf numFmtId="164" fontId="0" fillId="0" borderId="0" xfId="0" applyNumberFormat="1" applyFont="1" applyFill="1"/>
    <xf numFmtId="3" fontId="0" fillId="0" borderId="0" xfId="0" applyNumberFormat="1"/>
    <xf numFmtId="44" fontId="0" fillId="0" borderId="0" xfId="1" applyFont="1" applyAlignment="1">
      <alignment wrapText="1"/>
    </xf>
    <xf numFmtId="0" fontId="0" fillId="0" borderId="0" xfId="0" applyAlignment="1">
      <alignment horizontal="right"/>
    </xf>
    <xf numFmtId="164" fontId="7" fillId="0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2" borderId="2" xfId="0" applyFont="1" applyFill="1" applyBorder="1" applyAlignment="1">
      <alignment horizontal="left" vertical="center" wrapText="1" indent="1"/>
    </xf>
    <xf numFmtId="0" fontId="0" fillId="0" borderId="0" xfId="0" applyNumberFormat="1"/>
    <xf numFmtId="0" fontId="0" fillId="0" borderId="0" xfId="2" applyNumberFormat="1" applyFont="1"/>
    <xf numFmtId="165" fontId="7" fillId="0" borderId="0" xfId="2" applyNumberFormat="1" applyFont="1"/>
    <xf numFmtId="0" fontId="6" fillId="3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zoomScale="80" zoomScaleNormal="8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10" defaultRowHeight="14.5" x14ac:dyDescent="0.35"/>
  <cols>
    <col min="1" max="1" width="22.81640625" style="1" customWidth="1"/>
    <col min="2" max="2" width="16.26953125" style="1" bestFit="1" customWidth="1"/>
    <col min="3" max="3" width="16.36328125" style="1" customWidth="1"/>
    <col min="4" max="4" width="13" style="1" bestFit="1" customWidth="1"/>
    <col min="5" max="5" width="11.90625" style="1" bestFit="1" customWidth="1"/>
    <col min="6" max="6" width="13" style="1" bestFit="1" customWidth="1"/>
    <col min="7" max="7" width="11.90625" style="1" bestFit="1" customWidth="1"/>
    <col min="8" max="8" width="13" style="1" bestFit="1" customWidth="1"/>
    <col min="9" max="9" width="12.6328125" style="1" customWidth="1"/>
    <col min="10" max="10" width="14.453125" style="1" bestFit="1" customWidth="1"/>
    <col min="11" max="11" width="10.90625" style="1"/>
    <col min="12" max="12" width="13" style="1" bestFit="1" customWidth="1"/>
    <col min="13" max="13" width="10.90625" style="1"/>
    <col min="14" max="14" width="11.90625" style="1" bestFit="1" customWidth="1"/>
    <col min="15" max="15" width="10.90625" style="1"/>
    <col min="16" max="16" width="13" style="1" bestFit="1" customWidth="1"/>
    <col min="17" max="17" width="10.90625" style="1"/>
    <col min="18" max="18" width="13" style="1" bestFit="1" customWidth="1"/>
    <col min="19" max="19" width="10.90625" style="1"/>
    <col min="20" max="20" width="14.453125" style="1" bestFit="1" customWidth="1"/>
    <col min="21" max="21" width="10.90625" style="1"/>
    <col min="22" max="22" width="13" style="1" bestFit="1" customWidth="1"/>
    <col min="23" max="16384" width="10.90625" style="1"/>
  </cols>
  <sheetData>
    <row r="1" spans="1:23" ht="21" x14ac:dyDescent="0.5">
      <c r="A1" s="2" t="s">
        <v>3</v>
      </c>
      <c r="B1" s="23"/>
      <c r="D1" s="13"/>
    </row>
    <row r="2" spans="1:23" ht="21" x14ac:dyDescent="0.5">
      <c r="A2" s="2"/>
      <c r="B2" s="29"/>
      <c r="N2" s="23"/>
    </row>
    <row r="3" spans="1:23" x14ac:dyDescent="0.35">
      <c r="A3" s="3"/>
      <c r="B3" s="38" t="s">
        <v>0</v>
      </c>
      <c r="C3" s="38"/>
      <c r="D3" s="38" t="s">
        <v>1</v>
      </c>
      <c r="E3" s="38"/>
      <c r="F3" s="38" t="s">
        <v>2</v>
      </c>
      <c r="G3" s="38"/>
      <c r="H3" s="38" t="s">
        <v>6</v>
      </c>
      <c r="I3" s="38"/>
      <c r="J3" s="38" t="s">
        <v>7</v>
      </c>
      <c r="K3" s="38"/>
      <c r="L3" s="38" t="s">
        <v>8</v>
      </c>
      <c r="M3" s="38"/>
      <c r="N3" s="38" t="s">
        <v>13</v>
      </c>
      <c r="O3" s="38"/>
      <c r="P3" s="38" t="s">
        <v>9</v>
      </c>
      <c r="Q3" s="38"/>
      <c r="R3" s="38" t="s">
        <v>10</v>
      </c>
      <c r="S3" s="38"/>
      <c r="T3" s="38" t="s">
        <v>11</v>
      </c>
      <c r="U3" s="38"/>
      <c r="V3" s="38" t="s">
        <v>12</v>
      </c>
      <c r="W3" s="38"/>
    </row>
    <row r="4" spans="1:23" s="7" customFormat="1" x14ac:dyDescent="0.35">
      <c r="A4" s="39" t="s">
        <v>48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  <c r="L4" s="10" t="s">
        <v>4</v>
      </c>
      <c r="M4" s="10" t="s">
        <v>5</v>
      </c>
      <c r="N4" s="10" t="s">
        <v>4</v>
      </c>
      <c r="O4" s="10" t="s">
        <v>5</v>
      </c>
      <c r="P4" s="10" t="s">
        <v>4</v>
      </c>
      <c r="Q4" s="10" t="s">
        <v>5</v>
      </c>
      <c r="R4" s="10" t="s">
        <v>4</v>
      </c>
      <c r="S4" s="10" t="s">
        <v>5</v>
      </c>
      <c r="T4" s="10" t="s">
        <v>4</v>
      </c>
      <c r="U4" s="10" t="s">
        <v>5</v>
      </c>
      <c r="V4" s="10" t="s">
        <v>4</v>
      </c>
      <c r="W4" s="10" t="s">
        <v>5</v>
      </c>
    </row>
    <row r="5" spans="1:23" ht="20" customHeight="1" x14ac:dyDescent="0.35">
      <c r="A5" s="40"/>
      <c r="B5" s="8">
        <v>185460667.5</v>
      </c>
      <c r="C5" s="11">
        <v>2981</v>
      </c>
      <c r="D5" s="8">
        <v>623750.32999999996</v>
      </c>
      <c r="E5" s="11">
        <v>68</v>
      </c>
      <c r="F5" s="8">
        <v>16125916.84</v>
      </c>
      <c r="G5" s="11">
        <v>1390</v>
      </c>
      <c r="H5" s="8">
        <v>4959712.83</v>
      </c>
      <c r="I5" s="12">
        <v>46</v>
      </c>
      <c r="J5" s="8">
        <v>50274662.149999999</v>
      </c>
      <c r="K5" s="12">
        <v>436</v>
      </c>
      <c r="L5" s="8">
        <v>21769881.93</v>
      </c>
      <c r="M5" s="12">
        <v>218</v>
      </c>
      <c r="N5" s="8">
        <v>3651319.96</v>
      </c>
      <c r="O5" s="12">
        <v>44</v>
      </c>
      <c r="P5" s="8">
        <v>5092799.91</v>
      </c>
      <c r="Q5" s="12">
        <v>35</v>
      </c>
      <c r="R5" s="8">
        <v>25475593.41</v>
      </c>
      <c r="S5" s="12">
        <v>255</v>
      </c>
      <c r="T5" s="8">
        <v>39662999.960000001</v>
      </c>
      <c r="U5" s="12">
        <v>339</v>
      </c>
      <c r="V5" s="8">
        <v>17824030.18</v>
      </c>
      <c r="W5" s="12">
        <v>150</v>
      </c>
    </row>
    <row r="6" spans="1:23" s="7" customFormat="1" ht="29" x14ac:dyDescent="0.35">
      <c r="A6" s="9" t="s">
        <v>32</v>
      </c>
      <c r="B6" s="14" t="s">
        <v>17</v>
      </c>
      <c r="C6" s="10" t="s">
        <v>5</v>
      </c>
      <c r="D6" s="14" t="s">
        <v>17</v>
      </c>
      <c r="E6" s="10" t="s">
        <v>5</v>
      </c>
      <c r="F6" s="14" t="s">
        <v>17</v>
      </c>
      <c r="G6" s="10" t="s">
        <v>5</v>
      </c>
      <c r="H6" s="14" t="s">
        <v>17</v>
      </c>
      <c r="I6" s="10" t="s">
        <v>5</v>
      </c>
      <c r="J6" s="14" t="s">
        <v>17</v>
      </c>
      <c r="K6" s="10" t="s">
        <v>5</v>
      </c>
      <c r="L6" s="14" t="s">
        <v>17</v>
      </c>
      <c r="M6" s="10" t="s">
        <v>5</v>
      </c>
      <c r="N6" s="14" t="s">
        <v>17</v>
      </c>
      <c r="O6" s="10" t="s">
        <v>5</v>
      </c>
      <c r="P6" s="14" t="s">
        <v>17</v>
      </c>
      <c r="Q6" s="10" t="s">
        <v>5</v>
      </c>
      <c r="R6" s="14" t="s">
        <v>17</v>
      </c>
      <c r="S6" s="10" t="s">
        <v>5</v>
      </c>
      <c r="T6" s="14" t="s">
        <v>17</v>
      </c>
      <c r="U6" s="10" t="s">
        <v>5</v>
      </c>
      <c r="V6" s="14" t="s">
        <v>17</v>
      </c>
      <c r="W6" s="10" t="s">
        <v>5</v>
      </c>
    </row>
    <row r="7" spans="1:23" x14ac:dyDescent="0.35">
      <c r="A7" s="5" t="s">
        <v>14</v>
      </c>
      <c r="B7" s="13">
        <f>1-B8-B9-B10</f>
        <v>0.17666078711810956</v>
      </c>
      <c r="C7" s="30" t="s">
        <v>47</v>
      </c>
      <c r="D7" s="13">
        <f>1-D8-D9-D10</f>
        <v>0.49606439486773501</v>
      </c>
      <c r="E7" s="28">
        <f>E5-E8-E9-E10</f>
        <v>39</v>
      </c>
      <c r="F7" s="13">
        <f>1-F8-F9-F10</f>
        <v>0.32933983801940558</v>
      </c>
      <c r="G7" s="30" t="s">
        <v>47</v>
      </c>
      <c r="H7" s="13">
        <f>1-H8-H9-H10</f>
        <v>5.9824598756053005E-2</v>
      </c>
      <c r="I7" s="28">
        <f>I5-I8-I9-I10</f>
        <v>8</v>
      </c>
      <c r="J7" s="13">
        <f>1-J8-J9-J10</f>
        <v>0.22205464288734097</v>
      </c>
      <c r="K7" s="28">
        <f>K5-K8-K9-K10</f>
        <v>104</v>
      </c>
      <c r="L7" s="13">
        <f>1-L8-L9-L10</f>
        <v>0.11903748207420747</v>
      </c>
      <c r="M7" s="30" t="s">
        <v>47</v>
      </c>
      <c r="N7" s="13">
        <f>1-N8-N9-N10</f>
        <v>0.15744442182492197</v>
      </c>
      <c r="O7" s="28">
        <f>O5-O8-O9-O10</f>
        <v>10</v>
      </c>
      <c r="P7" s="13">
        <f>1-P8-P9-P10</f>
        <v>9.5468292214920231E-2</v>
      </c>
      <c r="Q7" s="28">
        <f>Q5-Q8-Q9-Q10</f>
        <v>5</v>
      </c>
      <c r="R7" s="13">
        <f>1-R8-R9-R10</f>
        <v>0.14950989948304397</v>
      </c>
      <c r="S7" s="28">
        <f>S5-S8-S9-S10</f>
        <v>50</v>
      </c>
      <c r="T7" s="13">
        <f>1-T8-T9-T10</f>
        <v>0.13031835628199373</v>
      </c>
      <c r="U7" s="30" t="s">
        <v>47</v>
      </c>
      <c r="V7" s="13">
        <f>1-V8-V9-V10</f>
        <v>0.17126778563387668</v>
      </c>
      <c r="W7" s="30" t="s">
        <v>47</v>
      </c>
    </row>
    <row r="8" spans="1:23" x14ac:dyDescent="0.35">
      <c r="A8" s="5" t="s">
        <v>30</v>
      </c>
      <c r="B8" s="13">
        <f>Hoja2!C6/'2026-01'!B5</f>
        <v>2.5824127911110856E-2</v>
      </c>
      <c r="C8" s="30" t="s">
        <v>47</v>
      </c>
      <c r="D8" s="13">
        <f>Hoja2!D6/'2026-01'!D5</f>
        <v>0</v>
      </c>
      <c r="E8">
        <v>0</v>
      </c>
      <c r="F8" s="13">
        <f>Hoja2!E6/'2026-01'!F5</f>
        <v>0.25948726150072343</v>
      </c>
      <c r="G8" s="30" t="s">
        <v>47</v>
      </c>
      <c r="H8" s="13">
        <v>0</v>
      </c>
      <c r="I8">
        <v>0</v>
      </c>
      <c r="J8" s="13">
        <v>0</v>
      </c>
      <c r="K8">
        <v>0</v>
      </c>
      <c r="L8" s="13">
        <f>Hoja2!H6/'2026-01'!L5</f>
        <v>1.3777291074173501E-2</v>
      </c>
      <c r="M8" s="30" t="s">
        <v>47</v>
      </c>
      <c r="N8" s="13">
        <v>0</v>
      </c>
      <c r="O8">
        <v>0</v>
      </c>
      <c r="P8" s="13">
        <v>0</v>
      </c>
      <c r="Q8">
        <v>0</v>
      </c>
      <c r="R8" s="13">
        <v>0</v>
      </c>
      <c r="S8">
        <v>0</v>
      </c>
      <c r="T8" s="13">
        <f>Hoja2!L6/'2026-01'!T5</f>
        <v>5.5459748436033325E-3</v>
      </c>
      <c r="U8" s="30" t="s">
        <v>47</v>
      </c>
      <c r="V8" s="13">
        <f>Hoja2!M6/'2026-01'!V5</f>
        <v>4.7682818723773059E-3</v>
      </c>
      <c r="W8" s="30" t="s">
        <v>47</v>
      </c>
    </row>
    <row r="9" spans="1:23" x14ac:dyDescent="0.35">
      <c r="A9" s="5" t="s">
        <v>28</v>
      </c>
      <c r="B9" s="13">
        <v>0.63236276770113531</v>
      </c>
      <c r="C9">
        <v>1171</v>
      </c>
      <c r="D9" s="13">
        <v>0.31993570247890701</v>
      </c>
      <c r="E9">
        <v>15</v>
      </c>
      <c r="F9" s="13">
        <v>0.245675953764871</v>
      </c>
      <c r="G9">
        <v>223</v>
      </c>
      <c r="H9" s="13">
        <v>0.78913843082322199</v>
      </c>
      <c r="I9">
        <v>28</v>
      </c>
      <c r="J9" s="13">
        <v>0.64869217624369502</v>
      </c>
      <c r="K9">
        <v>261</v>
      </c>
      <c r="L9" s="13">
        <v>0.73375501306634805</v>
      </c>
      <c r="M9">
        <v>141</v>
      </c>
      <c r="N9" s="13">
        <v>0.58599082617783005</v>
      </c>
      <c r="O9">
        <v>20</v>
      </c>
      <c r="P9" s="13">
        <v>0.83001474134097697</v>
      </c>
      <c r="Q9">
        <v>23</v>
      </c>
      <c r="R9" s="13">
        <v>0.67097161290422702</v>
      </c>
      <c r="S9">
        <v>157</v>
      </c>
      <c r="T9" s="13">
        <v>0.68006010708222797</v>
      </c>
      <c r="U9">
        <v>216</v>
      </c>
      <c r="V9" s="13">
        <v>0.571324660986408</v>
      </c>
      <c r="W9">
        <v>87</v>
      </c>
    </row>
    <row r="10" spans="1:23" x14ac:dyDescent="0.35">
      <c r="A10" s="5" t="s">
        <v>29</v>
      </c>
      <c r="B10" s="13">
        <v>0.16515231726964424</v>
      </c>
      <c r="C10">
        <v>545</v>
      </c>
      <c r="D10" s="13">
        <v>0.183999902653358</v>
      </c>
      <c r="E10">
        <v>14</v>
      </c>
      <c r="F10" s="13">
        <v>0.16549694671500001</v>
      </c>
      <c r="G10">
        <v>238</v>
      </c>
      <c r="H10" s="13">
        <v>0.151036970420725</v>
      </c>
      <c r="I10">
        <v>10</v>
      </c>
      <c r="J10" s="13">
        <v>0.12925318086896401</v>
      </c>
      <c r="K10">
        <v>71</v>
      </c>
      <c r="L10" s="13">
        <v>0.13343021378527101</v>
      </c>
      <c r="M10">
        <v>39</v>
      </c>
      <c r="N10" s="13">
        <v>0.25656475199724799</v>
      </c>
      <c r="O10">
        <v>14</v>
      </c>
      <c r="P10" s="13">
        <v>7.45169664441028E-2</v>
      </c>
      <c r="Q10">
        <v>7</v>
      </c>
      <c r="R10" s="13">
        <v>0.17951848761272901</v>
      </c>
      <c r="S10">
        <v>48</v>
      </c>
      <c r="T10" s="13">
        <v>0.18407556179217499</v>
      </c>
      <c r="U10">
        <v>68</v>
      </c>
      <c r="V10" s="13">
        <v>0.252639271507338</v>
      </c>
      <c r="W10">
        <v>36</v>
      </c>
    </row>
    <row r="11" spans="1:23" ht="29" x14ac:dyDescent="0.35">
      <c r="A11" s="34" t="s">
        <v>33</v>
      </c>
      <c r="B11" s="14" t="s">
        <v>17</v>
      </c>
      <c r="C11" s="10" t="s">
        <v>5</v>
      </c>
      <c r="D11" s="14" t="s">
        <v>17</v>
      </c>
      <c r="E11" s="10" t="s">
        <v>5</v>
      </c>
      <c r="F11" s="14" t="s">
        <v>17</v>
      </c>
      <c r="G11" s="10" t="s">
        <v>5</v>
      </c>
      <c r="H11" s="14" t="s">
        <v>17</v>
      </c>
      <c r="I11" s="10" t="s">
        <v>5</v>
      </c>
      <c r="J11" s="14" t="s">
        <v>17</v>
      </c>
      <c r="K11" s="10" t="s">
        <v>5</v>
      </c>
      <c r="L11" s="14" t="s">
        <v>17</v>
      </c>
      <c r="M11" s="10" t="s">
        <v>5</v>
      </c>
      <c r="N11" s="14" t="s">
        <v>17</v>
      </c>
      <c r="O11" s="10" t="s">
        <v>5</v>
      </c>
      <c r="P11" s="14" t="s">
        <v>17</v>
      </c>
      <c r="Q11" s="10" t="s">
        <v>5</v>
      </c>
      <c r="R11" s="14" t="s">
        <v>17</v>
      </c>
      <c r="S11" s="10" t="s">
        <v>5</v>
      </c>
      <c r="T11" s="14" t="s">
        <v>17</v>
      </c>
      <c r="U11" s="10" t="s">
        <v>5</v>
      </c>
      <c r="V11" s="14" t="s">
        <v>17</v>
      </c>
      <c r="W11" s="10" t="s">
        <v>5</v>
      </c>
    </row>
    <row r="12" spans="1:23" x14ac:dyDescent="0.35">
      <c r="A12" s="5" t="s">
        <v>27</v>
      </c>
      <c r="B12" s="13">
        <v>0.73036532665342602</v>
      </c>
      <c r="C12">
        <v>1652</v>
      </c>
      <c r="D12" s="13">
        <v>0.31993570247890701</v>
      </c>
      <c r="E12">
        <v>15</v>
      </c>
      <c r="F12" s="13">
        <v>0.21226948110691099</v>
      </c>
      <c r="G12">
        <v>217</v>
      </c>
      <c r="H12" s="13">
        <v>0.167126611642957</v>
      </c>
      <c r="I12">
        <v>17</v>
      </c>
      <c r="J12" s="13">
        <v>0.62880502121882498</v>
      </c>
      <c r="K12">
        <v>254</v>
      </c>
      <c r="L12" s="13">
        <v>0.729161970241333</v>
      </c>
      <c r="M12">
        <v>140</v>
      </c>
      <c r="N12" s="13">
        <v>0.27379961519450102</v>
      </c>
      <c r="O12">
        <v>15</v>
      </c>
      <c r="P12" s="13">
        <v>0.18135407169373799</v>
      </c>
      <c r="Q12">
        <v>9</v>
      </c>
      <c r="R12" s="13">
        <v>0.58854841018598303</v>
      </c>
      <c r="S12">
        <v>144</v>
      </c>
      <c r="T12" s="13">
        <v>0.65593308691317698</v>
      </c>
      <c r="U12">
        <v>211</v>
      </c>
      <c r="V12" s="13">
        <v>0.55842185518561505</v>
      </c>
      <c r="W12">
        <v>85</v>
      </c>
    </row>
    <row r="13" spans="1:23" x14ac:dyDescent="0.35">
      <c r="A13" s="5" t="s">
        <v>18</v>
      </c>
      <c r="B13" s="13">
        <v>4.2687002622806801E-2</v>
      </c>
      <c r="C13">
        <v>53</v>
      </c>
      <c r="D13" s="22"/>
      <c r="E13" s="6"/>
      <c r="F13" s="13">
        <v>3.34064726579602E-2</v>
      </c>
      <c r="G13">
        <v>6</v>
      </c>
      <c r="H13" s="13">
        <v>0.431476594180151</v>
      </c>
      <c r="I13">
        <v>9</v>
      </c>
      <c r="J13" s="13">
        <v>1.98871550248697E-2</v>
      </c>
      <c r="K13">
        <v>7</v>
      </c>
      <c r="L13" s="13">
        <v>4.5930428250145301E-3</v>
      </c>
      <c r="M13">
        <v>1</v>
      </c>
      <c r="N13" s="13">
        <v>0.180740117883287</v>
      </c>
      <c r="O13">
        <v>4</v>
      </c>
      <c r="P13" s="13">
        <v>0.23827757254260601</v>
      </c>
      <c r="Q13">
        <v>9</v>
      </c>
      <c r="R13" s="13">
        <v>5.6048154679667603E-2</v>
      </c>
      <c r="S13">
        <v>11</v>
      </c>
      <c r="T13" s="13">
        <v>1.5302927176767201E-2</v>
      </c>
      <c r="U13">
        <v>4</v>
      </c>
      <c r="V13" s="13">
        <v>1.29028058007922E-2</v>
      </c>
      <c r="W13">
        <v>2</v>
      </c>
    </row>
    <row r="14" spans="1:23" x14ac:dyDescent="0.35">
      <c r="A14" s="5" t="s">
        <v>19</v>
      </c>
      <c r="B14" s="13">
        <v>2.4462755694546399E-2</v>
      </c>
      <c r="C14">
        <v>11</v>
      </c>
      <c r="D14" s="6"/>
      <c r="E14" s="6"/>
      <c r="F14" s="6"/>
      <c r="G14" s="6"/>
      <c r="H14" s="13">
        <v>0.19053522500011399</v>
      </c>
      <c r="I14">
        <v>2</v>
      </c>
      <c r="N14" s="13">
        <v>0.13145109310004199</v>
      </c>
      <c r="O14">
        <v>1</v>
      </c>
      <c r="P14" s="13">
        <v>0.410383097104634</v>
      </c>
      <c r="Q14">
        <v>5</v>
      </c>
      <c r="R14" s="13">
        <v>2.63750480385768E-2</v>
      </c>
      <c r="S14">
        <v>2</v>
      </c>
      <c r="T14" s="13">
        <v>8.8240929922840904E-3</v>
      </c>
      <c r="U14">
        <v>1</v>
      </c>
    </row>
    <row r="15" spans="1:23" s="16" customFormat="1" ht="43.5" x14ac:dyDescent="0.35">
      <c r="A15" s="34" t="s">
        <v>31</v>
      </c>
      <c r="B15" s="15" t="s">
        <v>4</v>
      </c>
      <c r="C15" s="15" t="s">
        <v>23</v>
      </c>
      <c r="D15" s="15" t="s">
        <v>4</v>
      </c>
      <c r="E15" s="15" t="s">
        <v>17</v>
      </c>
      <c r="F15" s="15" t="s">
        <v>4</v>
      </c>
      <c r="G15" s="15" t="s">
        <v>17</v>
      </c>
      <c r="H15" s="15" t="s">
        <v>4</v>
      </c>
      <c r="I15" s="15" t="s">
        <v>17</v>
      </c>
      <c r="J15" s="15" t="s">
        <v>4</v>
      </c>
      <c r="K15" s="15" t="s">
        <v>17</v>
      </c>
      <c r="L15" s="15" t="s">
        <v>4</v>
      </c>
      <c r="M15" s="15" t="s">
        <v>17</v>
      </c>
      <c r="N15" s="15" t="s">
        <v>4</v>
      </c>
      <c r="O15" s="15" t="s">
        <v>17</v>
      </c>
      <c r="P15" s="15" t="s">
        <v>4</v>
      </c>
      <c r="Q15" s="15" t="s">
        <v>17</v>
      </c>
      <c r="R15" s="15" t="s">
        <v>4</v>
      </c>
      <c r="S15" s="15" t="s">
        <v>17</v>
      </c>
      <c r="T15" s="15" t="s">
        <v>4</v>
      </c>
      <c r="U15" s="15" t="s">
        <v>17</v>
      </c>
      <c r="V15" s="15" t="s">
        <v>4</v>
      </c>
      <c r="W15" s="15" t="s">
        <v>17</v>
      </c>
    </row>
    <row r="16" spans="1:23" x14ac:dyDescent="0.35">
      <c r="A16" s="5" t="s">
        <v>20</v>
      </c>
      <c r="B16" s="17">
        <v>5997497</v>
      </c>
      <c r="C16" s="13">
        <v>5.7214495328022703E-2</v>
      </c>
      <c r="D16" s="17">
        <v>13256.3</v>
      </c>
      <c r="E16" s="13">
        <v>6.6427640809781502E-2</v>
      </c>
      <c r="F16" s="17">
        <v>196350.5</v>
      </c>
      <c r="G16" s="13">
        <v>5.7361438954847202E-2</v>
      </c>
      <c r="H16" s="17">
        <v>30628.33</v>
      </c>
      <c r="I16" s="13">
        <v>3.69505730486187E-2</v>
      </c>
      <c r="J16" s="17">
        <v>1936986.11</v>
      </c>
      <c r="K16" s="13">
        <v>6.1271899562711001E-2</v>
      </c>
      <c r="L16" s="17">
        <v>904513.33</v>
      </c>
      <c r="M16" s="13">
        <v>5.6981632592635501E-2</v>
      </c>
      <c r="N16" s="17">
        <v>52295.11</v>
      </c>
      <c r="O16" s="13">
        <v>5.2309233493043103E-2</v>
      </c>
      <c r="P16" s="17">
        <v>18946.46</v>
      </c>
      <c r="Q16" s="13">
        <v>2.05137072325682E-2</v>
      </c>
      <c r="R16" s="17">
        <v>814822.25</v>
      </c>
      <c r="S16" s="13">
        <v>5.4344597902307799E-2</v>
      </c>
      <c r="T16" s="17">
        <v>1482531.2</v>
      </c>
      <c r="U16" s="13">
        <v>5.6984762691229297E-2</v>
      </c>
      <c r="V16" s="17">
        <v>547167.41</v>
      </c>
      <c r="W16" s="13">
        <v>5.49733124438379E-2</v>
      </c>
    </row>
    <row r="17" spans="1:24" x14ac:dyDescent="0.35">
      <c r="A17" s="5" t="s">
        <v>18</v>
      </c>
      <c r="B17" s="17">
        <v>888070.2</v>
      </c>
      <c r="C17" s="13">
        <v>0.11217596592545399</v>
      </c>
      <c r="D17" s="4"/>
      <c r="E17" s="4"/>
      <c r="F17" s="17">
        <v>57984.7</v>
      </c>
      <c r="G17" s="13">
        <v>0.10763620500826</v>
      </c>
      <c r="H17" s="17">
        <v>251749.98</v>
      </c>
      <c r="I17" s="13">
        <v>0.117640177570093</v>
      </c>
      <c r="J17" s="17">
        <v>107441.9</v>
      </c>
      <c r="K17" s="13">
        <v>0.107461243023744</v>
      </c>
      <c r="L17" s="17">
        <v>12046.89</v>
      </c>
      <c r="M17" s="13">
        <v>0.120480948094809</v>
      </c>
      <c r="N17" s="17">
        <v>74466.55</v>
      </c>
      <c r="O17" s="13">
        <v>0.112838364093705</v>
      </c>
      <c r="P17" s="17">
        <v>140771.6</v>
      </c>
      <c r="Q17" s="13">
        <v>0.11600461475072101</v>
      </c>
      <c r="R17" s="17">
        <v>153689.5</v>
      </c>
      <c r="S17" s="13">
        <v>0.10763625285392101</v>
      </c>
      <c r="T17" s="17">
        <v>65164.88</v>
      </c>
      <c r="U17" s="13">
        <v>0.10736272571503901</v>
      </c>
      <c r="V17" s="17">
        <v>24754.2</v>
      </c>
      <c r="W17" s="13">
        <v>0.107636316201409</v>
      </c>
    </row>
    <row r="18" spans="1:24" x14ac:dyDescent="0.35">
      <c r="A18" s="5" t="s">
        <v>19</v>
      </c>
      <c r="B18" s="17">
        <v>881805.52</v>
      </c>
      <c r="C18" s="13">
        <v>0.19436390523088701</v>
      </c>
      <c r="D18" s="4"/>
      <c r="E18" s="4"/>
      <c r="F18" s="4"/>
      <c r="G18" s="4"/>
      <c r="H18" s="17">
        <v>191055.82</v>
      </c>
      <c r="I18" s="13">
        <v>0.20217547089947099</v>
      </c>
      <c r="N18" s="17">
        <v>86556.38</v>
      </c>
      <c r="O18" s="13">
        <v>0.180337062733087</v>
      </c>
      <c r="P18" s="17">
        <v>409539.45</v>
      </c>
      <c r="Q18" s="13">
        <v>0.19595198370908301</v>
      </c>
      <c r="R18" s="17">
        <v>127987.64</v>
      </c>
      <c r="S18" s="13">
        <v>0.190480473865936</v>
      </c>
      <c r="T18" s="17">
        <v>66666.23</v>
      </c>
      <c r="U18" s="13">
        <v>0.19048038515386201</v>
      </c>
    </row>
    <row r="19" spans="1:24" x14ac:dyDescent="0.35">
      <c r="A19" s="5" t="s">
        <v>0</v>
      </c>
      <c r="B19" s="17">
        <v>7767372.7199999997</v>
      </c>
      <c r="C19" s="13">
        <v>6.6230195237706999E-2</v>
      </c>
      <c r="D19" s="17">
        <v>13256.3</v>
      </c>
      <c r="E19" s="13">
        <v>6.6427640809781502E-2</v>
      </c>
      <c r="F19" s="17">
        <v>254335.2</v>
      </c>
      <c r="G19" s="13">
        <v>6.4197690414589503E-2</v>
      </c>
      <c r="H19" s="17">
        <v>473434.13</v>
      </c>
      <c r="I19" s="13">
        <v>0.120962244819745</v>
      </c>
      <c r="J19" s="17">
        <v>2044428.01</v>
      </c>
      <c r="K19" s="13">
        <v>6.2687940433167597E-2</v>
      </c>
      <c r="L19" s="17">
        <v>916560.22</v>
      </c>
      <c r="M19" s="13">
        <v>5.7379115499419001E-2</v>
      </c>
      <c r="N19" s="17">
        <v>213318.04</v>
      </c>
      <c r="O19" s="13">
        <v>9.9698098745583399E-2</v>
      </c>
      <c r="P19" s="17">
        <v>569257.51</v>
      </c>
      <c r="Q19" s="13">
        <v>0.13466860132681999</v>
      </c>
      <c r="R19" s="17">
        <v>1096499.3899999999</v>
      </c>
      <c r="S19" s="13">
        <v>6.4147530040834497E-2</v>
      </c>
      <c r="T19" s="17">
        <v>1614362.31</v>
      </c>
      <c r="U19" s="13">
        <v>5.9850550679444198E-2</v>
      </c>
      <c r="V19" s="17">
        <v>571921.61</v>
      </c>
      <c r="W19" s="13">
        <v>5.61626546108593E-2</v>
      </c>
    </row>
    <row r="20" spans="1:24" s="16" customFormat="1" ht="29" x14ac:dyDescent="0.35">
      <c r="A20" s="34" t="s">
        <v>26</v>
      </c>
      <c r="B20" s="15" t="s">
        <v>4</v>
      </c>
      <c r="C20" s="15" t="s">
        <v>17</v>
      </c>
      <c r="D20" s="15" t="s">
        <v>4</v>
      </c>
      <c r="E20" s="15" t="s">
        <v>17</v>
      </c>
      <c r="F20" s="15" t="s">
        <v>4</v>
      </c>
      <c r="G20" s="15" t="s">
        <v>17</v>
      </c>
      <c r="H20" s="15" t="s">
        <v>4</v>
      </c>
      <c r="I20" s="15" t="s">
        <v>17</v>
      </c>
      <c r="J20" s="15" t="s">
        <v>4</v>
      </c>
      <c r="K20" s="15" t="s">
        <v>17</v>
      </c>
      <c r="L20" s="15" t="s">
        <v>4</v>
      </c>
      <c r="M20" s="15" t="s">
        <v>17</v>
      </c>
      <c r="N20" s="15" t="s">
        <v>4</v>
      </c>
      <c r="O20" s="15" t="s">
        <v>17</v>
      </c>
      <c r="P20" s="15" t="s">
        <v>4</v>
      </c>
      <c r="Q20" s="15" t="s">
        <v>17</v>
      </c>
      <c r="R20" s="15" t="s">
        <v>4</v>
      </c>
      <c r="S20" s="15" t="s">
        <v>17</v>
      </c>
      <c r="T20" s="15" t="s">
        <v>4</v>
      </c>
      <c r="U20" s="15" t="s">
        <v>17</v>
      </c>
      <c r="V20" s="15" t="s">
        <v>4</v>
      </c>
      <c r="W20" s="15" t="s">
        <v>17</v>
      </c>
    </row>
    <row r="21" spans="1:24" x14ac:dyDescent="0.35">
      <c r="A21" s="5" t="s">
        <v>16</v>
      </c>
      <c r="B21" s="19">
        <v>2308652.96</v>
      </c>
      <c r="C21" s="13">
        <v>1.9685232290090299E-2</v>
      </c>
      <c r="D21" s="17">
        <v>3592.08</v>
      </c>
      <c r="E21" s="13">
        <v>1.7999999999999999E-2</v>
      </c>
      <c r="F21" s="20">
        <v>76530.12</v>
      </c>
      <c r="G21" s="13">
        <v>1.9317251214741E-2</v>
      </c>
      <c r="H21" s="20">
        <v>75110.8</v>
      </c>
      <c r="I21" s="13">
        <v>1.9190781573366698E-2</v>
      </c>
      <c r="J21" s="20">
        <v>632241.94999999995</v>
      </c>
      <c r="K21" s="13">
        <v>1.9386324931514601E-2</v>
      </c>
      <c r="L21" s="20">
        <v>312728.17</v>
      </c>
      <c r="M21" s="13">
        <v>1.9577617918386199E-2</v>
      </c>
      <c r="N21" s="20">
        <v>39717.1</v>
      </c>
      <c r="O21" s="13">
        <v>1.85625151894711E-2</v>
      </c>
      <c r="P21" s="20">
        <v>81110.98</v>
      </c>
      <c r="Q21" s="13">
        <v>1.9188332234471001E-2</v>
      </c>
      <c r="R21" s="20">
        <v>349808.99</v>
      </c>
      <c r="S21" s="13">
        <v>2.0464564685785201E-2</v>
      </c>
      <c r="T21" s="20">
        <v>534546.57999999996</v>
      </c>
      <c r="U21" s="13">
        <v>1.98176747429228E-2</v>
      </c>
      <c r="V21" s="20">
        <v>203266.19</v>
      </c>
      <c r="W21" s="13">
        <v>1.99607229792126E-2</v>
      </c>
    </row>
    <row r="22" spans="1:24" x14ac:dyDescent="0.35">
      <c r="A22" s="5" t="s">
        <v>15</v>
      </c>
      <c r="B22" s="19">
        <v>306292.59000000003</v>
      </c>
      <c r="C22" s="13">
        <v>0.01</v>
      </c>
      <c r="D22" s="17">
        <v>1147.7</v>
      </c>
      <c r="E22" s="13">
        <v>0.01</v>
      </c>
      <c r="F22" s="20">
        <v>26687.9</v>
      </c>
      <c r="G22" s="13">
        <v>0.01</v>
      </c>
      <c r="H22" s="20">
        <v>7491</v>
      </c>
      <c r="I22" s="13">
        <v>0.01</v>
      </c>
      <c r="J22" s="20">
        <v>64981.599999999999</v>
      </c>
      <c r="K22" s="13">
        <v>0.01</v>
      </c>
      <c r="L22" s="20">
        <v>29047.599999999999</v>
      </c>
      <c r="M22" s="13">
        <v>0.01</v>
      </c>
      <c r="N22" s="20">
        <v>9368</v>
      </c>
      <c r="O22" s="13">
        <v>0.01</v>
      </c>
      <c r="P22" s="20">
        <v>3795</v>
      </c>
      <c r="Q22" s="13">
        <v>0.01</v>
      </c>
      <c r="R22" s="20">
        <v>45733.4</v>
      </c>
      <c r="S22" s="13">
        <v>0.01</v>
      </c>
      <c r="T22" s="20">
        <v>73009.89</v>
      </c>
      <c r="U22" s="13">
        <v>0.01</v>
      </c>
      <c r="V22" s="20">
        <v>45030.5</v>
      </c>
      <c r="W22" s="13">
        <v>0.01</v>
      </c>
    </row>
    <row r="23" spans="1:24" s="16" customFormat="1" ht="43.5" x14ac:dyDescent="0.35">
      <c r="A23" s="34" t="s">
        <v>24</v>
      </c>
      <c r="B23" s="15" t="s">
        <v>4</v>
      </c>
      <c r="C23" s="15" t="s">
        <v>25</v>
      </c>
      <c r="D23" s="15" t="s">
        <v>4</v>
      </c>
      <c r="E23" s="15" t="s">
        <v>17</v>
      </c>
      <c r="F23" s="15" t="s">
        <v>4</v>
      </c>
      <c r="G23" s="15" t="s">
        <v>17</v>
      </c>
      <c r="H23" s="15" t="s">
        <v>4</v>
      </c>
      <c r="I23" s="15" t="s">
        <v>17</v>
      </c>
      <c r="J23" s="15" t="s">
        <v>4</v>
      </c>
      <c r="K23" s="15" t="s">
        <v>17</v>
      </c>
      <c r="L23" s="15" t="s">
        <v>4</v>
      </c>
      <c r="M23" s="15" t="s">
        <v>17</v>
      </c>
      <c r="N23" s="15" t="s">
        <v>4</v>
      </c>
      <c r="O23" s="15" t="s">
        <v>17</v>
      </c>
      <c r="P23" s="15" t="s">
        <v>4</v>
      </c>
      <c r="Q23" s="15" t="s">
        <v>17</v>
      </c>
      <c r="R23" s="15" t="s">
        <v>4</v>
      </c>
      <c r="S23" s="15" t="s">
        <v>17</v>
      </c>
      <c r="T23" s="15" t="s">
        <v>4</v>
      </c>
      <c r="U23" s="15" t="s">
        <v>17</v>
      </c>
      <c r="V23" s="15" t="s">
        <v>4</v>
      </c>
      <c r="W23" s="15" t="s">
        <v>17</v>
      </c>
    </row>
    <row r="24" spans="1:24" s="3" customFormat="1" x14ac:dyDescent="0.35">
      <c r="A24" s="5"/>
      <c r="B24" s="19">
        <v>28641</v>
      </c>
      <c r="C24" s="24">
        <v>5.9999980000000003E-3</v>
      </c>
      <c r="D24" s="25"/>
      <c r="E24" s="24"/>
      <c r="F24" s="26">
        <f>4184470*C24</f>
        <v>25106.811631060002</v>
      </c>
      <c r="G24" s="24">
        <v>5.9999980000000003E-3</v>
      </c>
      <c r="H24" s="26"/>
      <c r="I24" s="24"/>
      <c r="J24" s="26"/>
      <c r="K24" s="24"/>
      <c r="L24" s="26">
        <f>C24*299930</f>
        <v>1799.5794001400002</v>
      </c>
      <c r="M24" s="24">
        <v>5.9999980000000003E-3</v>
      </c>
      <c r="N24" s="26"/>
      <c r="O24" s="24"/>
      <c r="P24" s="26"/>
      <c r="Q24" s="24"/>
      <c r="R24" s="26"/>
      <c r="S24" s="24"/>
      <c r="T24" s="26">
        <f>219970*U24</f>
        <v>1319.81956006</v>
      </c>
      <c r="U24" s="24">
        <v>5.9999980000000003E-3</v>
      </c>
      <c r="V24" s="26">
        <f>84990*W24</f>
        <v>509.93983002000004</v>
      </c>
      <c r="W24" s="24">
        <v>5.9999980000000003E-3</v>
      </c>
      <c r="X24" s="27"/>
    </row>
    <row r="25" spans="1:24" s="16" customFormat="1" ht="29" x14ac:dyDescent="0.35">
      <c r="A25" s="34" t="s">
        <v>21</v>
      </c>
      <c r="B25" s="15" t="s">
        <v>4</v>
      </c>
      <c r="C25" s="15" t="s">
        <v>17</v>
      </c>
      <c r="D25" s="15" t="s">
        <v>4</v>
      </c>
      <c r="E25" s="15" t="s">
        <v>17</v>
      </c>
      <c r="F25" s="15" t="s">
        <v>4</v>
      </c>
      <c r="G25" s="15" t="s">
        <v>17</v>
      </c>
      <c r="H25" s="15" t="s">
        <v>4</v>
      </c>
      <c r="I25" s="15" t="s">
        <v>17</v>
      </c>
      <c r="J25" s="15" t="s">
        <v>4</v>
      </c>
      <c r="K25" s="15" t="s">
        <v>17</v>
      </c>
      <c r="L25" s="15" t="s">
        <v>4</v>
      </c>
      <c r="M25" s="15" t="s">
        <v>17</v>
      </c>
      <c r="N25" s="15" t="s">
        <v>4</v>
      </c>
      <c r="O25" s="15" t="s">
        <v>17</v>
      </c>
      <c r="P25" s="15" t="s">
        <v>4</v>
      </c>
      <c r="Q25" s="15" t="s">
        <v>17</v>
      </c>
      <c r="R25" s="15" t="s">
        <v>4</v>
      </c>
      <c r="S25" s="15" t="s">
        <v>17</v>
      </c>
      <c r="T25" s="15" t="s">
        <v>4</v>
      </c>
      <c r="U25" s="15" t="s">
        <v>17</v>
      </c>
      <c r="V25" s="15" t="s">
        <v>4</v>
      </c>
      <c r="W25" s="15" t="s">
        <v>17</v>
      </c>
    </row>
    <row r="26" spans="1:24" x14ac:dyDescent="0.35">
      <c r="A26" s="18"/>
      <c r="B26" s="19">
        <f>B19+B21+B22+B24</f>
        <v>10410959.27</v>
      </c>
      <c r="C26" s="37">
        <f>B26/B5</f>
        <v>5.6135672379158237E-2</v>
      </c>
      <c r="D26" s="19">
        <f>D19+D21+D22+D24</f>
        <v>17996.079999999998</v>
      </c>
      <c r="E26" s="37">
        <f>D26/D5</f>
        <v>2.885141559764786E-2</v>
      </c>
      <c r="F26" s="19">
        <f>F19+F21+F22+F24</f>
        <v>382660.03163106006</v>
      </c>
      <c r="G26" s="37">
        <f>F26/F5</f>
        <v>2.3729505455583142E-2</v>
      </c>
      <c r="H26" s="19">
        <f>H19+H21+H22+H24</f>
        <v>556035.93000000005</v>
      </c>
      <c r="I26" s="37">
        <f>H26/H5</f>
        <v>0.11211050902719302</v>
      </c>
      <c r="J26" s="19">
        <f>J19+J21+J22+J24</f>
        <v>2741651.56</v>
      </c>
      <c r="K26" s="37">
        <f>J26/J5</f>
        <v>5.4533465621707813E-2</v>
      </c>
      <c r="L26" s="19">
        <f>L19+L21+L22+L24</f>
        <v>1260135.5694001401</v>
      </c>
      <c r="M26" s="37">
        <f>L26/L5</f>
        <v>5.7884354791268272E-2</v>
      </c>
      <c r="N26" s="19">
        <f>N19+N21+N22+N24</f>
        <v>262403.14</v>
      </c>
      <c r="O26" s="37">
        <f>N26/N5</f>
        <v>7.1865282384072415E-2</v>
      </c>
      <c r="P26" s="19">
        <f>P19+P21+P22+P24</f>
        <v>654163.49</v>
      </c>
      <c r="Q26" s="37">
        <f>P26/P5</f>
        <v>0.1284486925778319</v>
      </c>
      <c r="R26" s="19">
        <f>R19+R21+R22+R24</f>
        <v>1492041.7799999998</v>
      </c>
      <c r="S26" s="37">
        <f>R26/R5</f>
        <v>5.8567498546052504E-2</v>
      </c>
      <c r="T26" s="19">
        <f>T19+T21+T22+T24</f>
        <v>2223238.5995600601</v>
      </c>
      <c r="U26" s="37">
        <f>T26/T5</f>
        <v>5.6053213367677393E-2</v>
      </c>
      <c r="V26" s="19">
        <f>V19+V21+V22+V24</f>
        <v>820728.23983002</v>
      </c>
      <c r="W26" s="37">
        <f>V26/V5</f>
        <v>4.6046165291559221E-2</v>
      </c>
    </row>
    <row r="27" spans="1:24" s="16" customFormat="1" ht="19" customHeight="1" x14ac:dyDescent="0.35">
      <c r="A27" s="34" t="s">
        <v>22</v>
      </c>
      <c r="B27" s="15" t="s">
        <v>4</v>
      </c>
      <c r="C27" s="15"/>
      <c r="D27" s="15" t="s">
        <v>4</v>
      </c>
      <c r="E27" s="15"/>
      <c r="F27" s="15" t="s">
        <v>4</v>
      </c>
      <c r="G27" s="15"/>
      <c r="H27" s="15" t="s">
        <v>4</v>
      </c>
      <c r="I27" s="15"/>
      <c r="J27" s="15" t="s">
        <v>4</v>
      </c>
      <c r="K27" s="15"/>
      <c r="L27" s="15" t="s">
        <v>4</v>
      </c>
      <c r="M27" s="15"/>
      <c r="N27" s="15" t="s">
        <v>4</v>
      </c>
      <c r="O27" s="15"/>
      <c r="P27" s="15" t="s">
        <v>4</v>
      </c>
      <c r="Q27" s="15"/>
      <c r="R27" s="15" t="s">
        <v>4</v>
      </c>
      <c r="S27" s="15"/>
      <c r="T27" s="15" t="s">
        <v>4</v>
      </c>
      <c r="U27" s="15"/>
      <c r="V27" s="15" t="s">
        <v>4</v>
      </c>
      <c r="W27" s="15"/>
    </row>
    <row r="28" spans="1:24" s="21" customFormat="1" ht="19.5" customHeight="1" x14ac:dyDescent="0.35">
      <c r="A28" s="32"/>
      <c r="B28" s="31">
        <f>B5-B26</f>
        <v>175049708.22999999</v>
      </c>
      <c r="C28" s="32"/>
      <c r="D28" s="31">
        <f>D5-D26</f>
        <v>605754.25</v>
      </c>
      <c r="E28" s="32"/>
      <c r="F28" s="31">
        <f>F5-F26</f>
        <v>15743256.80836894</v>
      </c>
      <c r="G28" s="32"/>
      <c r="H28" s="31">
        <f>H5-H26</f>
        <v>4403676.9000000004</v>
      </c>
      <c r="I28" s="33"/>
      <c r="J28" s="31">
        <f>J5-J26</f>
        <v>47533010.589999996</v>
      </c>
      <c r="K28" s="33"/>
      <c r="L28" s="31">
        <f>L5-L26</f>
        <v>20509746.360599861</v>
      </c>
      <c r="M28" s="33"/>
      <c r="N28" s="31">
        <f>N5-N26</f>
        <v>3388916.82</v>
      </c>
      <c r="O28" s="33"/>
      <c r="P28" s="31">
        <f>P5-P26</f>
        <v>4438636.42</v>
      </c>
      <c r="Q28" s="33"/>
      <c r="R28" s="31">
        <f>R5-R26</f>
        <v>23983551.629999999</v>
      </c>
      <c r="S28" s="33"/>
      <c r="T28" s="31">
        <f>T5-T26</f>
        <v>37439761.360439941</v>
      </c>
      <c r="U28" s="33"/>
      <c r="V28" s="31">
        <f>V5-V26</f>
        <v>17003301.940169979</v>
      </c>
      <c r="W28" s="33"/>
    </row>
  </sheetData>
  <mergeCells count="12">
    <mergeCell ref="N3:O3"/>
    <mergeCell ref="P3:Q3"/>
    <mergeCell ref="R3:S3"/>
    <mergeCell ref="T3:U3"/>
    <mergeCell ref="V3:W3"/>
    <mergeCell ref="J3:K3"/>
    <mergeCell ref="L3:M3"/>
    <mergeCell ref="A4:A5"/>
    <mergeCell ref="D3:E3"/>
    <mergeCell ref="F3:G3"/>
    <mergeCell ref="B3:C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zoomScale="80" zoomScaleNormal="8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F26" sqref="F26"/>
    </sheetView>
  </sheetViews>
  <sheetFormatPr baseColWidth="10" defaultRowHeight="14.5" x14ac:dyDescent="0.35"/>
  <cols>
    <col min="1" max="1" width="22.81640625" style="1" customWidth="1"/>
    <col min="2" max="2" width="16.26953125" style="1" bestFit="1" customWidth="1"/>
    <col min="3" max="3" width="16.36328125" style="1" customWidth="1"/>
    <col min="4" max="4" width="13" style="1" bestFit="1" customWidth="1"/>
    <col min="5" max="5" width="11.90625" style="1" bestFit="1" customWidth="1"/>
    <col min="6" max="6" width="13" style="1" bestFit="1" customWidth="1"/>
    <col min="7" max="7" width="11.90625" style="1" bestFit="1" customWidth="1"/>
    <col min="8" max="8" width="13" style="1" bestFit="1" customWidth="1"/>
    <col min="9" max="9" width="12.6328125" style="1" customWidth="1"/>
    <col min="10" max="10" width="14.453125" style="1" bestFit="1" customWidth="1"/>
    <col min="11" max="11" width="10.90625" style="1"/>
    <col min="12" max="12" width="13" style="1" bestFit="1" customWidth="1"/>
    <col min="13" max="13" width="10.90625" style="1"/>
    <col min="14" max="14" width="11.90625" style="1" bestFit="1" customWidth="1"/>
    <col min="15" max="15" width="10.90625" style="1"/>
    <col min="16" max="16" width="13" style="1" bestFit="1" customWidth="1"/>
    <col min="17" max="17" width="10.90625" style="1"/>
    <col min="18" max="18" width="13" style="1" bestFit="1" customWidth="1"/>
    <col min="19" max="19" width="10.90625" style="1"/>
    <col min="20" max="20" width="14.453125" style="1" bestFit="1" customWidth="1"/>
    <col min="21" max="21" width="10.90625" style="1"/>
    <col min="22" max="22" width="13" style="1" bestFit="1" customWidth="1"/>
    <col min="23" max="16384" width="10.90625" style="1"/>
  </cols>
  <sheetData>
    <row r="1" spans="1:23" ht="21" x14ac:dyDescent="0.5">
      <c r="A1" s="2" t="s">
        <v>34</v>
      </c>
      <c r="B1" s="23"/>
      <c r="D1" s="13"/>
    </row>
    <row r="2" spans="1:23" ht="21" x14ac:dyDescent="0.5">
      <c r="A2" s="2"/>
      <c r="B2" s="29"/>
      <c r="N2" s="23"/>
    </row>
    <row r="3" spans="1:23" x14ac:dyDescent="0.35">
      <c r="A3" s="3"/>
      <c r="B3" s="38" t="s">
        <v>0</v>
      </c>
      <c r="C3" s="38"/>
      <c r="D3" s="38" t="s">
        <v>1</v>
      </c>
      <c r="E3" s="38"/>
      <c r="F3" s="38" t="s">
        <v>2</v>
      </c>
      <c r="G3" s="38"/>
      <c r="H3" s="38" t="s">
        <v>6</v>
      </c>
      <c r="I3" s="38"/>
      <c r="J3" s="38" t="s">
        <v>7</v>
      </c>
      <c r="K3" s="38"/>
      <c r="L3" s="38" t="s">
        <v>8</v>
      </c>
      <c r="M3" s="38"/>
      <c r="N3" s="38" t="s">
        <v>13</v>
      </c>
      <c r="O3" s="38"/>
      <c r="P3" s="38" t="s">
        <v>9</v>
      </c>
      <c r="Q3" s="38"/>
      <c r="R3" s="38" t="s">
        <v>10</v>
      </c>
      <c r="S3" s="38"/>
      <c r="T3" s="38" t="s">
        <v>11</v>
      </c>
      <c r="U3" s="38"/>
      <c r="V3" s="38" t="s">
        <v>12</v>
      </c>
      <c r="W3" s="38"/>
    </row>
    <row r="4" spans="1:23" s="7" customFormat="1" x14ac:dyDescent="0.35">
      <c r="A4" s="39" t="s">
        <v>48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  <c r="L4" s="10" t="s">
        <v>4</v>
      </c>
      <c r="M4" s="10" t="s">
        <v>5</v>
      </c>
      <c r="N4" s="10" t="s">
        <v>4</v>
      </c>
      <c r="O4" s="10" t="s">
        <v>5</v>
      </c>
      <c r="P4" s="10" t="s">
        <v>4</v>
      </c>
      <c r="Q4" s="10" t="s">
        <v>5</v>
      </c>
      <c r="R4" s="10" t="s">
        <v>4</v>
      </c>
      <c r="S4" s="10" t="s">
        <v>5</v>
      </c>
      <c r="T4" s="10" t="s">
        <v>4</v>
      </c>
      <c r="U4" s="10" t="s">
        <v>5</v>
      </c>
      <c r="V4" s="10" t="s">
        <v>4</v>
      </c>
      <c r="W4" s="10" t="s">
        <v>5</v>
      </c>
    </row>
    <row r="5" spans="1:23" ht="20" customHeight="1" x14ac:dyDescent="0.35">
      <c r="A5" s="40"/>
      <c r="B5" s="8">
        <v>171816298.36000001</v>
      </c>
      <c r="C5" s="11">
        <v>2859</v>
      </c>
      <c r="D5" s="8">
        <v>174650.05</v>
      </c>
      <c r="E5" s="11">
        <v>28</v>
      </c>
      <c r="F5" s="8">
        <v>13803286.42</v>
      </c>
      <c r="G5" s="11">
        <v>1343</v>
      </c>
      <c r="H5" s="8">
        <v>8175537.8099999996</v>
      </c>
      <c r="I5" s="12">
        <v>77</v>
      </c>
      <c r="J5" s="8">
        <v>56315546.219999999</v>
      </c>
      <c r="K5" s="12">
        <v>460</v>
      </c>
      <c r="L5" s="8">
        <v>16320661.880000001</v>
      </c>
      <c r="M5" s="12">
        <v>175</v>
      </c>
      <c r="N5" s="8">
        <v>3017386.82</v>
      </c>
      <c r="O5" s="12">
        <v>50</v>
      </c>
      <c r="P5" s="8">
        <v>9635799.8599999994</v>
      </c>
      <c r="Q5" s="12">
        <v>72</v>
      </c>
      <c r="R5" s="8">
        <v>20983345.210000001</v>
      </c>
      <c r="S5" s="12">
        <v>217</v>
      </c>
      <c r="T5" s="8">
        <v>30438640.07</v>
      </c>
      <c r="U5" s="12">
        <v>317</v>
      </c>
      <c r="V5" s="8">
        <v>12951444.02</v>
      </c>
      <c r="W5" s="12">
        <v>120</v>
      </c>
    </row>
    <row r="6" spans="1:23" s="7" customFormat="1" ht="29" x14ac:dyDescent="0.35">
      <c r="A6" s="9" t="s">
        <v>32</v>
      </c>
      <c r="B6" s="14" t="s">
        <v>17</v>
      </c>
      <c r="C6" s="10" t="s">
        <v>5</v>
      </c>
      <c r="D6" s="14" t="s">
        <v>17</v>
      </c>
      <c r="E6" s="10" t="s">
        <v>5</v>
      </c>
      <c r="F6" s="14" t="s">
        <v>17</v>
      </c>
      <c r="G6" s="10" t="s">
        <v>5</v>
      </c>
      <c r="H6" s="14" t="s">
        <v>17</v>
      </c>
      <c r="I6" s="10" t="s">
        <v>5</v>
      </c>
      <c r="J6" s="14" t="s">
        <v>17</v>
      </c>
      <c r="K6" s="10" t="s">
        <v>5</v>
      </c>
      <c r="L6" s="14" t="s">
        <v>17</v>
      </c>
      <c r="M6" s="10" t="s">
        <v>5</v>
      </c>
      <c r="N6" s="14" t="s">
        <v>17</v>
      </c>
      <c r="O6" s="10" t="s">
        <v>5</v>
      </c>
      <c r="P6" s="14" t="s">
        <v>17</v>
      </c>
      <c r="Q6" s="10" t="s">
        <v>5</v>
      </c>
      <c r="R6" s="14" t="s">
        <v>17</v>
      </c>
      <c r="S6" s="10" t="s">
        <v>5</v>
      </c>
      <c r="T6" s="14" t="s">
        <v>17</v>
      </c>
      <c r="U6" s="10" t="s">
        <v>5</v>
      </c>
      <c r="V6" s="14" t="s">
        <v>17</v>
      </c>
      <c r="W6" s="10" t="s">
        <v>5</v>
      </c>
    </row>
    <row r="7" spans="1:23" x14ac:dyDescent="0.35">
      <c r="A7" s="5" t="s">
        <v>14</v>
      </c>
      <c r="B7" s="13">
        <f>1-B8-B9-B10</f>
        <v>0.20312752453131114</v>
      </c>
      <c r="C7" s="30" t="s">
        <v>47</v>
      </c>
      <c r="D7" s="13">
        <f>1-D8-D9-D10</f>
        <v>0.48571443294748601</v>
      </c>
      <c r="E7" s="28">
        <f>E5-E8-E9-E10</f>
        <v>13</v>
      </c>
      <c r="F7" s="13">
        <f>1-F8-F9-F10</f>
        <v>0.34701854864502624</v>
      </c>
      <c r="G7" s="30" t="s">
        <v>47</v>
      </c>
      <c r="H7" s="13">
        <f>1-H8-H9-H10</f>
        <v>0.30727126072700539</v>
      </c>
      <c r="I7" s="28">
        <f>I5-I8-I9-I10</f>
        <v>30</v>
      </c>
      <c r="J7" s="13">
        <f>1-J8-J9-J10</f>
        <v>0.26963128725913599</v>
      </c>
      <c r="K7" s="28">
        <f>K5-K8-K9-K10</f>
        <v>130</v>
      </c>
      <c r="L7" s="13">
        <f>1-L8-L9-L10</f>
        <v>0.14709096344565706</v>
      </c>
      <c r="M7" s="30" t="s">
        <v>47</v>
      </c>
      <c r="N7" s="13">
        <f>1-N8-N9-N10</f>
        <v>0.17526881753927701</v>
      </c>
      <c r="O7" s="28">
        <f>O5-O8-O9-O10</f>
        <v>14</v>
      </c>
      <c r="P7" s="13">
        <f>1-P8-P9-P10</f>
        <v>0.16579836476595311</v>
      </c>
      <c r="Q7" s="30" t="s">
        <v>47</v>
      </c>
      <c r="R7" s="13">
        <f>1-R8-R9-R10</f>
        <v>0.14809055367011204</v>
      </c>
      <c r="S7" s="28">
        <f>S5-S8-S9-S10</f>
        <v>37</v>
      </c>
      <c r="T7" s="13">
        <f>1-T8-T9-T10</f>
        <v>0.10167803367307265</v>
      </c>
      <c r="U7" s="30" t="s">
        <v>47</v>
      </c>
      <c r="V7" s="13">
        <f>1-V8-V9-V10</f>
        <v>0.12352290737075583</v>
      </c>
      <c r="W7" s="30" t="s">
        <v>47</v>
      </c>
    </row>
    <row r="8" spans="1:23" x14ac:dyDescent="0.35">
      <c r="A8" s="5" t="s">
        <v>30</v>
      </c>
      <c r="B8" s="13">
        <v>2.7850151852148189E-2</v>
      </c>
      <c r="C8" s="30" t="s">
        <v>47</v>
      </c>
      <c r="D8" s="13">
        <v>0</v>
      </c>
      <c r="E8">
        <v>0</v>
      </c>
      <c r="F8" s="13">
        <v>0.3095132470633758</v>
      </c>
      <c r="G8" s="30" t="s">
        <v>47</v>
      </c>
      <c r="H8" s="13">
        <v>0</v>
      </c>
      <c r="I8" s="36">
        <v>0</v>
      </c>
      <c r="J8" s="13">
        <v>0</v>
      </c>
      <c r="K8" s="36">
        <v>0</v>
      </c>
      <c r="L8" s="13">
        <v>1.9174467451193836E-2</v>
      </c>
      <c r="M8" s="30" t="s">
        <v>47</v>
      </c>
      <c r="N8" s="13">
        <v>0</v>
      </c>
      <c r="O8" s="36">
        <v>0</v>
      </c>
      <c r="P8" s="13">
        <v>4.659706578837141E-3</v>
      </c>
      <c r="Q8" s="30" t="s">
        <v>47</v>
      </c>
      <c r="R8" s="13">
        <v>0</v>
      </c>
      <c r="S8" s="36">
        <v>0</v>
      </c>
      <c r="T8" s="13">
        <v>2.791846147021377E-3</v>
      </c>
      <c r="U8" s="30" t="s">
        <v>47</v>
      </c>
      <c r="V8" s="13">
        <v>5.4040306155761003E-3</v>
      </c>
      <c r="W8" s="30" t="s">
        <v>47</v>
      </c>
    </row>
    <row r="9" spans="1:23" x14ac:dyDescent="0.35">
      <c r="A9" s="5" t="s">
        <v>28</v>
      </c>
      <c r="B9" s="13">
        <v>0.60951085548692308</v>
      </c>
      <c r="C9">
        <v>1036</v>
      </c>
      <c r="D9" s="13">
        <v>0.34285704470167599</v>
      </c>
      <c r="E9">
        <v>9</v>
      </c>
      <c r="F9" s="13">
        <v>0.18429813905143899</v>
      </c>
      <c r="G9">
        <v>152</v>
      </c>
      <c r="H9" s="13">
        <v>0.61384707852020803</v>
      </c>
      <c r="I9">
        <v>35</v>
      </c>
      <c r="J9" s="13">
        <v>0.60434986934234902</v>
      </c>
      <c r="K9">
        <v>262</v>
      </c>
      <c r="L9" s="13">
        <v>0.63560841320486905</v>
      </c>
      <c r="M9">
        <v>104</v>
      </c>
      <c r="N9" s="13">
        <v>0.657076178254136</v>
      </c>
      <c r="O9">
        <v>24</v>
      </c>
      <c r="P9" s="13">
        <v>0.76036240960280799</v>
      </c>
      <c r="Q9">
        <v>45</v>
      </c>
      <c r="R9" s="13">
        <v>0.69400612029486797</v>
      </c>
      <c r="S9">
        <v>133</v>
      </c>
      <c r="T9" s="13">
        <v>0.66437918886959002</v>
      </c>
      <c r="U9">
        <v>195</v>
      </c>
      <c r="V9" s="13">
        <v>0.66394171852352302</v>
      </c>
      <c r="W9">
        <v>77</v>
      </c>
    </row>
    <row r="10" spans="1:23" x14ac:dyDescent="0.35">
      <c r="A10" s="5" t="s">
        <v>29</v>
      </c>
      <c r="B10" s="13">
        <v>0.15951146812961756</v>
      </c>
      <c r="C10">
        <v>477</v>
      </c>
      <c r="D10" s="13">
        <v>0.171428522350838</v>
      </c>
      <c r="E10">
        <v>6</v>
      </c>
      <c r="F10" s="13">
        <v>0.159170065240159</v>
      </c>
      <c r="G10">
        <v>198</v>
      </c>
      <c r="H10" s="13">
        <v>7.8881660752786603E-2</v>
      </c>
      <c r="I10">
        <v>12</v>
      </c>
      <c r="J10" s="13">
        <v>0.12601884339851499</v>
      </c>
      <c r="K10">
        <v>68</v>
      </c>
      <c r="L10" s="13">
        <v>0.19812615589828</v>
      </c>
      <c r="M10">
        <v>35</v>
      </c>
      <c r="N10" s="13">
        <v>0.16765500420658699</v>
      </c>
      <c r="O10">
        <v>12</v>
      </c>
      <c r="P10" s="13">
        <v>6.9179519052401703E-2</v>
      </c>
      <c r="Q10">
        <v>9</v>
      </c>
      <c r="R10" s="13">
        <v>0.15790332603502</v>
      </c>
      <c r="S10">
        <v>47</v>
      </c>
      <c r="T10" s="13">
        <v>0.231150931310316</v>
      </c>
      <c r="U10">
        <v>65</v>
      </c>
      <c r="V10" s="13">
        <v>0.207131343490145</v>
      </c>
      <c r="W10">
        <v>25</v>
      </c>
    </row>
    <row r="11" spans="1:23" ht="29" x14ac:dyDescent="0.35">
      <c r="A11" s="34" t="s">
        <v>33</v>
      </c>
      <c r="B11" s="14" t="s">
        <v>17</v>
      </c>
      <c r="C11" s="10" t="s">
        <v>5</v>
      </c>
      <c r="D11" s="14" t="s">
        <v>17</v>
      </c>
      <c r="E11" s="10" t="s">
        <v>5</v>
      </c>
      <c r="F11" s="14" t="s">
        <v>17</v>
      </c>
      <c r="G11" s="10" t="s">
        <v>5</v>
      </c>
      <c r="H11" s="14" t="s">
        <v>17</v>
      </c>
      <c r="I11" s="10" t="s">
        <v>5</v>
      </c>
      <c r="J11" s="14" t="s">
        <v>17</v>
      </c>
      <c r="K11" s="10" t="s">
        <v>5</v>
      </c>
      <c r="L11" s="14" t="s">
        <v>17</v>
      </c>
      <c r="M11" s="10" t="s">
        <v>5</v>
      </c>
      <c r="N11" s="14" t="s">
        <v>17</v>
      </c>
      <c r="O11" s="10" t="s">
        <v>5</v>
      </c>
      <c r="P11" s="14" t="s">
        <v>17</v>
      </c>
      <c r="Q11" s="10" t="s">
        <v>5</v>
      </c>
      <c r="R11" s="14" t="s">
        <v>17</v>
      </c>
      <c r="S11" s="10" t="s">
        <v>5</v>
      </c>
      <c r="T11" s="14" t="s">
        <v>17</v>
      </c>
      <c r="U11" s="10" t="s">
        <v>5</v>
      </c>
      <c r="V11" s="14" t="s">
        <v>17</v>
      </c>
      <c r="W11" s="10" t="s">
        <v>5</v>
      </c>
    </row>
    <row r="12" spans="1:23" x14ac:dyDescent="0.35">
      <c r="A12" s="5" t="s">
        <v>27</v>
      </c>
      <c r="B12" s="13">
        <v>0.66751348442913805</v>
      </c>
      <c r="C12">
        <v>1415</v>
      </c>
      <c r="D12" s="13">
        <v>0.34285704470167599</v>
      </c>
      <c r="E12">
        <v>9</v>
      </c>
      <c r="F12" s="13">
        <v>0.145131379516792</v>
      </c>
      <c r="G12">
        <v>144</v>
      </c>
      <c r="H12" s="13">
        <v>0.19181979662326301</v>
      </c>
      <c r="I12">
        <v>20</v>
      </c>
      <c r="J12" s="13">
        <v>0.57611995581563902</v>
      </c>
      <c r="K12">
        <v>252</v>
      </c>
      <c r="L12" s="13">
        <v>0.59474487440334101</v>
      </c>
      <c r="M12">
        <v>100</v>
      </c>
      <c r="N12" s="13">
        <v>0.26804087385786401</v>
      </c>
      <c r="O12">
        <v>16</v>
      </c>
      <c r="P12" s="13">
        <v>9.4543267111818194E-2</v>
      </c>
      <c r="Q12">
        <v>14</v>
      </c>
      <c r="R12" s="13">
        <v>0.57134836605016204</v>
      </c>
      <c r="S12">
        <v>119</v>
      </c>
      <c r="T12" s="13">
        <v>0.637113516090142</v>
      </c>
      <c r="U12">
        <v>189</v>
      </c>
      <c r="V12" s="13">
        <v>0.64850174135254501</v>
      </c>
      <c r="W12">
        <v>75</v>
      </c>
    </row>
    <row r="13" spans="1:23" x14ac:dyDescent="0.35">
      <c r="A13" s="5" t="s">
        <v>50</v>
      </c>
      <c r="B13" s="13">
        <v>8.0318340761162204E-4</v>
      </c>
      <c r="C13">
        <v>1</v>
      </c>
      <c r="D13" s="13"/>
      <c r="E13"/>
      <c r="F13" s="13"/>
      <c r="G13"/>
      <c r="H13" s="13"/>
      <c r="I13"/>
      <c r="J13" s="13"/>
      <c r="K13"/>
      <c r="L13" s="13"/>
      <c r="M13"/>
      <c r="N13" s="13"/>
      <c r="O13"/>
      <c r="P13" s="13">
        <v>1.4321592603107501E-2</v>
      </c>
      <c r="Q13">
        <v>1</v>
      </c>
      <c r="R13" s="13"/>
      <c r="S13"/>
      <c r="T13" s="13"/>
      <c r="U13"/>
      <c r="V13" s="13"/>
      <c r="W13"/>
    </row>
    <row r="14" spans="1:23" x14ac:dyDescent="0.35">
      <c r="A14" s="5" t="s">
        <v>18</v>
      </c>
      <c r="B14" s="13">
        <v>8.7133020225078503E-2</v>
      </c>
      <c r="C14">
        <v>93</v>
      </c>
      <c r="D14" s="22"/>
      <c r="E14" s="6"/>
      <c r="F14" s="13">
        <v>3.91667595346471E-2</v>
      </c>
      <c r="G14">
        <v>8</v>
      </c>
      <c r="H14" s="13">
        <v>0.30753940088499199</v>
      </c>
      <c r="I14">
        <v>13</v>
      </c>
      <c r="J14" s="13">
        <v>2.82299135267093E-2</v>
      </c>
      <c r="K14">
        <v>10</v>
      </c>
      <c r="L14" s="13">
        <v>4.0863538801528099E-2</v>
      </c>
      <c r="M14">
        <v>4</v>
      </c>
      <c r="N14" s="13">
        <v>0.38903530439627199</v>
      </c>
      <c r="O14">
        <v>8</v>
      </c>
      <c r="P14" s="13">
        <v>0.50662114935210001</v>
      </c>
      <c r="Q14">
        <v>28</v>
      </c>
      <c r="R14" s="13">
        <v>0.122657754244706</v>
      </c>
      <c r="S14">
        <v>14</v>
      </c>
      <c r="T14" s="13">
        <v>2.7265672779447501E-2</v>
      </c>
      <c r="U14">
        <v>6</v>
      </c>
      <c r="V14" s="13">
        <v>1.5439977170978E-2</v>
      </c>
      <c r="W14">
        <v>2</v>
      </c>
    </row>
    <row r="15" spans="1:23" x14ac:dyDescent="0.35">
      <c r="A15" s="5" t="s">
        <v>19</v>
      </c>
      <c r="B15" s="13">
        <v>1.35726355547123E-2</v>
      </c>
      <c r="C15">
        <v>4</v>
      </c>
      <c r="D15" s="6"/>
      <c r="E15" s="6"/>
      <c r="F15" s="6"/>
      <c r="G15" s="6"/>
      <c r="H15" s="13">
        <v>0.11448788101195299</v>
      </c>
      <c r="I15">
        <v>2</v>
      </c>
      <c r="N15" s="13"/>
      <c r="O15"/>
      <c r="P15" s="13">
        <v>0.14487640053578299</v>
      </c>
      <c r="Q15">
        <v>2</v>
      </c>
      <c r="R15" s="13"/>
      <c r="S15"/>
      <c r="T15" s="13"/>
      <c r="U15"/>
    </row>
    <row r="16" spans="1:23" s="16" customFormat="1" ht="43.5" x14ac:dyDescent="0.35">
      <c r="A16" s="34" t="s">
        <v>31</v>
      </c>
      <c r="B16" s="15" t="s">
        <v>4</v>
      </c>
      <c r="C16" s="15" t="s">
        <v>23</v>
      </c>
      <c r="D16" s="15" t="s">
        <v>4</v>
      </c>
      <c r="E16" s="15" t="s">
        <v>17</v>
      </c>
      <c r="F16" s="15" t="s">
        <v>4</v>
      </c>
      <c r="G16" s="15" t="s">
        <v>17</v>
      </c>
      <c r="H16" s="15" t="s">
        <v>4</v>
      </c>
      <c r="I16" s="15" t="s">
        <v>17</v>
      </c>
      <c r="J16" s="15" t="s">
        <v>4</v>
      </c>
      <c r="K16" s="15" t="s">
        <v>17</v>
      </c>
      <c r="L16" s="15" t="s">
        <v>4</v>
      </c>
      <c r="M16" s="15" t="s">
        <v>17</v>
      </c>
      <c r="N16" s="15" t="s">
        <v>4</v>
      </c>
      <c r="O16" s="15" t="s">
        <v>17</v>
      </c>
      <c r="P16" s="15" t="s">
        <v>4</v>
      </c>
      <c r="Q16" s="15" t="s">
        <v>17</v>
      </c>
      <c r="R16" s="15" t="s">
        <v>4</v>
      </c>
      <c r="S16" s="15" t="s">
        <v>17</v>
      </c>
      <c r="T16" s="15" t="s">
        <v>4</v>
      </c>
      <c r="U16" s="15" t="s">
        <v>17</v>
      </c>
      <c r="V16" s="15" t="s">
        <v>4</v>
      </c>
      <c r="W16" s="15" t="s">
        <v>17</v>
      </c>
    </row>
    <row r="17" spans="1:24" x14ac:dyDescent="0.35">
      <c r="A17" s="5" t="s">
        <v>20</v>
      </c>
      <c r="B17" s="17">
        <v>5753096.9500000002</v>
      </c>
      <c r="C17" s="13">
        <v>6.59131243914481E-2</v>
      </c>
      <c r="D17" s="17">
        <v>2392.5100000000002</v>
      </c>
      <c r="E17" s="13">
        <v>3.99550768203073E-2</v>
      </c>
      <c r="F17" s="17">
        <v>100334.08</v>
      </c>
      <c r="G17" s="13">
        <v>5.0084650749516998E-2</v>
      </c>
      <c r="H17" s="17">
        <v>55107.88</v>
      </c>
      <c r="I17" s="13">
        <v>3.5140177142383502E-2</v>
      </c>
      <c r="J17" s="17">
        <v>2103413.14</v>
      </c>
      <c r="K17" s="13">
        <v>6.4831095923470597E-2</v>
      </c>
      <c r="L17" s="17">
        <v>660109.67000000004</v>
      </c>
      <c r="M17" s="13">
        <v>6.8006060805861607E-2</v>
      </c>
      <c r="N17" s="17">
        <v>41597.86</v>
      </c>
      <c r="O17" s="13">
        <v>5.1432658698315897E-2</v>
      </c>
      <c r="P17" s="17">
        <v>26377.19</v>
      </c>
      <c r="Q17" s="13">
        <v>2.89541053787047E-2</v>
      </c>
      <c r="R17" s="17">
        <v>762122.35</v>
      </c>
      <c r="S17" s="13">
        <v>6.3569527392232705E-2</v>
      </c>
      <c r="T17" s="17">
        <v>1403639.59</v>
      </c>
      <c r="U17" s="13">
        <v>7.2379161123606803E-2</v>
      </c>
      <c r="V17" s="17">
        <v>598002.68000000005</v>
      </c>
      <c r="W17" s="13">
        <v>7.1198983121154205E-2</v>
      </c>
    </row>
    <row r="18" spans="1:24" x14ac:dyDescent="0.35">
      <c r="A18" s="5" t="s">
        <v>50</v>
      </c>
      <c r="B18" s="17">
        <v>12198.87</v>
      </c>
      <c r="C18" s="13">
        <v>8.8397608695652205E-2</v>
      </c>
      <c r="D18" s="4"/>
      <c r="E18" s="4"/>
      <c r="F18" s="17"/>
      <c r="G18" s="13"/>
      <c r="H18" s="17"/>
      <c r="I18" s="13"/>
      <c r="J18" s="17"/>
      <c r="K18" s="13"/>
      <c r="L18" s="17"/>
      <c r="M18" s="13"/>
      <c r="N18" s="17"/>
      <c r="O18" s="13"/>
      <c r="P18" s="17">
        <v>12198.87</v>
      </c>
      <c r="Q18" s="13">
        <v>8.8397608695652205E-2</v>
      </c>
      <c r="R18" s="17"/>
      <c r="S18" s="13"/>
      <c r="T18" s="17"/>
      <c r="U18" s="13"/>
      <c r="V18" s="17"/>
      <c r="W18" s="13"/>
    </row>
    <row r="19" spans="1:24" x14ac:dyDescent="0.35">
      <c r="A19" s="5" t="s">
        <v>18</v>
      </c>
      <c r="B19" s="17">
        <v>1712183.98</v>
      </c>
      <c r="C19" s="13">
        <v>0.11436767782346401</v>
      </c>
      <c r="D19" s="4"/>
      <c r="E19" s="4"/>
      <c r="F19" s="17">
        <v>58131.38</v>
      </c>
      <c r="G19" s="13">
        <v>0.107525257569872</v>
      </c>
      <c r="H19" s="17">
        <v>298881.45</v>
      </c>
      <c r="I19" s="13">
        <v>0.11887262856461001</v>
      </c>
      <c r="J19" s="17">
        <v>170620.28</v>
      </c>
      <c r="K19" s="13">
        <v>0.107322999428224</v>
      </c>
      <c r="L19" s="17">
        <v>77803.83</v>
      </c>
      <c r="M19" s="13">
        <v>0.11666141366280799</v>
      </c>
      <c r="N19" s="17">
        <v>139072.21</v>
      </c>
      <c r="O19" s="13">
        <v>0.118473263649297</v>
      </c>
      <c r="P19" s="17">
        <v>573235.96</v>
      </c>
      <c r="Q19" s="13">
        <v>0.117425478829096</v>
      </c>
      <c r="R19" s="17">
        <v>283584.34000000003</v>
      </c>
      <c r="S19" s="13">
        <v>0.110182471627224</v>
      </c>
      <c r="T19" s="17">
        <v>89330.52</v>
      </c>
      <c r="U19" s="13">
        <v>0.10763621028279501</v>
      </c>
      <c r="V19" s="17">
        <v>21524.01</v>
      </c>
      <c r="W19" s="13">
        <v>0.107636195429314</v>
      </c>
    </row>
    <row r="20" spans="1:24" x14ac:dyDescent="0.35">
      <c r="A20" s="5" t="s">
        <v>19</v>
      </c>
      <c r="B20" s="17">
        <v>453546.26</v>
      </c>
      <c r="C20" s="13">
        <v>0.19448810463121799</v>
      </c>
      <c r="D20" s="4"/>
      <c r="E20" s="4"/>
      <c r="F20" s="4"/>
      <c r="G20" s="4"/>
      <c r="H20" s="17">
        <v>182040.87</v>
      </c>
      <c r="I20" s="13">
        <v>0.194488108974359</v>
      </c>
      <c r="N20" s="17"/>
      <c r="O20" s="13"/>
      <c r="P20" s="17">
        <v>271505.39</v>
      </c>
      <c r="Q20" s="13">
        <v>0.194488101719198</v>
      </c>
      <c r="R20" s="17"/>
      <c r="S20" s="13"/>
      <c r="T20" s="17"/>
      <c r="U20" s="13"/>
    </row>
    <row r="21" spans="1:24" x14ac:dyDescent="0.35">
      <c r="A21" s="5" t="s">
        <v>0</v>
      </c>
      <c r="B21" s="17">
        <v>7931026.0599999996</v>
      </c>
      <c r="C21" s="13">
        <v>7.5732723244003694E-2</v>
      </c>
      <c r="D21" s="17">
        <v>2392.5100000000002</v>
      </c>
      <c r="E21" s="13">
        <v>3.99550768203073E-2</v>
      </c>
      <c r="F21" s="17">
        <v>158465.46</v>
      </c>
      <c r="G21" s="13">
        <v>6.2291840938394301E-2</v>
      </c>
      <c r="H21" s="17">
        <v>536030.19999999995</v>
      </c>
      <c r="I21" s="13">
        <v>0.10681020139363499</v>
      </c>
      <c r="J21" s="17">
        <v>2274033.42</v>
      </c>
      <c r="K21" s="13">
        <v>6.6815944141986397E-2</v>
      </c>
      <c r="L21" s="17">
        <v>737913.5</v>
      </c>
      <c r="M21" s="13">
        <v>7.1134134409146302E-2</v>
      </c>
      <c r="N21" s="17">
        <v>180670.07</v>
      </c>
      <c r="O21" s="13">
        <v>9.1125411254516106E-2</v>
      </c>
      <c r="P21" s="17">
        <v>883317.41</v>
      </c>
      <c r="Q21" s="13">
        <v>0.12056142738204099</v>
      </c>
      <c r="R21" s="17">
        <v>1045706.69</v>
      </c>
      <c r="S21" s="13">
        <v>7.1807839550299193E-2</v>
      </c>
      <c r="T21" s="17">
        <v>1492970.11</v>
      </c>
      <c r="U21" s="13">
        <v>7.3826086586728207E-2</v>
      </c>
      <c r="V21" s="17">
        <v>619526.68999999994</v>
      </c>
      <c r="W21" s="13">
        <v>7.2046331179750595E-2</v>
      </c>
    </row>
    <row r="22" spans="1:24" s="16" customFormat="1" ht="29" x14ac:dyDescent="0.35">
      <c r="A22" s="34" t="s">
        <v>26</v>
      </c>
      <c r="B22" s="15" t="s">
        <v>4</v>
      </c>
      <c r="C22" s="15" t="s">
        <v>17</v>
      </c>
      <c r="D22" s="15" t="s">
        <v>4</v>
      </c>
      <c r="E22" s="15" t="s">
        <v>17</v>
      </c>
      <c r="F22" s="15" t="s">
        <v>4</v>
      </c>
      <c r="G22" s="15" t="s">
        <v>17</v>
      </c>
      <c r="H22" s="15" t="s">
        <v>4</v>
      </c>
      <c r="I22" s="15" t="s">
        <v>17</v>
      </c>
      <c r="J22" s="15" t="s">
        <v>4</v>
      </c>
      <c r="K22" s="15" t="s">
        <v>17</v>
      </c>
      <c r="L22" s="15" t="s">
        <v>4</v>
      </c>
      <c r="M22" s="15" t="s">
        <v>17</v>
      </c>
      <c r="N22" s="15" t="s">
        <v>4</v>
      </c>
      <c r="O22" s="15" t="s">
        <v>17</v>
      </c>
      <c r="P22" s="15" t="s">
        <v>4</v>
      </c>
      <c r="Q22" s="15" t="s">
        <v>17</v>
      </c>
      <c r="R22" s="15" t="s">
        <v>4</v>
      </c>
      <c r="S22" s="15" t="s">
        <v>17</v>
      </c>
      <c r="T22" s="15" t="s">
        <v>4</v>
      </c>
      <c r="U22" s="15" t="s">
        <v>17</v>
      </c>
      <c r="V22" s="15" t="s">
        <v>4</v>
      </c>
      <c r="W22" s="15" t="s">
        <v>17</v>
      </c>
    </row>
    <row r="23" spans="1:24" x14ac:dyDescent="0.35">
      <c r="A23" s="5" t="s">
        <v>16</v>
      </c>
      <c r="B23" s="19">
        <v>2012197.7</v>
      </c>
      <c r="C23" s="13">
        <v>1.9214312293700998E-2</v>
      </c>
      <c r="D23" s="17">
        <v>1112.77</v>
      </c>
      <c r="E23" s="13">
        <v>1.8583333333333299E-2</v>
      </c>
      <c r="F23" s="20">
        <v>51414.19</v>
      </c>
      <c r="G23" s="13">
        <v>2.0210615899871099E-2</v>
      </c>
      <c r="H23" s="20">
        <v>93425.44</v>
      </c>
      <c r="I23" s="13">
        <v>1.8616096745461299E-2</v>
      </c>
      <c r="J23" s="20">
        <v>660030.07999999996</v>
      </c>
      <c r="K23" s="13">
        <v>1.9393089199766799E-2</v>
      </c>
      <c r="L23" s="20">
        <v>195066.71</v>
      </c>
      <c r="M23" s="13">
        <v>1.8804238664680801E-2</v>
      </c>
      <c r="N23" s="20">
        <v>35687.75</v>
      </c>
      <c r="O23" s="13">
        <v>1.7999997982501199E-2</v>
      </c>
      <c r="P23" s="20">
        <v>137431.6</v>
      </c>
      <c r="Q23" s="13">
        <v>1.8757639865150701E-2</v>
      </c>
      <c r="R23" s="20">
        <v>294054.36</v>
      </c>
      <c r="S23" s="13">
        <v>2.0192477014702798E-2</v>
      </c>
      <c r="T23" s="20">
        <v>382213.48</v>
      </c>
      <c r="U23" s="13">
        <v>1.8900127524384702E-2</v>
      </c>
      <c r="V23" s="20">
        <v>161761.32</v>
      </c>
      <c r="W23" s="13">
        <v>1.8811634463712298E-2</v>
      </c>
    </row>
    <row r="24" spans="1:24" x14ac:dyDescent="0.35">
      <c r="A24" s="5" t="s">
        <v>15</v>
      </c>
      <c r="B24" s="19">
        <v>274066.7</v>
      </c>
      <c r="C24" s="13">
        <v>0.01</v>
      </c>
      <c r="D24" s="17">
        <v>299.39999999999998</v>
      </c>
      <c r="E24" s="13">
        <v>0.01</v>
      </c>
      <c r="F24" s="20">
        <v>21970.7</v>
      </c>
      <c r="G24" s="13">
        <v>0.01</v>
      </c>
      <c r="H24" s="20">
        <v>6449</v>
      </c>
      <c r="I24" s="13">
        <v>0.01</v>
      </c>
      <c r="J24" s="20">
        <v>70968.2</v>
      </c>
      <c r="K24" s="13">
        <v>0.01</v>
      </c>
      <c r="L24" s="20">
        <v>32335.5</v>
      </c>
      <c r="M24" s="13">
        <v>0.01</v>
      </c>
      <c r="N24" s="20">
        <v>5058.8</v>
      </c>
      <c r="O24" s="13">
        <v>0.01</v>
      </c>
      <c r="P24" s="20">
        <v>6666</v>
      </c>
      <c r="Q24" s="13">
        <v>0.01</v>
      </c>
      <c r="R24" s="20">
        <v>33133.4</v>
      </c>
      <c r="S24" s="13">
        <v>0.01</v>
      </c>
      <c r="T24" s="20">
        <v>70359.199999999997</v>
      </c>
      <c r="U24" s="13">
        <v>0.01</v>
      </c>
      <c r="V24" s="20">
        <v>26826.5</v>
      </c>
      <c r="W24" s="13">
        <v>0.01</v>
      </c>
    </row>
    <row r="25" spans="1:24" s="16" customFormat="1" ht="43.5" x14ac:dyDescent="0.35">
      <c r="A25" s="34" t="s">
        <v>24</v>
      </c>
      <c r="B25" s="15" t="s">
        <v>4</v>
      </c>
      <c r="C25" s="15" t="s">
        <v>25</v>
      </c>
      <c r="D25" s="15" t="s">
        <v>4</v>
      </c>
      <c r="E25" s="15" t="s">
        <v>17</v>
      </c>
      <c r="F25" s="15" t="s">
        <v>4</v>
      </c>
      <c r="G25" s="15" t="s">
        <v>17</v>
      </c>
      <c r="H25" s="15" t="s">
        <v>4</v>
      </c>
      <c r="I25" s="15" t="s">
        <v>17</v>
      </c>
      <c r="J25" s="15" t="s">
        <v>4</v>
      </c>
      <c r="K25" s="15" t="s">
        <v>17</v>
      </c>
      <c r="L25" s="15" t="s">
        <v>4</v>
      </c>
      <c r="M25" s="15" t="s">
        <v>17</v>
      </c>
      <c r="N25" s="15" t="s">
        <v>4</v>
      </c>
      <c r="O25" s="15" t="s">
        <v>17</v>
      </c>
      <c r="P25" s="15" t="s">
        <v>4</v>
      </c>
      <c r="Q25" s="15" t="s">
        <v>17</v>
      </c>
      <c r="R25" s="15" t="s">
        <v>4</v>
      </c>
      <c r="S25" s="15" t="s">
        <v>17</v>
      </c>
      <c r="T25" s="15" t="s">
        <v>4</v>
      </c>
      <c r="U25" s="15" t="s">
        <v>17</v>
      </c>
      <c r="V25" s="15" t="s">
        <v>4</v>
      </c>
      <c r="W25" s="15" t="s">
        <v>17</v>
      </c>
    </row>
    <row r="26" spans="1:24" s="3" customFormat="1" x14ac:dyDescent="0.35">
      <c r="A26" s="5"/>
      <c r="B26" s="19">
        <v>30405.429999999698</v>
      </c>
      <c r="C26" s="24">
        <v>6.3250705095491098E-3</v>
      </c>
      <c r="D26" s="25"/>
      <c r="E26" s="24"/>
      <c r="F26" s="26">
        <f>4272300*G26</f>
        <v>27022.598737946661</v>
      </c>
      <c r="G26" s="24">
        <v>6.3250705095491098E-3</v>
      </c>
      <c r="H26" s="26"/>
      <c r="I26" s="24"/>
      <c r="J26" s="26"/>
      <c r="K26" s="24"/>
      <c r="L26" s="26">
        <f>312941*M26</f>
        <v>1979.3738903288079</v>
      </c>
      <c r="M26" s="24">
        <v>6.3250705095491098E-3</v>
      </c>
      <c r="N26" s="26"/>
      <c r="O26" s="24"/>
      <c r="P26" s="26">
        <f>44900*Q26</f>
        <v>283.99566587875501</v>
      </c>
      <c r="Q26" s="24">
        <v>6.3250705095491098E-3</v>
      </c>
      <c r="R26" s="26"/>
      <c r="S26" s="24"/>
      <c r="T26" s="26">
        <f>84980*U26</f>
        <v>537.50449190148333</v>
      </c>
      <c r="U26" s="24">
        <v>6.3250705095491098E-3</v>
      </c>
      <c r="V26" s="26">
        <f>69990*W26</f>
        <v>442.6916849633422</v>
      </c>
      <c r="W26" s="24">
        <v>6.3250705095491098E-3</v>
      </c>
      <c r="X26" s="27"/>
    </row>
    <row r="27" spans="1:24" s="16" customFormat="1" ht="29" x14ac:dyDescent="0.35">
      <c r="A27" s="34" t="s">
        <v>21</v>
      </c>
      <c r="B27" s="15" t="s">
        <v>4</v>
      </c>
      <c r="C27" s="15" t="s">
        <v>17</v>
      </c>
      <c r="D27" s="15" t="s">
        <v>4</v>
      </c>
      <c r="E27" s="15" t="s">
        <v>17</v>
      </c>
      <c r="F27" s="15" t="s">
        <v>4</v>
      </c>
      <c r="G27" s="15" t="s">
        <v>17</v>
      </c>
      <c r="H27" s="15" t="s">
        <v>4</v>
      </c>
      <c r="I27" s="15" t="s">
        <v>17</v>
      </c>
      <c r="J27" s="15" t="s">
        <v>4</v>
      </c>
      <c r="K27" s="15" t="s">
        <v>17</v>
      </c>
      <c r="L27" s="15" t="s">
        <v>4</v>
      </c>
      <c r="M27" s="15" t="s">
        <v>17</v>
      </c>
      <c r="N27" s="15" t="s">
        <v>4</v>
      </c>
      <c r="O27" s="15" t="s">
        <v>17</v>
      </c>
      <c r="P27" s="15" t="s">
        <v>4</v>
      </c>
      <c r="Q27" s="15" t="s">
        <v>17</v>
      </c>
      <c r="R27" s="15" t="s">
        <v>4</v>
      </c>
      <c r="S27" s="15" t="s">
        <v>17</v>
      </c>
      <c r="T27" s="15" t="s">
        <v>4</v>
      </c>
      <c r="U27" s="15" t="s">
        <v>17</v>
      </c>
      <c r="V27" s="15" t="s">
        <v>4</v>
      </c>
      <c r="W27" s="15" t="s">
        <v>17</v>
      </c>
    </row>
    <row r="28" spans="1:24" x14ac:dyDescent="0.35">
      <c r="A28" s="18"/>
      <c r="B28" s="19">
        <f>B21+B23+B24+B26</f>
        <v>10247695.889999999</v>
      </c>
      <c r="C28" s="37">
        <f>B28/B5</f>
        <v>5.9643328297810258E-2</v>
      </c>
      <c r="D28" s="19">
        <f>D21+D23+D24+D26</f>
        <v>3804.6800000000003</v>
      </c>
      <c r="E28" s="37">
        <f>D28/D5</f>
        <v>2.1784591530320207E-2</v>
      </c>
      <c r="F28" s="19">
        <f>F21+F23+F24+F26</f>
        <v>258872.94873794666</v>
      </c>
      <c r="G28" s="37">
        <f>F28/F5</f>
        <v>1.8754443026180911E-2</v>
      </c>
      <c r="H28" s="19">
        <f>H21+H23+H24+H26</f>
        <v>635904.6399999999</v>
      </c>
      <c r="I28" s="37">
        <f>H28/H5</f>
        <v>7.7781383289816861E-2</v>
      </c>
      <c r="J28" s="19">
        <f>J21+J23+J24+J26</f>
        <v>3005031.7</v>
      </c>
      <c r="K28" s="37">
        <f>J28/J5</f>
        <v>5.3360606470203929E-2</v>
      </c>
      <c r="L28" s="19">
        <f>L21+L23+L24+L26</f>
        <v>967295.08389032877</v>
      </c>
      <c r="M28" s="37">
        <f>L28/L5</f>
        <v>5.9268128400827375E-2</v>
      </c>
      <c r="N28" s="19">
        <f>N21+N23+N24+N26</f>
        <v>221416.62</v>
      </c>
      <c r="O28" s="37">
        <f>N28/N5</f>
        <v>7.3380256893943743E-2</v>
      </c>
      <c r="P28" s="19">
        <f>P21+P23+P24+P26</f>
        <v>1027699.0056658788</v>
      </c>
      <c r="Q28" s="37">
        <f>P28/P5</f>
        <v>0.10665424983887936</v>
      </c>
      <c r="R28" s="19">
        <f>R21+R23+R24+R26</f>
        <v>1372894.4499999997</v>
      </c>
      <c r="S28" s="37">
        <f>R28/R5</f>
        <v>6.542781602552683E-2</v>
      </c>
      <c r="T28" s="19">
        <f>T21+T23+T24+T26</f>
        <v>1946080.2944919015</v>
      </c>
      <c r="U28" s="37">
        <f>T28/T5</f>
        <v>6.3934534854924008E-2</v>
      </c>
      <c r="V28" s="19">
        <f>V21+V23+V24+V26</f>
        <v>808557.20168496331</v>
      </c>
      <c r="W28" s="37">
        <f>V28/V5</f>
        <v>6.2429888160452654E-2</v>
      </c>
    </row>
    <row r="29" spans="1:24" s="16" customFormat="1" ht="19" customHeight="1" x14ac:dyDescent="0.35">
      <c r="A29" s="34" t="s">
        <v>22</v>
      </c>
      <c r="B29" s="15" t="s">
        <v>4</v>
      </c>
      <c r="C29" s="15"/>
      <c r="D29" s="15" t="s">
        <v>4</v>
      </c>
      <c r="E29" s="15"/>
      <c r="F29" s="15" t="s">
        <v>4</v>
      </c>
      <c r="G29" s="15"/>
      <c r="H29" s="15" t="s">
        <v>4</v>
      </c>
      <c r="I29" s="15"/>
      <c r="J29" s="15" t="s">
        <v>4</v>
      </c>
      <c r="K29" s="15"/>
      <c r="L29" s="15" t="s">
        <v>4</v>
      </c>
      <c r="M29" s="15"/>
      <c r="N29" s="15" t="s">
        <v>4</v>
      </c>
      <c r="O29" s="15"/>
      <c r="P29" s="15" t="s">
        <v>4</v>
      </c>
      <c r="Q29" s="15"/>
      <c r="R29" s="15" t="s">
        <v>4</v>
      </c>
      <c r="S29" s="15"/>
      <c r="T29" s="15" t="s">
        <v>4</v>
      </c>
      <c r="U29" s="15"/>
      <c r="V29" s="15" t="s">
        <v>4</v>
      </c>
      <c r="W29" s="15"/>
    </row>
    <row r="30" spans="1:24" s="21" customFormat="1" ht="19.5" customHeight="1" x14ac:dyDescent="0.35">
      <c r="A30" s="32"/>
      <c r="B30" s="31">
        <f>B5-B28</f>
        <v>161568602.47000003</v>
      </c>
      <c r="C30" s="32"/>
      <c r="D30" s="31">
        <f>D5-D28</f>
        <v>170845.37</v>
      </c>
      <c r="E30" s="32"/>
      <c r="F30" s="31">
        <f>F5-F28</f>
        <v>13544413.471262053</v>
      </c>
      <c r="G30" s="32"/>
      <c r="H30" s="31">
        <f>H5-H28</f>
        <v>7539633.1699999999</v>
      </c>
      <c r="I30" s="33"/>
      <c r="J30" s="31">
        <f>J5-J28</f>
        <v>53310514.519999996</v>
      </c>
      <c r="K30" s="33"/>
      <c r="L30" s="31">
        <f>L5-L28</f>
        <v>15353366.796109673</v>
      </c>
      <c r="M30" s="33"/>
      <c r="N30" s="31">
        <f>N5-N28</f>
        <v>2795970.1999999997</v>
      </c>
      <c r="O30" s="33"/>
      <c r="P30" s="31">
        <f>P5-P28</f>
        <v>8608100.8543341197</v>
      </c>
      <c r="Q30" s="33"/>
      <c r="R30" s="31">
        <f>R5-R28</f>
        <v>19610450.760000002</v>
      </c>
      <c r="S30" s="33"/>
      <c r="T30" s="31">
        <f>T5-T28</f>
        <v>28492559.775508098</v>
      </c>
      <c r="U30" s="33"/>
      <c r="V30" s="31">
        <f>V5-V28</f>
        <v>12142886.818315037</v>
      </c>
      <c r="W30" s="33"/>
    </row>
  </sheetData>
  <mergeCells count="12">
    <mergeCell ref="N3:O3"/>
    <mergeCell ref="P3:Q3"/>
    <mergeCell ref="R3:S3"/>
    <mergeCell ref="T3:U3"/>
    <mergeCell ref="V3:W3"/>
    <mergeCell ref="J3:K3"/>
    <mergeCell ref="L3:M3"/>
    <mergeCell ref="A4:A5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workbookViewId="0">
      <selection activeCell="A2" sqref="A2"/>
    </sheetView>
  </sheetViews>
  <sheetFormatPr baseColWidth="10" defaultRowHeight="14.5" x14ac:dyDescent="0.35"/>
  <cols>
    <col min="1" max="1" width="22.81640625" style="1" customWidth="1"/>
    <col min="2" max="2" width="16.26953125" style="1" bestFit="1" customWidth="1"/>
    <col min="3" max="3" width="16.36328125" style="1" customWidth="1"/>
    <col min="4" max="4" width="13" style="1" bestFit="1" customWidth="1"/>
    <col min="5" max="5" width="11.90625" style="1" bestFit="1" customWidth="1"/>
    <col min="6" max="6" width="13" style="1" bestFit="1" customWidth="1"/>
    <col min="7" max="7" width="11.90625" style="1" bestFit="1" customWidth="1"/>
    <col min="8" max="8" width="13" style="1" bestFit="1" customWidth="1"/>
    <col min="9" max="9" width="12.6328125" style="1" customWidth="1"/>
    <col min="10" max="10" width="14.453125" style="1" bestFit="1" customWidth="1"/>
    <col min="11" max="11" width="10.90625" style="1"/>
    <col min="12" max="12" width="13" style="1" bestFit="1" customWidth="1"/>
    <col min="13" max="13" width="10.90625" style="1"/>
    <col min="14" max="14" width="11.90625" style="1" bestFit="1" customWidth="1"/>
    <col min="15" max="15" width="10.90625" style="1"/>
    <col min="16" max="16" width="13" style="1" bestFit="1" customWidth="1"/>
    <col min="17" max="17" width="10.90625" style="1"/>
    <col min="18" max="18" width="13" style="1" bestFit="1" customWidth="1"/>
    <col min="19" max="19" width="10.90625" style="1"/>
    <col min="20" max="20" width="14.453125" style="1" bestFit="1" customWidth="1"/>
    <col min="21" max="21" width="10.90625" style="1"/>
    <col min="22" max="22" width="13" style="1" bestFit="1" customWidth="1"/>
    <col min="23" max="16384" width="10.90625" style="1"/>
  </cols>
  <sheetData>
    <row r="1" spans="1:23" ht="21" x14ac:dyDescent="0.5">
      <c r="A1" s="2" t="s">
        <v>49</v>
      </c>
      <c r="B1" s="23"/>
      <c r="D1" s="13"/>
    </row>
    <row r="2" spans="1:23" ht="21" x14ac:dyDescent="0.5">
      <c r="A2" s="2"/>
      <c r="B2" s="29"/>
      <c r="N2" s="23"/>
    </row>
    <row r="3" spans="1:23" x14ac:dyDescent="0.35">
      <c r="A3" s="3"/>
      <c r="B3" s="38" t="s">
        <v>0</v>
      </c>
      <c r="C3" s="38"/>
      <c r="D3" s="38" t="s">
        <v>1</v>
      </c>
      <c r="E3" s="38"/>
      <c r="F3" s="38" t="s">
        <v>2</v>
      </c>
      <c r="G3" s="38"/>
      <c r="H3" s="38" t="s">
        <v>6</v>
      </c>
      <c r="I3" s="38"/>
      <c r="J3" s="38" t="s">
        <v>7</v>
      </c>
      <c r="K3" s="38"/>
      <c r="L3" s="38" t="s">
        <v>8</v>
      </c>
      <c r="M3" s="38"/>
      <c r="N3" s="38" t="s">
        <v>13</v>
      </c>
      <c r="O3" s="38"/>
      <c r="P3" s="38" t="s">
        <v>9</v>
      </c>
      <c r="Q3" s="38"/>
      <c r="R3" s="38" t="s">
        <v>10</v>
      </c>
      <c r="S3" s="38"/>
      <c r="T3" s="38" t="s">
        <v>11</v>
      </c>
      <c r="U3" s="38"/>
      <c r="V3" s="38" t="s">
        <v>12</v>
      </c>
      <c r="W3" s="38"/>
    </row>
    <row r="4" spans="1:23" s="7" customFormat="1" x14ac:dyDescent="0.35">
      <c r="A4" s="39" t="s">
        <v>48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  <c r="L4" s="10" t="s">
        <v>4</v>
      </c>
      <c r="M4" s="10" t="s">
        <v>5</v>
      </c>
      <c r="N4" s="10" t="s">
        <v>4</v>
      </c>
      <c r="O4" s="10" t="s">
        <v>5</v>
      </c>
      <c r="P4" s="10" t="s">
        <v>4</v>
      </c>
      <c r="Q4" s="10" t="s">
        <v>5</v>
      </c>
      <c r="R4" s="10" t="s">
        <v>4</v>
      </c>
      <c r="S4" s="10" t="s">
        <v>5</v>
      </c>
      <c r="T4" s="10" t="s">
        <v>4</v>
      </c>
      <c r="U4" s="10" t="s">
        <v>5</v>
      </c>
      <c r="V4" s="10" t="s">
        <v>4</v>
      </c>
      <c r="W4" s="10" t="s">
        <v>5</v>
      </c>
    </row>
    <row r="5" spans="1:23" ht="20" customHeight="1" x14ac:dyDescent="0.35">
      <c r="A5" s="40"/>
      <c r="B5" s="8"/>
      <c r="C5" s="11"/>
      <c r="D5" s="8"/>
      <c r="E5" s="11"/>
      <c r="F5" s="8"/>
      <c r="G5" s="11"/>
      <c r="H5" s="8"/>
      <c r="I5" s="12"/>
      <c r="J5" s="8"/>
      <c r="K5" s="12"/>
      <c r="L5" s="8"/>
      <c r="M5" s="12"/>
      <c r="N5" s="8"/>
      <c r="O5" s="12"/>
      <c r="P5" s="8"/>
      <c r="Q5" s="12"/>
      <c r="R5" s="8"/>
      <c r="S5" s="12"/>
      <c r="T5" s="8"/>
      <c r="U5" s="12"/>
      <c r="V5" s="8"/>
      <c r="W5" s="12"/>
    </row>
    <row r="6" spans="1:23" s="7" customFormat="1" ht="29" x14ac:dyDescent="0.35">
      <c r="A6" s="9" t="s">
        <v>32</v>
      </c>
      <c r="B6" s="14" t="s">
        <v>17</v>
      </c>
      <c r="C6" s="10" t="s">
        <v>5</v>
      </c>
      <c r="D6" s="14" t="s">
        <v>17</v>
      </c>
      <c r="E6" s="10" t="s">
        <v>5</v>
      </c>
      <c r="F6" s="14" t="s">
        <v>17</v>
      </c>
      <c r="G6" s="10" t="s">
        <v>5</v>
      </c>
      <c r="H6" s="14" t="s">
        <v>17</v>
      </c>
      <c r="I6" s="10" t="s">
        <v>5</v>
      </c>
      <c r="J6" s="14" t="s">
        <v>17</v>
      </c>
      <c r="K6" s="10" t="s">
        <v>5</v>
      </c>
      <c r="L6" s="14" t="s">
        <v>17</v>
      </c>
      <c r="M6" s="10" t="s">
        <v>5</v>
      </c>
      <c r="N6" s="14" t="s">
        <v>17</v>
      </c>
      <c r="O6" s="10" t="s">
        <v>5</v>
      </c>
      <c r="P6" s="14" t="s">
        <v>17</v>
      </c>
      <c r="Q6" s="10" t="s">
        <v>5</v>
      </c>
      <c r="R6" s="14" t="s">
        <v>17</v>
      </c>
      <c r="S6" s="10" t="s">
        <v>5</v>
      </c>
      <c r="T6" s="14" t="s">
        <v>17</v>
      </c>
      <c r="U6" s="10" t="s">
        <v>5</v>
      </c>
      <c r="V6" s="14" t="s">
        <v>17</v>
      </c>
      <c r="W6" s="10" t="s">
        <v>5</v>
      </c>
    </row>
    <row r="7" spans="1:23" x14ac:dyDescent="0.35">
      <c r="A7" s="5" t="s">
        <v>14</v>
      </c>
      <c r="B7" s="13"/>
      <c r="C7" s="30"/>
      <c r="D7" s="13"/>
      <c r="E7" s="28"/>
      <c r="F7" s="13"/>
      <c r="G7" s="30"/>
      <c r="H7" s="13"/>
      <c r="I7" s="28"/>
      <c r="J7" s="13"/>
      <c r="K7" s="28"/>
      <c r="L7" s="13"/>
      <c r="M7" s="30"/>
      <c r="N7" s="13"/>
      <c r="O7" s="28"/>
      <c r="P7" s="13"/>
      <c r="Q7" s="28"/>
      <c r="R7" s="13"/>
      <c r="S7" s="28"/>
      <c r="T7" s="13"/>
      <c r="U7" s="30"/>
      <c r="V7" s="13"/>
      <c r="W7" s="30"/>
    </row>
    <row r="8" spans="1:23" x14ac:dyDescent="0.35">
      <c r="A8" s="5" t="s">
        <v>30</v>
      </c>
      <c r="B8" s="13"/>
      <c r="C8" s="30"/>
      <c r="D8" s="13"/>
      <c r="E8"/>
      <c r="F8" s="13"/>
      <c r="G8" s="30"/>
      <c r="H8" s="13"/>
      <c r="I8"/>
      <c r="J8" s="13"/>
      <c r="K8"/>
      <c r="L8" s="13"/>
      <c r="M8" s="30"/>
      <c r="N8" s="13"/>
      <c r="O8"/>
      <c r="P8" s="13"/>
      <c r="Q8"/>
      <c r="R8" s="13"/>
      <c r="S8"/>
      <c r="T8" s="13"/>
      <c r="U8" s="30"/>
      <c r="V8" s="13"/>
      <c r="W8" s="30"/>
    </row>
    <row r="9" spans="1:23" x14ac:dyDescent="0.35">
      <c r="A9" s="5" t="s">
        <v>28</v>
      </c>
      <c r="B9" s="13"/>
      <c r="C9"/>
      <c r="D9" s="13"/>
      <c r="E9"/>
      <c r="F9" s="13"/>
      <c r="G9"/>
      <c r="H9" s="13"/>
      <c r="I9"/>
      <c r="J9" s="13"/>
      <c r="K9"/>
      <c r="L9" s="13"/>
      <c r="M9"/>
      <c r="N9" s="13"/>
      <c r="O9"/>
      <c r="P9" s="13"/>
      <c r="Q9"/>
      <c r="R9" s="13"/>
      <c r="S9"/>
      <c r="T9" s="13"/>
      <c r="U9"/>
      <c r="V9" s="13"/>
      <c r="W9"/>
    </row>
    <row r="10" spans="1:23" x14ac:dyDescent="0.35">
      <c r="A10" s="5" t="s">
        <v>29</v>
      </c>
      <c r="B10" s="13"/>
      <c r="C10"/>
      <c r="D10" s="13"/>
      <c r="E10"/>
      <c r="F10" s="13"/>
      <c r="G10"/>
      <c r="H10" s="13"/>
      <c r="I10"/>
      <c r="J10" s="13"/>
      <c r="K10"/>
      <c r="L10" s="13"/>
      <c r="M10"/>
      <c r="N10" s="13"/>
      <c r="O10"/>
      <c r="P10" s="13"/>
      <c r="Q10"/>
      <c r="R10" s="13"/>
      <c r="S10"/>
      <c r="T10" s="13"/>
      <c r="U10"/>
      <c r="V10" s="13"/>
      <c r="W10"/>
    </row>
    <row r="11" spans="1:23" ht="29" x14ac:dyDescent="0.35">
      <c r="A11" s="34" t="s">
        <v>33</v>
      </c>
      <c r="B11" s="14" t="s">
        <v>17</v>
      </c>
      <c r="C11" s="10" t="s">
        <v>5</v>
      </c>
      <c r="D11" s="14" t="s">
        <v>17</v>
      </c>
      <c r="E11" s="10" t="s">
        <v>5</v>
      </c>
      <c r="F11" s="14" t="s">
        <v>17</v>
      </c>
      <c r="G11" s="10" t="s">
        <v>5</v>
      </c>
      <c r="H11" s="14" t="s">
        <v>17</v>
      </c>
      <c r="I11" s="10" t="s">
        <v>5</v>
      </c>
      <c r="J11" s="14" t="s">
        <v>17</v>
      </c>
      <c r="K11" s="10" t="s">
        <v>5</v>
      </c>
      <c r="L11" s="14" t="s">
        <v>17</v>
      </c>
      <c r="M11" s="10" t="s">
        <v>5</v>
      </c>
      <c r="N11" s="14" t="s">
        <v>17</v>
      </c>
      <c r="O11" s="10" t="s">
        <v>5</v>
      </c>
      <c r="P11" s="14" t="s">
        <v>17</v>
      </c>
      <c r="Q11" s="10" t="s">
        <v>5</v>
      </c>
      <c r="R11" s="14" t="s">
        <v>17</v>
      </c>
      <c r="S11" s="10" t="s">
        <v>5</v>
      </c>
      <c r="T11" s="14" t="s">
        <v>17</v>
      </c>
      <c r="U11" s="10" t="s">
        <v>5</v>
      </c>
      <c r="V11" s="14" t="s">
        <v>17</v>
      </c>
      <c r="W11" s="10" t="s">
        <v>5</v>
      </c>
    </row>
    <row r="12" spans="1:23" x14ac:dyDescent="0.35">
      <c r="A12" s="5" t="s">
        <v>27</v>
      </c>
      <c r="B12" s="13"/>
      <c r="C12"/>
      <c r="D12" s="13"/>
      <c r="E12"/>
      <c r="F12" s="13"/>
      <c r="G12"/>
      <c r="H12" s="13"/>
      <c r="I12"/>
      <c r="J12" s="13"/>
      <c r="K12"/>
      <c r="L12" s="13"/>
      <c r="M12"/>
      <c r="N12" s="13"/>
      <c r="O12"/>
      <c r="P12" s="13"/>
      <c r="Q12"/>
      <c r="R12" s="13"/>
      <c r="S12"/>
      <c r="T12" s="13"/>
      <c r="U12"/>
      <c r="V12" s="13"/>
      <c r="W12"/>
    </row>
    <row r="13" spans="1:23" x14ac:dyDescent="0.35">
      <c r="A13" s="5" t="s">
        <v>18</v>
      </c>
      <c r="B13" s="13"/>
      <c r="C13"/>
      <c r="D13" s="22"/>
      <c r="E13" s="6"/>
      <c r="F13" s="13"/>
      <c r="G13"/>
      <c r="H13" s="13"/>
      <c r="I13"/>
      <c r="J13" s="13"/>
      <c r="K13"/>
      <c r="L13" s="13"/>
      <c r="M13"/>
      <c r="N13" s="13"/>
      <c r="O13"/>
      <c r="P13" s="13"/>
      <c r="Q13"/>
      <c r="R13" s="13"/>
      <c r="S13"/>
      <c r="T13" s="13"/>
      <c r="U13"/>
      <c r="V13" s="13"/>
      <c r="W13"/>
    </row>
    <row r="14" spans="1:23" x14ac:dyDescent="0.35">
      <c r="A14" s="5" t="s">
        <v>19</v>
      </c>
      <c r="B14" s="13"/>
      <c r="C14"/>
      <c r="D14" s="6"/>
      <c r="E14" s="6"/>
      <c r="F14" s="6"/>
      <c r="G14" s="6"/>
      <c r="H14" s="13"/>
      <c r="I14"/>
      <c r="N14" s="13"/>
      <c r="O14"/>
      <c r="P14" s="13"/>
      <c r="Q14"/>
      <c r="R14" s="13"/>
      <c r="S14"/>
      <c r="T14" s="13"/>
      <c r="U14"/>
    </row>
    <row r="15" spans="1:23" s="16" customFormat="1" ht="43.5" x14ac:dyDescent="0.35">
      <c r="A15" s="34" t="s">
        <v>31</v>
      </c>
      <c r="B15" s="15" t="s">
        <v>4</v>
      </c>
      <c r="C15" s="15" t="s">
        <v>23</v>
      </c>
      <c r="D15" s="15" t="s">
        <v>4</v>
      </c>
      <c r="E15" s="15" t="s">
        <v>17</v>
      </c>
      <c r="F15" s="15" t="s">
        <v>4</v>
      </c>
      <c r="G15" s="15" t="s">
        <v>17</v>
      </c>
      <c r="H15" s="15" t="s">
        <v>4</v>
      </c>
      <c r="I15" s="15" t="s">
        <v>17</v>
      </c>
      <c r="J15" s="15" t="s">
        <v>4</v>
      </c>
      <c r="K15" s="15" t="s">
        <v>17</v>
      </c>
      <c r="L15" s="15" t="s">
        <v>4</v>
      </c>
      <c r="M15" s="15" t="s">
        <v>17</v>
      </c>
      <c r="N15" s="15" t="s">
        <v>4</v>
      </c>
      <c r="O15" s="15" t="s">
        <v>17</v>
      </c>
      <c r="P15" s="15" t="s">
        <v>4</v>
      </c>
      <c r="Q15" s="15" t="s">
        <v>17</v>
      </c>
      <c r="R15" s="15" t="s">
        <v>4</v>
      </c>
      <c r="S15" s="15" t="s">
        <v>17</v>
      </c>
      <c r="T15" s="15" t="s">
        <v>4</v>
      </c>
      <c r="U15" s="15" t="s">
        <v>17</v>
      </c>
      <c r="V15" s="15" t="s">
        <v>4</v>
      </c>
      <c r="W15" s="15" t="s">
        <v>17</v>
      </c>
    </row>
    <row r="16" spans="1:23" x14ac:dyDescent="0.35">
      <c r="A16" s="5" t="s">
        <v>20</v>
      </c>
      <c r="B16" s="17"/>
      <c r="C16" s="13"/>
      <c r="D16" s="17"/>
      <c r="E16" s="13"/>
      <c r="F16" s="17"/>
      <c r="G16" s="13"/>
      <c r="H16" s="17"/>
      <c r="I16" s="13"/>
      <c r="J16" s="17"/>
      <c r="K16" s="13"/>
      <c r="L16" s="17"/>
      <c r="M16" s="13"/>
      <c r="N16" s="17"/>
      <c r="O16" s="13"/>
      <c r="P16" s="17"/>
      <c r="Q16" s="13"/>
      <c r="R16" s="17"/>
      <c r="S16" s="13"/>
      <c r="T16" s="17"/>
      <c r="U16" s="13"/>
      <c r="V16" s="17"/>
      <c r="W16" s="13"/>
    </row>
    <row r="17" spans="1:24" x14ac:dyDescent="0.35">
      <c r="A17" s="5" t="s">
        <v>18</v>
      </c>
      <c r="B17" s="17"/>
      <c r="C17" s="13"/>
      <c r="D17" s="4"/>
      <c r="E17" s="4"/>
      <c r="F17" s="17"/>
      <c r="G17" s="13"/>
      <c r="H17" s="17"/>
      <c r="I17" s="13"/>
      <c r="J17" s="17"/>
      <c r="K17" s="13"/>
      <c r="L17" s="17"/>
      <c r="M17" s="13"/>
      <c r="N17" s="17"/>
      <c r="O17" s="13"/>
      <c r="P17" s="17"/>
      <c r="Q17" s="13"/>
      <c r="R17" s="17"/>
      <c r="S17" s="13"/>
      <c r="T17" s="17"/>
      <c r="U17" s="13"/>
      <c r="V17" s="17"/>
      <c r="W17" s="13"/>
    </row>
    <row r="18" spans="1:24" x14ac:dyDescent="0.35">
      <c r="A18" s="5" t="s">
        <v>19</v>
      </c>
      <c r="B18" s="17"/>
      <c r="C18" s="13"/>
      <c r="D18" s="4"/>
      <c r="E18" s="4"/>
      <c r="F18" s="4"/>
      <c r="G18" s="4"/>
      <c r="H18" s="17"/>
      <c r="I18" s="13"/>
      <c r="N18" s="17"/>
      <c r="O18" s="13"/>
      <c r="P18" s="17"/>
      <c r="Q18" s="13"/>
      <c r="R18" s="17"/>
      <c r="S18" s="13"/>
      <c r="T18" s="17"/>
      <c r="U18" s="13"/>
    </row>
    <row r="19" spans="1:24" x14ac:dyDescent="0.35">
      <c r="A19" s="5" t="s">
        <v>0</v>
      </c>
      <c r="B19" s="17"/>
      <c r="C19" s="13"/>
      <c r="D19" s="17"/>
      <c r="E19" s="13"/>
      <c r="F19" s="17"/>
      <c r="G19" s="13"/>
      <c r="H19" s="17"/>
      <c r="I19" s="13"/>
      <c r="J19" s="17"/>
      <c r="K19" s="13"/>
      <c r="L19" s="17"/>
      <c r="M19" s="13"/>
      <c r="N19" s="17"/>
      <c r="O19" s="13"/>
      <c r="P19" s="17"/>
      <c r="Q19" s="13"/>
      <c r="R19" s="17"/>
      <c r="S19" s="13"/>
      <c r="T19" s="17"/>
      <c r="U19" s="13"/>
      <c r="V19" s="17"/>
      <c r="W19" s="13"/>
    </row>
    <row r="20" spans="1:24" s="16" customFormat="1" ht="29" x14ac:dyDescent="0.35">
      <c r="A20" s="34" t="s">
        <v>26</v>
      </c>
      <c r="B20" s="15" t="s">
        <v>4</v>
      </c>
      <c r="C20" s="15" t="s">
        <v>17</v>
      </c>
      <c r="D20" s="15" t="s">
        <v>4</v>
      </c>
      <c r="E20" s="15" t="s">
        <v>17</v>
      </c>
      <c r="F20" s="15" t="s">
        <v>4</v>
      </c>
      <c r="G20" s="15" t="s">
        <v>17</v>
      </c>
      <c r="H20" s="15" t="s">
        <v>4</v>
      </c>
      <c r="I20" s="15" t="s">
        <v>17</v>
      </c>
      <c r="J20" s="15" t="s">
        <v>4</v>
      </c>
      <c r="K20" s="15" t="s">
        <v>17</v>
      </c>
      <c r="L20" s="15" t="s">
        <v>4</v>
      </c>
      <c r="M20" s="15" t="s">
        <v>17</v>
      </c>
      <c r="N20" s="15" t="s">
        <v>4</v>
      </c>
      <c r="O20" s="15" t="s">
        <v>17</v>
      </c>
      <c r="P20" s="15" t="s">
        <v>4</v>
      </c>
      <c r="Q20" s="15" t="s">
        <v>17</v>
      </c>
      <c r="R20" s="15" t="s">
        <v>4</v>
      </c>
      <c r="S20" s="15" t="s">
        <v>17</v>
      </c>
      <c r="T20" s="15" t="s">
        <v>4</v>
      </c>
      <c r="U20" s="15" t="s">
        <v>17</v>
      </c>
      <c r="V20" s="15" t="s">
        <v>4</v>
      </c>
      <c r="W20" s="15" t="s">
        <v>17</v>
      </c>
    </row>
    <row r="21" spans="1:24" x14ac:dyDescent="0.35">
      <c r="A21" s="5" t="s">
        <v>16</v>
      </c>
      <c r="B21" s="19"/>
      <c r="C21" s="13"/>
      <c r="D21" s="17"/>
      <c r="E21" s="13"/>
      <c r="F21" s="20"/>
      <c r="G21" s="13"/>
      <c r="H21" s="20"/>
      <c r="I21" s="13"/>
      <c r="J21" s="20"/>
      <c r="K21" s="13"/>
      <c r="L21" s="20"/>
      <c r="M21" s="13"/>
      <c r="N21" s="20"/>
      <c r="O21" s="13"/>
      <c r="P21" s="20"/>
      <c r="Q21" s="13"/>
      <c r="R21" s="20"/>
      <c r="S21" s="13"/>
      <c r="T21" s="20"/>
      <c r="U21" s="13"/>
      <c r="V21" s="20"/>
      <c r="W21" s="13"/>
    </row>
    <row r="22" spans="1:24" x14ac:dyDescent="0.35">
      <c r="A22" s="5" t="s">
        <v>15</v>
      </c>
      <c r="B22" s="19"/>
      <c r="C22" s="13"/>
      <c r="D22" s="17"/>
      <c r="E22" s="13"/>
      <c r="F22" s="20"/>
      <c r="G22" s="13"/>
      <c r="H22" s="20"/>
      <c r="I22" s="13"/>
      <c r="J22" s="20"/>
      <c r="K22" s="13"/>
      <c r="L22" s="20"/>
      <c r="M22" s="13"/>
      <c r="N22" s="20"/>
      <c r="O22" s="13"/>
      <c r="P22" s="20"/>
      <c r="Q22" s="13"/>
      <c r="R22" s="20"/>
      <c r="S22" s="13"/>
      <c r="T22" s="20"/>
      <c r="U22" s="13"/>
      <c r="V22" s="20"/>
      <c r="W22" s="13"/>
    </row>
    <row r="23" spans="1:24" s="16" customFormat="1" ht="43.5" x14ac:dyDescent="0.35">
      <c r="A23" s="34" t="s">
        <v>24</v>
      </c>
      <c r="B23" s="15" t="s">
        <v>4</v>
      </c>
      <c r="C23" s="15" t="s">
        <v>25</v>
      </c>
      <c r="D23" s="15" t="s">
        <v>4</v>
      </c>
      <c r="E23" s="15" t="s">
        <v>17</v>
      </c>
      <c r="F23" s="15" t="s">
        <v>4</v>
      </c>
      <c r="G23" s="15" t="s">
        <v>17</v>
      </c>
      <c r="H23" s="15" t="s">
        <v>4</v>
      </c>
      <c r="I23" s="15" t="s">
        <v>17</v>
      </c>
      <c r="J23" s="15" t="s">
        <v>4</v>
      </c>
      <c r="K23" s="15" t="s">
        <v>17</v>
      </c>
      <c r="L23" s="15" t="s">
        <v>4</v>
      </c>
      <c r="M23" s="15" t="s">
        <v>17</v>
      </c>
      <c r="N23" s="15" t="s">
        <v>4</v>
      </c>
      <c r="O23" s="15" t="s">
        <v>17</v>
      </c>
      <c r="P23" s="15" t="s">
        <v>4</v>
      </c>
      <c r="Q23" s="15" t="s">
        <v>17</v>
      </c>
      <c r="R23" s="15" t="s">
        <v>4</v>
      </c>
      <c r="S23" s="15" t="s">
        <v>17</v>
      </c>
      <c r="T23" s="15" t="s">
        <v>4</v>
      </c>
      <c r="U23" s="15" t="s">
        <v>17</v>
      </c>
      <c r="V23" s="15" t="s">
        <v>4</v>
      </c>
      <c r="W23" s="15" t="s">
        <v>17</v>
      </c>
    </row>
    <row r="24" spans="1:24" s="3" customFormat="1" x14ac:dyDescent="0.35">
      <c r="A24" s="5"/>
      <c r="B24" s="19"/>
      <c r="C24" s="24"/>
      <c r="D24" s="25"/>
      <c r="E24" s="24"/>
      <c r="F24" s="26"/>
      <c r="G24" s="24"/>
      <c r="H24" s="26"/>
      <c r="I24" s="24"/>
      <c r="J24" s="26"/>
      <c r="K24" s="24"/>
      <c r="L24" s="26"/>
      <c r="M24" s="24"/>
      <c r="N24" s="26"/>
      <c r="O24" s="24"/>
      <c r="P24" s="26"/>
      <c r="Q24" s="24"/>
      <c r="R24" s="26"/>
      <c r="S24" s="24"/>
      <c r="T24" s="26"/>
      <c r="U24" s="24"/>
      <c r="V24" s="26"/>
      <c r="W24" s="24"/>
      <c r="X24" s="27"/>
    </row>
    <row r="25" spans="1:24" s="16" customFormat="1" ht="29" x14ac:dyDescent="0.35">
      <c r="A25" s="34" t="s">
        <v>21</v>
      </c>
      <c r="B25" s="15" t="s">
        <v>4</v>
      </c>
      <c r="C25" s="15" t="s">
        <v>17</v>
      </c>
      <c r="D25" s="15" t="s">
        <v>4</v>
      </c>
      <c r="E25" s="15" t="s">
        <v>17</v>
      </c>
      <c r="F25" s="15" t="s">
        <v>4</v>
      </c>
      <c r="G25" s="15" t="s">
        <v>17</v>
      </c>
      <c r="H25" s="15" t="s">
        <v>4</v>
      </c>
      <c r="I25" s="15" t="s">
        <v>17</v>
      </c>
      <c r="J25" s="15" t="s">
        <v>4</v>
      </c>
      <c r="K25" s="15" t="s">
        <v>17</v>
      </c>
      <c r="L25" s="15" t="s">
        <v>4</v>
      </c>
      <c r="M25" s="15" t="s">
        <v>17</v>
      </c>
      <c r="N25" s="15" t="s">
        <v>4</v>
      </c>
      <c r="O25" s="15" t="s">
        <v>17</v>
      </c>
      <c r="P25" s="15" t="s">
        <v>4</v>
      </c>
      <c r="Q25" s="15" t="s">
        <v>17</v>
      </c>
      <c r="R25" s="15" t="s">
        <v>4</v>
      </c>
      <c r="S25" s="15" t="s">
        <v>17</v>
      </c>
      <c r="T25" s="15" t="s">
        <v>4</v>
      </c>
      <c r="U25" s="15" t="s">
        <v>17</v>
      </c>
      <c r="V25" s="15" t="s">
        <v>4</v>
      </c>
      <c r="W25" s="15" t="s">
        <v>17</v>
      </c>
    </row>
    <row r="26" spans="1:24" x14ac:dyDescent="0.35">
      <c r="A26" s="18"/>
      <c r="B26" s="19">
        <f>B19+B21+B22+B24</f>
        <v>0</v>
      </c>
      <c r="C26" s="13" t="e">
        <f>B26/B5</f>
        <v>#DIV/0!</v>
      </c>
      <c r="D26" s="19">
        <f>D19+D21+D22+D24</f>
        <v>0</v>
      </c>
      <c r="E26" s="13" t="e">
        <f>D26/D5</f>
        <v>#DIV/0!</v>
      </c>
      <c r="F26" s="19">
        <f>F19+F21+F22+F24</f>
        <v>0</v>
      </c>
      <c r="G26" s="13" t="e">
        <f>F26/F5</f>
        <v>#DIV/0!</v>
      </c>
      <c r="H26" s="19">
        <f>H19+H21+H22+H24</f>
        <v>0</v>
      </c>
      <c r="I26" s="13" t="e">
        <f>H26/H5</f>
        <v>#DIV/0!</v>
      </c>
      <c r="J26" s="19">
        <f>J19+J21+J22+J24</f>
        <v>0</v>
      </c>
      <c r="K26" s="13" t="e">
        <f>J26/J5</f>
        <v>#DIV/0!</v>
      </c>
      <c r="L26" s="19">
        <f>L19+L21+L22+L24</f>
        <v>0</v>
      </c>
      <c r="M26" s="13" t="e">
        <f>L26/L5</f>
        <v>#DIV/0!</v>
      </c>
      <c r="N26" s="19">
        <f>N19+N21+N22+N24</f>
        <v>0</v>
      </c>
      <c r="O26" s="13" t="e">
        <f>N26/N5</f>
        <v>#DIV/0!</v>
      </c>
      <c r="P26" s="19">
        <f>P19+P21+P22+P24</f>
        <v>0</v>
      </c>
      <c r="Q26" s="13" t="e">
        <f>P26/P5</f>
        <v>#DIV/0!</v>
      </c>
      <c r="R26" s="19">
        <f>R19+R21+R22+R24</f>
        <v>0</v>
      </c>
      <c r="S26" s="13" t="e">
        <f>R26/R5</f>
        <v>#DIV/0!</v>
      </c>
      <c r="T26" s="19">
        <f>T19+T21+T22+T24</f>
        <v>0</v>
      </c>
      <c r="U26" s="13" t="e">
        <f>T26/T5</f>
        <v>#DIV/0!</v>
      </c>
      <c r="V26" s="19">
        <f>V19+V21+V22+V24</f>
        <v>0</v>
      </c>
      <c r="W26" s="13" t="e">
        <f>V26/V5</f>
        <v>#DIV/0!</v>
      </c>
    </row>
    <row r="27" spans="1:24" s="16" customFormat="1" ht="19" customHeight="1" x14ac:dyDescent="0.35">
      <c r="A27" s="34" t="s">
        <v>22</v>
      </c>
      <c r="B27" s="15" t="s">
        <v>4</v>
      </c>
      <c r="C27" s="15"/>
      <c r="D27" s="15" t="s">
        <v>4</v>
      </c>
      <c r="E27" s="15"/>
      <c r="F27" s="15" t="s">
        <v>4</v>
      </c>
      <c r="G27" s="15"/>
      <c r="H27" s="15" t="s">
        <v>4</v>
      </c>
      <c r="I27" s="15"/>
      <c r="J27" s="15" t="s">
        <v>4</v>
      </c>
      <c r="K27" s="15"/>
      <c r="L27" s="15" t="s">
        <v>4</v>
      </c>
      <c r="M27" s="15"/>
      <c r="N27" s="15" t="s">
        <v>4</v>
      </c>
      <c r="O27" s="15"/>
      <c r="P27" s="15" t="s">
        <v>4</v>
      </c>
      <c r="Q27" s="15"/>
      <c r="R27" s="15" t="s">
        <v>4</v>
      </c>
      <c r="S27" s="15"/>
      <c r="T27" s="15" t="s">
        <v>4</v>
      </c>
      <c r="U27" s="15"/>
      <c r="V27" s="15" t="s">
        <v>4</v>
      </c>
      <c r="W27" s="15"/>
    </row>
    <row r="28" spans="1:24" s="21" customFormat="1" ht="19.5" customHeight="1" x14ac:dyDescent="0.35">
      <c r="A28" s="32"/>
      <c r="B28" s="31">
        <f>B5-B26</f>
        <v>0</v>
      </c>
      <c r="C28" s="32"/>
      <c r="D28" s="31">
        <f>D5-D26</f>
        <v>0</v>
      </c>
      <c r="E28" s="32"/>
      <c r="F28" s="31">
        <f>F5-F26</f>
        <v>0</v>
      </c>
      <c r="G28" s="32"/>
      <c r="H28" s="31">
        <f>H5-H26</f>
        <v>0</v>
      </c>
      <c r="I28" s="33"/>
      <c r="J28" s="31">
        <f>J5-J26</f>
        <v>0</v>
      </c>
      <c r="K28" s="33"/>
      <c r="L28" s="31">
        <f>L5-L26</f>
        <v>0</v>
      </c>
      <c r="M28" s="33"/>
      <c r="N28" s="31">
        <f>N5-N26</f>
        <v>0</v>
      </c>
      <c r="O28" s="33"/>
      <c r="P28" s="31">
        <f>P5-P26</f>
        <v>0</v>
      </c>
      <c r="Q28" s="33"/>
      <c r="R28" s="31">
        <f>R5-R26</f>
        <v>0</v>
      </c>
      <c r="S28" s="33"/>
      <c r="T28" s="31">
        <f>T5-T26</f>
        <v>0</v>
      </c>
      <c r="U28" s="33"/>
      <c r="V28" s="31">
        <f>V5-V26</f>
        <v>0</v>
      </c>
      <c r="W28" s="33"/>
    </row>
  </sheetData>
  <mergeCells count="12">
    <mergeCell ref="J3:K3"/>
    <mergeCell ref="L3:M3"/>
    <mergeCell ref="A4:A5"/>
    <mergeCell ref="B3:C3"/>
    <mergeCell ref="D3:E3"/>
    <mergeCell ref="F3:G3"/>
    <mergeCell ref="H3:I3"/>
    <mergeCell ref="N3:O3"/>
    <mergeCell ref="P3:Q3"/>
    <mergeCell ref="R3:S3"/>
    <mergeCell ref="T3:U3"/>
    <mergeCell ref="V3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"/>
  <sheetViews>
    <sheetView zoomScale="120" zoomScaleNormal="120" workbookViewId="0"/>
  </sheetViews>
  <sheetFormatPr baseColWidth="10" defaultRowHeight="14.5" x14ac:dyDescent="0.35"/>
  <cols>
    <col min="3" max="3" width="16.26953125" bestFit="1" customWidth="1"/>
    <col min="4" max="4" width="12.6328125" bestFit="1" customWidth="1"/>
    <col min="5" max="6" width="14.1796875" bestFit="1" customWidth="1"/>
    <col min="7" max="8" width="15.1796875" bestFit="1" customWidth="1"/>
    <col min="9" max="10" width="14.1796875" bestFit="1" customWidth="1"/>
    <col min="11" max="13" width="15.1796875" bestFit="1" customWidth="1"/>
    <col min="14" max="14" width="11" bestFit="1" customWidth="1"/>
    <col min="15" max="15" width="14.08984375" bestFit="1" customWidth="1"/>
    <col min="16" max="16" width="11" bestFit="1" customWidth="1"/>
    <col min="17" max="17" width="14.08984375" bestFit="1" customWidth="1"/>
    <col min="18" max="18" width="11" bestFit="1" customWidth="1"/>
    <col min="19" max="19" width="15.08984375" bestFit="1" customWidth="1"/>
    <col min="20" max="20" width="11" bestFit="1" customWidth="1"/>
    <col min="21" max="21" width="15.08984375" bestFit="1" customWidth="1"/>
    <col min="22" max="22" width="11" bestFit="1" customWidth="1"/>
    <col min="23" max="23" width="15.08984375" bestFit="1" customWidth="1"/>
  </cols>
  <sheetData>
    <row r="2" spans="1:22" x14ac:dyDescent="0.35">
      <c r="D2" s="20"/>
    </row>
    <row r="3" spans="1:22" x14ac:dyDescent="0.35">
      <c r="A3" t="s">
        <v>43</v>
      </c>
      <c r="K3" s="20"/>
    </row>
    <row r="4" spans="1:22" x14ac:dyDescent="0.35">
      <c r="A4" t="s">
        <v>39</v>
      </c>
      <c r="B4" t="s">
        <v>42</v>
      </c>
      <c r="C4" t="s">
        <v>0</v>
      </c>
      <c r="D4" t="s">
        <v>1</v>
      </c>
      <c r="E4" t="s">
        <v>2</v>
      </c>
      <c r="F4" t="s">
        <v>6</v>
      </c>
      <c r="G4" t="s">
        <v>7</v>
      </c>
      <c r="H4" t="s">
        <v>8</v>
      </c>
      <c r="I4" t="s">
        <v>37</v>
      </c>
      <c r="J4" t="s">
        <v>9</v>
      </c>
      <c r="K4" t="s">
        <v>10</v>
      </c>
      <c r="L4" t="s">
        <v>38</v>
      </c>
      <c r="M4" t="s">
        <v>12</v>
      </c>
    </row>
    <row r="5" spans="1:22" x14ac:dyDescent="0.35">
      <c r="A5" t="s">
        <v>40</v>
      </c>
      <c r="B5" t="s">
        <v>45</v>
      </c>
      <c r="C5" s="17">
        <f>C9-C8-C7-C6</f>
        <v>32763627.5</v>
      </c>
      <c r="D5" s="17">
        <f t="shared" ref="D5:M5" si="0">D9-D8-D7-D6</f>
        <v>309420.32999999996</v>
      </c>
      <c r="E5" s="17">
        <f t="shared" si="0"/>
        <v>5310906.84</v>
      </c>
      <c r="F5" s="17">
        <f t="shared" si="0"/>
        <v>296712.83000000007</v>
      </c>
      <c r="G5" s="17">
        <f t="shared" si="0"/>
        <v>11163722.149999999</v>
      </c>
      <c r="H5" s="17">
        <f t="shared" si="0"/>
        <v>2591431.9299999997</v>
      </c>
      <c r="I5" s="17">
        <f t="shared" si="0"/>
        <v>574879.96</v>
      </c>
      <c r="J5" s="17">
        <f t="shared" si="0"/>
        <v>486200.91000000015</v>
      </c>
      <c r="K5" s="17">
        <f t="shared" si="0"/>
        <v>3808853.41</v>
      </c>
      <c r="L5" s="17">
        <f t="shared" si="0"/>
        <v>5168816.9600000009</v>
      </c>
      <c r="M5" s="17">
        <f t="shared" si="0"/>
        <v>3052682.1799999997</v>
      </c>
    </row>
    <row r="6" spans="1:22" x14ac:dyDescent="0.35">
      <c r="A6" t="s">
        <v>40</v>
      </c>
      <c r="B6" t="s">
        <v>44</v>
      </c>
      <c r="C6" s="17">
        <v>4789360</v>
      </c>
      <c r="D6" s="17">
        <v>0</v>
      </c>
      <c r="E6" s="17">
        <v>4184470</v>
      </c>
      <c r="F6" s="17">
        <v>0</v>
      </c>
      <c r="G6" s="17">
        <v>0</v>
      </c>
      <c r="H6" s="17">
        <v>299930</v>
      </c>
      <c r="I6" s="17">
        <v>0</v>
      </c>
      <c r="J6" s="17">
        <v>0</v>
      </c>
      <c r="K6" s="17">
        <v>0</v>
      </c>
      <c r="L6" s="17">
        <v>219970</v>
      </c>
      <c r="M6" s="17">
        <v>84990</v>
      </c>
      <c r="N6" s="28"/>
    </row>
    <row r="7" spans="1:22" x14ac:dyDescent="0.35">
      <c r="A7" t="s">
        <v>40</v>
      </c>
      <c r="B7" t="s">
        <v>35</v>
      </c>
      <c r="C7" s="17">
        <v>117278421</v>
      </c>
      <c r="D7" s="17">
        <v>199560</v>
      </c>
      <c r="E7" s="17">
        <v>3961750</v>
      </c>
      <c r="F7" s="17">
        <v>3913900</v>
      </c>
      <c r="G7" s="17">
        <v>32612780</v>
      </c>
      <c r="H7" s="17">
        <v>15973760</v>
      </c>
      <c r="I7" s="17">
        <v>2139640</v>
      </c>
      <c r="J7" s="17">
        <v>4227099</v>
      </c>
      <c r="K7" s="17">
        <v>17093400</v>
      </c>
      <c r="L7" s="17">
        <v>26973224</v>
      </c>
      <c r="M7" s="17">
        <v>10183308</v>
      </c>
    </row>
    <row r="8" spans="1:22" x14ac:dyDescent="0.35">
      <c r="A8" t="s">
        <v>40</v>
      </c>
      <c r="B8" t="s">
        <v>36</v>
      </c>
      <c r="C8" s="17">
        <v>30629259</v>
      </c>
      <c r="D8" s="17">
        <v>114770</v>
      </c>
      <c r="E8" s="17">
        <v>2668790</v>
      </c>
      <c r="F8" s="17">
        <v>749100</v>
      </c>
      <c r="G8" s="17">
        <v>6498160</v>
      </c>
      <c r="H8" s="17">
        <v>2904760</v>
      </c>
      <c r="I8" s="17">
        <v>936800</v>
      </c>
      <c r="J8" s="17">
        <v>379500</v>
      </c>
      <c r="K8" s="17">
        <v>4573340</v>
      </c>
      <c r="L8" s="17">
        <v>7300989</v>
      </c>
      <c r="M8" s="17">
        <v>4503050</v>
      </c>
    </row>
    <row r="9" spans="1:22" x14ac:dyDescent="0.35">
      <c r="A9" t="s">
        <v>40</v>
      </c>
      <c r="B9" t="s">
        <v>46</v>
      </c>
      <c r="C9" s="17">
        <v>185460667.5</v>
      </c>
      <c r="D9" s="17">
        <v>623750.32999999996</v>
      </c>
      <c r="E9" s="17">
        <v>16125916.84</v>
      </c>
      <c r="F9" s="17">
        <v>4959712.83</v>
      </c>
      <c r="G9" s="17">
        <v>50274662.149999999</v>
      </c>
      <c r="H9" s="17">
        <v>21769881.93</v>
      </c>
      <c r="I9" s="17">
        <v>3651319.96</v>
      </c>
      <c r="J9" s="17">
        <v>5092799.91</v>
      </c>
      <c r="K9" s="17">
        <v>25475593.41</v>
      </c>
      <c r="L9" s="17">
        <v>39662999.960000001</v>
      </c>
      <c r="M9" s="17">
        <v>17824030.18</v>
      </c>
    </row>
    <row r="10" spans="1:22" x14ac:dyDescent="0.35">
      <c r="A10" t="s">
        <v>41</v>
      </c>
      <c r="B10" t="s">
        <v>45</v>
      </c>
      <c r="C10" s="17">
        <f>C14-C13-C12-C11</f>
        <v>34900619.360000014</v>
      </c>
      <c r="D10" s="17">
        <f t="shared" ref="D10:M10" si="1">D14-D13-D12-D11</f>
        <v>84830.049999999988</v>
      </c>
      <c r="E10" s="17">
        <f t="shared" si="1"/>
        <v>4789996.42</v>
      </c>
      <c r="F10" s="17">
        <f t="shared" si="1"/>
        <v>2512107.8099999996</v>
      </c>
      <c r="G10" s="17">
        <f t="shared" si="1"/>
        <v>15184433.219999999</v>
      </c>
      <c r="H10" s="17">
        <f t="shared" si="1"/>
        <v>2400621.8800000008</v>
      </c>
      <c r="I10" s="17">
        <f t="shared" si="1"/>
        <v>528853.81999999983</v>
      </c>
      <c r="J10" s="17">
        <f t="shared" si="1"/>
        <v>1597599.8599999994</v>
      </c>
      <c r="K10" s="17">
        <f t="shared" si="1"/>
        <v>3107435.2100000009</v>
      </c>
      <c r="L10" s="17">
        <f t="shared" si="1"/>
        <v>3094941.0700000003</v>
      </c>
      <c r="M10" s="17">
        <f t="shared" si="1"/>
        <v>1599800.0199999996</v>
      </c>
    </row>
    <row r="11" spans="1:22" x14ac:dyDescent="0.35">
      <c r="A11" t="s">
        <v>41</v>
      </c>
      <c r="B11" t="s">
        <v>44</v>
      </c>
      <c r="C11" s="17">
        <f>SUM(D11:M11)</f>
        <v>4785110</v>
      </c>
      <c r="D11" s="17">
        <v>0</v>
      </c>
      <c r="E11" s="17">
        <v>4272300</v>
      </c>
      <c r="F11" s="17">
        <v>0</v>
      </c>
      <c r="G11" s="17">
        <v>0</v>
      </c>
      <c r="H11" s="17">
        <v>312940</v>
      </c>
      <c r="I11" s="17">
        <v>0</v>
      </c>
      <c r="J11" s="17">
        <v>44900</v>
      </c>
      <c r="K11" s="17">
        <v>0</v>
      </c>
      <c r="L11" s="17">
        <v>84980</v>
      </c>
      <c r="M11" s="17">
        <v>69990</v>
      </c>
      <c r="N11" s="28"/>
    </row>
    <row r="12" spans="1:22" x14ac:dyDescent="0.35">
      <c r="A12" t="s">
        <v>41</v>
      </c>
      <c r="B12" t="s">
        <v>35</v>
      </c>
      <c r="C12" s="17">
        <v>104723899</v>
      </c>
      <c r="D12" s="17">
        <v>59880</v>
      </c>
      <c r="E12" s="17">
        <v>2543920</v>
      </c>
      <c r="F12" s="17">
        <v>5018530</v>
      </c>
      <c r="G12" s="17">
        <v>34034293</v>
      </c>
      <c r="H12" s="17">
        <v>10373550</v>
      </c>
      <c r="I12" s="17">
        <v>1982653</v>
      </c>
      <c r="J12" s="17">
        <v>7326700</v>
      </c>
      <c r="K12" s="17">
        <v>14562570</v>
      </c>
      <c r="L12" s="17">
        <v>20222799</v>
      </c>
      <c r="M12" s="17">
        <v>8599004</v>
      </c>
    </row>
    <row r="13" spans="1:22" x14ac:dyDescent="0.35">
      <c r="A13" t="s">
        <v>41</v>
      </c>
      <c r="B13" t="s">
        <v>36</v>
      </c>
      <c r="C13" s="17">
        <v>27406670</v>
      </c>
      <c r="D13" s="17">
        <v>29940</v>
      </c>
      <c r="E13" s="17">
        <v>2197070</v>
      </c>
      <c r="F13" s="17">
        <v>644900</v>
      </c>
      <c r="G13" s="17">
        <v>7096820</v>
      </c>
      <c r="H13" s="17">
        <v>3233550</v>
      </c>
      <c r="I13" s="17">
        <v>505880</v>
      </c>
      <c r="J13" s="17">
        <v>666600</v>
      </c>
      <c r="K13" s="17">
        <v>3313340</v>
      </c>
      <c r="L13" s="17">
        <v>7035920</v>
      </c>
      <c r="M13" s="17">
        <v>2682650</v>
      </c>
    </row>
    <row r="14" spans="1:22" x14ac:dyDescent="0.35">
      <c r="A14" t="s">
        <v>41</v>
      </c>
      <c r="B14" t="s">
        <v>46</v>
      </c>
      <c r="C14" s="17">
        <v>171816298.36000001</v>
      </c>
      <c r="D14" s="17">
        <v>174650.05</v>
      </c>
      <c r="E14" s="17">
        <v>13803286.42</v>
      </c>
      <c r="F14" s="17">
        <v>8175537.8099999996</v>
      </c>
      <c r="G14" s="17">
        <v>56315546.219999999</v>
      </c>
      <c r="H14" s="17">
        <v>16320661.880000001</v>
      </c>
      <c r="I14" s="17">
        <v>3017386.82</v>
      </c>
      <c r="J14" s="17">
        <v>9635799.8599999994</v>
      </c>
      <c r="K14" s="17">
        <v>20983345.210000001</v>
      </c>
      <c r="L14" s="17">
        <v>30438640.07</v>
      </c>
      <c r="M14" s="17">
        <v>12951444.02</v>
      </c>
      <c r="N14" s="17"/>
      <c r="P14" s="17"/>
      <c r="R14" s="17"/>
      <c r="T14" s="17"/>
      <c r="V14" s="17"/>
    </row>
    <row r="15" spans="1:22" x14ac:dyDescent="0.35"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22" x14ac:dyDescent="0.35">
      <c r="C1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2026-01</vt:lpstr>
      <vt:lpstr>2026-02</vt:lpstr>
      <vt:lpstr>2026-03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2026-03-04T15:25:56Z</dcterms:created>
  <dcterms:modified xsi:type="dcterms:W3CDTF">2026-03-16T16:22:39Z</dcterms:modified>
</cp:coreProperties>
</file>