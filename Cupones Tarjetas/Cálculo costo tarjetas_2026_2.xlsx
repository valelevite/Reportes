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Cupones Tarjetas\"/>
    </mc:Choice>
  </mc:AlternateContent>
  <bookViews>
    <workbookView xWindow="0" yWindow="0" windowWidth="13130" windowHeight="6110"/>
  </bookViews>
  <sheets>
    <sheet name="datos" sheetId="1" r:id="rId1"/>
  </sheets>
  <calcPr calcId="162913"/>
</workbook>
</file>

<file path=xl/calcChain.xml><?xml version="1.0" encoding="utf-8"?>
<calcChain xmlns="http://schemas.openxmlformats.org/spreadsheetml/2006/main">
  <c r="F27" i="1" l="1"/>
  <c r="F26" i="1"/>
  <c r="E27" i="1"/>
  <c r="E26" i="1"/>
  <c r="D27" i="1"/>
  <c r="D26" i="1"/>
</calcChain>
</file>

<file path=xl/sharedStrings.xml><?xml version="1.0" encoding="utf-8"?>
<sst xmlns="http://schemas.openxmlformats.org/spreadsheetml/2006/main" count="162" uniqueCount="128">
  <si>
    <t>AÑO</t>
  </si>
  <si>
    <t>MES</t>
  </si>
  <si>
    <t>Total_TOTAL</t>
  </si>
  <si>
    <t>Total_CANTIDAD_VENTAS</t>
  </si>
  <si>
    <t>AS Güemes_TOTAL</t>
  </si>
  <si>
    <t>AS Güemes_CANTIDAD_VENTAS</t>
  </si>
  <si>
    <t>AS San Telmo_TOTAL</t>
  </si>
  <si>
    <t>AS San Telmo_CANTIDAD_VENTAS</t>
  </si>
  <si>
    <t>El Solar_TOTAL</t>
  </si>
  <si>
    <t>El Solar_CANTIDAD_VENTAS</t>
  </si>
  <si>
    <t>Florida_TOTAL</t>
  </si>
  <si>
    <t>Florida_CANTIDAD_VENTAS</t>
  </si>
  <si>
    <t>French_TOTAL</t>
  </si>
  <si>
    <t>French_CANTIDAD_VENTAS</t>
  </si>
  <si>
    <t>Güemes_TOTAL</t>
  </si>
  <si>
    <t>Güemes_CANTIDAD_VENTAS</t>
  </si>
  <si>
    <t>Güemes 2_TOTAL</t>
  </si>
  <si>
    <t>Güemes 2_CANTIDAD_VENTAS</t>
  </si>
  <si>
    <t>Recoleta_TOTAL</t>
  </si>
  <si>
    <t>Recoleta_CANTIDAD_VENTAS</t>
  </si>
  <si>
    <t>San Telmo_TOTAL</t>
  </si>
  <si>
    <t>San Telmo_CANTIDAD_VENTAS</t>
  </si>
  <si>
    <t>San Telmo 2_TOTAL</t>
  </si>
  <si>
    <t>San Telmo 2_CANTIDAD_VENTAS</t>
  </si>
  <si>
    <t>CREDITO_DEBITO</t>
  </si>
  <si>
    <t>Total_tarjeta</t>
  </si>
  <si>
    <t>TOTAL</t>
  </si>
  <si>
    <t>AS Güemes_Porc_tarjeta</t>
  </si>
  <si>
    <t>AS Güemes_Cantidad</t>
  </si>
  <si>
    <t>AS San Telmo_Porc_tarjeta</t>
  </si>
  <si>
    <t>AS San Telmo_Cantidad</t>
  </si>
  <si>
    <t>El Solar_Porc_tarjeta</t>
  </si>
  <si>
    <t>El Solar_Cantidad</t>
  </si>
  <si>
    <t>Florida_Porc_tarjeta</t>
  </si>
  <si>
    <t>Florida_Cantidad</t>
  </si>
  <si>
    <t>French_Porc_tarjeta</t>
  </si>
  <si>
    <t>French_Cantidad</t>
  </si>
  <si>
    <t>Güemes_Porc_tarjeta</t>
  </si>
  <si>
    <t>Güemes_Cantidad</t>
  </si>
  <si>
    <t>Güemes 2_Porc_tarjeta</t>
  </si>
  <si>
    <t>Güemes 2_Cantidad</t>
  </si>
  <si>
    <t>Recoleta_Porc_tarjeta</t>
  </si>
  <si>
    <t>Recoleta_Cantidad</t>
  </si>
  <si>
    <t>San Telmo_Porc_tarjeta</t>
  </si>
  <si>
    <t>San Telmo_Cantidad</t>
  </si>
  <si>
    <t>San Telmo 2_Porc_tarjeta</t>
  </si>
  <si>
    <t>San Telmo 2_Cantidad</t>
  </si>
  <si>
    <t>TOTAL_Porc_tarjeta</t>
  </si>
  <si>
    <t>TOTAL_Cantidad</t>
  </si>
  <si>
    <t>CRÉDITO</t>
  </si>
  <si>
    <t>DÉBITO</t>
  </si>
  <si>
    <t>NRO_CUOTAS</t>
  </si>
  <si>
    <t>Total_PORC_SOBRE_VENTAS</t>
  </si>
  <si>
    <t>Total_CANTIDAD</t>
  </si>
  <si>
    <t>AS Güemes_PORC_SOBRE_VENTAS</t>
  </si>
  <si>
    <t>AS Güemes_CANTIDAD</t>
  </si>
  <si>
    <t>AS San Telmo_PORC_SOBRE_VENTAS</t>
  </si>
  <si>
    <t>AS San Telmo_CANTIDAD</t>
  </si>
  <si>
    <t>El Solar_PORC_SOBRE_VENTAS</t>
  </si>
  <si>
    <t>El Solar_CANTIDAD</t>
  </si>
  <si>
    <t>Florida_PORC_SOBRE_VENTAS</t>
  </si>
  <si>
    <t>Florida_CANTIDAD</t>
  </si>
  <si>
    <t>French_PORC_SOBRE_VENTAS</t>
  </si>
  <si>
    <t>French_CANTIDAD</t>
  </si>
  <si>
    <t>Güemes_PORC_SOBRE_VENTAS</t>
  </si>
  <si>
    <t>Güemes_CANTIDAD</t>
  </si>
  <si>
    <t>Güemes 2_PORC_SOBRE_VENTAS</t>
  </si>
  <si>
    <t>Güemes 2_CANTIDAD</t>
  </si>
  <si>
    <t>Recoleta_PORC_SOBRE_VENTAS</t>
  </si>
  <si>
    <t>Recoleta_CANTIDAD</t>
  </si>
  <si>
    <t>San Telmo_PORC_SOBRE_VENTAS</t>
  </si>
  <si>
    <t>San Telmo_CANTIDAD</t>
  </si>
  <si>
    <t>San Telmo 2_PORC_SOBRE_VENTAS</t>
  </si>
  <si>
    <t>San Telmo 2_CANTIDAD</t>
  </si>
  <si>
    <t>Total_CFT_TASA</t>
  </si>
  <si>
    <t>Total_CFT_TASA_PORC</t>
  </si>
  <si>
    <t>AS Güemes_CFT_TASA</t>
  </si>
  <si>
    <t>AS Güemes_CFT_TASA_PORC</t>
  </si>
  <si>
    <t>AS San Telmo_CFT_TASA</t>
  </si>
  <si>
    <t>AS San Telmo_CFT_TASA_PORC</t>
  </si>
  <si>
    <t>El Solar_CFT_TASA</t>
  </si>
  <si>
    <t>El Solar_CFT_TASA_PORC</t>
  </si>
  <si>
    <t>Florida_CFT_TASA</t>
  </si>
  <si>
    <t>Florida_CFT_TASA_PORC</t>
  </si>
  <si>
    <t>French_CFT_TASA</t>
  </si>
  <si>
    <t>French_CFT_TASA_PORC</t>
  </si>
  <si>
    <t>Güemes_CFT_TASA</t>
  </si>
  <si>
    <t>Güemes_CFT_TASA_PORC</t>
  </si>
  <si>
    <t>Güemes 2_CFT_TASA</t>
  </si>
  <si>
    <t>Güemes 2_CFT_TASA_PORC</t>
  </si>
  <si>
    <t>Recoleta_CFT_TASA</t>
  </si>
  <si>
    <t>Recoleta_CFT_TASA_PORC</t>
  </si>
  <si>
    <t>San Telmo_CFT_TASA</t>
  </si>
  <si>
    <t>San Telmo_CFT_TASA_PORC</t>
  </si>
  <si>
    <t>San Telmo 2_CFT_TASA</t>
  </si>
  <si>
    <t>San Telmo 2_CFT_TASA_PORC</t>
  </si>
  <si>
    <t>0</t>
  </si>
  <si>
    <t>3</t>
  </si>
  <si>
    <t>6</t>
  </si>
  <si>
    <t>2</t>
  </si>
  <si>
    <t>Total_cuotas</t>
  </si>
  <si>
    <t>Total_COMISION</t>
  </si>
  <si>
    <t>Total_COMISION_PORC</t>
  </si>
  <si>
    <t>AS Güemes_COMISION</t>
  </si>
  <si>
    <t>AS Güemes_COMISION_PORC</t>
  </si>
  <si>
    <t>AS San Telmo_COMISION</t>
  </si>
  <si>
    <t>AS San Telmo_COMISION_PORC</t>
  </si>
  <si>
    <t>El Solar_COMISION</t>
  </si>
  <si>
    <t>El Solar_COMISION_PORC</t>
  </si>
  <si>
    <t>Florida_COMISION</t>
  </si>
  <si>
    <t>Florida_COMISION_PORC</t>
  </si>
  <si>
    <t>French_COMISION</t>
  </si>
  <si>
    <t>French_COMISION_PORC</t>
  </si>
  <si>
    <t>Güemes_COMISION</t>
  </si>
  <si>
    <t>Güemes_COMISION_PORC</t>
  </si>
  <si>
    <t>Güemes 2_COMISION</t>
  </si>
  <si>
    <t>Güemes 2_COMISION_PORC</t>
  </si>
  <si>
    <t>Recoleta_COMISION</t>
  </si>
  <si>
    <t>Recoleta_COMISION_PORC</t>
  </si>
  <si>
    <t>San Telmo_COMISION</t>
  </si>
  <si>
    <t>San Telmo_COMISION_PORC</t>
  </si>
  <si>
    <t>San Telmo 2_COMISION</t>
  </si>
  <si>
    <t>San Telmo 2_COMISION_PORC</t>
  </si>
  <si>
    <t>BRUTO</t>
  </si>
  <si>
    <t>NETO</t>
  </si>
  <si>
    <t>CANTIDAD</t>
  </si>
  <si>
    <t>MP_COSTO</t>
  </si>
  <si>
    <t>MP_COSTO_PORC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</si>
</sst>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1"/>
  <sheetViews>
    <sheetView tabSelected="1" topLeftCell="A17" workbookViewId="0">
      <selection activeCell="F26" sqref="F26:G27"/>
    </sheetView>
  </sheetViews>
  <sheetFormatPr baseColWidth="10" defaultRowHeight="14.5" x14ac:dyDescent="0.35"/>
  <cols>
    <col min="4" max="4" width="16.1796875" bestFit="1" customWidth="1"/>
    <col min="5" max="5" width="20.4531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7" x14ac:dyDescent="0.35">
      <c r="A2">
        <v>2026</v>
      </c>
      <c r="B2">
        <v>2</v>
      </c>
      <c r="C2">
        <v>171816298.36000001</v>
      </c>
      <c r="D2">
        <v>2859</v>
      </c>
      <c r="E2">
        <v>174650.05</v>
      </c>
      <c r="F2">
        <v>28</v>
      </c>
      <c r="G2">
        <v>13803286.42</v>
      </c>
      <c r="H2">
        <v>1343</v>
      </c>
      <c r="I2">
        <v>8175537.8099999996</v>
      </c>
      <c r="J2">
        <v>77</v>
      </c>
      <c r="K2">
        <v>56315546.219999999</v>
      </c>
      <c r="L2">
        <v>460</v>
      </c>
      <c r="M2">
        <v>16320661.880000001</v>
      </c>
      <c r="N2">
        <v>175</v>
      </c>
      <c r="O2">
        <v>3017386.82</v>
      </c>
      <c r="P2">
        <v>50</v>
      </c>
      <c r="Q2">
        <v>9635799.8599999994</v>
      </c>
      <c r="R2">
        <v>72</v>
      </c>
      <c r="S2">
        <v>20983345.210000001</v>
      </c>
      <c r="T2">
        <v>217</v>
      </c>
      <c r="U2">
        <v>30438640.07</v>
      </c>
      <c r="V2">
        <v>317</v>
      </c>
      <c r="W2">
        <v>12951444.02</v>
      </c>
      <c r="X2">
        <v>120</v>
      </c>
    </row>
    <row r="5" spans="1:27" x14ac:dyDescent="0.35">
      <c r="A5" t="s">
        <v>0</v>
      </c>
      <c r="B5" t="s">
        <v>1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 t="s">
        <v>35</v>
      </c>
      <c r="O5" t="s">
        <v>36</v>
      </c>
      <c r="P5" t="s">
        <v>37</v>
      </c>
      <c r="Q5" t="s">
        <v>38</v>
      </c>
      <c r="R5" t="s">
        <v>39</v>
      </c>
      <c r="S5" t="s">
        <v>40</v>
      </c>
      <c r="T5" t="s">
        <v>41</v>
      </c>
      <c r="U5" t="s">
        <v>42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35">
      <c r="A6">
        <v>2026</v>
      </c>
      <c r="B6">
        <v>2</v>
      </c>
      <c r="C6" t="s">
        <v>49</v>
      </c>
      <c r="D6" s="1">
        <v>59880</v>
      </c>
      <c r="E6" s="1">
        <v>174650.05</v>
      </c>
      <c r="F6">
        <v>0.34285704470167599</v>
      </c>
      <c r="G6">
        <v>9</v>
      </c>
    </row>
    <row r="7" spans="1:27" x14ac:dyDescent="0.35">
      <c r="A7">
        <v>2026</v>
      </c>
      <c r="B7">
        <v>2</v>
      </c>
      <c r="C7" t="s">
        <v>50</v>
      </c>
      <c r="D7" s="1">
        <v>29940</v>
      </c>
      <c r="E7" s="1">
        <v>174650.05</v>
      </c>
      <c r="F7">
        <v>0.171428522350838</v>
      </c>
      <c r="G7">
        <v>6</v>
      </c>
    </row>
    <row r="8" spans="1:27" x14ac:dyDescent="0.35">
      <c r="A8">
        <v>2026</v>
      </c>
      <c r="B8">
        <v>2</v>
      </c>
      <c r="C8" t="s">
        <v>49</v>
      </c>
      <c r="D8" s="1">
        <v>2543920</v>
      </c>
      <c r="E8" s="1">
        <v>13803286.42</v>
      </c>
      <c r="H8">
        <v>0.18429813905143899</v>
      </c>
      <c r="I8">
        <v>152</v>
      </c>
    </row>
    <row r="9" spans="1:27" x14ac:dyDescent="0.35">
      <c r="A9">
        <v>2026</v>
      </c>
      <c r="B9">
        <v>2</v>
      </c>
      <c r="C9" t="s">
        <v>50</v>
      </c>
      <c r="D9" s="1">
        <v>2197070</v>
      </c>
      <c r="E9" s="1">
        <v>13803286.42</v>
      </c>
      <c r="H9">
        <v>0.159170065240159</v>
      </c>
      <c r="I9">
        <v>198</v>
      </c>
    </row>
    <row r="10" spans="1:27" x14ac:dyDescent="0.35">
      <c r="A10">
        <v>2026</v>
      </c>
      <c r="B10">
        <v>2</v>
      </c>
      <c r="C10" t="s">
        <v>49</v>
      </c>
      <c r="D10" s="1">
        <v>5018530</v>
      </c>
      <c r="E10" s="1">
        <v>8175537.8099999996</v>
      </c>
      <c r="J10">
        <v>0.61384707852020803</v>
      </c>
      <c r="K10">
        <v>35</v>
      </c>
    </row>
    <row r="11" spans="1:27" x14ac:dyDescent="0.35">
      <c r="A11">
        <v>2026</v>
      </c>
      <c r="B11">
        <v>2</v>
      </c>
      <c r="C11" t="s">
        <v>50</v>
      </c>
      <c r="D11" s="1">
        <v>644900</v>
      </c>
      <c r="E11" s="1">
        <v>8175537.8099999996</v>
      </c>
      <c r="J11">
        <v>7.8881660752786603E-2</v>
      </c>
      <c r="K11">
        <v>12</v>
      </c>
    </row>
    <row r="12" spans="1:27" x14ac:dyDescent="0.35">
      <c r="A12">
        <v>2026</v>
      </c>
      <c r="B12">
        <v>2</v>
      </c>
      <c r="C12" t="s">
        <v>49</v>
      </c>
      <c r="D12" s="1">
        <v>34034293</v>
      </c>
      <c r="E12" s="1">
        <v>56315546.219999999</v>
      </c>
      <c r="L12">
        <v>0.60434986934234902</v>
      </c>
      <c r="M12">
        <v>262</v>
      </c>
    </row>
    <row r="13" spans="1:27" x14ac:dyDescent="0.35">
      <c r="A13">
        <v>2026</v>
      </c>
      <c r="B13">
        <v>2</v>
      </c>
      <c r="C13" t="s">
        <v>50</v>
      </c>
      <c r="D13" s="1">
        <v>7096820</v>
      </c>
      <c r="E13" s="1">
        <v>56315546.219999999</v>
      </c>
      <c r="L13">
        <v>0.12601884339851499</v>
      </c>
      <c r="M13">
        <v>68</v>
      </c>
    </row>
    <row r="14" spans="1:27" x14ac:dyDescent="0.35">
      <c r="A14">
        <v>2026</v>
      </c>
      <c r="B14">
        <v>2</v>
      </c>
      <c r="C14" t="s">
        <v>49</v>
      </c>
      <c r="D14" s="1">
        <v>10373550</v>
      </c>
      <c r="E14" s="1">
        <v>16320661.880000001</v>
      </c>
      <c r="N14">
        <v>0.63560841320486905</v>
      </c>
      <c r="O14">
        <v>104</v>
      </c>
    </row>
    <row r="15" spans="1:27" x14ac:dyDescent="0.35">
      <c r="A15">
        <v>2026</v>
      </c>
      <c r="B15">
        <v>2</v>
      </c>
      <c r="C15" t="s">
        <v>50</v>
      </c>
      <c r="D15" s="1">
        <v>3233550</v>
      </c>
      <c r="E15" s="1">
        <v>16320661.880000001</v>
      </c>
      <c r="N15">
        <v>0.19812615589828</v>
      </c>
      <c r="O15">
        <v>35</v>
      </c>
    </row>
    <row r="16" spans="1:27" x14ac:dyDescent="0.35">
      <c r="A16">
        <v>2026</v>
      </c>
      <c r="B16">
        <v>2</v>
      </c>
      <c r="C16" t="s">
        <v>49</v>
      </c>
      <c r="D16" s="1">
        <v>1982653</v>
      </c>
      <c r="E16" s="1">
        <v>3017386.82</v>
      </c>
      <c r="P16">
        <v>0.657076178254136</v>
      </c>
      <c r="Q16">
        <v>24</v>
      </c>
    </row>
    <row r="17" spans="1:25" x14ac:dyDescent="0.35">
      <c r="A17">
        <v>2026</v>
      </c>
      <c r="B17">
        <v>2</v>
      </c>
      <c r="C17" t="s">
        <v>50</v>
      </c>
      <c r="D17" s="1">
        <v>505880</v>
      </c>
      <c r="E17" s="1">
        <v>3017386.82</v>
      </c>
      <c r="P17">
        <v>0.16765500420658699</v>
      </c>
      <c r="Q17">
        <v>12</v>
      </c>
    </row>
    <row r="18" spans="1:25" x14ac:dyDescent="0.35">
      <c r="A18">
        <v>2026</v>
      </c>
      <c r="B18">
        <v>2</v>
      </c>
      <c r="C18" t="s">
        <v>49</v>
      </c>
      <c r="D18" s="1">
        <v>7326700</v>
      </c>
      <c r="E18" s="1">
        <v>9635799.8599999994</v>
      </c>
      <c r="R18">
        <v>0.76036240960280799</v>
      </c>
      <c r="S18">
        <v>45</v>
      </c>
    </row>
    <row r="19" spans="1:25" x14ac:dyDescent="0.35">
      <c r="A19">
        <v>2026</v>
      </c>
      <c r="B19">
        <v>2</v>
      </c>
      <c r="C19" t="s">
        <v>50</v>
      </c>
      <c r="D19" s="1">
        <v>666600</v>
      </c>
      <c r="E19" s="1">
        <v>9635799.8599999994</v>
      </c>
      <c r="R19">
        <v>6.9179519052401703E-2</v>
      </c>
      <c r="S19">
        <v>9</v>
      </c>
    </row>
    <row r="20" spans="1:25" x14ac:dyDescent="0.35">
      <c r="A20">
        <v>2026</v>
      </c>
      <c r="B20">
        <v>2</v>
      </c>
      <c r="C20" t="s">
        <v>49</v>
      </c>
      <c r="D20" s="1">
        <v>14562570</v>
      </c>
      <c r="E20" s="1">
        <v>20983345.210000001</v>
      </c>
      <c r="T20">
        <v>0.69400612029486797</v>
      </c>
      <c r="U20">
        <v>133</v>
      </c>
    </row>
    <row r="21" spans="1:25" x14ac:dyDescent="0.35">
      <c r="A21">
        <v>2026</v>
      </c>
      <c r="B21">
        <v>2</v>
      </c>
      <c r="C21" t="s">
        <v>50</v>
      </c>
      <c r="D21" s="1">
        <v>3313340</v>
      </c>
      <c r="E21" s="1">
        <v>20983345.210000001</v>
      </c>
      <c r="T21">
        <v>0.15790332603502</v>
      </c>
      <c r="U21">
        <v>47</v>
      </c>
    </row>
    <row r="22" spans="1:25" x14ac:dyDescent="0.35">
      <c r="A22">
        <v>2026</v>
      </c>
      <c r="B22">
        <v>2</v>
      </c>
      <c r="C22" t="s">
        <v>49</v>
      </c>
      <c r="D22" s="1">
        <v>20222799</v>
      </c>
      <c r="E22" s="1">
        <v>30438640.07</v>
      </c>
      <c r="V22">
        <v>0.66437918886959002</v>
      </c>
      <c r="W22">
        <v>195</v>
      </c>
    </row>
    <row r="23" spans="1:25" x14ac:dyDescent="0.35">
      <c r="A23">
        <v>2026</v>
      </c>
      <c r="B23">
        <v>2</v>
      </c>
      <c r="C23" t="s">
        <v>50</v>
      </c>
      <c r="D23" s="1">
        <v>7035920</v>
      </c>
      <c r="E23" s="1">
        <v>30438640.07</v>
      </c>
      <c r="V23">
        <v>0.231150931310316</v>
      </c>
      <c r="W23">
        <v>65</v>
      </c>
    </row>
    <row r="24" spans="1:25" x14ac:dyDescent="0.35">
      <c r="A24">
        <v>2026</v>
      </c>
      <c r="B24">
        <v>2</v>
      </c>
      <c r="C24" t="s">
        <v>49</v>
      </c>
      <c r="D24" s="1">
        <v>8599004</v>
      </c>
      <c r="E24" s="1">
        <v>12951444.02</v>
      </c>
      <c r="X24">
        <v>0.66394171852352302</v>
      </c>
      <c r="Y24">
        <v>77</v>
      </c>
    </row>
    <row r="25" spans="1:25" x14ac:dyDescent="0.35">
      <c r="A25">
        <v>2026</v>
      </c>
      <c r="B25">
        <v>2</v>
      </c>
      <c r="C25" t="s">
        <v>50</v>
      </c>
      <c r="D25" s="1">
        <v>2682650</v>
      </c>
      <c r="E25" s="1">
        <v>12951444.02</v>
      </c>
      <c r="X25">
        <v>0.207131343490145</v>
      </c>
      <c r="Y25">
        <v>25</v>
      </c>
    </row>
    <row r="26" spans="1:25" x14ac:dyDescent="0.35">
      <c r="A26">
        <v>2026</v>
      </c>
      <c r="B26">
        <v>2</v>
      </c>
      <c r="C26" t="s">
        <v>49</v>
      </c>
      <c r="D26" s="2">
        <f>D6+D8+D10+D12+D14+D16+D18+D20+D22+D24</f>
        <v>104723899</v>
      </c>
      <c r="E26" s="2">
        <f>E6+E8+E10+E12+E14+E16+E18+E20+E22+E24</f>
        <v>171816298.35999998</v>
      </c>
      <c r="F26">
        <f>D26/E26</f>
        <v>0.60951085548692308</v>
      </c>
      <c r="G26">
        <v>1036</v>
      </c>
    </row>
    <row r="27" spans="1:25" x14ac:dyDescent="0.35">
      <c r="A27">
        <v>2026</v>
      </c>
      <c r="B27">
        <v>2</v>
      </c>
      <c r="C27" t="s">
        <v>50</v>
      </c>
      <c r="D27" s="2">
        <f>D7+D9+D11+D13+D15+D17+D19+D21+D23+D25</f>
        <v>27406670</v>
      </c>
      <c r="E27" s="2">
        <f>E7+E9+E11+E13+E15+E17+E19+E21+E23+E25</f>
        <v>171816298.35999998</v>
      </c>
      <c r="F27">
        <f>D27/E27</f>
        <v>0.15951146812961756</v>
      </c>
      <c r="G27">
        <v>477</v>
      </c>
    </row>
    <row r="30" spans="1:25" x14ac:dyDescent="0.35">
      <c r="A30" t="s">
        <v>0</v>
      </c>
      <c r="B30" t="s">
        <v>1</v>
      </c>
      <c r="C30" t="s">
        <v>51</v>
      </c>
      <c r="D30" t="s">
        <v>52</v>
      </c>
      <c r="E30" t="s">
        <v>53</v>
      </c>
      <c r="F30" t="s">
        <v>54</v>
      </c>
      <c r="G30" t="s">
        <v>55</v>
      </c>
      <c r="H30" t="s">
        <v>56</v>
      </c>
      <c r="I30" t="s">
        <v>57</v>
      </c>
      <c r="J30" t="s">
        <v>58</v>
      </c>
      <c r="K30" t="s">
        <v>59</v>
      </c>
      <c r="L30" t="s">
        <v>60</v>
      </c>
      <c r="M30" t="s">
        <v>61</v>
      </c>
      <c r="N30" t="s">
        <v>62</v>
      </c>
      <c r="O30" t="s">
        <v>63</v>
      </c>
      <c r="P30" t="s">
        <v>64</v>
      </c>
      <c r="Q30" t="s">
        <v>65</v>
      </c>
      <c r="R30" t="s">
        <v>66</v>
      </c>
      <c r="S30" t="s">
        <v>67</v>
      </c>
      <c r="T30" t="s">
        <v>68</v>
      </c>
      <c r="U30" t="s">
        <v>69</v>
      </c>
      <c r="V30" t="s">
        <v>70</v>
      </c>
      <c r="W30" t="s">
        <v>71</v>
      </c>
      <c r="X30" t="s">
        <v>72</v>
      </c>
      <c r="Y30" t="s">
        <v>73</v>
      </c>
    </row>
    <row r="31" spans="1:25" x14ac:dyDescent="0.35">
      <c r="A31">
        <v>2026</v>
      </c>
      <c r="B31">
        <v>2</v>
      </c>
      <c r="C31">
        <v>0</v>
      </c>
      <c r="D31">
        <v>0.66751348442913805</v>
      </c>
      <c r="E31">
        <v>1415</v>
      </c>
      <c r="F31">
        <v>0.34285704470167599</v>
      </c>
      <c r="G31">
        <v>9</v>
      </c>
      <c r="H31">
        <v>0.145131379516792</v>
      </c>
      <c r="I31">
        <v>144</v>
      </c>
      <c r="J31">
        <v>0.19181979662326301</v>
      </c>
      <c r="K31">
        <v>20</v>
      </c>
      <c r="L31">
        <v>0.57611995581563902</v>
      </c>
      <c r="M31">
        <v>252</v>
      </c>
      <c r="N31">
        <v>0.59474487440334101</v>
      </c>
      <c r="O31">
        <v>100</v>
      </c>
      <c r="P31">
        <v>0.26804087385786401</v>
      </c>
      <c r="Q31">
        <v>16</v>
      </c>
      <c r="R31">
        <v>9.4543267111818194E-2</v>
      </c>
      <c r="S31">
        <v>14</v>
      </c>
      <c r="T31">
        <v>0.57134836605016204</v>
      </c>
      <c r="U31">
        <v>119</v>
      </c>
      <c r="V31">
        <v>0.637113516090142</v>
      </c>
      <c r="W31">
        <v>189</v>
      </c>
      <c r="X31">
        <v>0.64850174135254501</v>
      </c>
      <c r="Y31">
        <v>75</v>
      </c>
    </row>
    <row r="32" spans="1:25" x14ac:dyDescent="0.35">
      <c r="A32">
        <v>2026</v>
      </c>
      <c r="B32">
        <v>2</v>
      </c>
      <c r="C32">
        <v>3</v>
      </c>
      <c r="D32">
        <v>8.7133020225078503E-2</v>
      </c>
      <c r="E32">
        <v>93</v>
      </c>
      <c r="H32">
        <v>3.91667595346471E-2</v>
      </c>
      <c r="I32">
        <v>8</v>
      </c>
      <c r="J32">
        <v>0.30753940088499199</v>
      </c>
      <c r="K32">
        <v>13</v>
      </c>
      <c r="L32">
        <v>2.82299135267093E-2</v>
      </c>
      <c r="M32">
        <v>10</v>
      </c>
      <c r="N32">
        <v>4.0863538801528099E-2</v>
      </c>
      <c r="O32">
        <v>4</v>
      </c>
      <c r="P32">
        <v>0.38903530439627199</v>
      </c>
      <c r="Q32">
        <v>8</v>
      </c>
      <c r="R32">
        <v>0.50662114935210001</v>
      </c>
      <c r="S32">
        <v>28</v>
      </c>
      <c r="T32">
        <v>0.122657754244706</v>
      </c>
      <c r="U32">
        <v>14</v>
      </c>
      <c r="V32">
        <v>2.7265672779447501E-2</v>
      </c>
      <c r="W32">
        <v>6</v>
      </c>
      <c r="X32">
        <v>1.5439977170978E-2</v>
      </c>
      <c r="Y32">
        <v>2</v>
      </c>
    </row>
    <row r="33" spans="1:25" x14ac:dyDescent="0.35">
      <c r="A33">
        <v>2026</v>
      </c>
      <c r="B33">
        <v>2</v>
      </c>
      <c r="C33">
        <v>6</v>
      </c>
      <c r="D33">
        <v>1.35726355547123E-2</v>
      </c>
      <c r="E33">
        <v>4</v>
      </c>
      <c r="J33">
        <v>0.11448788101195299</v>
      </c>
      <c r="K33">
        <v>2</v>
      </c>
      <c r="R33">
        <v>0.14487640053578299</v>
      </c>
      <c r="S33">
        <v>2</v>
      </c>
    </row>
    <row r="34" spans="1:25" x14ac:dyDescent="0.35">
      <c r="A34">
        <v>2026</v>
      </c>
      <c r="B34">
        <v>2</v>
      </c>
      <c r="C34">
        <v>2</v>
      </c>
      <c r="D34">
        <v>8.0318340761162204E-4</v>
      </c>
      <c r="E34">
        <v>1</v>
      </c>
      <c r="R34">
        <v>1.4321592603107501E-2</v>
      </c>
      <c r="S34">
        <v>1</v>
      </c>
    </row>
    <row r="37" spans="1:25" x14ac:dyDescent="0.35">
      <c r="A37" t="s">
        <v>0</v>
      </c>
      <c r="B37" t="s">
        <v>1</v>
      </c>
      <c r="C37" t="s">
        <v>51</v>
      </c>
      <c r="D37" t="s">
        <v>74</v>
      </c>
      <c r="E37" t="s">
        <v>75</v>
      </c>
      <c r="F37" t="s">
        <v>76</v>
      </c>
      <c r="G37" t="s">
        <v>77</v>
      </c>
      <c r="H37" t="s">
        <v>78</v>
      </c>
      <c r="I37" t="s">
        <v>79</v>
      </c>
      <c r="J37" t="s">
        <v>80</v>
      </c>
      <c r="K37" t="s">
        <v>81</v>
      </c>
      <c r="L37" t="s">
        <v>82</v>
      </c>
      <c r="M37" t="s">
        <v>83</v>
      </c>
      <c r="N37" t="s">
        <v>84</v>
      </c>
      <c r="O37" t="s">
        <v>85</v>
      </c>
      <c r="P37" t="s">
        <v>86</v>
      </c>
      <c r="Q37" t="s">
        <v>87</v>
      </c>
      <c r="R37" t="s">
        <v>88</v>
      </c>
      <c r="S37" t="s">
        <v>89</v>
      </c>
      <c r="T37" t="s">
        <v>90</v>
      </c>
      <c r="U37" t="s">
        <v>91</v>
      </c>
      <c r="V37" t="s">
        <v>92</v>
      </c>
      <c r="W37" t="s">
        <v>93</v>
      </c>
      <c r="X37" t="s">
        <v>94</v>
      </c>
      <c r="Y37" t="s">
        <v>95</v>
      </c>
    </row>
    <row r="38" spans="1:25" x14ac:dyDescent="0.35">
      <c r="A38">
        <v>2026</v>
      </c>
      <c r="B38">
        <v>2</v>
      </c>
      <c r="C38" t="s">
        <v>96</v>
      </c>
      <c r="D38">
        <v>5753096.9500000002</v>
      </c>
      <c r="E38">
        <v>6.59131243914481E-2</v>
      </c>
      <c r="F38">
        <v>2392.5100000000002</v>
      </c>
      <c r="G38">
        <v>3.99550768203073E-2</v>
      </c>
      <c r="H38">
        <v>100334.08</v>
      </c>
      <c r="I38">
        <v>5.0084650749516998E-2</v>
      </c>
      <c r="J38">
        <v>55107.88</v>
      </c>
      <c r="K38">
        <v>3.5140177142383502E-2</v>
      </c>
      <c r="L38">
        <v>2103413.14</v>
      </c>
      <c r="M38">
        <v>6.4831095923470597E-2</v>
      </c>
      <c r="N38">
        <v>660109.67000000004</v>
      </c>
      <c r="O38">
        <v>6.8006060805861607E-2</v>
      </c>
      <c r="P38">
        <v>41597.86</v>
      </c>
      <c r="Q38">
        <v>5.1432658698315897E-2</v>
      </c>
      <c r="R38">
        <v>26377.19</v>
      </c>
      <c r="S38">
        <v>2.89541053787047E-2</v>
      </c>
      <c r="T38">
        <v>762122.35</v>
      </c>
      <c r="U38">
        <v>6.3569527392232705E-2</v>
      </c>
      <c r="V38">
        <v>1403639.59</v>
      </c>
      <c r="W38">
        <v>7.2379161123606803E-2</v>
      </c>
      <c r="X38">
        <v>598002.68000000005</v>
      </c>
      <c r="Y38">
        <v>7.1198983121154205E-2</v>
      </c>
    </row>
    <row r="39" spans="1:25" x14ac:dyDescent="0.35">
      <c r="A39">
        <v>2026</v>
      </c>
      <c r="B39">
        <v>2</v>
      </c>
      <c r="C39" t="s">
        <v>97</v>
      </c>
      <c r="D39">
        <v>1712183.98</v>
      </c>
      <c r="E39">
        <v>0.11436767782346401</v>
      </c>
      <c r="H39">
        <v>58131.38</v>
      </c>
      <c r="I39">
        <v>0.107525257569872</v>
      </c>
      <c r="J39">
        <v>298881.45</v>
      </c>
      <c r="K39">
        <v>0.11887262856461001</v>
      </c>
      <c r="L39">
        <v>170620.28</v>
      </c>
      <c r="M39">
        <v>0.107322999428224</v>
      </c>
      <c r="N39">
        <v>77803.83</v>
      </c>
      <c r="O39">
        <v>0.11666141366280799</v>
      </c>
      <c r="P39">
        <v>139072.21</v>
      </c>
      <c r="Q39">
        <v>0.118473263649297</v>
      </c>
      <c r="R39">
        <v>573235.96</v>
      </c>
      <c r="S39">
        <v>0.117425478829096</v>
      </c>
      <c r="T39">
        <v>283584.34000000003</v>
      </c>
      <c r="U39">
        <v>0.110182471627224</v>
      </c>
      <c r="V39">
        <v>89330.52</v>
      </c>
      <c r="W39">
        <v>0.10763621028279501</v>
      </c>
      <c r="X39">
        <v>21524.01</v>
      </c>
      <c r="Y39">
        <v>0.107636195429314</v>
      </c>
    </row>
    <row r="40" spans="1:25" x14ac:dyDescent="0.35">
      <c r="A40">
        <v>2026</v>
      </c>
      <c r="B40">
        <v>2</v>
      </c>
      <c r="C40" t="s">
        <v>98</v>
      </c>
      <c r="D40">
        <v>453546.26</v>
      </c>
      <c r="E40">
        <v>0.19448810463121799</v>
      </c>
      <c r="J40">
        <v>182040.87</v>
      </c>
      <c r="K40">
        <v>0.194488108974359</v>
      </c>
      <c r="R40">
        <v>271505.39</v>
      </c>
      <c r="S40">
        <v>0.194488101719198</v>
      </c>
    </row>
    <row r="41" spans="1:25" x14ac:dyDescent="0.35">
      <c r="A41">
        <v>2026</v>
      </c>
      <c r="B41">
        <v>2</v>
      </c>
      <c r="C41" t="s">
        <v>99</v>
      </c>
      <c r="D41">
        <v>12198.87</v>
      </c>
      <c r="E41">
        <v>8.8397608695652205E-2</v>
      </c>
      <c r="R41">
        <v>12198.87</v>
      </c>
      <c r="S41">
        <v>8.8397608695652205E-2</v>
      </c>
    </row>
    <row r="42" spans="1:25" x14ac:dyDescent="0.35">
      <c r="A42">
        <v>2026</v>
      </c>
      <c r="B42">
        <v>2</v>
      </c>
      <c r="C42" t="s">
        <v>100</v>
      </c>
      <c r="D42">
        <v>7931026.0599999996</v>
      </c>
      <c r="E42">
        <v>7.5732723244003694E-2</v>
      </c>
      <c r="F42">
        <v>2392.5100000000002</v>
      </c>
      <c r="G42">
        <v>3.99550768203073E-2</v>
      </c>
      <c r="H42">
        <v>158465.46</v>
      </c>
      <c r="I42">
        <v>6.2291840938394301E-2</v>
      </c>
      <c r="J42">
        <v>536030.19999999995</v>
      </c>
      <c r="K42">
        <v>0.10681020139363499</v>
      </c>
      <c r="L42">
        <v>2274033.42</v>
      </c>
      <c r="M42">
        <v>6.6815944141986397E-2</v>
      </c>
      <c r="N42">
        <v>737913.5</v>
      </c>
      <c r="O42">
        <v>7.1134134409146302E-2</v>
      </c>
      <c r="P42">
        <v>180670.07</v>
      </c>
      <c r="Q42">
        <v>9.1125411254516106E-2</v>
      </c>
      <c r="R42">
        <v>883317.41</v>
      </c>
      <c r="S42">
        <v>0.12056142738204099</v>
      </c>
      <c r="T42">
        <v>1045706.69</v>
      </c>
      <c r="U42">
        <v>7.1807839550299193E-2</v>
      </c>
      <c r="V42">
        <v>1492970.11</v>
      </c>
      <c r="W42">
        <v>7.3826086586728207E-2</v>
      </c>
      <c r="X42">
        <v>619526.68999999994</v>
      </c>
      <c r="Y42">
        <v>7.2046331179750595E-2</v>
      </c>
    </row>
    <row r="45" spans="1:25" x14ac:dyDescent="0.35">
      <c r="A45" t="s">
        <v>0</v>
      </c>
      <c r="B45" t="s">
        <v>1</v>
      </c>
      <c r="C45" t="s">
        <v>24</v>
      </c>
      <c r="D45" t="s">
        <v>101</v>
      </c>
      <c r="E45" t="s">
        <v>102</v>
      </c>
      <c r="F45" t="s">
        <v>103</v>
      </c>
      <c r="G45" t="s">
        <v>104</v>
      </c>
      <c r="H45" t="s">
        <v>105</v>
      </c>
      <c r="I45" t="s">
        <v>106</v>
      </c>
      <c r="J45" t="s">
        <v>107</v>
      </c>
      <c r="K45" t="s">
        <v>108</v>
      </c>
      <c r="L45" t="s">
        <v>109</v>
      </c>
      <c r="M45" t="s">
        <v>110</v>
      </c>
      <c r="N45" t="s">
        <v>111</v>
      </c>
      <c r="O45" t="s">
        <v>112</v>
      </c>
      <c r="P45" t="s">
        <v>113</v>
      </c>
      <c r="Q45" t="s">
        <v>114</v>
      </c>
      <c r="R45" t="s">
        <v>115</v>
      </c>
      <c r="S45" t="s">
        <v>116</v>
      </c>
      <c r="T45" t="s">
        <v>117</v>
      </c>
      <c r="U45" t="s">
        <v>118</v>
      </c>
      <c r="V45" t="s">
        <v>119</v>
      </c>
      <c r="W45" t="s">
        <v>120</v>
      </c>
      <c r="X45" t="s">
        <v>121</v>
      </c>
      <c r="Y45" t="s">
        <v>122</v>
      </c>
    </row>
    <row r="46" spans="1:25" x14ac:dyDescent="0.35">
      <c r="A46">
        <v>2026</v>
      </c>
      <c r="B46">
        <v>2</v>
      </c>
      <c r="C46" t="s">
        <v>49</v>
      </c>
      <c r="D46">
        <v>2012197.7</v>
      </c>
      <c r="E46">
        <v>1.9214312293700998E-2</v>
      </c>
      <c r="F46">
        <v>1112.77</v>
      </c>
      <c r="G46">
        <v>1.8583333333333299E-2</v>
      </c>
      <c r="H46">
        <v>51414.19</v>
      </c>
      <c r="I46">
        <v>2.0210615899871099E-2</v>
      </c>
      <c r="J46">
        <v>93425.44</v>
      </c>
      <c r="K46">
        <v>1.8616096745461299E-2</v>
      </c>
      <c r="L46">
        <v>660030.07999999996</v>
      </c>
      <c r="M46">
        <v>1.9393089199766799E-2</v>
      </c>
      <c r="N46">
        <v>195066.71</v>
      </c>
      <c r="O46">
        <v>1.8804238664680801E-2</v>
      </c>
      <c r="P46">
        <v>35687.75</v>
      </c>
      <c r="Q46">
        <v>1.7999997982501199E-2</v>
      </c>
      <c r="R46">
        <v>137431.6</v>
      </c>
      <c r="S46">
        <v>1.8757639865150701E-2</v>
      </c>
      <c r="T46">
        <v>294054.36</v>
      </c>
      <c r="U46">
        <v>2.0192477014702798E-2</v>
      </c>
      <c r="V46">
        <v>382213.48</v>
      </c>
      <c r="W46">
        <v>1.8900127524384702E-2</v>
      </c>
      <c r="X46">
        <v>161761.32</v>
      </c>
      <c r="Y46">
        <v>1.8811634463712298E-2</v>
      </c>
    </row>
    <row r="47" spans="1:25" x14ac:dyDescent="0.35">
      <c r="A47">
        <v>2026</v>
      </c>
      <c r="B47">
        <v>2</v>
      </c>
      <c r="C47" t="s">
        <v>50</v>
      </c>
      <c r="D47">
        <v>274066.7</v>
      </c>
      <c r="E47">
        <v>0.01</v>
      </c>
      <c r="F47">
        <v>299.39999999999998</v>
      </c>
      <c r="G47">
        <v>0.01</v>
      </c>
      <c r="H47">
        <v>21970.7</v>
      </c>
      <c r="I47">
        <v>0.01</v>
      </c>
      <c r="J47">
        <v>6449</v>
      </c>
      <c r="K47">
        <v>0.01</v>
      </c>
      <c r="L47">
        <v>70968.2</v>
      </c>
      <c r="M47">
        <v>0.01</v>
      </c>
      <c r="N47">
        <v>32335.5</v>
      </c>
      <c r="O47">
        <v>0.01</v>
      </c>
      <c r="P47">
        <v>5058.8</v>
      </c>
      <c r="Q47">
        <v>0.01</v>
      </c>
      <c r="R47">
        <v>6666</v>
      </c>
      <c r="S47">
        <v>0.01</v>
      </c>
      <c r="T47">
        <v>33133.4</v>
      </c>
      <c r="U47">
        <v>0.01</v>
      </c>
      <c r="V47">
        <v>70359.199999999997</v>
      </c>
      <c r="W47">
        <v>0.01</v>
      </c>
      <c r="X47">
        <v>26826.5</v>
      </c>
      <c r="Y47">
        <v>0.01</v>
      </c>
    </row>
    <row r="50" spans="1:7" x14ac:dyDescent="0.35">
      <c r="A50" t="s">
        <v>0</v>
      </c>
      <c r="B50" t="s">
        <v>1</v>
      </c>
      <c r="C50" t="s">
        <v>123</v>
      </c>
      <c r="D50" t="s">
        <v>124</v>
      </c>
      <c r="E50" t="s">
        <v>125</v>
      </c>
      <c r="F50" t="s">
        <v>126</v>
      </c>
      <c r="G50" t="s">
        <v>127</v>
      </c>
    </row>
    <row r="51" spans="1:7" x14ac:dyDescent="0.35">
      <c r="A51">
        <v>2026</v>
      </c>
      <c r="B51">
        <v>2</v>
      </c>
      <c r="C51">
        <v>4807129.0199999996</v>
      </c>
      <c r="D51">
        <v>4776723.59</v>
      </c>
      <c r="E51">
        <v>412</v>
      </c>
      <c r="F51">
        <v>30405.429999999698</v>
      </c>
      <c r="G51">
        <v>6.3250705095491098E-3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2026-03-11T13:48:37Z</dcterms:created>
  <dcterms:modified xsi:type="dcterms:W3CDTF">2026-03-11T15:23:52Z</dcterms:modified>
</cp:coreProperties>
</file>