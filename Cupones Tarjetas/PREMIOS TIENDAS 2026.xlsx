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-2025" sheetId="1" r:id="rId5"/>
    <sheet state="visible" name="09-2025" sheetId="2" r:id="rId6"/>
    <sheet state="visible" name="10-2025" sheetId="3" r:id="rId7"/>
    <sheet state="visible" name="11-2025" sheetId="4" r:id="rId8"/>
    <sheet state="visible" name="12-2025" sheetId="5" r:id="rId9"/>
    <sheet state="visible" name="01-2026" sheetId="6" r:id="rId10"/>
    <sheet state="visible" name="02-2026" sheetId="7" r:id="rId11"/>
    <sheet state="visible" name="03-2026" sheetId="8" r:id="rId12"/>
    <sheet state="visible" name="04-2026" sheetId="9" r:id="rId13"/>
    <sheet state="visible" name="05-2026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42">
      <text>
        <t xml:space="preserve">se descuenta $
9790 x fallo de caja</t>
      </text>
    </comment>
  </commentList>
</comments>
</file>

<file path=xl/sharedStrings.xml><?xml version="1.0" encoding="utf-8"?>
<sst xmlns="http://schemas.openxmlformats.org/spreadsheetml/2006/main" count="1474" uniqueCount="164">
  <si>
    <t>Legajos</t>
  </si>
  <si>
    <t>Facturación San Telmo (Accesories)</t>
  </si>
  <si>
    <t>Incentivo (0,50%)</t>
  </si>
  <si>
    <t>Horas Personal</t>
  </si>
  <si>
    <t>Molina agustina</t>
  </si>
  <si>
    <t>Carrizo Camila</t>
  </si>
  <si>
    <t>Kiara Corvalan</t>
  </si>
  <si>
    <t>Martinez Brisa</t>
  </si>
  <si>
    <t>Total de Horas:</t>
  </si>
  <si>
    <t>Valor hora para incentivo Agosto</t>
  </si>
  <si>
    <t>Facturación San Telmo (Lucero)</t>
  </si>
  <si>
    <t>Robbio Lara</t>
  </si>
  <si>
    <t>Si</t>
  </si>
  <si>
    <t>Esposito Candela</t>
  </si>
  <si>
    <t xml:space="preserve">Martinez Morena </t>
  </si>
  <si>
    <t>si</t>
  </si>
  <si>
    <t>Sarapura Rebecca</t>
  </si>
  <si>
    <t>Facturación Recoleta (Lucero)</t>
  </si>
  <si>
    <t>De Brito Rocio</t>
  </si>
  <si>
    <t>no</t>
  </si>
  <si>
    <t>Rosbelis Barajas Barbara</t>
  </si>
  <si>
    <t>Gimenez Candela</t>
  </si>
  <si>
    <t>Oliva Micaela</t>
  </si>
  <si>
    <t>Facturación TODO BIJOU</t>
  </si>
  <si>
    <t>Facturación Solar de French (Lucero)</t>
  </si>
  <si>
    <t>Bertolo Milagros</t>
  </si>
  <si>
    <t>Machuca Araceli</t>
  </si>
  <si>
    <t>sí</t>
  </si>
  <si>
    <t>Scholler Chavez Ruth</t>
  </si>
  <si>
    <t>Facturación  de Florida (Lucero)</t>
  </si>
  <si>
    <t>Ruiz de la Torre Maitena</t>
  </si>
  <si>
    <t>Viña Sofia</t>
  </si>
  <si>
    <t>Imperiale Candela</t>
  </si>
  <si>
    <t>Martina Migueles</t>
  </si>
  <si>
    <t>Coronel Mailen</t>
  </si>
  <si>
    <t>Facturación San Telmo 2 (Lucero)</t>
  </si>
  <si>
    <t>Martinez Morena</t>
  </si>
  <si>
    <t>Mohamad Dalila</t>
  </si>
  <si>
    <t>Lara Robbio</t>
  </si>
  <si>
    <t>Gonzalez Valentina</t>
  </si>
  <si>
    <t>Facturación Güemes (Lucero)</t>
  </si>
  <si>
    <t>Total vta</t>
  </si>
  <si>
    <t>0.50%</t>
  </si>
  <si>
    <t>Ljos</t>
  </si>
  <si>
    <t>Venta</t>
  </si>
  <si>
    <t>pagado</t>
  </si>
  <si>
    <t>Diferencia</t>
  </si>
  <si>
    <t>redondeo</t>
  </si>
  <si>
    <t>Natalia Cavobianco</t>
  </si>
  <si>
    <t>Barbara Urbieta</t>
  </si>
  <si>
    <t>Barajas Barbara</t>
  </si>
  <si>
    <t>LU San Telmo - Esposito Candela</t>
  </si>
  <si>
    <t>AS San Telmo - Carrizo Camila</t>
  </si>
  <si>
    <t>AS Quilmes</t>
  </si>
  <si>
    <t>LU Recoleta - Barajas Barbara</t>
  </si>
  <si>
    <t>LU French - Bertolo Milagros</t>
  </si>
  <si>
    <t>LU Florida - Imperiale Candela</t>
  </si>
  <si>
    <t>TB Todo Bijou</t>
  </si>
  <si>
    <t>LU San Telmo 2</t>
  </si>
  <si>
    <t>LU Güemes</t>
  </si>
  <si>
    <t>NATY</t>
  </si>
  <si>
    <t>AS San Telmo</t>
  </si>
  <si>
    <t>LU San Telmo</t>
  </si>
  <si>
    <t>FLORIDA</t>
  </si>
  <si>
    <t>LU French</t>
  </si>
  <si>
    <t>RECOLETA</t>
  </si>
  <si>
    <t>final a pagar</t>
  </si>
  <si>
    <t>BARBARA U</t>
  </si>
  <si>
    <t>LU Recoleta</t>
  </si>
  <si>
    <t>LU Florida</t>
  </si>
  <si>
    <t>0.5%</t>
  </si>
  <si>
    <t>64456.00</t>
  </si>
  <si>
    <t>Molina Agustina</t>
  </si>
  <si>
    <t>Villarruel candela</t>
  </si>
  <si>
    <t>Ramirez Dana</t>
  </si>
  <si>
    <t>228.57</t>
  </si>
  <si>
    <t>Facturación San Telmo 1 (Lucero)</t>
  </si>
  <si>
    <t>162252.55</t>
  </si>
  <si>
    <t>Morena Martinez</t>
  </si>
  <si>
    <t>Bonino Gisela</t>
  </si>
  <si>
    <t>571.31</t>
  </si>
  <si>
    <t>De Brito</t>
  </si>
  <si>
    <t>255.26</t>
  </si>
  <si>
    <t>91186.2</t>
  </si>
  <si>
    <t>393.04</t>
  </si>
  <si>
    <t>Balmaceda Luciana</t>
  </si>
  <si>
    <t>Migueles Martina</t>
  </si>
  <si>
    <t>Baragatti Anabela</t>
  </si>
  <si>
    <t>616.47</t>
  </si>
  <si>
    <t>Mohamad Daila</t>
  </si>
  <si>
    <t>Bonino Gisella</t>
  </si>
  <si>
    <t>Morena martinez</t>
  </si>
  <si>
    <t>273.63</t>
  </si>
  <si>
    <t>24045.45</t>
  </si>
  <si>
    <t>CORONEL Mailen</t>
  </si>
  <si>
    <t>117.29</t>
  </si>
  <si>
    <t>62713661.00</t>
  </si>
  <si>
    <t>22885150.00</t>
  </si>
  <si>
    <t>33,133,540.00</t>
  </si>
  <si>
    <t>33133540.00</t>
  </si>
  <si>
    <t>12,870,480.00</t>
  </si>
  <si>
    <t>12870480.00</t>
  </si>
  <si>
    <t>19997040.00</t>
  </si>
  <si>
    <t>22,885,150.00</t>
  </si>
  <si>
    <t>19,997,040.00</t>
  </si>
  <si>
    <t>62,713,661.00</t>
  </si>
  <si>
    <t>Resumen a pagar</t>
  </si>
  <si>
    <t>12,808,500.00</t>
  </si>
  <si>
    <t>4814090.00</t>
  </si>
  <si>
    <t>ST1</t>
  </si>
  <si>
    <t>AS ST</t>
  </si>
  <si>
    <t>FREnch</t>
  </si>
  <si>
    <t>$ 1,351,700</t>
  </si>
  <si>
    <t>12808500.00</t>
  </si>
  <si>
    <t>66001060.00</t>
  </si>
  <si>
    <t>90412901.00</t>
  </si>
  <si>
    <t>Diaz Dulcinea</t>
  </si>
  <si>
    <t>Ochoa Duran Thalia</t>
  </si>
  <si>
    <t>Giordano Caroline</t>
  </si>
  <si>
    <t>Ruiz de la torre Maitena</t>
  </si>
  <si>
    <t>Baragatti Anabella</t>
  </si>
  <si>
    <t>Facturación El Solar (Lucero)</t>
  </si>
  <si>
    <t>Schiavone Fiona Ludmila</t>
  </si>
  <si>
    <t>Perazzo Juana</t>
  </si>
  <si>
    <t>Delgado Maria Paz</t>
  </si>
  <si>
    <t>Martinez Franzi Lourdes</t>
  </si>
  <si>
    <t>Ronald Julieta</t>
  </si>
  <si>
    <t>LU El Solar</t>
  </si>
  <si>
    <t>zona Naty</t>
  </si>
  <si>
    <t>zona Barbi</t>
  </si>
  <si>
    <t>Pavez Anahi</t>
  </si>
  <si>
    <t>Ristagno Giovanna</t>
  </si>
  <si>
    <t>Facturación LU El Solar (Joyeria)</t>
  </si>
  <si>
    <t>Cardozo Trinidad</t>
  </si>
  <si>
    <t>Facturación AS Güemes G13 (Chalinas)</t>
  </si>
  <si>
    <t>Facturación LU Güemes 2 (Joyeria)</t>
  </si>
  <si>
    <t>AS Güemes</t>
  </si>
  <si>
    <t>LU Güemes 2</t>
  </si>
  <si>
    <t>Zona Nati</t>
  </si>
  <si>
    <t>Zona Barbi</t>
  </si>
  <si>
    <t>Figueroa Federica</t>
  </si>
  <si>
    <t>Bogaron gomez Noelia</t>
  </si>
  <si>
    <t>Gil Marquez Johana</t>
  </si>
  <si>
    <t>De brito Rocio</t>
  </si>
  <si>
    <t>Sayarly Choque</t>
  </si>
  <si>
    <t>Bogarin Gomez noelia</t>
  </si>
  <si>
    <t>Noelia Gomez Ayala</t>
  </si>
  <si>
    <t>Imperiale Agustina</t>
  </si>
  <si>
    <t>Nicole Leon</t>
  </si>
  <si>
    <t>descontar 3000</t>
  </si>
  <si>
    <t>Gil Matquez Johana</t>
  </si>
  <si>
    <t>Giordano Carolina</t>
  </si>
  <si>
    <t>Federica Figueroa</t>
  </si>
  <si>
    <t>Rivulgo Carolina</t>
  </si>
  <si>
    <t>Cardozo trinidad</t>
  </si>
  <si>
    <t>Gisela Bonino</t>
  </si>
  <si>
    <t>Gil Marquwz Johana</t>
  </si>
  <si>
    <t>Nayla Rotela</t>
  </si>
  <si>
    <t>Frade Sofia</t>
  </si>
  <si>
    <t>Arguello Melina</t>
  </si>
  <si>
    <t>Hernandez Guerrero Helen</t>
  </si>
  <si>
    <t>Ochoa Duran Talia</t>
  </si>
  <si>
    <t>Ariganello Melina</t>
  </si>
  <si>
    <t>barbara barajas tiene 17 dias de lic sin goce, se proporciona a la cantidad de dias trabajados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</si>
</sst>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_-* #,##0.00_-;\-* #,##0.00_-;_-* &quot;-&quot;??_-;_-@"/>
    <numFmt numFmtId="166" formatCode="&quot;$&quot;\ #,##0"/>
  </numFmts>
  <fonts count="9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0000"/>
      <name val="Calibri"/>
    </font>
    <font>
      <b/>
      <color theme="1"/>
      <name val="Arial"/>
    </font>
    <font>
      <sz val="11.0"/>
      <color theme="1"/>
      <name val="Quattrocento Sans"/>
    </font>
    <font>
      <sz val="11.0"/>
      <color theme="1"/>
      <name val="Arial"/>
    </font>
    <font>
      <b/>
      <sz val="12.0"/>
      <color theme="1"/>
      <name val="Calibri"/>
    </font>
    <font/>
  </fonts>
  <fills count="19">
    <fill>
      <patternFill patternType="none"/>
    </fill>
    <fill>
      <patternFill patternType="lightGray"/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EAF1DD"/>
        <bgColor rgb="FFEAF1DD"/>
      </patternFill>
    </fill>
    <fill>
      <patternFill patternType="solid">
        <fgColor rgb="FFEEECE1"/>
        <bgColor rgb="FFEEECE1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rgb="FFE5DFEC"/>
        <bgColor rgb="FFE5DFEC"/>
      </patternFill>
    </fill>
    <fill>
      <patternFill patternType="solid">
        <fgColor rgb="FFFBD4B4"/>
        <bgColor rgb="FFFBD4B4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1" xfId="0" applyAlignment="1" applyFont="1" applyNumberFormat="1">
      <alignment vertical="bottom"/>
    </xf>
    <xf borderId="1" fillId="0" fontId="3" numFmtId="0" xfId="0" applyAlignment="1" applyBorder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2" xfId="0" applyAlignment="1" applyFont="1" applyNumberFormat="1">
      <alignment horizontal="right" vertical="bottom"/>
    </xf>
    <xf borderId="0" fillId="0" fontId="1" numFmtId="2" xfId="0" applyAlignment="1" applyFont="1" applyNumberFormat="1">
      <alignment vertical="bottom"/>
    </xf>
    <xf borderId="1" fillId="2" fontId="4" numFmtId="49" xfId="0" applyBorder="1" applyFill="1" applyFont="1" applyNumberFormat="1"/>
    <xf borderId="2" fillId="0" fontId="5" numFmtId="0" xfId="0" applyAlignment="1" applyBorder="1" applyFont="1">
      <alignment horizontal="right" vertical="bottom"/>
    </xf>
    <xf borderId="1" fillId="0" fontId="2" numFmtId="1" xfId="0" applyAlignment="1" applyBorder="1" applyFont="1" applyNumberFormat="1">
      <alignment horizontal="right" vertical="bottom"/>
    </xf>
    <xf borderId="1" fillId="0" fontId="4" numFmtId="0" xfId="0" applyBorder="1" applyFont="1"/>
    <xf borderId="3" fillId="0" fontId="4" numFmtId="0" xfId="0" applyBorder="1" applyFont="1"/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1" fillId="0" fontId="1" numFmtId="0" xfId="0" applyAlignment="1" applyBorder="1" applyFont="1">
      <alignment vertical="top"/>
    </xf>
    <xf borderId="0" fillId="0" fontId="2" numFmtId="0" xfId="0" applyAlignment="1" applyFont="1">
      <alignment horizontal="right" vertical="bottom"/>
    </xf>
    <xf borderId="0" fillId="0" fontId="2" numFmtId="1" xfId="0" applyAlignment="1" applyFont="1" applyNumberFormat="1">
      <alignment horizontal="right" vertical="bottom"/>
    </xf>
    <xf borderId="0" fillId="0" fontId="1" numFmtId="0" xfId="0" applyAlignment="1" applyFont="1">
      <alignment shrinkToFit="0" vertical="bottom" wrapText="1"/>
    </xf>
    <xf borderId="0" fillId="0" fontId="2" numFmtId="2" xfId="0" applyAlignment="1" applyFont="1" applyNumberFormat="1">
      <alignment horizontal="right" vertical="bottom"/>
    </xf>
    <xf borderId="4" fillId="3" fontId="1" numFmtId="0" xfId="0" applyAlignment="1" applyBorder="1" applyFill="1" applyFont="1">
      <alignment vertical="bottom"/>
    </xf>
    <xf borderId="4" fillId="3" fontId="1" numFmtId="2" xfId="0" applyAlignment="1" applyBorder="1" applyFont="1" applyNumberFormat="1">
      <alignment vertical="bottom"/>
    </xf>
    <xf borderId="4" fillId="3" fontId="1" numFmtId="1" xfId="0" applyAlignment="1" applyBorder="1" applyFont="1" applyNumberFormat="1">
      <alignment vertical="bottom"/>
    </xf>
    <xf borderId="0" fillId="0" fontId="1" numFmtId="0" xfId="0" applyAlignment="1" applyFont="1">
      <alignment horizontal="right" vertical="bottom"/>
    </xf>
    <xf borderId="5" fillId="2" fontId="5" numFmtId="0" xfId="0" applyAlignment="1" applyBorder="1" applyFont="1">
      <alignment horizontal="right" vertical="bottom"/>
    </xf>
    <xf borderId="4" fillId="2" fontId="1" numFmtId="1" xfId="0" applyAlignment="1" applyBorder="1" applyFont="1" applyNumberFormat="1">
      <alignment horizontal="right" vertical="bottom"/>
    </xf>
    <xf borderId="6" fillId="2" fontId="4" numFmtId="49" xfId="0" applyBorder="1" applyFont="1" applyNumberFormat="1"/>
    <xf borderId="1" fillId="0" fontId="6" numFmtId="0" xfId="0" applyAlignment="1" applyBorder="1" applyFont="1">
      <alignment vertical="bottom"/>
    </xf>
    <xf borderId="5" fillId="4" fontId="5" numFmtId="0" xfId="0" applyAlignment="1" applyBorder="1" applyFill="1" applyFont="1">
      <alignment horizontal="right" vertical="bottom"/>
    </xf>
    <xf borderId="0" fillId="0" fontId="1" numFmtId="16" xfId="0" applyAlignment="1" applyFont="1" applyNumberFormat="1">
      <alignment vertical="bottom"/>
    </xf>
    <xf borderId="2" fillId="0" fontId="2" numFmtId="1" xfId="0" applyAlignment="1" applyBorder="1" applyFont="1" applyNumberFormat="1">
      <alignment horizontal="right" vertical="bottom"/>
    </xf>
    <xf borderId="2" fillId="0" fontId="5" numFmtId="1" xfId="0" applyAlignment="1" applyBorder="1" applyFont="1" applyNumberFormat="1">
      <alignment horizontal="right" vertical="bottom"/>
    </xf>
    <xf borderId="4" fillId="2" fontId="2" numFmtId="1" xfId="0" applyAlignment="1" applyBorder="1" applyFont="1" applyNumberFormat="1">
      <alignment horizontal="right" vertical="bottom"/>
    </xf>
    <xf borderId="1" fillId="2" fontId="6" numFmtId="0" xfId="0" applyAlignment="1" applyBorder="1" applyFont="1">
      <alignment vertical="top"/>
    </xf>
    <xf borderId="5" fillId="4" fontId="5" numFmtId="1" xfId="0" applyAlignment="1" applyBorder="1" applyFont="1" applyNumberFormat="1">
      <alignment horizontal="right" vertical="bottom"/>
    </xf>
    <xf borderId="1" fillId="4" fontId="2" numFmtId="1" xfId="0" applyAlignment="1" applyBorder="1" applyFont="1" applyNumberFormat="1">
      <alignment horizontal="right" vertical="bottom"/>
    </xf>
    <xf borderId="5" fillId="2" fontId="1" numFmtId="0" xfId="0" applyAlignment="1" applyBorder="1" applyFont="1">
      <alignment vertical="top"/>
    </xf>
    <xf borderId="1" fillId="0" fontId="1" numFmtId="1" xfId="0" applyAlignment="1" applyBorder="1" applyFont="1" applyNumberFormat="1">
      <alignment vertical="bottom"/>
    </xf>
    <xf borderId="2" fillId="0" fontId="1" numFmtId="0" xfId="0" applyAlignment="1" applyBorder="1" applyFont="1">
      <alignment vertical="top"/>
    </xf>
    <xf borderId="0" fillId="0" fontId="2" numFmtId="2" xfId="0" applyAlignment="1" applyFont="1" applyNumberFormat="1">
      <alignment horizontal="center" vertical="bottom"/>
    </xf>
    <xf borderId="0" fillId="0" fontId="1" numFmtId="164" xfId="0" applyAlignment="1" applyFont="1" applyNumberFormat="1">
      <alignment vertical="bottom"/>
    </xf>
    <xf borderId="1" fillId="2" fontId="4" numFmtId="0" xfId="0" applyBorder="1" applyFont="1"/>
    <xf borderId="4" fillId="2" fontId="7" numFmtId="1" xfId="0" applyAlignment="1" applyBorder="1" applyFont="1" applyNumberFormat="1">
      <alignment horizontal="right" vertical="bottom"/>
    </xf>
    <xf borderId="1" fillId="0" fontId="3" numFmtId="1" xfId="0" applyAlignment="1" applyBorder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5" fillId="4" fontId="2" numFmtId="1" xfId="0" applyAlignment="1" applyBorder="1" applyFont="1" applyNumberFormat="1">
      <alignment horizontal="right" vertical="bottom"/>
    </xf>
    <xf borderId="1" fillId="2" fontId="6" numFmtId="0" xfId="0" applyAlignment="1" applyBorder="1" applyFont="1">
      <alignment vertical="bottom"/>
    </xf>
    <xf borderId="5" fillId="2" fontId="2" numFmtId="1" xfId="0" applyAlignment="1" applyBorder="1" applyFont="1" applyNumberFormat="1">
      <alignment horizontal="right" vertical="bottom"/>
    </xf>
    <xf borderId="1" fillId="2" fontId="2" numFmtId="0" xfId="0" applyAlignment="1" applyBorder="1" applyFont="1">
      <alignment vertical="bottom"/>
    </xf>
    <xf borderId="2" fillId="0" fontId="5" numFmtId="49" xfId="0" applyAlignment="1" applyBorder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1" fillId="0" fontId="2" numFmtId="0" xfId="0" applyAlignment="1" applyBorder="1" applyFont="1">
      <alignment horizontal="center" vertical="bottom"/>
    </xf>
    <xf borderId="1" fillId="5" fontId="2" numFmtId="0" xfId="0" applyAlignment="1" applyBorder="1" applyFill="1" applyFont="1">
      <alignment horizontal="center" vertical="bottom"/>
    </xf>
    <xf borderId="0" fillId="0" fontId="1" numFmtId="0" xfId="0" applyAlignment="1" applyFont="1">
      <alignment horizontal="right" shrinkToFit="0" vertical="bottom" wrapText="1"/>
    </xf>
    <xf borderId="1" fillId="0" fontId="1" numFmtId="2" xfId="0" applyAlignment="1" applyBorder="1" applyFont="1" applyNumberFormat="1">
      <alignment horizontal="right" vertical="bottom"/>
    </xf>
    <xf borderId="1" fillId="0" fontId="1" numFmtId="1" xfId="0" applyAlignment="1" applyBorder="1" applyFont="1" applyNumberFormat="1">
      <alignment horizontal="right" vertical="bottom"/>
    </xf>
    <xf borderId="1" fillId="5" fontId="2" numFmtId="1" xfId="0" applyAlignment="1" applyBorder="1" applyFont="1" applyNumberFormat="1">
      <alignment horizontal="right" vertical="bottom"/>
    </xf>
    <xf borderId="4" fillId="6" fontId="1" numFmtId="0" xfId="0" applyAlignment="1" applyBorder="1" applyFill="1" applyFont="1">
      <alignment horizontal="right" shrinkToFit="0" vertical="bottom" wrapText="1"/>
    </xf>
    <xf borderId="4" fillId="6" fontId="2" numFmtId="165" xfId="0" applyAlignment="1" applyBorder="1" applyFont="1" applyNumberFormat="1">
      <alignment horizontal="right" vertical="bottom"/>
    </xf>
    <xf borderId="4" fillId="6" fontId="2" numFmtId="1" xfId="0" applyAlignment="1" applyBorder="1" applyFont="1" applyNumberFormat="1">
      <alignment horizontal="right" vertical="bottom"/>
    </xf>
    <xf borderId="4" fillId="7" fontId="1" numFmtId="165" xfId="0" applyAlignment="1" applyBorder="1" applyFill="1" applyFont="1" applyNumberFormat="1">
      <alignment vertical="bottom"/>
    </xf>
    <xf borderId="4" fillId="8" fontId="1" numFmtId="0" xfId="0" applyAlignment="1" applyBorder="1" applyFill="1" applyFont="1">
      <alignment horizontal="right" shrinkToFit="0" vertical="bottom" wrapText="1"/>
    </xf>
    <xf borderId="4" fillId="8" fontId="2" numFmtId="165" xfId="0" applyAlignment="1" applyBorder="1" applyFont="1" applyNumberFormat="1">
      <alignment horizontal="right" vertical="bottom"/>
    </xf>
    <xf borderId="4" fillId="8" fontId="2" numFmtId="1" xfId="0" applyAlignment="1" applyBorder="1" applyFont="1" applyNumberFormat="1">
      <alignment horizontal="right" vertical="bottom"/>
    </xf>
    <xf borderId="4" fillId="9" fontId="1" numFmtId="0" xfId="0" applyAlignment="1" applyBorder="1" applyFill="1" applyFont="1">
      <alignment horizontal="right" shrinkToFit="0" vertical="bottom" wrapText="1"/>
    </xf>
    <xf borderId="4" fillId="9" fontId="2" numFmtId="165" xfId="0" applyAlignment="1" applyBorder="1" applyFont="1" applyNumberFormat="1">
      <alignment horizontal="right" vertical="bottom"/>
    </xf>
    <xf borderId="4" fillId="9" fontId="2" numFmtId="1" xfId="0" applyAlignment="1" applyBorder="1" applyFont="1" applyNumberFormat="1">
      <alignment horizontal="right" vertical="bottom"/>
    </xf>
    <xf borderId="1" fillId="0" fontId="1" numFmtId="2" xfId="0" applyAlignment="1" applyBorder="1" applyFont="1" applyNumberFormat="1">
      <alignment vertical="bottom"/>
    </xf>
    <xf borderId="1" fillId="5" fontId="1" numFmtId="1" xfId="0" applyAlignment="1" applyBorder="1" applyFont="1" applyNumberFormat="1">
      <alignment vertical="bottom"/>
    </xf>
    <xf borderId="0" fillId="0" fontId="2" numFmtId="165" xfId="0" applyAlignment="1" applyFont="1" applyNumberFormat="1">
      <alignment horizontal="right" vertical="bottom"/>
    </xf>
    <xf borderId="7" fillId="2" fontId="2" numFmtId="0" xfId="0" applyAlignment="1" applyBorder="1" applyFont="1">
      <alignment horizontal="center" vertical="bottom"/>
    </xf>
    <xf borderId="2" fillId="0" fontId="8" numFmtId="0" xfId="0" applyBorder="1" applyFont="1"/>
    <xf borderId="8" fillId="0" fontId="2" numFmtId="1" xfId="0" applyAlignment="1" applyBorder="1" applyFont="1" applyNumberFormat="1">
      <alignment horizontal="right" vertical="bottom"/>
    </xf>
    <xf borderId="9" fillId="0" fontId="1" numFmtId="0" xfId="0" applyAlignment="1" applyBorder="1" applyFont="1">
      <alignment vertical="bottom"/>
    </xf>
    <xf borderId="10" fillId="0" fontId="8" numFmtId="0" xfId="0" applyBorder="1" applyFont="1"/>
    <xf borderId="11" fillId="0" fontId="8" numFmtId="0" xfId="0" applyBorder="1" applyFont="1"/>
    <xf borderId="12" fillId="0" fontId="1" numFmtId="0" xfId="0" applyAlignment="1" applyBorder="1" applyFont="1">
      <alignment vertical="bottom"/>
    </xf>
    <xf borderId="13" fillId="0" fontId="2" numFmtId="1" xfId="0" applyAlignment="1" applyBorder="1" applyFont="1" applyNumberFormat="1">
      <alignment horizontal="right" vertical="bottom"/>
    </xf>
    <xf borderId="12" fillId="0" fontId="8" numFmtId="0" xfId="0" applyBorder="1" applyFont="1"/>
    <xf borderId="14" fillId="0" fontId="8" numFmtId="0" xfId="0" applyBorder="1" applyFont="1"/>
    <xf borderId="4" fillId="3" fontId="2" numFmtId="0" xfId="0" applyAlignment="1" applyBorder="1" applyFont="1">
      <alignment horizontal="right" shrinkToFit="0" vertical="bottom" wrapText="1"/>
    </xf>
    <xf borderId="15" fillId="0" fontId="8" numFmtId="0" xfId="0" applyBorder="1" applyFont="1"/>
    <xf borderId="16" fillId="0" fontId="8" numFmtId="0" xfId="0" applyBorder="1" applyFont="1"/>
    <xf borderId="17" fillId="0" fontId="8" numFmtId="0" xfId="0" applyBorder="1" applyFont="1"/>
    <xf borderId="1" fillId="0" fontId="1" numFmtId="0" xfId="0" applyAlignment="1" applyBorder="1" applyFont="1">
      <alignment horizontal="right" vertical="bottom"/>
    </xf>
    <xf borderId="1" fillId="10" fontId="2" numFmtId="166" xfId="0" applyAlignment="1" applyBorder="1" applyFill="1" applyFont="1" applyNumberFormat="1">
      <alignment horizontal="right" vertical="bottom"/>
    </xf>
    <xf borderId="4" fillId="11" fontId="2" numFmtId="1" xfId="0" applyAlignment="1" applyBorder="1" applyFill="1" applyFont="1" applyNumberFormat="1">
      <alignment horizontal="right" vertical="bottom"/>
    </xf>
    <xf borderId="4" fillId="11" fontId="1" numFmtId="1" xfId="0" applyAlignment="1" applyBorder="1" applyFont="1" applyNumberFormat="1">
      <alignment vertical="bottom"/>
    </xf>
    <xf borderId="0" fillId="0" fontId="1" numFmtId="165" xfId="0" applyAlignment="1" applyFont="1" applyNumberFormat="1">
      <alignment vertical="bottom"/>
    </xf>
    <xf borderId="18" fillId="0" fontId="1" numFmtId="0" xfId="0" applyAlignment="1" applyBorder="1" applyFont="1">
      <alignment vertical="bottom"/>
    </xf>
    <xf borderId="18" fillId="0" fontId="1" numFmtId="165" xfId="0" applyAlignment="1" applyBorder="1" applyFont="1" applyNumberFormat="1">
      <alignment vertical="bottom"/>
    </xf>
    <xf borderId="18" fillId="0" fontId="1" numFmtId="1" xfId="0" applyAlignment="1" applyBorder="1" applyFont="1" applyNumberFormat="1">
      <alignment vertical="bottom"/>
    </xf>
    <xf borderId="0" fillId="0" fontId="1" numFmtId="166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1" fillId="0" fontId="3" numFmtId="0" xfId="0" applyAlignment="1" applyBorder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2" xfId="0" applyAlignment="1" applyFont="1" applyNumberFormat="1">
      <alignment horizontal="right" readingOrder="0" vertical="bottom"/>
    </xf>
    <xf borderId="1" fillId="2" fontId="4" numFmtId="49" xfId="0" applyAlignment="1" applyBorder="1" applyFont="1" applyNumberFormat="1">
      <alignment readingOrder="0"/>
    </xf>
    <xf borderId="2" fillId="0" fontId="5" numFmtId="0" xfId="0" applyAlignment="1" applyBorder="1" applyFont="1">
      <alignment horizontal="right" readingOrder="0" vertical="bottom"/>
    </xf>
    <xf borderId="1" fillId="0" fontId="2" numFmtId="1" xfId="0" applyAlignment="1" applyBorder="1" applyFont="1" applyNumberFormat="1">
      <alignment horizontal="right" readingOrder="0" vertical="bottom"/>
    </xf>
    <xf borderId="1" fillId="0" fontId="4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0" fillId="0" fontId="2" numFmtId="0" xfId="0" applyAlignment="1" applyFont="1">
      <alignment horizontal="right" readingOrder="0" vertical="bottom"/>
    </xf>
    <xf borderId="0" fillId="0" fontId="2" numFmtId="1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 shrinkToFit="0" vertical="bottom" wrapText="1"/>
    </xf>
    <xf borderId="0" fillId="0" fontId="2" numFmtId="2" xfId="0" applyAlignment="1" applyFont="1" applyNumberFormat="1">
      <alignment horizontal="right" readingOrder="0" vertical="bottom"/>
    </xf>
    <xf borderId="5" fillId="2" fontId="5" numFmtId="0" xfId="0" applyAlignment="1" applyBorder="1" applyFont="1">
      <alignment horizontal="right" readingOrder="0" vertical="bottom"/>
    </xf>
    <xf borderId="4" fillId="2" fontId="1" numFmtId="1" xfId="0" applyAlignment="1" applyBorder="1" applyFont="1" applyNumberFormat="1">
      <alignment horizontal="right" readingOrder="0" vertical="bottom"/>
    </xf>
    <xf borderId="6" fillId="2" fontId="4" numFmtId="49" xfId="0" applyAlignment="1" applyBorder="1" applyFont="1" applyNumberFormat="1">
      <alignment readingOrder="0"/>
    </xf>
    <xf borderId="1" fillId="0" fontId="6" numFmtId="0" xfId="0" applyAlignment="1" applyBorder="1" applyFont="1">
      <alignment readingOrder="0" vertical="bottom"/>
    </xf>
    <xf borderId="5" fillId="4" fontId="5" numFmtId="0" xfId="0" applyAlignment="1" applyBorder="1" applyFont="1">
      <alignment horizontal="right" readingOrder="0" vertical="bottom"/>
    </xf>
    <xf borderId="0" fillId="0" fontId="1" numFmtId="3" xfId="0" applyAlignment="1" applyFont="1" applyNumberFormat="1">
      <alignment horizontal="right" readingOrder="0" vertical="bottom"/>
    </xf>
    <xf borderId="2" fillId="0" fontId="2" numFmtId="1" xfId="0" applyAlignment="1" applyBorder="1" applyFont="1" applyNumberFormat="1">
      <alignment horizontal="right" readingOrder="0" vertical="bottom"/>
    </xf>
    <xf borderId="2" fillId="0" fontId="5" numFmtId="1" xfId="0" applyAlignment="1" applyBorder="1" applyFont="1" applyNumberFormat="1">
      <alignment horizontal="right" readingOrder="0" vertical="bottom"/>
    </xf>
    <xf borderId="4" fillId="2" fontId="2" numFmtId="1" xfId="0" applyAlignment="1" applyBorder="1" applyFont="1" applyNumberFormat="1">
      <alignment horizontal="right" readingOrder="0" vertical="bottom"/>
    </xf>
    <xf borderId="1" fillId="2" fontId="6" numFmtId="0" xfId="0" applyAlignment="1" applyBorder="1" applyFont="1">
      <alignment readingOrder="0" vertical="top"/>
    </xf>
    <xf borderId="5" fillId="4" fontId="5" numFmtId="1" xfId="0" applyAlignment="1" applyBorder="1" applyFont="1" applyNumberFormat="1">
      <alignment horizontal="right" readingOrder="0" vertical="bottom"/>
    </xf>
    <xf borderId="1" fillId="4" fontId="2" numFmtId="1" xfId="0" applyAlignment="1" applyBorder="1" applyFont="1" applyNumberFormat="1">
      <alignment horizontal="right" readingOrder="0" vertical="bottom"/>
    </xf>
    <xf borderId="0" fillId="0" fontId="2" numFmtId="2" xfId="0" applyAlignment="1" applyFont="1" applyNumberFormat="1">
      <alignment horizontal="center" readingOrder="0" vertical="bottom"/>
    </xf>
    <xf borderId="1" fillId="2" fontId="4" numFmtId="0" xfId="0" applyAlignment="1" applyBorder="1" applyFont="1">
      <alignment readingOrder="0"/>
    </xf>
    <xf borderId="4" fillId="2" fontId="7" numFmtId="1" xfId="0" applyAlignment="1" applyBorder="1" applyFont="1" applyNumberFormat="1">
      <alignment horizontal="right" readingOrder="0" vertical="bottom"/>
    </xf>
    <xf borderId="1" fillId="0" fontId="3" numFmtId="1" xfId="0" applyAlignment="1" applyBorder="1" applyFont="1" applyNumberFormat="1">
      <alignment horizontal="right" readingOrder="0" vertical="bottom"/>
    </xf>
    <xf borderId="0" fillId="0" fontId="1" numFmtId="1" xfId="0" applyAlignment="1" applyFont="1" applyNumberFormat="1">
      <alignment horizontal="right" readingOrder="0" vertical="bottom"/>
    </xf>
    <xf borderId="5" fillId="4" fontId="2" numFmtId="1" xfId="0" applyAlignment="1" applyBorder="1" applyFont="1" applyNumberFormat="1">
      <alignment horizontal="right" readingOrder="0" vertical="bottom"/>
    </xf>
    <xf borderId="1" fillId="2" fontId="6" numFmtId="0" xfId="0" applyAlignment="1" applyBorder="1" applyFont="1">
      <alignment readingOrder="0" vertical="bottom"/>
    </xf>
    <xf borderId="5" fillId="2" fontId="2" numFmtId="1" xfId="0" applyAlignment="1" applyBorder="1" applyFont="1" applyNumberFormat="1">
      <alignment horizontal="right" readingOrder="0" vertical="bottom"/>
    </xf>
    <xf borderId="1" fillId="2" fontId="2" numFmtId="0" xfId="0" applyAlignment="1" applyBorder="1" applyFont="1">
      <alignment readingOrder="0" vertical="bottom"/>
    </xf>
    <xf borderId="0" fillId="0" fontId="1" numFmtId="49" xfId="0" applyAlignment="1" applyFont="1" applyNumberFormat="1">
      <alignment readingOrder="0" vertical="bottom"/>
    </xf>
    <xf borderId="1" fillId="0" fontId="2" numFmtId="0" xfId="0" applyAlignment="1" applyBorder="1" applyFont="1">
      <alignment horizontal="center" readingOrder="0" vertical="bottom"/>
    </xf>
    <xf borderId="1" fillId="5" fontId="2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right" readingOrder="0" shrinkToFit="0" vertical="bottom" wrapText="1"/>
    </xf>
    <xf borderId="1" fillId="0" fontId="1" numFmtId="0" xfId="0" applyAlignment="1" applyBorder="1" applyFont="1">
      <alignment readingOrder="0" vertical="bottom"/>
    </xf>
    <xf borderId="1" fillId="0" fontId="1" numFmtId="2" xfId="0" applyAlignment="1" applyBorder="1" applyFont="1" applyNumberFormat="1">
      <alignment horizontal="right" readingOrder="0" vertical="bottom"/>
    </xf>
    <xf borderId="1" fillId="0" fontId="1" numFmtId="1" xfId="0" applyAlignment="1" applyBorder="1" applyFont="1" applyNumberFormat="1">
      <alignment horizontal="right" readingOrder="0" vertical="bottom"/>
    </xf>
    <xf borderId="1" fillId="5" fontId="2" numFmtId="1" xfId="0" applyAlignment="1" applyBorder="1" applyFont="1" applyNumberFormat="1">
      <alignment horizontal="right" readingOrder="0" vertical="bottom"/>
    </xf>
    <xf borderId="1" fillId="0" fontId="1" numFmtId="1" xfId="0" applyAlignment="1" applyBorder="1" applyFont="1" applyNumberFormat="1">
      <alignment readingOrder="0" vertical="bottom"/>
    </xf>
    <xf borderId="4" fillId="6" fontId="1" numFmtId="0" xfId="0" applyAlignment="1" applyBorder="1" applyFont="1">
      <alignment horizontal="right" readingOrder="0" shrinkToFit="0" vertical="bottom" wrapText="1"/>
    </xf>
    <xf borderId="4" fillId="6" fontId="2" numFmtId="165" xfId="0" applyAlignment="1" applyBorder="1" applyFont="1" applyNumberFormat="1">
      <alignment horizontal="right" readingOrder="0" vertical="bottom"/>
    </xf>
    <xf borderId="4" fillId="6" fontId="2" numFmtId="1" xfId="0" applyAlignment="1" applyBorder="1" applyFont="1" applyNumberFormat="1">
      <alignment horizontal="right" readingOrder="0" vertical="bottom"/>
    </xf>
    <xf borderId="4" fillId="8" fontId="1" numFmtId="0" xfId="0" applyAlignment="1" applyBorder="1" applyFont="1">
      <alignment horizontal="right" readingOrder="0" shrinkToFit="0" vertical="bottom" wrapText="1"/>
    </xf>
    <xf borderId="4" fillId="8" fontId="2" numFmtId="165" xfId="0" applyAlignment="1" applyBorder="1" applyFont="1" applyNumberFormat="1">
      <alignment horizontal="right" readingOrder="0" vertical="bottom"/>
    </xf>
    <xf borderId="4" fillId="8" fontId="2" numFmtId="1" xfId="0" applyAlignment="1" applyBorder="1" applyFont="1" applyNumberFormat="1">
      <alignment horizontal="right" readingOrder="0" vertical="bottom"/>
    </xf>
    <xf borderId="4" fillId="9" fontId="1" numFmtId="0" xfId="0" applyAlignment="1" applyBorder="1" applyFont="1">
      <alignment horizontal="right" readingOrder="0" shrinkToFit="0" vertical="bottom" wrapText="1"/>
    </xf>
    <xf borderId="4" fillId="9" fontId="2" numFmtId="165" xfId="0" applyAlignment="1" applyBorder="1" applyFont="1" applyNumberFormat="1">
      <alignment horizontal="right" readingOrder="0" vertical="bottom"/>
    </xf>
    <xf borderId="4" fillId="9" fontId="2" numFmtId="1" xfId="0" applyAlignment="1" applyBorder="1" applyFont="1" applyNumberFormat="1">
      <alignment horizontal="right" readingOrder="0" vertical="bottom"/>
    </xf>
    <xf borderId="0" fillId="0" fontId="2" numFmtId="165" xfId="0" applyAlignment="1" applyFont="1" applyNumberFormat="1">
      <alignment horizontal="right" readingOrder="0" vertical="bottom"/>
    </xf>
    <xf borderId="7" fillId="2" fontId="2" numFmtId="0" xfId="0" applyAlignment="1" applyBorder="1" applyFont="1">
      <alignment horizontal="center" readingOrder="0" vertical="bottom"/>
    </xf>
    <xf borderId="2" fillId="2" fontId="2" numFmtId="0" xfId="0" applyAlignment="1" applyBorder="1" applyFont="1">
      <alignment horizontal="center" vertical="bottom"/>
    </xf>
    <xf borderId="8" fillId="0" fontId="2" numFmtId="0" xfId="0" applyAlignment="1" applyBorder="1" applyFont="1">
      <alignment horizontal="right" readingOrder="0" vertical="bottom"/>
    </xf>
    <xf borderId="10" fillId="0" fontId="1" numFmtId="0" xfId="0" applyAlignment="1" applyBorder="1" applyFont="1">
      <alignment vertical="bottom"/>
    </xf>
    <xf borderId="11" fillId="0" fontId="1" numFmtId="0" xfId="0" applyAlignment="1" applyBorder="1" applyFont="1">
      <alignment vertical="bottom"/>
    </xf>
    <xf borderId="13" fillId="0" fontId="2" numFmtId="1" xfId="0" applyAlignment="1" applyBorder="1" applyFont="1" applyNumberFormat="1">
      <alignment horizontal="right" readingOrder="0" vertical="bottom"/>
    </xf>
    <xf borderId="0" fillId="0" fontId="1" numFmtId="1" xfId="0" applyAlignment="1" applyFont="1" applyNumberFormat="1">
      <alignment readingOrder="0" vertical="bottom"/>
    </xf>
    <xf borderId="14" fillId="0" fontId="1" numFmtId="0" xfId="0" applyAlignment="1" applyBorder="1" applyFont="1">
      <alignment vertical="bottom"/>
    </xf>
    <xf borderId="4" fillId="3" fontId="2" numFmtId="0" xfId="0" applyAlignment="1" applyBorder="1" applyFont="1">
      <alignment horizontal="right" readingOrder="0" shrinkToFit="0" vertical="bottom" wrapText="1"/>
    </xf>
    <xf borderId="15" fillId="0" fontId="1" numFmtId="0" xfId="0" applyAlignment="1" applyBorder="1" applyFont="1">
      <alignment vertical="bottom"/>
    </xf>
    <xf borderId="16" fillId="0" fontId="1" numFmtId="0" xfId="0" applyAlignment="1" applyBorder="1" applyFont="1">
      <alignment vertical="bottom"/>
    </xf>
    <xf borderId="17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right" readingOrder="0" vertical="bottom"/>
    </xf>
    <xf borderId="1" fillId="10" fontId="2" numFmtId="166" xfId="0" applyAlignment="1" applyBorder="1" applyFont="1" applyNumberFormat="1">
      <alignment horizontal="right" readingOrder="0" vertical="bottom"/>
    </xf>
    <xf borderId="4" fillId="11" fontId="2" numFmtId="1" xfId="0" applyAlignment="1" applyBorder="1" applyFont="1" applyNumberFormat="1">
      <alignment horizontal="right" readingOrder="0" vertical="bottom"/>
    </xf>
    <xf borderId="4" fillId="11" fontId="1" numFmtId="0" xfId="0" applyAlignment="1" applyBorder="1" applyFont="1">
      <alignment readingOrder="0" vertical="bottom"/>
    </xf>
    <xf borderId="3" fillId="0" fontId="1" numFmtId="0" xfId="0" applyBorder="1" applyFont="1"/>
    <xf borderId="6" fillId="2" fontId="1" numFmtId="49" xfId="0" applyBorder="1" applyFont="1" applyNumberFormat="1"/>
    <xf borderId="2" fillId="0" fontId="2" numFmtId="0" xfId="0" applyAlignment="1" applyBorder="1" applyFont="1">
      <alignment horizontal="right" vertical="bottom"/>
    </xf>
    <xf borderId="1" fillId="0" fontId="4" numFmtId="49" xfId="0" applyBorder="1" applyFont="1" applyNumberFormat="1"/>
    <xf borderId="1" fillId="0" fontId="2" numFmtId="0" xfId="0" applyAlignment="1" applyBorder="1" applyFont="1">
      <alignment vertical="bottom"/>
    </xf>
    <xf borderId="4" fillId="4" fontId="1" numFmtId="1" xfId="0" applyAlignment="1" applyBorder="1" applyFont="1" applyNumberFormat="1">
      <alignment vertical="bottom"/>
    </xf>
    <xf borderId="2" fillId="0" fontId="1" numFmtId="0" xfId="0" applyAlignment="1" applyBorder="1" applyFont="1">
      <alignment horizontal="right" vertical="bottom"/>
    </xf>
    <xf borderId="8" fillId="0" fontId="1" numFmtId="0" xfId="0" applyAlignment="1" applyBorder="1" applyFont="1">
      <alignment vertical="bottom"/>
    </xf>
    <xf borderId="4" fillId="11" fontId="1" numFmtId="0" xfId="0" applyAlignment="1" applyBorder="1" applyFont="1">
      <alignment vertical="bottom"/>
    </xf>
    <xf borderId="4" fillId="12" fontId="2" numFmtId="1" xfId="0" applyAlignment="1" applyBorder="1" applyFill="1" applyFont="1" applyNumberFormat="1">
      <alignment horizontal="right" vertical="bottom"/>
    </xf>
    <xf borderId="4" fillId="12" fontId="7" numFmtId="1" xfId="0" applyAlignment="1" applyBorder="1" applyFont="1" applyNumberFormat="1">
      <alignment horizontal="right" vertical="bottom"/>
    </xf>
    <xf borderId="2" fillId="0" fontId="1" numFmtId="1" xfId="0" applyAlignment="1" applyBorder="1" applyFont="1" applyNumberFormat="1">
      <alignment vertical="bottom"/>
    </xf>
    <xf borderId="1" fillId="0" fontId="1" numFmtId="49" xfId="0" applyBorder="1" applyFont="1" applyNumberFormat="1"/>
    <xf borderId="5" fillId="4" fontId="1" numFmtId="1" xfId="0" applyAlignment="1" applyBorder="1" applyFont="1" applyNumberFormat="1">
      <alignment vertical="bottom"/>
    </xf>
    <xf borderId="4" fillId="13" fontId="2" numFmtId="0" xfId="0" applyAlignment="1" applyBorder="1" applyFill="1" applyFont="1">
      <alignment horizontal="right" shrinkToFit="0" vertical="bottom" wrapText="1"/>
    </xf>
    <xf borderId="0" fillId="13" fontId="1" numFmtId="2" xfId="0" applyAlignment="1" applyFont="1" applyNumberFormat="1">
      <alignment vertical="bottom"/>
    </xf>
    <xf borderId="0" fillId="13" fontId="2" numFmtId="1" xfId="0" applyAlignment="1" applyFont="1" applyNumberFormat="1">
      <alignment horizontal="right" vertical="bottom"/>
    </xf>
    <xf borderId="0" fillId="13" fontId="1" numFmtId="0" xfId="0" applyAlignment="1" applyFont="1">
      <alignment vertical="bottom"/>
    </xf>
    <xf borderId="0" fillId="13" fontId="1" numFmtId="165" xfId="0" applyAlignment="1" applyFont="1" applyNumberFormat="1">
      <alignment vertical="bottom"/>
    </xf>
    <xf borderId="0" fillId="4" fontId="1" numFmtId="0" xfId="0" applyAlignment="1" applyFont="1">
      <alignment vertical="bottom"/>
    </xf>
    <xf borderId="0" fillId="4" fontId="1" numFmtId="1" xfId="0" applyAlignment="1" applyFont="1" applyNumberFormat="1">
      <alignment vertical="bottom"/>
    </xf>
    <xf borderId="4" fillId="4" fontId="1" numFmtId="0" xfId="0" applyAlignment="1" applyBorder="1" applyFont="1">
      <alignment vertical="bottom"/>
    </xf>
    <xf borderId="6" fillId="2" fontId="4" numFmtId="0" xfId="0" applyBorder="1" applyFont="1"/>
    <xf borderId="4" fillId="14" fontId="2" numFmtId="1" xfId="0" applyAlignment="1" applyBorder="1" applyFill="1" applyFont="1" applyNumberFormat="1">
      <alignment horizontal="right" vertical="bottom"/>
    </xf>
    <xf borderId="1" fillId="0" fontId="6" numFmtId="0" xfId="0" applyAlignment="1" applyBorder="1" applyFont="1">
      <alignment vertical="top"/>
    </xf>
    <xf borderId="4" fillId="14" fontId="7" numFmtId="1" xfId="0" applyAlignment="1" applyBorder="1" applyFont="1" applyNumberFormat="1">
      <alignment horizontal="right" vertical="bottom"/>
    </xf>
    <xf borderId="6" fillId="4" fontId="4" numFmtId="49" xfId="0" applyBorder="1" applyFont="1" applyNumberFormat="1"/>
    <xf borderId="0" fillId="0" fontId="1" numFmtId="165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right" vertical="bottom"/>
    </xf>
    <xf borderId="0" fillId="0" fontId="1" numFmtId="0" xfId="0" applyAlignment="1" applyFont="1">
      <alignment vertical="bottom"/>
    </xf>
    <xf borderId="2" fillId="0" fontId="5" numFmtId="0" xfId="0" applyAlignment="1" applyBorder="1" applyFont="1">
      <alignment horizontal="right" vertical="bottom"/>
    </xf>
    <xf borderId="6" fillId="2" fontId="4" numFmtId="0" xfId="0" applyBorder="1" applyFont="1"/>
    <xf borderId="3" fillId="0" fontId="4" numFmtId="0" xfId="0" applyBorder="1" applyFont="1"/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1"/>
    </xf>
    <xf borderId="1" fillId="2" fontId="2" numFmtId="0" xfId="0" applyAlignment="1" applyBorder="1" applyFont="1">
      <alignment vertical="bottom"/>
    </xf>
    <xf borderId="0" fillId="0" fontId="1" numFmtId="0" xfId="0" applyAlignment="1" applyFont="1">
      <alignment horizontal="right" vertical="bottom"/>
    </xf>
    <xf borderId="1" fillId="2" fontId="6" numFmtId="0" xfId="0" applyAlignment="1" applyBorder="1" applyFont="1">
      <alignment vertical="top"/>
    </xf>
    <xf borderId="1" fillId="0" fontId="6" numFmtId="0" xfId="0" applyAlignment="1" applyBorder="1" applyFont="1">
      <alignment vertical="top"/>
    </xf>
    <xf borderId="1" fillId="2" fontId="4" numFmtId="0" xfId="0" applyBorder="1" applyFont="1"/>
    <xf borderId="1" fillId="2" fontId="1" numFmtId="49" xfId="0" applyBorder="1" applyFont="1" applyNumberFormat="1"/>
    <xf borderId="1" fillId="0" fontId="6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5" fontId="2" numFmtId="0" xfId="0" applyAlignment="1" applyBorder="1" applyFont="1">
      <alignment horizontal="center" vertical="bottom"/>
    </xf>
    <xf borderId="0" fillId="15" fontId="2" numFmtId="0" xfId="0" applyAlignment="1" applyFill="1" applyFont="1">
      <alignment horizontal="right" shrinkToFit="0" vertical="bottom" wrapText="1"/>
    </xf>
    <xf borderId="0" fillId="15" fontId="1" numFmtId="2" xfId="0" applyAlignment="1" applyFont="1" applyNumberFormat="1">
      <alignment vertical="bottom"/>
    </xf>
    <xf borderId="0" fillId="15" fontId="2" numFmtId="1" xfId="0" applyAlignment="1" applyFont="1" applyNumberFormat="1">
      <alignment horizontal="right" vertical="bottom"/>
    </xf>
    <xf borderId="1" fillId="0" fontId="1" numFmtId="0" xfId="0" applyAlignment="1" applyBorder="1" applyFont="1">
      <alignment vertical="bottom"/>
    </xf>
    <xf borderId="4" fillId="6" fontId="1" numFmtId="0" xfId="0" applyAlignment="1" applyBorder="1" applyFont="1">
      <alignment horizontal="right" shrinkToFit="0" vertical="bottom" wrapText="1"/>
    </xf>
    <xf borderId="4" fillId="8" fontId="1" numFmtId="0" xfId="0" applyAlignment="1" applyBorder="1" applyFont="1">
      <alignment horizontal="right" shrinkToFit="0" vertical="bottom" wrapText="1"/>
    </xf>
    <xf borderId="4" fillId="9" fontId="1" numFmtId="0" xfId="0" applyAlignment="1" applyBorder="1" applyFont="1">
      <alignment horizontal="right" shrinkToFit="0" vertical="bottom" wrapText="1"/>
    </xf>
    <xf borderId="0" fillId="0" fontId="1" numFmtId="0" xfId="0" applyAlignment="1" applyFont="1">
      <alignment horizontal="right" shrinkToFit="0" vertical="bottom" wrapText="1"/>
    </xf>
    <xf borderId="7" fillId="2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right" vertical="bottom"/>
    </xf>
    <xf borderId="4" fillId="3" fontId="2" numFmtId="0" xfId="0" applyAlignment="1" applyBorder="1" applyFont="1">
      <alignment horizontal="right" shrinkToFit="0" vertical="bottom" wrapText="1"/>
    </xf>
    <xf borderId="4" fillId="11" fontId="1" numFmtId="0" xfId="0" applyAlignment="1" applyBorder="1" applyFont="1">
      <alignment vertical="bottom"/>
    </xf>
    <xf borderId="1" fillId="2" fontId="1" numFmtId="0" xfId="0" applyAlignment="1" applyBorder="1" applyFont="1">
      <alignment vertical="top"/>
    </xf>
    <xf borderId="1" fillId="4" fontId="4" numFmtId="0" xfId="0" applyBorder="1" applyFont="1"/>
    <xf borderId="1" fillId="15" fontId="2" numFmtId="0" xfId="0" applyAlignment="1" applyBorder="1" applyFont="1">
      <alignment vertical="bottom"/>
    </xf>
    <xf borderId="6" fillId="15" fontId="4" numFmtId="49" xfId="0" applyBorder="1" applyFont="1" applyNumberFormat="1"/>
    <xf borderId="6" fillId="2" fontId="1" numFmtId="0" xfId="0" applyBorder="1" applyFont="1"/>
    <xf borderId="0" fillId="16" fontId="2" numFmtId="1" xfId="0" applyAlignment="1" applyFill="1" applyFont="1" applyNumberFormat="1">
      <alignment horizontal="right" vertical="bottom"/>
    </xf>
    <xf borderId="0" fillId="16" fontId="7" numFmtId="1" xfId="0" applyAlignment="1" applyFont="1" applyNumberFormat="1">
      <alignment horizontal="right" vertical="bottom"/>
    </xf>
    <xf borderId="1" fillId="4" fontId="1" numFmtId="0" xfId="0" applyBorder="1" applyFont="1"/>
    <xf borderId="4" fillId="16" fontId="7" numFmtId="1" xfId="0" applyAlignment="1" applyBorder="1" applyFont="1" applyNumberFormat="1">
      <alignment horizontal="right" vertical="bottom"/>
    </xf>
    <xf borderId="1" fillId="15" fontId="6" numFmtId="0" xfId="0" applyAlignment="1" applyBorder="1" applyFont="1">
      <alignment vertical="bottom"/>
    </xf>
    <xf borderId="4" fillId="16" fontId="2" numFmtId="1" xfId="0" applyAlignment="1" applyBorder="1" applyFont="1" applyNumberFormat="1">
      <alignment horizontal="right" vertical="bottom"/>
    </xf>
    <xf borderId="4" fillId="17" fontId="2" numFmtId="1" xfId="0" applyAlignment="1" applyBorder="1" applyFill="1" applyFont="1" applyNumberFormat="1">
      <alignment horizontal="right" vertical="bottom"/>
    </xf>
    <xf borderId="0" fillId="17" fontId="7" numFmtId="1" xfId="0" applyAlignment="1" applyFont="1" applyNumberFormat="1">
      <alignment horizontal="right" vertical="bottom"/>
    </xf>
    <xf borderId="4" fillId="17" fontId="7" numFmtId="1" xfId="0" applyAlignment="1" applyBorder="1" applyFont="1" applyNumberFormat="1">
      <alignment horizontal="right" vertical="bottom"/>
    </xf>
    <xf borderId="6" fillId="4" fontId="4" numFmtId="0" xfId="0" applyBorder="1" applyFont="1"/>
    <xf borderId="0" fillId="0" fontId="2" numFmtId="1" xfId="0" applyAlignment="1" applyFont="1" applyNumberFormat="1">
      <alignment horizontal="center" vertical="bottom"/>
    </xf>
    <xf borderId="1" fillId="18" fontId="2" numFmtId="1" xfId="0" applyAlignment="1" applyBorder="1" applyFill="1" applyFont="1" applyNumberFormat="1">
      <alignment horizontal="right" vertical="bottom"/>
    </xf>
    <xf borderId="0" fillId="17" fontId="2" numFmtId="1" xfId="0" applyAlignment="1" applyFont="1" applyNumberFormat="1">
      <alignment horizontal="right" vertical="bottom"/>
    </xf>
    <xf borderId="1" fillId="4" fontId="4" numFmtId="49" xfId="0" applyBorder="1" applyFont="1" applyNumberFormat="1"/>
    <xf borderId="9" fillId="0" fontId="1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1" t="s">
        <v>1</v>
      </c>
      <c r="C2" s="3"/>
      <c r="D2" s="4"/>
      <c r="E2" s="1">
        <v>1.56516E7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5" t="s">
        <v>2</v>
      </c>
      <c r="C3" s="3">
        <v>0.005</v>
      </c>
      <c r="D3" s="6"/>
      <c r="E3" s="7">
        <v>78258.0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/>
      <c r="B5" s="1" t="s">
        <v>3</v>
      </c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8">
        <v>15.0</v>
      </c>
      <c r="B6" s="9" t="s">
        <v>4</v>
      </c>
      <c r="C6" s="10">
        <v>108.0</v>
      </c>
      <c r="D6" s="3">
        <v>24010.977272727272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8">
        <v>10.0</v>
      </c>
      <c r="B7" s="9" t="s">
        <v>5</v>
      </c>
      <c r="C7" s="10">
        <v>108.0</v>
      </c>
      <c r="D7" s="3">
        <v>24010.977272727272</v>
      </c>
      <c r="E7" s="1"/>
      <c r="F7" s="1"/>
      <c r="G7" s="3"/>
      <c r="H7" s="3">
        <v>1.42986838E8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1">
        <v>16.0</v>
      </c>
      <c r="B8" s="9" t="s">
        <v>6</v>
      </c>
      <c r="C8" s="10">
        <v>108.0</v>
      </c>
      <c r="D8" s="3">
        <v>24010.977272727272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2"/>
      <c r="B9" s="9" t="s">
        <v>7</v>
      </c>
      <c r="C9" s="10">
        <v>28.0</v>
      </c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3"/>
      <c r="B10" s="14"/>
      <c r="C10" s="10"/>
      <c r="D10" s="3">
        <v>0.0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"/>
      <c r="B11" s="14"/>
      <c r="C11" s="10"/>
      <c r="D11" s="3">
        <v>0.0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6" t="s">
        <v>8</v>
      </c>
      <c r="C12" s="17">
        <v>352.0</v>
      </c>
      <c r="D12" s="3">
        <v>72032.93181818182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8"/>
      <c r="B13" s="19" t="s">
        <v>9</v>
      </c>
      <c r="C13" s="3">
        <v>222.32386363636363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7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0"/>
      <c r="B15" s="21"/>
      <c r="C15" s="22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1"/>
    </row>
    <row r="16">
      <c r="A16" s="1"/>
      <c r="B16" s="7"/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/>
      <c r="B17" s="1" t="s">
        <v>10</v>
      </c>
      <c r="C17" s="3"/>
      <c r="D17" s="4"/>
      <c r="E17" s="1">
        <v>3.379017E7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5" t="s">
        <v>2</v>
      </c>
      <c r="C18" s="3">
        <v>0.005</v>
      </c>
      <c r="D18" s="23"/>
      <c r="E18" s="1">
        <v>168950.85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/>
      <c r="B20" s="1" t="s">
        <v>3</v>
      </c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8">
        <v>14.0</v>
      </c>
      <c r="B21" s="9" t="s">
        <v>11</v>
      </c>
      <c r="C21" s="10">
        <v>69.0</v>
      </c>
      <c r="D21" s="3">
        <v>38096.760294117645</v>
      </c>
      <c r="E21" s="3">
        <v>46327.7781512605</v>
      </c>
      <c r="F21" s="1" t="s">
        <v>12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8">
        <v>11.0</v>
      </c>
      <c r="B22" s="24" t="s">
        <v>13</v>
      </c>
      <c r="C22" s="10">
        <v>127.0</v>
      </c>
      <c r="D22" s="25">
        <v>70120.12401960784</v>
      </c>
      <c r="E22" s="1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6">
        <v>22.0</v>
      </c>
      <c r="B23" s="9" t="s">
        <v>14</v>
      </c>
      <c r="C23" s="10">
        <v>71.0</v>
      </c>
      <c r="D23" s="25">
        <v>39201.01421568627</v>
      </c>
      <c r="E23" s="3">
        <v>48255.13385854341</v>
      </c>
      <c r="F23" s="3" t="s">
        <v>15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7"/>
      <c r="B24" s="28" t="s">
        <v>16</v>
      </c>
      <c r="C24" s="10">
        <v>39.0</v>
      </c>
      <c r="D24" s="3">
        <v>21532.951470588236</v>
      </c>
      <c r="E24" s="29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3"/>
      <c r="B25" s="14"/>
      <c r="C25" s="10"/>
      <c r="D25" s="3">
        <v>0.0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6" t="s">
        <v>8</v>
      </c>
      <c r="C26" s="17">
        <v>306.0</v>
      </c>
      <c r="D26" s="3">
        <v>168950.85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8"/>
      <c r="B27" s="19" t="s">
        <v>9</v>
      </c>
      <c r="C27" s="3">
        <v>552.1269607843137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7"/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0"/>
      <c r="B29" s="21"/>
      <c r="C29" s="22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1"/>
    </row>
    <row r="30">
      <c r="A30" s="1"/>
      <c r="B30" s="7"/>
      <c r="C30" s="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"/>
      <c r="B31" s="1" t="s">
        <v>17</v>
      </c>
      <c r="C31" s="3"/>
      <c r="D31" s="4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5" t="s">
        <v>2</v>
      </c>
      <c r="C32" s="3">
        <v>0.005</v>
      </c>
      <c r="D32" s="23"/>
      <c r="E32" s="1">
        <v>2.0341394E7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3"/>
      <c r="D33" s="1"/>
      <c r="E33" s="1">
        <v>101706.97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/>
      <c r="B34" s="1" t="s">
        <v>3</v>
      </c>
      <c r="C34" s="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8"/>
      <c r="B35" s="30" t="s">
        <v>18</v>
      </c>
      <c r="C35" s="10">
        <v>8.0</v>
      </c>
      <c r="D35" s="3">
        <v>2488.2439143730885</v>
      </c>
      <c r="E35" s="1" t="s">
        <v>19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8">
        <v>12.0</v>
      </c>
      <c r="B36" s="31" t="s">
        <v>20</v>
      </c>
      <c r="C36" s="10">
        <v>132.0</v>
      </c>
      <c r="D36" s="32">
        <v>41056.02458715596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8"/>
      <c r="B37" s="31" t="s">
        <v>21</v>
      </c>
      <c r="C37" s="10">
        <v>57.0</v>
      </c>
      <c r="D37" s="3">
        <v>17728.737889908254</v>
      </c>
      <c r="E37" s="1" t="s">
        <v>19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3">
        <v>20.0</v>
      </c>
      <c r="B38" s="34" t="s">
        <v>22</v>
      </c>
      <c r="C38" s="35">
        <v>130.0</v>
      </c>
      <c r="D38" s="3">
        <v>40433.96360856269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7" t="s">
        <v>8</v>
      </c>
      <c r="C39" s="17">
        <v>327.0</v>
      </c>
      <c r="D39" s="3">
        <v>101706.97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8"/>
      <c r="B40" s="19" t="s">
        <v>9</v>
      </c>
      <c r="C40" s="3">
        <v>311.03048929663606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7"/>
      <c r="C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0"/>
      <c r="B42" s="21"/>
      <c r="C42" s="22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1"/>
    </row>
    <row r="43">
      <c r="A43" s="1"/>
      <c r="B43" s="7"/>
      <c r="C43" s="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"/>
      <c r="B44" s="1" t="s">
        <v>23</v>
      </c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5" t="s">
        <v>2</v>
      </c>
      <c r="C45" s="3">
        <v>0.005</v>
      </c>
      <c r="D45" s="1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3"/>
      <c r="D46" s="23"/>
      <c r="E46" s="1">
        <v>0.0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"/>
      <c r="B47" s="1" t="s">
        <v>3</v>
      </c>
      <c r="C47" s="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6"/>
      <c r="B48" s="37"/>
      <c r="C48" s="10"/>
      <c r="D48" s="3" t="e">
        <v>#DIV/0!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8"/>
      <c r="B49" s="37"/>
      <c r="C49" s="10"/>
      <c r="D49" s="3" t="e">
        <v>#DIV/0!</v>
      </c>
      <c r="E49" s="1"/>
      <c r="F49" s="3"/>
      <c r="G49" s="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7" t="s">
        <v>8</v>
      </c>
      <c r="C50" s="3">
        <v>0.0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8"/>
      <c r="B51" s="39" t="s">
        <v>9</v>
      </c>
      <c r="C51" s="3" t="e">
        <v>#DIV/0!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0"/>
      <c r="B53" s="20"/>
      <c r="C53" s="22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1"/>
    </row>
    <row r="54">
      <c r="A54" s="1"/>
      <c r="B54" s="1"/>
      <c r="C54" s="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"/>
      <c r="B55" s="1" t="s">
        <v>24</v>
      </c>
      <c r="C55" s="3"/>
      <c r="D55" s="4"/>
      <c r="E55" s="1"/>
      <c r="F55" s="1"/>
      <c r="G55" s="1"/>
      <c r="H55" s="1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5" t="s">
        <v>2</v>
      </c>
      <c r="C56" s="3">
        <v>0.005</v>
      </c>
      <c r="D56" s="23"/>
      <c r="E56" s="1">
        <v>1.7319363E7</v>
      </c>
      <c r="F56" s="1"/>
      <c r="G56" s="1"/>
      <c r="H56" s="40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3"/>
      <c r="D57" s="1"/>
      <c r="E57" s="1">
        <v>86596.815</v>
      </c>
      <c r="F57" s="1"/>
      <c r="G57" s="1"/>
      <c r="H57" s="1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"/>
      <c r="B58" s="1" t="s">
        <v>3</v>
      </c>
      <c r="C58" s="3"/>
      <c r="D58" s="1"/>
      <c r="E58" s="1"/>
      <c r="F58" s="1"/>
      <c r="G58" s="1"/>
      <c r="H58" s="1"/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41">
        <v>120.0</v>
      </c>
      <c r="B59" s="9" t="s">
        <v>25</v>
      </c>
      <c r="C59" s="10">
        <v>109.0</v>
      </c>
      <c r="D59" s="3">
        <v>35485.161033834585</v>
      </c>
      <c r="E59" s="1"/>
      <c r="F59" s="1"/>
      <c r="G59" s="1"/>
      <c r="H59" s="1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41">
        <v>174.0</v>
      </c>
      <c r="B60" s="9" t="s">
        <v>26</v>
      </c>
      <c r="C60" s="10">
        <v>82.0</v>
      </c>
      <c r="D60" s="42">
        <v>26695.258759398497</v>
      </c>
      <c r="E60" s="3">
        <v>31633.86947368421</v>
      </c>
      <c r="F60" s="1" t="s">
        <v>27</v>
      </c>
      <c r="G60" s="1"/>
      <c r="H60" s="1"/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41">
        <v>194.0</v>
      </c>
      <c r="B61" s="24" t="s">
        <v>28</v>
      </c>
      <c r="C61" s="10">
        <v>75.0</v>
      </c>
      <c r="D61" s="42">
        <v>24416.39520676692</v>
      </c>
      <c r="E61" s="3">
        <v>30178.10770676692</v>
      </c>
      <c r="F61" s="1" t="s">
        <v>27</v>
      </c>
      <c r="G61" s="1"/>
      <c r="H61" s="1"/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6" t="s">
        <v>8</v>
      </c>
      <c r="C62" s="17">
        <v>266.0</v>
      </c>
      <c r="D62" s="3">
        <v>86596.815</v>
      </c>
      <c r="E62" s="1"/>
      <c r="F62" s="1"/>
      <c r="G62" s="1"/>
      <c r="H62" s="1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8"/>
      <c r="B63" s="19" t="s">
        <v>9</v>
      </c>
      <c r="C63" s="3">
        <v>325.5519360902256</v>
      </c>
      <c r="D63" s="1"/>
      <c r="E63" s="1"/>
      <c r="F63" s="1"/>
      <c r="G63" s="1"/>
      <c r="H63" s="7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0"/>
      <c r="B65" s="20"/>
      <c r="C65" s="22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1"/>
    </row>
    <row r="66">
      <c r="A66" s="1"/>
      <c r="B66" s="7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"/>
      <c r="B67" s="1" t="s">
        <v>29</v>
      </c>
      <c r="C67" s="3"/>
      <c r="D67" s="4"/>
      <c r="E67" s="1">
        <v>4.2093824E7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5" t="s">
        <v>2</v>
      </c>
      <c r="C68" s="3">
        <v>0.005</v>
      </c>
      <c r="D68" s="23"/>
      <c r="E68" s="1">
        <v>210469.12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"/>
      <c r="B70" s="1" t="s">
        <v>3</v>
      </c>
      <c r="C70" s="3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8">
        <v>3.0</v>
      </c>
      <c r="B71" s="9" t="s">
        <v>30</v>
      </c>
      <c r="C71" s="10">
        <v>122.0</v>
      </c>
      <c r="D71" s="3">
        <v>46856.26394160584</v>
      </c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8">
        <v>1.0</v>
      </c>
      <c r="B72" s="9" t="s">
        <v>31</v>
      </c>
      <c r="C72" s="10">
        <v>117.0</v>
      </c>
      <c r="D72" s="3">
        <v>44935.92525547445</v>
      </c>
      <c r="E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8">
        <v>4.0</v>
      </c>
      <c r="B73" s="31" t="s">
        <v>32</v>
      </c>
      <c r="C73" s="10">
        <v>130.0</v>
      </c>
      <c r="D73" s="3">
        <v>49928.805839416054</v>
      </c>
      <c r="E73" s="1"/>
      <c r="F73" s="3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8">
        <v>19.0</v>
      </c>
      <c r="B74" s="31" t="s">
        <v>21</v>
      </c>
      <c r="C74" s="10">
        <v>69.0</v>
      </c>
      <c r="D74" s="3">
        <v>26500.67386861314</v>
      </c>
      <c r="E74" s="3">
        <v>44229.4117585214</v>
      </c>
      <c r="F74" s="3" t="s">
        <v>15</v>
      </c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8">
        <v>6.0</v>
      </c>
      <c r="B75" s="31" t="s">
        <v>33</v>
      </c>
      <c r="C75" s="10">
        <v>102.0</v>
      </c>
      <c r="D75" s="3">
        <v>39174.90919708029</v>
      </c>
      <c r="E75" s="1"/>
      <c r="F75" s="3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8"/>
      <c r="B76" s="31" t="s">
        <v>34</v>
      </c>
      <c r="C76" s="10">
        <v>8.0</v>
      </c>
      <c r="D76" s="3">
        <v>3072.541897810219</v>
      </c>
      <c r="E76" s="3" t="s">
        <v>19</v>
      </c>
      <c r="F76" s="3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8"/>
      <c r="B77" s="31" t="s">
        <v>8</v>
      </c>
      <c r="C77" s="10">
        <v>548.0</v>
      </c>
      <c r="D77" s="3">
        <v>210469.12</v>
      </c>
      <c r="E77" s="1"/>
      <c r="F77" s="3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1"/>
      <c r="B78" s="34" t="s">
        <v>9</v>
      </c>
      <c r="C78" s="35">
        <v>384.06773722627736</v>
      </c>
      <c r="D78" s="3"/>
      <c r="E78" s="1"/>
      <c r="F78" s="3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1"/>
      <c r="B79" s="31"/>
      <c r="C79" s="10"/>
      <c r="D79" s="3"/>
      <c r="E79" s="1"/>
      <c r="F79" s="3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6"/>
      <c r="C80" s="17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8"/>
      <c r="B81" s="19"/>
      <c r="C81" s="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7" t="s">
        <v>35</v>
      </c>
      <c r="C82" s="3"/>
      <c r="D82" s="1"/>
      <c r="E82" s="3">
        <v>9218740.0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0"/>
      <c r="B83" s="21" t="s">
        <v>2</v>
      </c>
      <c r="C83" s="22">
        <v>0.005</v>
      </c>
      <c r="D83" s="20"/>
      <c r="E83" s="22">
        <v>46093.700000000004</v>
      </c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1"/>
    </row>
    <row r="84">
      <c r="A84" s="1"/>
      <c r="B84" s="7"/>
      <c r="C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"/>
      <c r="B85" s="1" t="s">
        <v>3</v>
      </c>
      <c r="C85" s="3"/>
      <c r="D85" s="4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5" t="s">
        <v>36</v>
      </c>
      <c r="C86" s="3">
        <v>44.0</v>
      </c>
      <c r="D86" s="44">
        <v>9054.119642857144</v>
      </c>
      <c r="E86" s="1" t="s">
        <v>19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>
        <v>21.0</v>
      </c>
      <c r="B87" s="1" t="s">
        <v>37</v>
      </c>
      <c r="C87" s="3">
        <v>112.0</v>
      </c>
      <c r="D87" s="3">
        <v>23046.850000000002</v>
      </c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"/>
      <c r="B88" s="1" t="s">
        <v>38</v>
      </c>
      <c r="C88" s="3">
        <v>40.0</v>
      </c>
      <c r="D88" s="3">
        <v>8231.017857142859</v>
      </c>
      <c r="E88" s="3" t="s">
        <v>19</v>
      </c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8"/>
      <c r="B89" s="45" t="s">
        <v>26</v>
      </c>
      <c r="C89" s="35">
        <v>24.0</v>
      </c>
      <c r="D89" s="3">
        <v>4938.6107142857145</v>
      </c>
      <c r="E89" s="3" t="s">
        <v>19</v>
      </c>
      <c r="F89" s="3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1"/>
      <c r="B90" s="31" t="s">
        <v>39</v>
      </c>
      <c r="C90" s="10">
        <v>4.0</v>
      </c>
      <c r="D90" s="3">
        <v>0.0</v>
      </c>
      <c r="E90" s="1"/>
      <c r="F90" s="3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46"/>
      <c r="B91" s="31" t="s">
        <v>28</v>
      </c>
      <c r="C91" s="10">
        <v>28.0</v>
      </c>
      <c r="D91" s="3">
        <v>5761.712500000001</v>
      </c>
      <c r="E91" s="29" t="s">
        <v>19</v>
      </c>
      <c r="F91" s="3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46"/>
      <c r="B92" s="31" t="s">
        <v>8</v>
      </c>
      <c r="C92" s="10">
        <v>224.0</v>
      </c>
      <c r="D92" s="3">
        <v>51032.31071428572</v>
      </c>
      <c r="E92" s="29"/>
      <c r="F92" s="3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41"/>
      <c r="B93" s="47" t="s">
        <v>9</v>
      </c>
      <c r="C93" s="10">
        <v>205.77544642857146</v>
      </c>
      <c r="D93" s="3"/>
      <c r="E93" s="1"/>
      <c r="F93" s="3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48"/>
      <c r="B94" s="30"/>
      <c r="C94" s="10"/>
      <c r="D94" s="3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7"/>
      <c r="C95" s="17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8"/>
      <c r="B96" s="19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7" t="s">
        <v>40</v>
      </c>
      <c r="C97" s="3"/>
      <c r="D97" s="1"/>
      <c r="E97" s="1">
        <v>4571747.0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0"/>
      <c r="B98" s="21" t="s">
        <v>2</v>
      </c>
      <c r="C98" s="22">
        <v>0.005</v>
      </c>
      <c r="D98" s="20"/>
      <c r="E98" s="20">
        <v>22858.735</v>
      </c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1"/>
    </row>
    <row r="99">
      <c r="A99" s="1"/>
      <c r="B99" s="7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2"/>
      <c r="B100" s="7" t="s">
        <v>3</v>
      </c>
      <c r="C100" s="3"/>
      <c r="D100" s="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>
        <v>13.0</v>
      </c>
      <c r="B101" s="5" t="s">
        <v>18</v>
      </c>
      <c r="C101" s="3">
        <v>102.0</v>
      </c>
      <c r="D101" s="44">
        <v>11373.614487804878</v>
      </c>
      <c r="E101" s="3">
        <v>13861.858402177966</v>
      </c>
      <c r="F101" s="1" t="s">
        <v>27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>
        <v>18.0</v>
      </c>
      <c r="B102" s="40" t="s">
        <v>34</v>
      </c>
      <c r="C102" s="3">
        <v>103.0</v>
      </c>
      <c r="D102" s="3">
        <v>11485.120512195123</v>
      </c>
      <c r="E102" s="3">
        <v>14557.662410005341</v>
      </c>
      <c r="F102" s="3" t="s">
        <v>15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2"/>
      <c r="B103" s="1"/>
      <c r="C103" s="3"/>
      <c r="D103" s="3">
        <v>0.0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8"/>
      <c r="B104" s="49" t="s">
        <v>8</v>
      </c>
      <c r="C104" s="10">
        <v>205.0</v>
      </c>
      <c r="D104" s="42">
        <v>22858.735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8"/>
      <c r="B105" s="9" t="s">
        <v>9</v>
      </c>
      <c r="C105" s="10">
        <v>111.50602439024391</v>
      </c>
      <c r="D105" s="32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3"/>
      <c r="B106" s="14"/>
      <c r="C106" s="10"/>
      <c r="D106" s="3"/>
      <c r="E106" s="3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50"/>
      <c r="B107" s="16"/>
      <c r="C107" s="17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8"/>
      <c r="B108" s="19"/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7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7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7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20"/>
      <c r="B112" s="21"/>
      <c r="C112" s="22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1"/>
    </row>
    <row r="113">
      <c r="A113" s="1"/>
      <c r="B113" s="7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39"/>
      <c r="C114" s="17" t="s">
        <v>41</v>
      </c>
      <c r="D114" s="3" t="s">
        <v>42</v>
      </c>
      <c r="E114" s="1"/>
      <c r="F114" s="13" t="s">
        <v>43</v>
      </c>
      <c r="G114" s="51"/>
      <c r="H114" s="51" t="s">
        <v>44</v>
      </c>
      <c r="I114" s="51" t="s">
        <v>42</v>
      </c>
      <c r="J114" s="51" t="s">
        <v>45</v>
      </c>
      <c r="K114" s="52" t="s">
        <v>46</v>
      </c>
      <c r="L114" s="1" t="s">
        <v>47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53"/>
      <c r="B115" s="7" t="s">
        <v>48</v>
      </c>
      <c r="C115" s="17"/>
      <c r="D115" s="17">
        <v>378769.96499999997</v>
      </c>
      <c r="E115" s="3">
        <v>378800.0</v>
      </c>
      <c r="F115" s="37">
        <v>4.0</v>
      </c>
      <c r="G115" s="54" t="s">
        <v>32</v>
      </c>
      <c r="H115" s="55">
        <v>4.573523849E7</v>
      </c>
      <c r="I115" s="55">
        <v>228676.19245</v>
      </c>
      <c r="J115" s="55">
        <v>49928.805839416054</v>
      </c>
      <c r="K115" s="56">
        <v>178747.38661058396</v>
      </c>
      <c r="L115" s="3">
        <v>178700.0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53"/>
      <c r="B116" s="7" t="s">
        <v>49</v>
      </c>
      <c r="C116" s="17"/>
      <c r="D116" s="17">
        <v>358371.85865</v>
      </c>
      <c r="E116" s="3">
        <v>358400.0</v>
      </c>
      <c r="F116" s="37">
        <v>12.0</v>
      </c>
      <c r="G116" s="54" t="s">
        <v>50</v>
      </c>
      <c r="H116" s="55">
        <v>2.177031574E7</v>
      </c>
      <c r="I116" s="55">
        <v>108851.5787</v>
      </c>
      <c r="J116" s="55">
        <v>41056.02458715596</v>
      </c>
      <c r="K116" s="56">
        <v>67795.55411284404</v>
      </c>
      <c r="L116" s="3">
        <v>67800.0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57"/>
      <c r="B117" s="58" t="s">
        <v>51</v>
      </c>
      <c r="C117" s="59">
        <v>3.403728E7</v>
      </c>
      <c r="D117" s="17">
        <v>170186.4</v>
      </c>
      <c r="E117" s="3">
        <v>170200.0</v>
      </c>
      <c r="F117" s="13">
        <v>11.0</v>
      </c>
      <c r="G117" s="54" t="s">
        <v>13</v>
      </c>
      <c r="H117" s="55">
        <v>3.403728E7</v>
      </c>
      <c r="I117" s="55">
        <v>170186.4</v>
      </c>
      <c r="J117" s="55">
        <v>70120.12401960784</v>
      </c>
      <c r="K117" s="56">
        <v>100066.27598039215</v>
      </c>
      <c r="L117" s="3">
        <v>100100.0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57"/>
      <c r="B118" s="58" t="s">
        <v>52</v>
      </c>
      <c r="C118" s="59">
        <v>1.467649E7</v>
      </c>
      <c r="D118" s="17">
        <v>73382.45</v>
      </c>
      <c r="E118" s="1">
        <v>73400.0</v>
      </c>
      <c r="F118" s="13">
        <v>10.0</v>
      </c>
      <c r="G118" s="54" t="s">
        <v>5</v>
      </c>
      <c r="H118" s="55">
        <v>1.467649E7</v>
      </c>
      <c r="I118" s="55">
        <v>73382.45</v>
      </c>
      <c r="J118" s="55">
        <v>24010.977272727272</v>
      </c>
      <c r="K118" s="56">
        <v>49371.472727272725</v>
      </c>
      <c r="L118" s="3">
        <v>49400.0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53"/>
      <c r="B119" s="60" t="s">
        <v>53</v>
      </c>
      <c r="C119" s="17"/>
      <c r="D119" s="3">
        <v>0.0</v>
      </c>
      <c r="E119" s="1"/>
      <c r="F119" s="13">
        <v>120.0</v>
      </c>
      <c r="G119" s="54" t="s">
        <v>25</v>
      </c>
      <c r="H119" s="55">
        <v>1.6141623E7</v>
      </c>
      <c r="I119" s="55">
        <v>80708.115</v>
      </c>
      <c r="J119" s="55">
        <v>35485.161033834585</v>
      </c>
      <c r="K119" s="56">
        <v>45222.95396616542</v>
      </c>
      <c r="L119" s="3">
        <v>45200.0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61"/>
      <c r="B120" s="62" t="s">
        <v>54</v>
      </c>
      <c r="C120" s="63">
        <v>2.177031574E7</v>
      </c>
      <c r="D120" s="17">
        <v>108851.5787</v>
      </c>
      <c r="E120" s="1">
        <v>108900.0</v>
      </c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64"/>
      <c r="B121" s="65" t="s">
        <v>55</v>
      </c>
      <c r="C121" s="66">
        <v>1.6141623E7</v>
      </c>
      <c r="D121" s="17">
        <v>80708.115</v>
      </c>
      <c r="E121" s="1">
        <v>80700.0</v>
      </c>
      <c r="F121" s="13"/>
      <c r="G121" s="67"/>
      <c r="H121" s="37"/>
      <c r="I121" s="37"/>
      <c r="J121" s="37"/>
      <c r="K121" s="68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53"/>
      <c r="B122" s="69" t="s">
        <v>56</v>
      </c>
      <c r="C122" s="17">
        <v>4.573523849E7</v>
      </c>
      <c r="D122" s="17">
        <v>228676.19245</v>
      </c>
      <c r="E122" s="1">
        <v>228700.0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53"/>
      <c r="B123" s="60" t="s">
        <v>57</v>
      </c>
      <c r="C123" s="17"/>
      <c r="D123" s="3">
        <v>0.0</v>
      </c>
      <c r="E123" s="1"/>
      <c r="F123" s="70"/>
      <c r="G123" s="7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53"/>
      <c r="B124" s="69" t="s">
        <v>58</v>
      </c>
      <c r="C124" s="17">
        <v>1.08986E7</v>
      </c>
      <c r="D124" s="17">
        <v>54493.0</v>
      </c>
      <c r="E124" s="1">
        <v>54500.0</v>
      </c>
      <c r="F124" s="13">
        <v>9.0</v>
      </c>
      <c r="G124" s="55" t="s">
        <v>48</v>
      </c>
      <c r="H124" s="3">
        <v>378800.0</v>
      </c>
      <c r="I124" s="1"/>
      <c r="J124" s="1"/>
      <c r="K124" s="1"/>
      <c r="L124" s="1"/>
      <c r="M124" s="1"/>
      <c r="N124" s="3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53"/>
      <c r="B125" s="19" t="s">
        <v>59</v>
      </c>
      <c r="C125" s="17">
        <v>4168817.5</v>
      </c>
      <c r="D125" s="72">
        <v>20844.0875</v>
      </c>
      <c r="E125" s="1">
        <v>20800.0</v>
      </c>
      <c r="F125" s="13">
        <v>2.0</v>
      </c>
      <c r="G125" s="55" t="s">
        <v>49</v>
      </c>
      <c r="H125" s="3">
        <v>358400.0</v>
      </c>
      <c r="I125" s="73"/>
      <c r="J125" s="74"/>
      <c r="K125" s="75"/>
      <c r="L125" s="76"/>
      <c r="M125" s="1"/>
      <c r="N125" s="1"/>
      <c r="O125" s="3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7"/>
      <c r="C126" s="10"/>
      <c r="D126" s="77">
        <v>1474283.6472999998</v>
      </c>
      <c r="E126" s="3">
        <v>1474400.0</v>
      </c>
      <c r="F126" s="13">
        <v>11.0</v>
      </c>
      <c r="G126" s="55" t="s">
        <v>13</v>
      </c>
      <c r="H126" s="3">
        <v>100100.0</v>
      </c>
      <c r="I126" s="78"/>
      <c r="K126" s="79"/>
      <c r="L126" s="76"/>
      <c r="M126" s="1"/>
      <c r="N126" s="3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7"/>
      <c r="C127" s="3"/>
      <c r="D127" s="1"/>
      <c r="E127" s="1"/>
      <c r="F127" s="13">
        <v>10.0</v>
      </c>
      <c r="G127" s="55" t="s">
        <v>5</v>
      </c>
      <c r="H127" s="3">
        <v>49400.0</v>
      </c>
      <c r="I127" s="78"/>
      <c r="K127" s="79"/>
      <c r="L127" s="76"/>
      <c r="M127" s="1"/>
      <c r="N127" s="3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80"/>
      <c r="B128" s="7" t="s">
        <v>60</v>
      </c>
      <c r="C128" s="17"/>
      <c r="D128" s="3" t="s">
        <v>42</v>
      </c>
      <c r="E128" s="1"/>
      <c r="F128" s="13">
        <v>120.0</v>
      </c>
      <c r="G128" s="55" t="s">
        <v>25</v>
      </c>
      <c r="H128" s="3">
        <v>45200.0</v>
      </c>
      <c r="I128" s="81"/>
      <c r="J128" s="82"/>
      <c r="K128" s="83"/>
      <c r="L128" s="76"/>
      <c r="M128" s="1"/>
      <c r="N128" s="3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53"/>
      <c r="B129" s="6" t="s">
        <v>61</v>
      </c>
      <c r="C129" s="17">
        <v>1.467649E7</v>
      </c>
      <c r="D129" s="3">
        <v>73382.45</v>
      </c>
      <c r="E129" s="1"/>
      <c r="F129" s="13"/>
      <c r="G129" s="84"/>
      <c r="H129" s="1">
        <v>0.0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53"/>
      <c r="B130" s="6" t="s">
        <v>62</v>
      </c>
      <c r="C130" s="17">
        <v>3.403728E7</v>
      </c>
      <c r="D130" s="3">
        <v>170186.4</v>
      </c>
      <c r="E130" s="1"/>
      <c r="F130" s="13">
        <v>4.0</v>
      </c>
      <c r="G130" s="55" t="s">
        <v>32</v>
      </c>
      <c r="H130" s="3">
        <v>178700.0</v>
      </c>
      <c r="I130" s="3" t="s">
        <v>63</v>
      </c>
      <c r="J130" s="3"/>
      <c r="K130" s="3"/>
      <c r="L130" s="1"/>
      <c r="M130" s="1"/>
      <c r="N130" s="1"/>
      <c r="O130" s="3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53"/>
      <c r="B131" s="6" t="s">
        <v>64</v>
      </c>
      <c r="C131" s="17">
        <v>1.6141623E7</v>
      </c>
      <c r="D131" s="3">
        <v>80708.115</v>
      </c>
      <c r="E131" s="1"/>
      <c r="F131" s="13">
        <v>12.0</v>
      </c>
      <c r="G131" s="55" t="s">
        <v>50</v>
      </c>
      <c r="H131" s="3">
        <v>67800.0</v>
      </c>
      <c r="I131" s="3" t="s">
        <v>65</v>
      </c>
      <c r="J131" s="3"/>
      <c r="K131" s="3"/>
      <c r="L131" s="3"/>
      <c r="M131" s="1"/>
      <c r="N131" s="3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53"/>
      <c r="B132" s="7" t="s">
        <v>57</v>
      </c>
      <c r="C132" s="17"/>
      <c r="D132" s="3">
        <v>0.0</v>
      </c>
      <c r="E132" s="1"/>
      <c r="F132" s="1"/>
      <c r="G132" s="85"/>
      <c r="H132" s="3">
        <v>1178400.0</v>
      </c>
      <c r="I132" s="3"/>
      <c r="J132" s="3"/>
      <c r="K132" s="3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53"/>
      <c r="B133" s="7" t="s">
        <v>53</v>
      </c>
      <c r="C133" s="17"/>
      <c r="D133" s="3">
        <v>0.0</v>
      </c>
      <c r="E133" s="1"/>
      <c r="F133" s="1"/>
      <c r="G133" s="3"/>
      <c r="H133" s="3"/>
      <c r="I133" s="3"/>
      <c r="J133" s="3"/>
      <c r="K133" s="3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53"/>
      <c r="B134" s="6" t="s">
        <v>58</v>
      </c>
      <c r="C134" s="17">
        <v>1.08986E7</v>
      </c>
      <c r="D134" s="3">
        <v>54493.0</v>
      </c>
      <c r="E134" s="1"/>
      <c r="F134" s="1"/>
      <c r="G134" s="3"/>
      <c r="H134" s="3"/>
      <c r="I134" s="3"/>
      <c r="J134" s="3"/>
      <c r="K134" s="3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7"/>
      <c r="C135" s="3"/>
      <c r="D135" s="1"/>
      <c r="E135" s="1"/>
      <c r="F135" s="1"/>
      <c r="G135" s="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9"/>
      <c r="C136" s="86">
        <v>6.4855393E7</v>
      </c>
      <c r="D136" s="87">
        <v>378769.96499999997</v>
      </c>
      <c r="E136" s="1" t="s">
        <v>66</v>
      </c>
      <c r="F136" s="1"/>
      <c r="G136" s="3"/>
      <c r="H136" s="3">
        <v>573500.0</v>
      </c>
      <c r="I136" s="3"/>
      <c r="J136" s="3"/>
      <c r="K136" s="3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88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89"/>
      <c r="B138" s="90"/>
      <c r="C138" s="91"/>
      <c r="D138" s="89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80"/>
      <c r="B139" s="88" t="s">
        <v>67</v>
      </c>
      <c r="C139" s="17"/>
      <c r="D139" s="3" t="s">
        <v>42</v>
      </c>
      <c r="E139" s="1"/>
      <c r="F139" s="1"/>
      <c r="G139" s="1"/>
      <c r="H139" s="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53"/>
      <c r="B140" s="6" t="s">
        <v>68</v>
      </c>
      <c r="C140" s="17">
        <v>2.177031574E7</v>
      </c>
      <c r="D140" s="3">
        <v>108851.5787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53"/>
      <c r="B141" s="6" t="s">
        <v>69</v>
      </c>
      <c r="C141" s="17">
        <v>4.573523849E7</v>
      </c>
      <c r="D141" s="3">
        <v>228676.19245</v>
      </c>
      <c r="E141" s="1"/>
      <c r="F141" s="1"/>
      <c r="G141" s="3"/>
      <c r="H141" s="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53"/>
      <c r="B142" s="6" t="s">
        <v>59</v>
      </c>
      <c r="C142" s="17">
        <v>4168817.5</v>
      </c>
      <c r="D142" s="3">
        <v>20844.0875</v>
      </c>
      <c r="E142" s="1"/>
      <c r="F142" s="1"/>
      <c r="G142" s="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7"/>
      <c r="C143" s="3"/>
      <c r="D143" s="1"/>
      <c r="E143" s="1"/>
      <c r="F143" s="1"/>
      <c r="G143" s="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9"/>
      <c r="C144" s="86">
        <v>7.167437173E7</v>
      </c>
      <c r="D144" s="87">
        <v>358371.85865</v>
      </c>
      <c r="E144" s="20" t="s">
        <v>66</v>
      </c>
      <c r="F144" s="2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7"/>
      <c r="C145" s="3"/>
      <c r="D145" s="1"/>
      <c r="E145" s="1"/>
      <c r="F145" s="1"/>
      <c r="G145" s="3"/>
      <c r="H145" s="1"/>
      <c r="I145" s="1"/>
      <c r="J145" s="3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7"/>
      <c r="C146" s="22"/>
      <c r="D146" s="20"/>
      <c r="E146" s="1"/>
      <c r="F146" s="1"/>
      <c r="G146" s="3"/>
      <c r="H146" s="1"/>
      <c r="I146" s="1"/>
      <c r="J146" s="3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7"/>
      <c r="C147" s="3"/>
      <c r="D147" s="1"/>
      <c r="E147" s="1"/>
      <c r="F147" s="1"/>
      <c r="G147" s="92"/>
      <c r="H147" s="1"/>
      <c r="I147" s="1"/>
      <c r="J147" s="3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7"/>
      <c r="C148" s="3"/>
      <c r="D148" s="1"/>
      <c r="E148" s="1"/>
      <c r="F148" s="1"/>
      <c r="G148" s="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7"/>
      <c r="C149" s="3"/>
      <c r="D149" s="1"/>
      <c r="E149" s="1"/>
      <c r="F149" s="1"/>
      <c r="G149" s="3"/>
      <c r="H149" s="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7"/>
      <c r="C150" s="3"/>
      <c r="D150" s="1"/>
      <c r="E150" s="1"/>
      <c r="F150" s="1"/>
      <c r="G150" s="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7"/>
      <c r="C151" s="3"/>
      <c r="D151" s="1"/>
      <c r="E151" s="1"/>
      <c r="F151" s="1"/>
      <c r="G151" s="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7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7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7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7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7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F71:F72"/>
    <mergeCell ref="F123:G123"/>
    <mergeCell ref="I125:K12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3" t="s">
        <v>1</v>
      </c>
      <c r="B2" s="1"/>
      <c r="C2" s="3"/>
      <c r="D2" s="94">
        <v>1.28912E7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95" t="s">
        <v>2</v>
      </c>
      <c r="B3" s="96" t="s">
        <v>70</v>
      </c>
      <c r="C3" s="3"/>
      <c r="D3" s="97" t="s">
        <v>71</v>
      </c>
      <c r="E3" s="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93" t="s">
        <v>3</v>
      </c>
      <c r="B5" s="1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8" t="s">
        <v>5</v>
      </c>
      <c r="B6" s="99">
        <v>116.0</v>
      </c>
      <c r="C6" s="100">
        <v>26514.0</v>
      </c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98" t="s">
        <v>72</v>
      </c>
      <c r="B7" s="99">
        <v>122.0</v>
      </c>
      <c r="C7" s="100">
        <v>27885.0</v>
      </c>
      <c r="D7" s="1"/>
      <c r="E7" s="1"/>
      <c r="F7" s="1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01" t="s">
        <v>73</v>
      </c>
      <c r="B8" s="99">
        <v>24.0</v>
      </c>
      <c r="C8" s="100">
        <v>5486.0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02" t="s">
        <v>74</v>
      </c>
      <c r="B9" s="99">
        <v>20.0</v>
      </c>
      <c r="C9" s="100">
        <v>4571.0</v>
      </c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3"/>
      <c r="B10" s="14"/>
      <c r="C10" s="100">
        <v>0.0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"/>
      <c r="B11" s="14"/>
      <c r="C11" s="100">
        <v>0.0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95" t="s">
        <v>8</v>
      </c>
      <c r="B12" s="103">
        <v>282.0</v>
      </c>
      <c r="C12" s="104">
        <v>64456.0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05" t="s">
        <v>9</v>
      </c>
      <c r="B13" s="106" t="s">
        <v>75</v>
      </c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7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0"/>
      <c r="B15" s="21"/>
      <c r="C15" s="22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1"/>
    </row>
    <row r="16">
      <c r="A16" s="1"/>
      <c r="B16" s="7"/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93" t="s">
        <v>76</v>
      </c>
      <c r="B17" s="1"/>
      <c r="C17" s="3"/>
      <c r="D17" s="94">
        <v>3.245051E7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95" t="s">
        <v>2</v>
      </c>
      <c r="B18" s="96" t="s">
        <v>70</v>
      </c>
      <c r="C18" s="3"/>
      <c r="D18" s="96" t="s">
        <v>77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93" t="s">
        <v>3</v>
      </c>
      <c r="B20" s="1"/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98" t="s">
        <v>13</v>
      </c>
      <c r="B21" s="99">
        <v>124.0</v>
      </c>
      <c r="C21" s="100">
        <v>70843.0</v>
      </c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98" t="s">
        <v>38</v>
      </c>
      <c r="B22" s="107">
        <v>72.0</v>
      </c>
      <c r="C22" s="100">
        <v>41134.0</v>
      </c>
      <c r="D22" s="108">
        <v>48796.0</v>
      </c>
      <c r="E22" s="1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09" t="s">
        <v>78</v>
      </c>
      <c r="B23" s="99">
        <v>72.0</v>
      </c>
      <c r="C23" s="100">
        <v>41134.0</v>
      </c>
      <c r="D23" s="108">
        <v>49891.0</v>
      </c>
      <c r="E23" s="1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10" t="s">
        <v>79</v>
      </c>
      <c r="B24" s="111">
        <v>16.0</v>
      </c>
      <c r="C24" s="100">
        <v>9141.0</v>
      </c>
      <c r="D24" s="3"/>
      <c r="E24" s="29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3"/>
      <c r="B25" s="14"/>
      <c r="C25" s="100">
        <v>0.0</v>
      </c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95" t="s">
        <v>8</v>
      </c>
      <c r="B26" s="103">
        <v>284.0</v>
      </c>
      <c r="C26" s="104">
        <v>162253.0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05" t="s">
        <v>9</v>
      </c>
      <c r="B27" s="106" t="s">
        <v>80</v>
      </c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7"/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0"/>
      <c r="B29" s="21"/>
      <c r="C29" s="22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1"/>
    </row>
    <row r="30">
      <c r="A30" s="1"/>
      <c r="B30" s="7"/>
      <c r="C30" s="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93" t="s">
        <v>17</v>
      </c>
      <c r="B31" s="1"/>
      <c r="C31" s="3"/>
      <c r="D31" s="94">
        <v>1.6490101E7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95" t="s">
        <v>2</v>
      </c>
      <c r="B32" s="96" t="s">
        <v>70</v>
      </c>
      <c r="C32" s="3"/>
      <c r="D32" s="112">
        <v>8.2450505E7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93" t="s">
        <v>3</v>
      </c>
      <c r="B34" s="1"/>
      <c r="C34" s="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98" t="s">
        <v>50</v>
      </c>
      <c r="B35" s="113">
        <v>124.0</v>
      </c>
      <c r="C35" s="100">
        <v>31653.0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98" t="s">
        <v>21</v>
      </c>
      <c r="B36" s="114">
        <v>66.0</v>
      </c>
      <c r="C36" s="100">
        <v>16847.0</v>
      </c>
      <c r="D36" s="115">
        <v>56918.0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98" t="s">
        <v>22</v>
      </c>
      <c r="B37" s="114">
        <v>125.0</v>
      </c>
      <c r="C37" s="100">
        <v>31908.0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16" t="s">
        <v>81</v>
      </c>
      <c r="B38" s="117">
        <v>8.0</v>
      </c>
      <c r="C38" s="118">
        <v>2042.0</v>
      </c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95" t="s">
        <v>8</v>
      </c>
      <c r="B39" s="104">
        <v>323.0</v>
      </c>
      <c r="C39" s="104">
        <v>82451.0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05" t="s">
        <v>9</v>
      </c>
      <c r="B40" s="106" t="s">
        <v>82</v>
      </c>
      <c r="C40" s="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7"/>
      <c r="C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0"/>
      <c r="B42" s="21"/>
      <c r="C42" s="22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1"/>
    </row>
    <row r="43">
      <c r="A43" s="1"/>
      <c r="B43" s="7"/>
      <c r="C43" s="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93" t="s">
        <v>23</v>
      </c>
      <c r="B44" s="1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95" t="s">
        <v>2</v>
      </c>
      <c r="B45" s="96" t="s">
        <v>70</v>
      </c>
      <c r="C45" s="3"/>
      <c r="D45" s="1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3"/>
      <c r="D46" s="96">
        <v>0.0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93" t="s">
        <v>3</v>
      </c>
      <c r="B47" s="1"/>
      <c r="C47" s="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6"/>
      <c r="B48" s="37"/>
      <c r="C48" s="100" t="e">
        <v>#DIV/0!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8"/>
      <c r="B49" s="37"/>
      <c r="C49" s="100" t="e">
        <v>#DIV/0!</v>
      </c>
      <c r="D49" s="1"/>
      <c r="E49" s="1"/>
      <c r="F49" s="3"/>
      <c r="G49" s="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95" t="s">
        <v>8</v>
      </c>
      <c r="B50" s="104">
        <v>0.0</v>
      </c>
      <c r="C50" s="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05" t="s">
        <v>9</v>
      </c>
      <c r="B51" s="119" t="e">
        <v>#DIV/0!</v>
      </c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0"/>
      <c r="B53" s="20"/>
      <c r="C53" s="22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1"/>
    </row>
    <row r="54">
      <c r="A54" s="1"/>
      <c r="B54" s="1"/>
      <c r="C54" s="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93" t="s">
        <v>24</v>
      </c>
      <c r="B55" s="1"/>
      <c r="C55" s="3"/>
      <c r="D55" s="94">
        <v>1.823724E7</v>
      </c>
      <c r="E55" s="1"/>
      <c r="F55" s="1"/>
      <c r="G55" s="1"/>
      <c r="H55" s="1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95" t="s">
        <v>2</v>
      </c>
      <c r="B56" s="96" t="s">
        <v>70</v>
      </c>
      <c r="C56" s="3"/>
      <c r="D56" s="96" t="s">
        <v>83</v>
      </c>
      <c r="E56" s="1"/>
      <c r="F56" s="1"/>
      <c r="G56" s="1"/>
      <c r="H56" s="40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3"/>
      <c r="D57" s="1"/>
      <c r="E57" s="1"/>
      <c r="F57" s="1"/>
      <c r="G57" s="1"/>
      <c r="H57" s="1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93" t="s">
        <v>3</v>
      </c>
      <c r="B58" s="1"/>
      <c r="C58" s="3"/>
      <c r="D58" s="1"/>
      <c r="E58" s="1"/>
      <c r="F58" s="1"/>
      <c r="G58" s="1"/>
      <c r="H58" s="1"/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20" t="s">
        <v>25</v>
      </c>
      <c r="B59" s="99">
        <v>110.0</v>
      </c>
      <c r="C59" s="100">
        <v>43235.0</v>
      </c>
      <c r="D59" s="3"/>
      <c r="E59" s="1"/>
      <c r="F59" s="1"/>
      <c r="G59" s="1"/>
      <c r="H59" s="1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20" t="s">
        <v>26</v>
      </c>
      <c r="B60" s="99">
        <v>62.0</v>
      </c>
      <c r="C60" s="100">
        <v>24369.0</v>
      </c>
      <c r="D60" s="121">
        <v>34767.0</v>
      </c>
      <c r="E60" s="1"/>
      <c r="F60" s="1"/>
      <c r="G60" s="1"/>
      <c r="H60" s="1"/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20" t="s">
        <v>28</v>
      </c>
      <c r="B61" s="107">
        <v>60.0</v>
      </c>
      <c r="C61" s="100">
        <v>23583.0</v>
      </c>
      <c r="D61" s="121">
        <v>34802.0</v>
      </c>
      <c r="E61" s="1"/>
      <c r="F61" s="1"/>
      <c r="G61" s="1"/>
      <c r="H61" s="1"/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95" t="s">
        <v>8</v>
      </c>
      <c r="B62" s="103">
        <v>232.0</v>
      </c>
      <c r="C62" s="104">
        <v>91186.0</v>
      </c>
      <c r="D62" s="1"/>
      <c r="E62" s="1"/>
      <c r="F62" s="1"/>
      <c r="G62" s="1"/>
      <c r="H62" s="1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05" t="s">
        <v>9</v>
      </c>
      <c r="B63" s="106" t="s">
        <v>84</v>
      </c>
      <c r="C63" s="3"/>
      <c r="D63" s="1"/>
      <c r="E63" s="1"/>
      <c r="F63" s="1"/>
      <c r="G63" s="1"/>
      <c r="H63" s="7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0"/>
      <c r="B65" s="20"/>
      <c r="C65" s="22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1"/>
    </row>
    <row r="66">
      <c r="A66" s="1"/>
      <c r="B66" s="7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93" t="s">
        <v>29</v>
      </c>
      <c r="B67" s="1"/>
      <c r="C67" s="3"/>
      <c r="D67" s="94">
        <v>6.4359281E7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95" t="s">
        <v>2</v>
      </c>
      <c r="B68" s="96" t="s">
        <v>70</v>
      </c>
      <c r="C68" s="3"/>
      <c r="D68" s="112">
        <v>3.21796405E8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93" t="s">
        <v>3</v>
      </c>
      <c r="B70" s="1"/>
      <c r="C70" s="3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98" t="s">
        <v>31</v>
      </c>
      <c r="B71" s="99">
        <v>108.0</v>
      </c>
      <c r="C71" s="100">
        <v>66579.0</v>
      </c>
      <c r="D71" s="3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98" t="s">
        <v>30</v>
      </c>
      <c r="B72" s="99">
        <v>102.0</v>
      </c>
      <c r="C72" s="100">
        <v>62880.0</v>
      </c>
      <c r="D72" s="3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98" t="s">
        <v>32</v>
      </c>
      <c r="B73" s="114">
        <v>130.0</v>
      </c>
      <c r="C73" s="100">
        <v>80141.0</v>
      </c>
      <c r="D73" s="3"/>
      <c r="E73" s="1"/>
      <c r="F73" s="3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98" t="s">
        <v>85</v>
      </c>
      <c r="B74" s="114">
        <v>0.0</v>
      </c>
      <c r="C74" s="100">
        <v>0.0</v>
      </c>
      <c r="D74" s="3"/>
      <c r="E74" s="1"/>
      <c r="F74" s="3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98" t="s">
        <v>34</v>
      </c>
      <c r="B75" s="114">
        <v>12.0</v>
      </c>
      <c r="C75" s="100">
        <v>7398.0</v>
      </c>
      <c r="D75" s="3"/>
      <c r="E75" s="1"/>
      <c r="F75" s="3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98" t="s">
        <v>50</v>
      </c>
      <c r="B76" s="114">
        <v>5.0</v>
      </c>
      <c r="C76" s="100">
        <v>3082.0</v>
      </c>
      <c r="D76" s="3"/>
      <c r="E76" s="1"/>
      <c r="F76" s="3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98" t="s">
        <v>21</v>
      </c>
      <c r="B77" s="114">
        <v>65.0</v>
      </c>
      <c r="C77" s="100">
        <v>40070.0</v>
      </c>
      <c r="D77" s="3"/>
      <c r="E77" s="1"/>
      <c r="F77" s="3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01" t="s">
        <v>86</v>
      </c>
      <c r="B78" s="117">
        <v>0.0</v>
      </c>
      <c r="C78" s="118">
        <v>0.0</v>
      </c>
      <c r="D78" s="3"/>
      <c r="E78" s="1"/>
      <c r="F78" s="3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01" t="s">
        <v>87</v>
      </c>
      <c r="B79" s="114">
        <v>100.0</v>
      </c>
      <c r="C79" s="100">
        <v>61647.0</v>
      </c>
      <c r="D79" s="3"/>
      <c r="E79" s="1"/>
      <c r="F79" s="3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95" t="s">
        <v>8</v>
      </c>
      <c r="B80" s="103">
        <v>522.0</v>
      </c>
      <c r="C80" s="104">
        <v>321796.0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05" t="s">
        <v>9</v>
      </c>
      <c r="B81" s="106" t="s">
        <v>88</v>
      </c>
      <c r="C81" s="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7"/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0"/>
      <c r="B83" s="21"/>
      <c r="C83" s="22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1"/>
    </row>
    <row r="84">
      <c r="A84" s="1"/>
      <c r="B84" s="7"/>
      <c r="C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93" t="s">
        <v>35</v>
      </c>
      <c r="B85" s="1"/>
      <c r="C85" s="3"/>
      <c r="D85" s="122">
        <v>1.373638E7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95" t="s">
        <v>2</v>
      </c>
      <c r="B86" s="96" t="s">
        <v>70</v>
      </c>
      <c r="C86" s="3"/>
      <c r="D86" s="123">
        <v>68682.0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3"/>
      <c r="D87" s="3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93" t="s">
        <v>3</v>
      </c>
      <c r="B88" s="1"/>
      <c r="C88" s="3"/>
      <c r="D88" s="3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98" t="s">
        <v>89</v>
      </c>
      <c r="B89" s="124">
        <v>108.0</v>
      </c>
      <c r="C89" s="118">
        <v>29552.0</v>
      </c>
      <c r="D89" s="1"/>
      <c r="E89" s="1"/>
      <c r="F89" s="3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01" t="s">
        <v>90</v>
      </c>
      <c r="B90" s="114">
        <v>4.0</v>
      </c>
      <c r="C90" s="100">
        <v>1095.0</v>
      </c>
      <c r="D90" s="3"/>
      <c r="E90" s="1"/>
      <c r="F90" s="3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25" t="s">
        <v>91</v>
      </c>
      <c r="B91" s="114">
        <v>32.0</v>
      </c>
      <c r="C91" s="100">
        <v>8756.0</v>
      </c>
      <c r="D91" s="3"/>
      <c r="E91" s="29"/>
      <c r="F91" s="3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25" t="s">
        <v>26</v>
      </c>
      <c r="B92" s="114">
        <v>38.0</v>
      </c>
      <c r="C92" s="100">
        <v>10398.0</v>
      </c>
      <c r="D92" s="3"/>
      <c r="E92" s="29"/>
      <c r="F92" s="3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20" t="s">
        <v>28</v>
      </c>
      <c r="B93" s="126">
        <v>41.0</v>
      </c>
      <c r="C93" s="100">
        <v>11219.0</v>
      </c>
      <c r="D93" s="3"/>
      <c r="E93" s="1"/>
      <c r="F93" s="3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27" t="s">
        <v>38</v>
      </c>
      <c r="B94" s="113">
        <v>28.0</v>
      </c>
      <c r="C94" s="100">
        <v>7662.0</v>
      </c>
      <c r="D94" s="3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95" t="s">
        <v>8</v>
      </c>
      <c r="B95" s="104">
        <v>251.0</v>
      </c>
      <c r="C95" s="104">
        <v>68682.0</v>
      </c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05" t="s">
        <v>9</v>
      </c>
      <c r="B96" s="106" t="s">
        <v>92</v>
      </c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7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0"/>
      <c r="B98" s="21"/>
      <c r="C98" s="22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1"/>
    </row>
    <row r="99">
      <c r="A99" s="1"/>
      <c r="B99" s="7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93" t="s">
        <v>40</v>
      </c>
      <c r="B100" s="7"/>
      <c r="C100" s="3"/>
      <c r="D100" s="94">
        <v>4809090.0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95" t="s">
        <v>2</v>
      </c>
      <c r="B101" s="96" t="s">
        <v>70</v>
      </c>
      <c r="C101" s="3"/>
      <c r="D101" s="96" t="s">
        <v>93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40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93" t="s">
        <v>3</v>
      </c>
      <c r="B103" s="1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98" t="s">
        <v>18</v>
      </c>
      <c r="B104" s="99">
        <v>103.0</v>
      </c>
      <c r="C104" s="100">
        <v>12081.0</v>
      </c>
      <c r="D104" s="121">
        <v>14123.0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98" t="s">
        <v>94</v>
      </c>
      <c r="B105" s="99">
        <v>102.0</v>
      </c>
      <c r="C105" s="100">
        <v>11964.0</v>
      </c>
      <c r="D105" s="115">
        <v>19362.0</v>
      </c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3"/>
      <c r="B106" s="14"/>
      <c r="C106" s="100">
        <v>0.0</v>
      </c>
      <c r="D106" s="3"/>
      <c r="E106" s="3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28" t="s">
        <v>8</v>
      </c>
      <c r="B107" s="103">
        <v>205.0</v>
      </c>
      <c r="C107" s="104">
        <v>24045.0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05" t="s">
        <v>9</v>
      </c>
      <c r="B108" s="106" t="s">
        <v>95</v>
      </c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7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7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7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20"/>
      <c r="B112" s="21"/>
      <c r="C112" s="22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1"/>
    </row>
    <row r="113">
      <c r="A113" s="1"/>
      <c r="B113" s="7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19" t="s">
        <v>41</v>
      </c>
      <c r="C114" s="104" t="s">
        <v>42</v>
      </c>
      <c r="D114" s="3"/>
      <c r="E114" s="1"/>
      <c r="F114" s="13"/>
      <c r="G114" s="129" t="s">
        <v>44</v>
      </c>
      <c r="H114" s="129" t="s">
        <v>42</v>
      </c>
      <c r="I114" s="129" t="s">
        <v>45</v>
      </c>
      <c r="J114" s="129" t="s">
        <v>46</v>
      </c>
      <c r="K114" s="130" t="s">
        <v>47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31" t="s">
        <v>48</v>
      </c>
      <c r="B115" s="7"/>
      <c r="C115" s="104">
        <v>394048.0</v>
      </c>
      <c r="D115" s="104">
        <v>394000.0</v>
      </c>
      <c r="E115" s="3"/>
      <c r="F115" s="132" t="s">
        <v>32</v>
      </c>
      <c r="G115" s="133" t="s">
        <v>96</v>
      </c>
      <c r="H115" s="134">
        <v>313568.0</v>
      </c>
      <c r="I115" s="134">
        <v>80141.0</v>
      </c>
      <c r="J115" s="134">
        <v>233427.0</v>
      </c>
      <c r="K115" s="135">
        <v>233400.0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31" t="s">
        <v>49</v>
      </c>
      <c r="B116" s="7"/>
      <c r="C116" s="104">
        <v>452065.0</v>
      </c>
      <c r="D116" s="104">
        <v>452100.0</v>
      </c>
      <c r="E116" s="1"/>
      <c r="F116" s="136" t="s">
        <v>50</v>
      </c>
      <c r="G116" s="133" t="s">
        <v>97</v>
      </c>
      <c r="H116" s="134">
        <v>114426.0</v>
      </c>
      <c r="I116" s="134">
        <v>31653.0</v>
      </c>
      <c r="J116" s="134">
        <v>82773.0</v>
      </c>
      <c r="K116" s="135">
        <v>82800.0</v>
      </c>
      <c r="L116" s="3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37" t="s">
        <v>51</v>
      </c>
      <c r="B117" s="138" t="s">
        <v>98</v>
      </c>
      <c r="C117" s="139">
        <v>165668.0</v>
      </c>
      <c r="D117" s="104">
        <v>165700.0</v>
      </c>
      <c r="E117" s="1"/>
      <c r="F117" s="132" t="s">
        <v>13</v>
      </c>
      <c r="G117" s="133" t="s">
        <v>99</v>
      </c>
      <c r="H117" s="134">
        <v>165668.0</v>
      </c>
      <c r="I117" s="134">
        <v>70843.0</v>
      </c>
      <c r="J117" s="134">
        <v>94825.0</v>
      </c>
      <c r="K117" s="135">
        <v>94800.0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37" t="s">
        <v>52</v>
      </c>
      <c r="B118" s="138" t="s">
        <v>100</v>
      </c>
      <c r="C118" s="139">
        <v>64352.0</v>
      </c>
      <c r="D118" s="103">
        <v>64400.0</v>
      </c>
      <c r="E118" s="1"/>
      <c r="F118" s="132" t="s">
        <v>5</v>
      </c>
      <c r="G118" s="133" t="s">
        <v>101</v>
      </c>
      <c r="H118" s="134">
        <v>64352.0</v>
      </c>
      <c r="I118" s="134">
        <v>26514.0</v>
      </c>
      <c r="J118" s="134">
        <v>37839.0</v>
      </c>
      <c r="K118" s="135">
        <v>37800.0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31" t="s">
        <v>53</v>
      </c>
      <c r="B119" s="60"/>
      <c r="C119" s="104">
        <v>0.0</v>
      </c>
      <c r="D119" s="1"/>
      <c r="E119" s="1"/>
      <c r="F119" s="132" t="s">
        <v>25</v>
      </c>
      <c r="G119" s="133" t="s">
        <v>102</v>
      </c>
      <c r="H119" s="134">
        <v>99985.0</v>
      </c>
      <c r="I119" s="134">
        <v>43235.0</v>
      </c>
      <c r="J119" s="134">
        <v>56750.0</v>
      </c>
      <c r="K119" s="135">
        <v>56800.0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40" t="s">
        <v>54</v>
      </c>
      <c r="B120" s="141" t="s">
        <v>103</v>
      </c>
      <c r="C120" s="142">
        <v>114426.0</v>
      </c>
      <c r="D120" s="103">
        <v>114400.0</v>
      </c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43" t="s">
        <v>55</v>
      </c>
      <c r="B121" s="144" t="s">
        <v>104</v>
      </c>
      <c r="C121" s="145">
        <v>99985.0</v>
      </c>
      <c r="D121" s="103">
        <v>100000.0</v>
      </c>
      <c r="E121" s="1"/>
      <c r="F121" s="13"/>
      <c r="G121" s="67"/>
      <c r="H121" s="37"/>
      <c r="I121" s="37"/>
      <c r="J121" s="37"/>
      <c r="K121" s="68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31" t="s">
        <v>56</v>
      </c>
      <c r="B122" s="146" t="s">
        <v>105</v>
      </c>
      <c r="C122" s="104">
        <v>313568.0</v>
      </c>
      <c r="D122" s="103">
        <v>313600.0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31" t="s">
        <v>57</v>
      </c>
      <c r="B123" s="60"/>
      <c r="C123" s="104">
        <v>0.0</v>
      </c>
      <c r="D123" s="1"/>
      <c r="E123" s="1"/>
      <c r="F123" s="147" t="s">
        <v>106</v>
      </c>
      <c r="G123" s="14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31" t="s">
        <v>58</v>
      </c>
      <c r="B124" s="146" t="s">
        <v>107</v>
      </c>
      <c r="C124" s="104">
        <v>64043.0</v>
      </c>
      <c r="D124" s="103">
        <v>64000.0</v>
      </c>
      <c r="E124" s="1"/>
      <c r="F124" s="132" t="s">
        <v>48</v>
      </c>
      <c r="G124" s="134">
        <v>394000.0</v>
      </c>
      <c r="H124" s="3"/>
      <c r="I124" s="1"/>
      <c r="J124" s="1"/>
      <c r="K124" s="1"/>
      <c r="L124" s="1"/>
      <c r="M124" s="1"/>
      <c r="N124" s="3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31" t="s">
        <v>59</v>
      </c>
      <c r="B125" s="106" t="s">
        <v>108</v>
      </c>
      <c r="C125" s="104">
        <v>24070.0</v>
      </c>
      <c r="D125" s="149">
        <v>24100.0</v>
      </c>
      <c r="E125" s="1"/>
      <c r="F125" s="132" t="s">
        <v>49</v>
      </c>
      <c r="G125" s="134">
        <v>452100.0</v>
      </c>
      <c r="H125" s="1"/>
      <c r="I125" s="73"/>
      <c r="J125" s="150"/>
      <c r="K125" s="151"/>
      <c r="L125" s="76"/>
      <c r="M125" s="1"/>
      <c r="N125" s="1"/>
      <c r="O125" s="3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7"/>
      <c r="C126" s="100">
        <v>1692225.0</v>
      </c>
      <c r="D126" s="152">
        <v>1692300.0</v>
      </c>
      <c r="E126" s="1"/>
      <c r="F126" s="132" t="s">
        <v>13</v>
      </c>
      <c r="G126" s="134">
        <v>94800.0</v>
      </c>
      <c r="H126" s="153" t="s">
        <v>109</v>
      </c>
      <c r="I126" s="76"/>
      <c r="J126" s="1"/>
      <c r="K126" s="154"/>
      <c r="L126" s="76"/>
      <c r="M126" s="1"/>
      <c r="N126" s="3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7"/>
      <c r="C127" s="3"/>
      <c r="D127" s="1"/>
      <c r="E127" s="1"/>
      <c r="F127" s="132" t="s">
        <v>5</v>
      </c>
      <c r="G127" s="134">
        <v>37800.0</v>
      </c>
      <c r="H127" s="95" t="s">
        <v>110</v>
      </c>
      <c r="I127" s="76"/>
      <c r="J127" s="1"/>
      <c r="K127" s="154"/>
      <c r="L127" s="76"/>
      <c r="M127" s="1"/>
      <c r="N127" s="3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55" t="s">
        <v>60</v>
      </c>
      <c r="B128" s="7"/>
      <c r="C128" s="104" t="s">
        <v>42</v>
      </c>
      <c r="D128" s="1"/>
      <c r="E128" s="1"/>
      <c r="F128" s="132" t="s">
        <v>25</v>
      </c>
      <c r="G128" s="134">
        <v>56800.0</v>
      </c>
      <c r="H128" s="153" t="s">
        <v>111</v>
      </c>
      <c r="I128" s="156"/>
      <c r="J128" s="157"/>
      <c r="K128" s="158"/>
      <c r="L128" s="76"/>
      <c r="M128" s="1"/>
      <c r="N128" s="3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31" t="s">
        <v>61</v>
      </c>
      <c r="B129" s="97" t="s">
        <v>101</v>
      </c>
      <c r="C129" s="104">
        <v>64352.0</v>
      </c>
      <c r="D129" s="1"/>
      <c r="E129" s="1"/>
      <c r="F129" s="13"/>
      <c r="G129" s="159">
        <v>0.0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31" t="s">
        <v>62</v>
      </c>
      <c r="B130" s="97" t="s">
        <v>99</v>
      </c>
      <c r="C130" s="104">
        <v>165668.0</v>
      </c>
      <c r="D130" s="1"/>
      <c r="E130" s="1"/>
      <c r="F130" s="132" t="s">
        <v>32</v>
      </c>
      <c r="G130" s="134">
        <v>233400.0</v>
      </c>
      <c r="H130" s="153" t="s">
        <v>63</v>
      </c>
      <c r="I130" s="3"/>
      <c r="J130" s="3"/>
      <c r="K130" s="3"/>
      <c r="L130" s="1"/>
      <c r="M130" s="1"/>
      <c r="N130" s="1"/>
      <c r="O130" s="3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31" t="s">
        <v>64</v>
      </c>
      <c r="B131" s="97" t="s">
        <v>102</v>
      </c>
      <c r="C131" s="104">
        <v>99985.0</v>
      </c>
      <c r="D131" s="1"/>
      <c r="E131" s="1"/>
      <c r="F131" s="132" t="s">
        <v>50</v>
      </c>
      <c r="G131" s="134">
        <v>82800.0</v>
      </c>
      <c r="H131" s="153" t="s">
        <v>65</v>
      </c>
      <c r="I131" s="3"/>
      <c r="J131" s="3"/>
      <c r="K131" s="3"/>
      <c r="L131" s="3"/>
      <c r="M131" s="1"/>
      <c r="N131" s="3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31" t="s">
        <v>57</v>
      </c>
      <c r="B132" s="7"/>
      <c r="C132" s="104">
        <v>0.0</v>
      </c>
      <c r="D132" s="1"/>
      <c r="E132" s="1"/>
      <c r="F132" s="1"/>
      <c r="G132" s="160" t="s">
        <v>112</v>
      </c>
      <c r="H132" s="3"/>
      <c r="I132" s="3"/>
      <c r="J132" s="3"/>
      <c r="K132" s="3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31" t="s">
        <v>53</v>
      </c>
      <c r="B133" s="7"/>
      <c r="C133" s="104">
        <v>0.0</v>
      </c>
      <c r="D133" s="1"/>
      <c r="E133" s="1"/>
      <c r="F133" s="1"/>
      <c r="G133" s="3"/>
      <c r="H133" s="3"/>
      <c r="I133" s="3"/>
      <c r="J133" s="3"/>
      <c r="K133" s="3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31" t="s">
        <v>58</v>
      </c>
      <c r="B134" s="97" t="s">
        <v>113</v>
      </c>
      <c r="C134" s="104">
        <v>64043.0</v>
      </c>
      <c r="D134" s="1"/>
      <c r="E134" s="1"/>
      <c r="F134" s="1"/>
      <c r="G134" s="3"/>
      <c r="H134" s="3"/>
      <c r="I134" s="3"/>
      <c r="J134" s="3"/>
      <c r="K134" s="3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7"/>
      <c r="C135" s="3"/>
      <c r="D135" s="1"/>
      <c r="E135" s="1"/>
      <c r="F135" s="1"/>
      <c r="G135" s="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06" t="s">
        <v>114</v>
      </c>
      <c r="C136" s="161">
        <v>394048.0</v>
      </c>
      <c r="D136" s="162" t="s">
        <v>66</v>
      </c>
      <c r="E136" s="1"/>
      <c r="F136" s="1"/>
      <c r="G136" s="3"/>
      <c r="H136" s="3"/>
      <c r="I136" s="3"/>
      <c r="J136" s="3"/>
      <c r="K136" s="3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88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89"/>
      <c r="B138" s="90"/>
      <c r="C138" s="91"/>
      <c r="D138" s="89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55" t="s">
        <v>67</v>
      </c>
      <c r="B139" s="88"/>
      <c r="C139" s="104" t="s">
        <v>42</v>
      </c>
      <c r="D139" s="1"/>
      <c r="E139" s="1"/>
      <c r="F139" s="1"/>
      <c r="G139" s="1"/>
      <c r="H139" s="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31" t="s">
        <v>68</v>
      </c>
      <c r="B140" s="97" t="s">
        <v>97</v>
      </c>
      <c r="C140" s="104">
        <v>114426.0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31" t="s">
        <v>69</v>
      </c>
      <c r="B141" s="97" t="s">
        <v>96</v>
      </c>
      <c r="C141" s="104">
        <v>313568.0</v>
      </c>
      <c r="D141" s="1"/>
      <c r="E141" s="1"/>
      <c r="F141" s="1"/>
      <c r="G141" s="3"/>
      <c r="H141" s="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31" t="s">
        <v>59</v>
      </c>
      <c r="B142" s="97" t="s">
        <v>108</v>
      </c>
      <c r="C142" s="104">
        <v>24070.0</v>
      </c>
      <c r="D142" s="1"/>
      <c r="E142" s="1"/>
      <c r="F142" s="1"/>
      <c r="G142" s="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7"/>
      <c r="C143" s="3"/>
      <c r="D143" s="1"/>
      <c r="E143" s="1"/>
      <c r="F143" s="1"/>
      <c r="G143" s="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06" t="s">
        <v>115</v>
      </c>
      <c r="C144" s="161">
        <v>452065.0</v>
      </c>
      <c r="D144" s="162" t="s">
        <v>66</v>
      </c>
      <c r="E144" s="20"/>
      <c r="F144" s="2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7"/>
      <c r="C145" s="3"/>
      <c r="D145" s="1"/>
      <c r="E145" s="1"/>
      <c r="F145" s="1"/>
      <c r="G145" s="3"/>
      <c r="H145" s="1"/>
      <c r="I145" s="1"/>
      <c r="J145" s="3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7"/>
      <c r="C146" s="22"/>
      <c r="D146" s="20"/>
      <c r="E146" s="1"/>
      <c r="F146" s="1"/>
      <c r="G146" s="3"/>
      <c r="H146" s="1"/>
      <c r="I146" s="1"/>
      <c r="J146" s="3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7"/>
      <c r="C147" s="3"/>
      <c r="D147" s="1"/>
      <c r="E147" s="1"/>
      <c r="F147" s="1"/>
      <c r="G147" s="92"/>
      <c r="H147" s="1"/>
      <c r="I147" s="1"/>
      <c r="J147" s="3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7"/>
      <c r="C148" s="3"/>
      <c r="D148" s="1"/>
      <c r="E148" s="1"/>
      <c r="F148" s="1"/>
      <c r="G148" s="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7"/>
      <c r="C149" s="3"/>
      <c r="D149" s="1"/>
      <c r="E149" s="1"/>
      <c r="F149" s="1"/>
      <c r="G149" s="3"/>
      <c r="H149" s="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7"/>
      <c r="C150" s="3"/>
      <c r="D150" s="1"/>
      <c r="E150" s="1"/>
      <c r="F150" s="1"/>
      <c r="G150" s="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7"/>
      <c r="C151" s="3"/>
      <c r="D151" s="1"/>
      <c r="E151" s="1"/>
      <c r="F151" s="1"/>
      <c r="G151" s="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7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7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7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7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7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</v>
      </c>
      <c r="B2" s="1"/>
      <c r="C2" s="3"/>
      <c r="D2" s="4">
        <f>2153650+17426518</f>
        <v>19580168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</v>
      </c>
      <c r="B3" s="5">
        <f>0.5%</f>
        <v>0.005</v>
      </c>
      <c r="C3" s="3"/>
      <c r="D3" s="6">
        <f>D2*B3</f>
        <v>97900.84</v>
      </c>
      <c r="E3" s="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3</v>
      </c>
      <c r="B5" s="1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8" t="s">
        <v>5</v>
      </c>
      <c r="B6" s="9">
        <v>124.0</v>
      </c>
      <c r="C6" s="10">
        <f>B6*B13</f>
        <v>33535.09436</v>
      </c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8" t="s">
        <v>72</v>
      </c>
      <c r="B7" s="9">
        <v>121.0</v>
      </c>
      <c r="C7" s="10">
        <f>B7*B13</f>
        <v>32723.76144</v>
      </c>
      <c r="D7" s="1"/>
      <c r="E7" s="1"/>
      <c r="F7" s="1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2" t="s">
        <v>74</v>
      </c>
      <c r="B8" s="9">
        <v>117.0</v>
      </c>
      <c r="C8" s="10">
        <f>B8*B13</f>
        <v>31641.9842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63"/>
      <c r="B9" s="14"/>
      <c r="C9" s="10">
        <f>B9*B13</f>
        <v>0</v>
      </c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3"/>
      <c r="B10" s="14"/>
      <c r="C10" s="10">
        <f>B10*B13</f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"/>
      <c r="B11" s="14"/>
      <c r="C11" s="10">
        <f>B11*B13</f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8</v>
      </c>
      <c r="B12" s="16">
        <f t="shared" ref="B12:C12" si="1">SUM(B6:B11)</f>
        <v>362</v>
      </c>
      <c r="C12" s="17">
        <f t="shared" si="1"/>
        <v>97900.84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8" t="s">
        <v>9</v>
      </c>
      <c r="B13" s="19">
        <f>D3/B12</f>
        <v>270.4443094</v>
      </c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7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0"/>
      <c r="B15" s="21"/>
      <c r="C15" s="22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1"/>
    </row>
    <row r="16">
      <c r="A16" s="1"/>
      <c r="B16" s="7"/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 t="s">
        <v>76</v>
      </c>
      <c r="B17" s="1"/>
      <c r="C17" s="3"/>
      <c r="D17" s="4">
        <f>5373189+28079209</f>
        <v>33452398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2</v>
      </c>
      <c r="B18" s="5">
        <f>0.5%</f>
        <v>0.005</v>
      </c>
      <c r="C18" s="3"/>
      <c r="D18" s="23">
        <f>D17*B18</f>
        <v>167261.99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 t="s">
        <v>3</v>
      </c>
      <c r="B20" s="1"/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8" t="s">
        <v>13</v>
      </c>
      <c r="B21" s="9">
        <v>107.0</v>
      </c>
      <c r="C21" s="10">
        <f>B21*B26</f>
        <v>59261.69844</v>
      </c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8" t="s">
        <v>38</v>
      </c>
      <c r="B22" s="9">
        <v>113.0</v>
      </c>
      <c r="C22" s="10">
        <f>B22*B26</f>
        <v>62584.78434</v>
      </c>
      <c r="D22" s="3"/>
      <c r="E22" s="1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64"/>
      <c r="B23" s="14"/>
      <c r="C23" s="10">
        <f>B23*B26</f>
        <v>0</v>
      </c>
      <c r="D23" s="3"/>
      <c r="E23" s="1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48" t="s">
        <v>89</v>
      </c>
      <c r="B24" s="165">
        <v>82.0</v>
      </c>
      <c r="C24" s="10">
        <f>B24*B26</f>
        <v>45415.50722</v>
      </c>
      <c r="D24" s="32">
        <f>+C24+C88</f>
        <v>54834.71005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8</v>
      </c>
      <c r="B25" s="16">
        <f t="shared" ref="B25:C25" si="2">SUM(B21:B24)</f>
        <v>302</v>
      </c>
      <c r="C25" s="17">
        <f t="shared" si="2"/>
        <v>167261.99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8" t="s">
        <v>9</v>
      </c>
      <c r="B26" s="19">
        <f>D18/B25</f>
        <v>553.847649</v>
      </c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7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0"/>
      <c r="B28" s="21"/>
      <c r="C28" s="22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1"/>
    </row>
    <row r="29">
      <c r="A29" s="1"/>
      <c r="B29" s="7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" t="s">
        <v>17</v>
      </c>
      <c r="B30" s="1"/>
      <c r="C30" s="3"/>
      <c r="D30" s="4">
        <f>3594190+25879956</f>
        <v>29474146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2</v>
      </c>
      <c r="B31" s="5">
        <f>0.5%</f>
        <v>0.005</v>
      </c>
      <c r="C31" s="3"/>
      <c r="D31" s="23">
        <f>D30*B31</f>
        <v>147370.73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" t="s">
        <v>3</v>
      </c>
      <c r="B33" s="1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8" t="s">
        <v>50</v>
      </c>
      <c r="B34" s="30">
        <v>132.0</v>
      </c>
      <c r="C34" s="10">
        <f>B34*B40</f>
        <v>54186.45226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8" t="s">
        <v>21</v>
      </c>
      <c r="B35" s="31">
        <v>46.0</v>
      </c>
      <c r="C35" s="10">
        <f>B35*B40</f>
        <v>18883.1576</v>
      </c>
      <c r="D35" s="32">
        <f>+C35+C117</f>
        <v>22620.61861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8" t="s">
        <v>22</v>
      </c>
      <c r="B36" s="31">
        <v>132.0</v>
      </c>
      <c r="C36" s="10">
        <f>B36*B40</f>
        <v>54186.45226</v>
      </c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8" t="s">
        <v>18</v>
      </c>
      <c r="B37" s="31">
        <v>4.0</v>
      </c>
      <c r="C37" s="10">
        <f>B37*B40</f>
        <v>1642.013705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3" t="s">
        <v>31</v>
      </c>
      <c r="B38" s="34">
        <v>45.0</v>
      </c>
      <c r="C38" s="35">
        <f>B38*B40</f>
        <v>18472.65418</v>
      </c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8</v>
      </c>
      <c r="B39" s="17">
        <f t="shared" ref="B39:C39" si="3">SUM(B34:B38)</f>
        <v>359</v>
      </c>
      <c r="C39" s="17">
        <f t="shared" si="3"/>
        <v>147370.73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8" t="s">
        <v>9</v>
      </c>
      <c r="B40" s="19">
        <f>D31/B39</f>
        <v>410.5034262</v>
      </c>
      <c r="C40" s="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7"/>
      <c r="C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0"/>
      <c r="B42" s="21"/>
      <c r="C42" s="22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1"/>
    </row>
    <row r="43">
      <c r="A43" s="1"/>
      <c r="B43" s="7"/>
      <c r="C43" s="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" t="s">
        <v>23</v>
      </c>
      <c r="B44" s="1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2</v>
      </c>
      <c r="B45" s="5">
        <f>0.5%</f>
        <v>0.005</v>
      </c>
      <c r="C45" s="3"/>
      <c r="D45" s="1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3"/>
      <c r="D46" s="23">
        <f>D45*B45</f>
        <v>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" t="s">
        <v>3</v>
      </c>
      <c r="B47" s="1"/>
      <c r="C47" s="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6"/>
      <c r="B48" s="37"/>
      <c r="C48" s="10" t="str">
        <f>B48*B51</f>
        <v>#DIV/0!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8"/>
      <c r="B49" s="37"/>
      <c r="C49" s="10" t="str">
        <f>B49*B51</f>
        <v>#DIV/0!</v>
      </c>
      <c r="D49" s="1"/>
      <c r="E49" s="1"/>
      <c r="F49" s="3"/>
      <c r="G49" s="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8</v>
      </c>
      <c r="B50" s="17">
        <f>SUM(B48:B49)</f>
        <v>0</v>
      </c>
      <c r="C50" s="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8" t="s">
        <v>9</v>
      </c>
      <c r="B51" s="39" t="str">
        <f>D46/B50</f>
        <v>#DIV/0!</v>
      </c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0"/>
      <c r="B53" s="20"/>
      <c r="C53" s="22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1"/>
    </row>
    <row r="54">
      <c r="A54" s="1"/>
      <c r="B54" s="1"/>
      <c r="C54" s="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" t="s">
        <v>24</v>
      </c>
      <c r="B55" s="1"/>
      <c r="C55" s="3"/>
      <c r="D55" s="4">
        <f>3546520+17869029</f>
        <v>21415549</v>
      </c>
      <c r="E55" s="1"/>
      <c r="F55" s="1"/>
      <c r="G55" s="1"/>
      <c r="H55" s="1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2</v>
      </c>
      <c r="B56" s="5">
        <f>0.5%</f>
        <v>0.005</v>
      </c>
      <c r="C56" s="3"/>
      <c r="D56" s="23">
        <f>D55*B56</f>
        <v>107077.745</v>
      </c>
      <c r="E56" s="1"/>
      <c r="F56" s="1"/>
      <c r="G56" s="1"/>
      <c r="H56" s="40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3"/>
      <c r="D57" s="1"/>
      <c r="E57" s="1"/>
      <c r="F57" s="1"/>
      <c r="G57" s="1"/>
      <c r="H57" s="1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" t="s">
        <v>3</v>
      </c>
      <c r="B58" s="1"/>
      <c r="C58" s="3"/>
      <c r="D58" s="1"/>
      <c r="E58" s="1"/>
      <c r="F58" s="1"/>
      <c r="G58" s="1"/>
      <c r="H58" s="1"/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41" t="s">
        <v>25</v>
      </c>
      <c r="B59" s="9">
        <v>115.0</v>
      </c>
      <c r="C59" s="10">
        <f>B59*B63</f>
        <v>47914.16605</v>
      </c>
      <c r="D59" s="3"/>
      <c r="E59" s="1"/>
      <c r="F59" s="1"/>
      <c r="G59" s="1"/>
      <c r="H59" s="1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41" t="s">
        <v>26</v>
      </c>
      <c r="B60" s="9">
        <v>73.0</v>
      </c>
      <c r="C60" s="10">
        <f>B60*B63</f>
        <v>30415.07932</v>
      </c>
      <c r="D60" s="42">
        <f t="shared" ref="D60:D61" si="4">+C60+C90</f>
        <v>38787.70405</v>
      </c>
      <c r="E60" s="1"/>
      <c r="F60" s="1"/>
      <c r="G60" s="1"/>
      <c r="H60" s="1"/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41" t="s">
        <v>28</v>
      </c>
      <c r="B61" s="24">
        <v>69.0</v>
      </c>
      <c r="C61" s="10">
        <f>B61*B63</f>
        <v>28748.49963</v>
      </c>
      <c r="D61" s="42">
        <f t="shared" si="4"/>
        <v>38167.70246</v>
      </c>
      <c r="E61" s="1"/>
      <c r="F61" s="1"/>
      <c r="G61" s="1"/>
      <c r="H61" s="1"/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8</v>
      </c>
      <c r="B62" s="16">
        <f t="shared" ref="B62:C62" si="5">SUM(B59:B61)</f>
        <v>257</v>
      </c>
      <c r="C62" s="17">
        <f t="shared" si="5"/>
        <v>107077.745</v>
      </c>
      <c r="D62" s="1"/>
      <c r="E62" s="1"/>
      <c r="F62" s="1"/>
      <c r="G62" s="1"/>
      <c r="H62" s="1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8" t="s">
        <v>9</v>
      </c>
      <c r="B63" s="19">
        <f>D56/B62</f>
        <v>416.6449222</v>
      </c>
      <c r="C63" s="3"/>
      <c r="D63" s="1"/>
      <c r="E63" s="1"/>
      <c r="F63" s="1"/>
      <c r="G63" s="1"/>
      <c r="H63" s="7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0"/>
      <c r="B65" s="20"/>
      <c r="C65" s="22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1"/>
    </row>
    <row r="66">
      <c r="A66" s="1"/>
      <c r="B66" s="7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" t="s">
        <v>29</v>
      </c>
      <c r="B67" s="1"/>
      <c r="C67" s="3"/>
      <c r="D67" s="4">
        <f>6600820+47801069</f>
        <v>54401889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2</v>
      </c>
      <c r="B68" s="5">
        <f>0.5%</f>
        <v>0.005</v>
      </c>
      <c r="C68" s="3"/>
      <c r="D68" s="23">
        <f>D67*B68</f>
        <v>272009.445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" t="s">
        <v>3</v>
      </c>
      <c r="B70" s="1"/>
      <c r="C70" s="3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8" t="s">
        <v>31</v>
      </c>
      <c r="B71" s="9">
        <v>82.0</v>
      </c>
      <c r="C71" s="10">
        <f>B71*B80</f>
        <v>40480.53446</v>
      </c>
      <c r="D71" s="32">
        <f>+C71+C38</f>
        <v>58953.18864</v>
      </c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8" t="s">
        <v>30</v>
      </c>
      <c r="B72" s="9">
        <v>117.0</v>
      </c>
      <c r="C72" s="10">
        <f>B72*B80</f>
        <v>57758.81137</v>
      </c>
      <c r="D72" s="32">
        <f>+C72+C102</f>
        <v>58903.68773</v>
      </c>
      <c r="E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8" t="s">
        <v>32</v>
      </c>
      <c r="B73" s="31">
        <v>132.0</v>
      </c>
      <c r="C73" s="10">
        <f>B73*B80</f>
        <v>65163.78719</v>
      </c>
      <c r="D73" s="3"/>
      <c r="E73" s="1"/>
      <c r="F73" s="3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8" t="s">
        <v>85</v>
      </c>
      <c r="B74" s="31">
        <v>0.0</v>
      </c>
      <c r="C74" s="10">
        <f>B74*B80</f>
        <v>0</v>
      </c>
      <c r="D74" s="3"/>
      <c r="E74" s="1"/>
      <c r="F74" s="3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8" t="s">
        <v>34</v>
      </c>
      <c r="B75" s="31">
        <v>18.0</v>
      </c>
      <c r="C75" s="10">
        <f>B75*B80</f>
        <v>8885.97098</v>
      </c>
      <c r="D75" s="3"/>
      <c r="E75" s="1"/>
      <c r="F75" s="3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66" t="s">
        <v>116</v>
      </c>
      <c r="B76" s="31">
        <v>117.0</v>
      </c>
      <c r="C76" s="10">
        <f>B76*B80</f>
        <v>57758.81137</v>
      </c>
      <c r="D76" s="3"/>
      <c r="E76" s="1"/>
      <c r="F76" s="3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1" t="s">
        <v>117</v>
      </c>
      <c r="B77" s="34">
        <v>42.0</v>
      </c>
      <c r="C77" s="35">
        <f>B77*B80</f>
        <v>20733.93229</v>
      </c>
      <c r="D77" s="3"/>
      <c r="E77" s="1"/>
      <c r="F77" s="3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1" t="s">
        <v>87</v>
      </c>
      <c r="B78" s="31">
        <v>43.0</v>
      </c>
      <c r="C78" s="10">
        <f>B78*B80</f>
        <v>21227.59734</v>
      </c>
      <c r="D78" s="3"/>
      <c r="E78" s="1"/>
      <c r="F78" s="3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8</v>
      </c>
      <c r="B79" s="16">
        <f t="shared" ref="B79:C79" si="6">SUM(B71:B78)</f>
        <v>551</v>
      </c>
      <c r="C79" s="17">
        <f t="shared" si="6"/>
        <v>272009.445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8" t="s">
        <v>9</v>
      </c>
      <c r="B80" s="19">
        <f>D68/B79</f>
        <v>493.6650544</v>
      </c>
      <c r="C80" s="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7"/>
      <c r="C81" s="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0"/>
      <c r="B82" s="21"/>
      <c r="C82" s="22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1"/>
    </row>
    <row r="83">
      <c r="A83" s="1"/>
      <c r="B83" s="7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" t="s">
        <v>35</v>
      </c>
      <c r="B84" s="1"/>
      <c r="C84" s="3"/>
      <c r="D84" s="43">
        <f>1469850+13339230</f>
        <v>14809080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2</v>
      </c>
      <c r="B85" s="5">
        <f>0.5%</f>
        <v>0.005</v>
      </c>
      <c r="C85" s="3"/>
      <c r="D85" s="44">
        <f>D84*B85</f>
        <v>74045.4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3"/>
      <c r="D86" s="3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" t="s">
        <v>3</v>
      </c>
      <c r="B87" s="1"/>
      <c r="C87" s="3"/>
      <c r="D87" s="3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8" t="s">
        <v>89</v>
      </c>
      <c r="B88" s="45">
        <v>36.0</v>
      </c>
      <c r="C88" s="35">
        <f>B88*B94</f>
        <v>9419.202827</v>
      </c>
      <c r="D88" s="1"/>
      <c r="E88" s="1"/>
      <c r="F88" s="3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1" t="s">
        <v>90</v>
      </c>
      <c r="B89" s="31">
        <v>112.0</v>
      </c>
      <c r="C89" s="10">
        <f>B89*B94</f>
        <v>29304.18657</v>
      </c>
      <c r="D89" s="3"/>
      <c r="E89" s="1"/>
      <c r="F89" s="3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46" t="s">
        <v>26</v>
      </c>
      <c r="B90" s="31">
        <v>32.0</v>
      </c>
      <c r="C90" s="10">
        <f>B90*B94</f>
        <v>8372.624735</v>
      </c>
      <c r="D90" s="3"/>
      <c r="E90" s="29"/>
      <c r="F90" s="3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41" t="s">
        <v>28</v>
      </c>
      <c r="B91" s="30">
        <v>36.0</v>
      </c>
      <c r="C91" s="10">
        <f>B91*B94</f>
        <v>9419.202827</v>
      </c>
      <c r="D91" s="3"/>
      <c r="E91" s="1"/>
      <c r="F91" s="3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67" t="s">
        <v>118</v>
      </c>
      <c r="B92" s="30">
        <v>67.0</v>
      </c>
      <c r="C92" s="10">
        <f>B92*B94</f>
        <v>17530.18304</v>
      </c>
      <c r="D92" s="3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8</v>
      </c>
      <c r="B93" s="17">
        <f t="shared" ref="B93:C93" si="7">SUM(B88:B92)</f>
        <v>283</v>
      </c>
      <c r="C93" s="17">
        <f t="shared" si="7"/>
        <v>74045.4</v>
      </c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8" t="s">
        <v>9</v>
      </c>
      <c r="B94" s="19">
        <f>D85/B93</f>
        <v>261.644523</v>
      </c>
      <c r="C94" s="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7"/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20"/>
      <c r="B96" s="21"/>
      <c r="C96" s="22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1"/>
    </row>
    <row r="97">
      <c r="A97" s="1"/>
      <c r="B97" s="7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" t="s">
        <v>40</v>
      </c>
      <c r="B98" s="7"/>
      <c r="C98" s="3"/>
      <c r="D98" s="4">
        <f>364950+4672506</f>
        <v>5037456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2</v>
      </c>
      <c r="B99" s="5">
        <f>0.5%</f>
        <v>0.005</v>
      </c>
      <c r="C99" s="3"/>
      <c r="D99" s="23">
        <f>D98*B99</f>
        <v>25187.28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40"/>
      <c r="C100" s="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2" t="s">
        <v>3</v>
      </c>
      <c r="B101" s="1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8" t="s">
        <v>119</v>
      </c>
      <c r="B102" s="9">
        <v>10.0</v>
      </c>
      <c r="C102" s="10">
        <f>B102*B107</f>
        <v>1144.876364</v>
      </c>
      <c r="D102" s="168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8" t="s">
        <v>94</v>
      </c>
      <c r="B103" s="9">
        <v>101.0</v>
      </c>
      <c r="C103" s="10">
        <f>B103*B107</f>
        <v>11563.25127</v>
      </c>
      <c r="D103" s="32">
        <f>+C103+C75</f>
        <v>20449.22225</v>
      </c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66" t="s">
        <v>120</v>
      </c>
      <c r="B104" s="9">
        <v>77.0</v>
      </c>
      <c r="C104" s="10">
        <f>B104*B107</f>
        <v>8815.548</v>
      </c>
      <c r="D104" s="3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8" t="s">
        <v>18</v>
      </c>
      <c r="B105" s="165">
        <v>32.0</v>
      </c>
      <c r="C105" s="10">
        <f>B105*B107</f>
        <v>3663.604364</v>
      </c>
      <c r="D105" s="32">
        <f>+C105+C116+C37</f>
        <v>9173.455622</v>
      </c>
      <c r="E105" s="3"/>
      <c r="F105" s="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50" t="s">
        <v>8</v>
      </c>
      <c r="B106" s="16">
        <f t="shared" ref="B106:C106" si="8">SUM(B102:B105)</f>
        <v>220</v>
      </c>
      <c r="C106" s="17">
        <f t="shared" si="8"/>
        <v>25187.28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8" t="s">
        <v>9</v>
      </c>
      <c r="B107" s="19">
        <f>D99/B106</f>
        <v>114.4876364</v>
      </c>
      <c r="C107" s="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7"/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7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20"/>
      <c r="B110" s="21"/>
      <c r="C110" s="22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1"/>
    </row>
    <row r="111">
      <c r="A111" s="1"/>
      <c r="B111" s="7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2" t="s">
        <v>121</v>
      </c>
      <c r="B112" s="7"/>
      <c r="C112" s="3"/>
      <c r="D112" s="4">
        <v>4832624.0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2</v>
      </c>
      <c r="B113" s="5">
        <f>0.5%</f>
        <v>0.005</v>
      </c>
      <c r="C113" s="3"/>
      <c r="D113" s="23">
        <f>D112*B113</f>
        <v>24163.12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40"/>
      <c r="C114" s="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2" t="s">
        <v>3</v>
      </c>
      <c r="B115" s="1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8" t="s">
        <v>18</v>
      </c>
      <c r="B116" s="9">
        <v>89.0</v>
      </c>
      <c r="C116" s="10">
        <f>B116*B124</f>
        <v>3867.837554</v>
      </c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26" t="s">
        <v>21</v>
      </c>
      <c r="B117" s="9">
        <v>86.0</v>
      </c>
      <c r="C117" s="10">
        <f>B117*B124</f>
        <v>3737.461007</v>
      </c>
      <c r="D117" s="3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2" t="s">
        <v>122</v>
      </c>
      <c r="B118" s="9">
        <v>89.0</v>
      </c>
      <c r="C118" s="10">
        <f>B118*B12</f>
        <v>32218</v>
      </c>
      <c r="D118" s="3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2" t="s">
        <v>123</v>
      </c>
      <c r="B119" s="9">
        <v>87.0</v>
      </c>
      <c r="C119" s="10">
        <f>B119*B124</f>
        <v>3780.919856</v>
      </c>
      <c r="D119" s="3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2" t="s">
        <v>124</v>
      </c>
      <c r="B120" s="9">
        <v>88.0</v>
      </c>
      <c r="C120" s="10">
        <f>B120*B124</f>
        <v>3824.378705</v>
      </c>
      <c r="D120" s="3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2" t="s">
        <v>125</v>
      </c>
      <c r="B121" s="9">
        <v>76.0</v>
      </c>
      <c r="C121" s="10">
        <f>B121*B124</f>
        <v>3302.872518</v>
      </c>
      <c r="D121" s="3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67" t="s">
        <v>126</v>
      </c>
      <c r="B122" s="169">
        <v>41.0</v>
      </c>
      <c r="C122" s="10">
        <f>B122*B124</f>
        <v>1781.812806</v>
      </c>
      <c r="D122" s="3"/>
      <c r="E122" s="3"/>
      <c r="F122" s="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50" t="s">
        <v>8</v>
      </c>
      <c r="B123" s="16">
        <f t="shared" ref="B123:C123" si="9">SUM(B116:B122)</f>
        <v>556</v>
      </c>
      <c r="C123" s="17">
        <f t="shared" si="9"/>
        <v>52513.28245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8" t="s">
        <v>9</v>
      </c>
      <c r="B124" s="19">
        <f>D113/B123</f>
        <v>43.45884892</v>
      </c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7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7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20"/>
      <c r="B127" s="21"/>
      <c r="C127" s="22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1"/>
    </row>
    <row r="128">
      <c r="A128" s="1"/>
      <c r="B128" s="7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39" t="s">
        <v>41</v>
      </c>
      <c r="C129" s="17" t="s">
        <v>42</v>
      </c>
      <c r="D129" s="3"/>
      <c r="E129" s="1"/>
      <c r="F129" s="13"/>
      <c r="G129" s="51" t="s">
        <v>44</v>
      </c>
      <c r="H129" s="51" t="s">
        <v>42</v>
      </c>
      <c r="I129" s="51" t="s">
        <v>45</v>
      </c>
      <c r="J129" s="51" t="s">
        <v>46</v>
      </c>
      <c r="K129" s="52" t="s">
        <v>47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53" t="s">
        <v>48</v>
      </c>
      <c r="B130" s="7"/>
      <c r="C130" s="17">
        <f>SUM(C144:C148)</f>
        <v>428973.985</v>
      </c>
      <c r="D130" s="17">
        <v>429000.0</v>
      </c>
      <c r="E130" s="3"/>
      <c r="F130" s="13" t="s">
        <v>32</v>
      </c>
      <c r="G130" s="54">
        <f>B136</f>
        <v>58604767</v>
      </c>
      <c r="H130" s="55">
        <f t="shared" ref="H130:H134" si="10">+G130*0.5%</f>
        <v>293023.835</v>
      </c>
      <c r="I130" s="55">
        <f>C73</f>
        <v>65163.78719</v>
      </c>
      <c r="J130" s="55">
        <f t="shared" ref="J130:J134" si="11">+H130-I130</f>
        <v>227860.0478</v>
      </c>
      <c r="K130" s="56">
        <v>227900.0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53" t="s">
        <v>49</v>
      </c>
      <c r="B131" s="7"/>
      <c r="C131" s="17">
        <f>SUM(C154:C158)</f>
        <v>514292.915</v>
      </c>
      <c r="D131" s="17">
        <v>514300.0</v>
      </c>
      <c r="E131" s="1"/>
      <c r="F131" s="37" t="s">
        <v>50</v>
      </c>
      <c r="G131" s="54">
        <f>B134</f>
        <v>31723946</v>
      </c>
      <c r="H131" s="55">
        <f t="shared" si="10"/>
        <v>158619.73</v>
      </c>
      <c r="I131" s="55">
        <f>C34</f>
        <v>54186.45226</v>
      </c>
      <c r="J131" s="55">
        <f t="shared" si="11"/>
        <v>104433.2777</v>
      </c>
      <c r="K131" s="56">
        <v>104400.0</v>
      </c>
      <c r="L131" s="3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57" t="s">
        <v>51</v>
      </c>
      <c r="B132" s="58">
        <v>3.234852E7</v>
      </c>
      <c r="C132" s="59">
        <f t="shared" ref="C132:C140" si="12">+B132*0.5%</f>
        <v>161742.6</v>
      </c>
      <c r="D132" s="17">
        <v>161700.0</v>
      </c>
      <c r="E132" s="1"/>
      <c r="F132" s="13" t="s">
        <v>13</v>
      </c>
      <c r="G132" s="54">
        <f t="shared" ref="G132:G133" si="13">B132</f>
        <v>32348520</v>
      </c>
      <c r="H132" s="55">
        <f t="shared" si="10"/>
        <v>161742.6</v>
      </c>
      <c r="I132" s="55">
        <f>C21</f>
        <v>59261.69844</v>
      </c>
      <c r="J132" s="55">
        <f t="shared" si="11"/>
        <v>102480.9016</v>
      </c>
      <c r="K132" s="56">
        <v>105500.0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57" t="s">
        <v>52</v>
      </c>
      <c r="B133" s="58">
        <v>1.9169518E7</v>
      </c>
      <c r="C133" s="59">
        <f t="shared" si="12"/>
        <v>95847.59</v>
      </c>
      <c r="D133" s="16">
        <v>95800.0</v>
      </c>
      <c r="E133" s="1"/>
      <c r="F133" s="13" t="s">
        <v>5</v>
      </c>
      <c r="G133" s="54">
        <f t="shared" si="13"/>
        <v>19169518</v>
      </c>
      <c r="H133" s="55">
        <f t="shared" si="10"/>
        <v>95847.59</v>
      </c>
      <c r="I133" s="55">
        <f>C6</f>
        <v>33535.09436</v>
      </c>
      <c r="J133" s="55">
        <f t="shared" si="11"/>
        <v>62312.49564</v>
      </c>
      <c r="K133" s="56">
        <v>62300.0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61" t="s">
        <v>54</v>
      </c>
      <c r="B134" s="62">
        <v>3.1723946E7</v>
      </c>
      <c r="C134" s="63">
        <f t="shared" si="12"/>
        <v>158619.73</v>
      </c>
      <c r="D134" s="16">
        <v>158600.0</v>
      </c>
      <c r="E134" s="1"/>
      <c r="F134" s="13" t="s">
        <v>25</v>
      </c>
      <c r="G134" s="54">
        <f>B135</f>
        <v>19749649</v>
      </c>
      <c r="H134" s="55">
        <f t="shared" si="10"/>
        <v>98748.245</v>
      </c>
      <c r="I134" s="55">
        <f>C59</f>
        <v>47914.16605</v>
      </c>
      <c r="J134" s="55">
        <f t="shared" si="11"/>
        <v>50834.07895</v>
      </c>
      <c r="K134" s="56">
        <v>50800.0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64" t="s">
        <v>55</v>
      </c>
      <c r="B135" s="65">
        <v>1.9749649E7</v>
      </c>
      <c r="C135" s="66">
        <f t="shared" si="12"/>
        <v>98748.245</v>
      </c>
      <c r="D135" s="16">
        <v>98700.0</v>
      </c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53" t="s">
        <v>56</v>
      </c>
      <c r="B136" s="69">
        <v>5.8604767E7</v>
      </c>
      <c r="C136" s="17">
        <f t="shared" si="12"/>
        <v>293023.835</v>
      </c>
      <c r="D136" s="16">
        <v>293000.0</v>
      </c>
      <c r="E136" s="1"/>
      <c r="F136" s="13"/>
      <c r="G136" s="67"/>
      <c r="H136" s="37"/>
      <c r="I136" s="37"/>
      <c r="J136" s="37"/>
      <c r="K136" s="68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53" t="s">
        <v>58</v>
      </c>
      <c r="B137" s="69">
        <v>1.452711E7</v>
      </c>
      <c r="C137" s="17">
        <f t="shared" si="12"/>
        <v>72635.55</v>
      </c>
      <c r="D137" s="16">
        <v>72600.0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53" t="s">
        <v>59</v>
      </c>
      <c r="B138" s="69">
        <v>5985346.0</v>
      </c>
      <c r="C138" s="17">
        <f t="shared" si="12"/>
        <v>29926.73</v>
      </c>
      <c r="D138" s="16">
        <v>29900.0</v>
      </c>
      <c r="E138" s="1"/>
      <c r="F138" s="70" t="s">
        <v>106</v>
      </c>
      <c r="G138" s="7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53" t="s">
        <v>127</v>
      </c>
      <c r="B139" s="19">
        <v>6544524.0</v>
      </c>
      <c r="C139" s="17">
        <f t="shared" si="12"/>
        <v>32722.62</v>
      </c>
      <c r="D139" s="16">
        <v>32700.0</v>
      </c>
      <c r="E139" s="1"/>
      <c r="F139" s="13" t="s">
        <v>48</v>
      </c>
      <c r="G139" s="55">
        <f t="shared" ref="G139:G140" si="14">D130</f>
        <v>429000</v>
      </c>
      <c r="H139" s="3"/>
      <c r="I139" s="1"/>
      <c r="J139" s="1"/>
      <c r="K139" s="1"/>
      <c r="L139" s="1"/>
      <c r="M139" s="1"/>
      <c r="N139" s="3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7"/>
      <c r="C140" s="17">
        <f t="shared" si="12"/>
        <v>0</v>
      </c>
      <c r="D140" s="170"/>
      <c r="E140" s="1"/>
      <c r="F140" s="13" t="s">
        <v>49</v>
      </c>
      <c r="G140" s="55">
        <f t="shared" si="14"/>
        <v>514300</v>
      </c>
      <c r="H140" s="1"/>
      <c r="I140" s="73"/>
      <c r="J140" s="74"/>
      <c r="K140" s="75"/>
      <c r="L140" s="76"/>
      <c r="M140" s="1"/>
      <c r="N140" s="1"/>
      <c r="O140" s="3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7"/>
      <c r="C141" s="10">
        <f t="shared" ref="C141:D141" si="15">SUM(C130:C140)</f>
        <v>1886533.8</v>
      </c>
      <c r="D141" s="77">
        <f t="shared" si="15"/>
        <v>1886300</v>
      </c>
      <c r="E141" s="1"/>
      <c r="F141" s="13" t="s">
        <v>13</v>
      </c>
      <c r="G141" s="55">
        <f>K132</f>
        <v>105500</v>
      </c>
      <c r="H141" s="3" t="s">
        <v>109</v>
      </c>
      <c r="I141" s="78"/>
      <c r="K141" s="79"/>
      <c r="L141" s="76"/>
      <c r="M141" s="1"/>
      <c r="N141" s="3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7"/>
      <c r="C142" s="3"/>
      <c r="D142" s="1"/>
      <c r="E142" s="1"/>
      <c r="F142" s="13" t="s">
        <v>5</v>
      </c>
      <c r="G142" s="55">
        <f>K133-9790</f>
        <v>52510</v>
      </c>
      <c r="H142" s="1" t="s">
        <v>110</v>
      </c>
      <c r="I142" s="78"/>
      <c r="K142" s="79"/>
      <c r="L142" s="76"/>
      <c r="M142" s="1"/>
      <c r="N142" s="3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80" t="s">
        <v>60</v>
      </c>
      <c r="B143" s="7"/>
      <c r="C143" s="17" t="s">
        <v>42</v>
      </c>
      <c r="D143" s="1"/>
      <c r="E143" s="1"/>
      <c r="F143" s="13" t="s">
        <v>25</v>
      </c>
      <c r="G143" s="55">
        <f>K134</f>
        <v>50800</v>
      </c>
      <c r="H143" s="3" t="s">
        <v>111</v>
      </c>
      <c r="I143" s="81"/>
      <c r="J143" s="82"/>
      <c r="K143" s="83"/>
      <c r="L143" s="76"/>
      <c r="M143" s="1"/>
      <c r="N143" s="3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53" t="s">
        <v>61</v>
      </c>
      <c r="B144" s="6">
        <f>B133</f>
        <v>19169518</v>
      </c>
      <c r="C144" s="17">
        <f t="shared" ref="C144:C148" si="16">B144*0.5%</f>
        <v>95847.59</v>
      </c>
      <c r="D144" s="1"/>
      <c r="E144" s="1"/>
      <c r="F144" s="13"/>
      <c r="G144" s="84">
        <f>D134*0</f>
        <v>0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53" t="s">
        <v>62</v>
      </c>
      <c r="B145" s="6">
        <f>B132</f>
        <v>32348520</v>
      </c>
      <c r="C145" s="17">
        <f t="shared" si="16"/>
        <v>161742.6</v>
      </c>
      <c r="D145" s="1"/>
      <c r="E145" s="1"/>
      <c r="F145" s="13" t="s">
        <v>32</v>
      </c>
      <c r="G145" s="55">
        <f t="shared" ref="G145:G146" si="17">K130</f>
        <v>227900</v>
      </c>
      <c r="H145" s="3" t="s">
        <v>63</v>
      </c>
      <c r="I145" s="3"/>
      <c r="J145" s="3"/>
      <c r="K145" s="3"/>
      <c r="L145" s="1"/>
      <c r="M145" s="1"/>
      <c r="N145" s="1"/>
      <c r="O145" s="3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53" t="s">
        <v>64</v>
      </c>
      <c r="B146" s="6">
        <f>B135</f>
        <v>19749649</v>
      </c>
      <c r="C146" s="17">
        <f t="shared" si="16"/>
        <v>98748.245</v>
      </c>
      <c r="D146" s="1"/>
      <c r="E146" s="1"/>
      <c r="F146" s="13" t="s">
        <v>50</v>
      </c>
      <c r="G146" s="55">
        <f t="shared" si="17"/>
        <v>104400</v>
      </c>
      <c r="H146" s="3" t="s">
        <v>65</v>
      </c>
      <c r="I146" s="3"/>
      <c r="J146" s="3"/>
      <c r="K146" s="3"/>
      <c r="L146" s="3"/>
      <c r="M146" s="1"/>
      <c r="N146" s="3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53" t="s">
        <v>58</v>
      </c>
      <c r="B147" s="6">
        <f>B137</f>
        <v>14527110</v>
      </c>
      <c r="C147" s="17">
        <f t="shared" si="16"/>
        <v>72635.55</v>
      </c>
      <c r="D147" s="1"/>
      <c r="E147" s="1"/>
      <c r="F147" s="1"/>
      <c r="G147" s="85">
        <f>SUM(G139:G146)</f>
        <v>1484410</v>
      </c>
      <c r="H147" s="3"/>
      <c r="I147" s="3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7"/>
      <c r="C148" s="17">
        <f t="shared" si="16"/>
        <v>0</v>
      </c>
      <c r="D148" s="1"/>
      <c r="E148" s="1"/>
      <c r="F148" s="1"/>
      <c r="G148" s="3"/>
      <c r="H148" s="3"/>
      <c r="I148" s="3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7"/>
      <c r="C149" s="3"/>
      <c r="D149" s="1"/>
      <c r="E149" s="1"/>
      <c r="F149" s="167" t="s">
        <v>128</v>
      </c>
      <c r="G149" s="10">
        <f>G139+G141+G142+G143</f>
        <v>637810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9">
        <f>SUM(B144:B148)</f>
        <v>85794797</v>
      </c>
      <c r="C150" s="86">
        <f>SUM(C144:C149)</f>
        <v>428973.985</v>
      </c>
      <c r="D150" s="171" t="s">
        <v>66</v>
      </c>
      <c r="E150" s="1"/>
      <c r="F150" s="167" t="s">
        <v>129</v>
      </c>
      <c r="G150" s="10">
        <f>G140+G145+G146</f>
        <v>846600</v>
      </c>
      <c r="H150" s="3"/>
      <c r="I150" s="3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88"/>
      <c r="C151" s="3"/>
      <c r="D151" s="1"/>
      <c r="E151" s="1"/>
      <c r="F151" s="13"/>
      <c r="G151" s="10">
        <f>SUM(G149:G150)</f>
        <v>1484410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89"/>
      <c r="B152" s="90"/>
      <c r="C152" s="91"/>
      <c r="D152" s="89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80" t="s">
        <v>67</v>
      </c>
      <c r="B153" s="88"/>
      <c r="C153" s="17" t="s">
        <v>42</v>
      </c>
      <c r="D153" s="1"/>
      <c r="E153" s="1"/>
      <c r="F153" s="1"/>
      <c r="G153" s="1"/>
      <c r="H153" s="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53" t="s">
        <v>68</v>
      </c>
      <c r="B154" s="6">
        <f>B134</f>
        <v>31723946</v>
      </c>
      <c r="C154" s="17">
        <f t="shared" ref="C154:C157" si="18">B154*0.5%</f>
        <v>158619.73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53" t="s">
        <v>69</v>
      </c>
      <c r="B155" s="6">
        <f>B136</f>
        <v>58604767</v>
      </c>
      <c r="C155" s="17">
        <f t="shared" si="18"/>
        <v>293023.835</v>
      </c>
      <c r="D155" s="1"/>
      <c r="E155" s="1"/>
      <c r="F155" s="1"/>
      <c r="G155" s="3"/>
      <c r="H155" s="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53" t="s">
        <v>59</v>
      </c>
      <c r="B156" s="6">
        <f t="shared" ref="B156:B157" si="19">B138</f>
        <v>5985346</v>
      </c>
      <c r="C156" s="17">
        <f t="shared" si="18"/>
        <v>29926.73</v>
      </c>
      <c r="D156" s="1"/>
      <c r="E156" s="1"/>
      <c r="F156" s="1"/>
      <c r="G156" s="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53" t="s">
        <v>127</v>
      </c>
      <c r="B157" s="6">
        <f t="shared" si="19"/>
        <v>6544524</v>
      </c>
      <c r="C157" s="17">
        <f t="shared" si="18"/>
        <v>32722.62</v>
      </c>
      <c r="D157" s="1"/>
      <c r="E157" s="1"/>
      <c r="F157" s="1"/>
      <c r="G157" s="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7"/>
      <c r="C158" s="3"/>
      <c r="D158" s="1"/>
      <c r="E158" s="1"/>
      <c r="F158" s="1"/>
      <c r="G158" s="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9">
        <f t="shared" ref="B159:C159" si="20">SUM(B154:B158)</f>
        <v>102858583</v>
      </c>
      <c r="C159" s="86">
        <f t="shared" si="20"/>
        <v>514292.915</v>
      </c>
      <c r="D159" s="171" t="s">
        <v>66</v>
      </c>
      <c r="E159" s="20"/>
      <c r="F159" s="20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7"/>
      <c r="C160" s="3"/>
      <c r="D160" s="1"/>
      <c r="E160" s="1"/>
      <c r="F160" s="1"/>
      <c r="G160" s="3"/>
      <c r="H160" s="1"/>
      <c r="I160" s="1"/>
      <c r="J160" s="3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7"/>
      <c r="C161" s="22"/>
      <c r="D161" s="20"/>
      <c r="E161" s="1"/>
      <c r="F161" s="1"/>
      <c r="G161" s="3"/>
      <c r="H161" s="1"/>
      <c r="I161" s="1"/>
      <c r="J161" s="3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7"/>
      <c r="C162" s="3"/>
      <c r="D162" s="1"/>
      <c r="E162" s="1"/>
      <c r="F162" s="1"/>
      <c r="G162" s="92"/>
      <c r="H162" s="1"/>
      <c r="I162" s="1"/>
      <c r="J162" s="3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7"/>
      <c r="C163" s="3"/>
      <c r="D163" s="1"/>
      <c r="E163" s="1"/>
      <c r="F163" s="1"/>
      <c r="G163" s="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7"/>
      <c r="C164" s="3"/>
      <c r="D164" s="1"/>
      <c r="E164" s="1"/>
      <c r="F164" s="1"/>
      <c r="G164" s="3"/>
      <c r="H164" s="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7"/>
      <c r="C165" s="3"/>
      <c r="D165" s="1"/>
      <c r="E165" s="1"/>
      <c r="F165" s="1"/>
      <c r="G165" s="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7"/>
      <c r="C166" s="3"/>
      <c r="D166" s="1"/>
      <c r="E166" s="1"/>
      <c r="F166" s="1"/>
      <c r="G166" s="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7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7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7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7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7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F71:F72"/>
    <mergeCell ref="F138:G138"/>
    <mergeCell ref="I140:K14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</v>
      </c>
      <c r="B2" s="1"/>
      <c r="C2" s="3"/>
      <c r="D2" s="4">
        <f>1743000+17852600</f>
        <v>19595600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</v>
      </c>
      <c r="B3" s="5">
        <f>0.5%</f>
        <v>0.005</v>
      </c>
      <c r="C3" s="3"/>
      <c r="D3" s="6">
        <f>D2*B3</f>
        <v>97978</v>
      </c>
      <c r="E3" s="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3</v>
      </c>
      <c r="B5" s="1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8" t="s">
        <v>5</v>
      </c>
      <c r="B6" s="9">
        <v>112.0</v>
      </c>
      <c r="C6" s="10">
        <f>B6*B13</f>
        <v>32370.31268</v>
      </c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8" t="s">
        <v>72</v>
      </c>
      <c r="B7" s="9">
        <v>115.0</v>
      </c>
      <c r="C7" s="10">
        <f>B7*B13</f>
        <v>33237.37463</v>
      </c>
      <c r="D7" s="1"/>
      <c r="E7" s="1"/>
      <c r="F7" s="1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2" t="s">
        <v>74</v>
      </c>
      <c r="B8" s="9">
        <v>112.0</v>
      </c>
      <c r="C8" s="10">
        <f>B8*B13</f>
        <v>32370.31268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63"/>
      <c r="B9" s="14"/>
      <c r="C9" s="10">
        <f>B9*B13</f>
        <v>0</v>
      </c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3"/>
      <c r="B10" s="14"/>
      <c r="C10" s="10">
        <f>B10*B13</f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"/>
      <c r="B11" s="14"/>
      <c r="C11" s="10">
        <f>B11*B13</f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8</v>
      </c>
      <c r="B12" s="16">
        <f t="shared" ref="B12:C12" si="1">SUM(B6:B11)</f>
        <v>339</v>
      </c>
      <c r="C12" s="17">
        <f t="shared" si="1"/>
        <v>97978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8" t="s">
        <v>9</v>
      </c>
      <c r="B13" s="19">
        <f>D3/B12</f>
        <v>289.020649</v>
      </c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7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0"/>
      <c r="B15" s="21"/>
      <c r="C15" s="22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1"/>
    </row>
    <row r="16">
      <c r="A16" s="1"/>
      <c r="B16" s="7"/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 t="s">
        <v>76</v>
      </c>
      <c r="B17" s="1"/>
      <c r="C17" s="3"/>
      <c r="D17" s="4">
        <f>3469310+52528750</f>
        <v>55998060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2</v>
      </c>
      <c r="B18" s="5">
        <f>0.5%</f>
        <v>0.005</v>
      </c>
      <c r="C18" s="3"/>
      <c r="D18" s="23">
        <f>D17*B18</f>
        <v>279990.3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 t="s">
        <v>3</v>
      </c>
      <c r="B20" s="1"/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8" t="s">
        <v>13</v>
      </c>
      <c r="B21" s="9">
        <v>111.0</v>
      </c>
      <c r="C21" s="10">
        <f>B21*B26</f>
        <v>93894.0281</v>
      </c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8" t="s">
        <v>38</v>
      </c>
      <c r="B22" s="9">
        <v>108.0</v>
      </c>
      <c r="C22" s="10">
        <f>B22*B26</f>
        <v>91356.35166</v>
      </c>
      <c r="D22" s="3"/>
      <c r="E22" s="1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64"/>
      <c r="B23" s="14"/>
      <c r="C23" s="10">
        <f>B23*B26</f>
        <v>0</v>
      </c>
      <c r="D23" s="3"/>
      <c r="E23" s="1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48" t="s">
        <v>89</v>
      </c>
      <c r="B24" s="165">
        <v>112.0</v>
      </c>
      <c r="C24" s="10">
        <f>B24*B26</f>
        <v>94739.92024</v>
      </c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8</v>
      </c>
      <c r="B25" s="16">
        <f t="shared" ref="B25:C25" si="2">SUM(B21:B24)</f>
        <v>331</v>
      </c>
      <c r="C25" s="17">
        <f t="shared" si="2"/>
        <v>279990.3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8" t="s">
        <v>9</v>
      </c>
      <c r="B26" s="19">
        <f>D18/B25</f>
        <v>845.892145</v>
      </c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7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0"/>
      <c r="B28" s="21"/>
      <c r="C28" s="22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1"/>
    </row>
    <row r="29">
      <c r="A29" s="1"/>
      <c r="B29" s="7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" t="s">
        <v>17</v>
      </c>
      <c r="B30" s="1"/>
      <c r="C30" s="3"/>
      <c r="D30" s="4">
        <f>5774000+29050805</f>
        <v>34824805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2</v>
      </c>
      <c r="B31" s="5">
        <f>0.5%</f>
        <v>0.005</v>
      </c>
      <c r="C31" s="3"/>
      <c r="D31" s="23">
        <f>D30*B31</f>
        <v>174124.025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" t="s">
        <v>3</v>
      </c>
      <c r="B33" s="1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8" t="s">
        <v>50</v>
      </c>
      <c r="B34" s="30">
        <v>127.0</v>
      </c>
      <c r="C34" s="10">
        <f>B34*B39</f>
        <v>59928.86497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8" t="s">
        <v>22</v>
      </c>
      <c r="B35" s="31">
        <v>113.0</v>
      </c>
      <c r="C35" s="10">
        <f>B35*B39</f>
        <v>53322.5334</v>
      </c>
      <c r="D35" s="172">
        <f>+C35+C75</f>
        <v>62204.7211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3" t="s">
        <v>116</v>
      </c>
      <c r="B36" s="31">
        <v>118.0</v>
      </c>
      <c r="C36" s="10">
        <f>B36*B39</f>
        <v>55681.93753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3" t="s">
        <v>31</v>
      </c>
      <c r="B37" s="34">
        <v>11.0</v>
      </c>
      <c r="C37" s="35">
        <f>B37*B39</f>
        <v>5190.689092</v>
      </c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8</v>
      </c>
      <c r="B38" s="17">
        <f t="shared" ref="B38:C38" si="3">SUM(B34:B37)</f>
        <v>369</v>
      </c>
      <c r="C38" s="17">
        <f t="shared" si="3"/>
        <v>174124.025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8" t="s">
        <v>9</v>
      </c>
      <c r="B39" s="19">
        <f>D31/B38</f>
        <v>471.8808266</v>
      </c>
      <c r="C39" s="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7"/>
      <c r="C40" s="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0"/>
      <c r="B41" s="21"/>
      <c r="C41" s="22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1"/>
    </row>
    <row r="42">
      <c r="A42" s="1"/>
      <c r="B42" s="7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" t="s">
        <v>23</v>
      </c>
      <c r="B43" s="1"/>
      <c r="C43" s="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2</v>
      </c>
      <c r="B44" s="5">
        <f>0.5%</f>
        <v>0.005</v>
      </c>
      <c r="C44" s="3"/>
      <c r="D44" s="1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3"/>
      <c r="D45" s="23">
        <f>D44*B44</f>
        <v>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" t="s">
        <v>3</v>
      </c>
      <c r="B46" s="1"/>
      <c r="C46" s="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6"/>
      <c r="B47" s="37"/>
      <c r="C47" s="10" t="str">
        <f>B47*B50</f>
        <v>#DIV/0!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8"/>
      <c r="B48" s="37"/>
      <c r="C48" s="10" t="str">
        <f>B48*B50</f>
        <v>#DIV/0!</v>
      </c>
      <c r="D48" s="1"/>
      <c r="E48" s="1"/>
      <c r="F48" s="3"/>
      <c r="G48" s="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8</v>
      </c>
      <c r="B49" s="17">
        <f>SUM(B47:B48)</f>
        <v>0</v>
      </c>
      <c r="C49" s="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8" t="s">
        <v>9</v>
      </c>
      <c r="B50" s="39" t="str">
        <f>D45/B49</f>
        <v>#DIV/0!</v>
      </c>
      <c r="C50" s="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0"/>
      <c r="B52" s="20"/>
      <c r="C52" s="22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1"/>
    </row>
    <row r="53">
      <c r="A53" s="1"/>
      <c r="B53" s="1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" t="s">
        <v>24</v>
      </c>
      <c r="B54" s="1"/>
      <c r="C54" s="3"/>
      <c r="D54" s="4">
        <f>1880620+26710920</f>
        <v>28591540</v>
      </c>
      <c r="E54" s="1"/>
      <c r="F54" s="1"/>
      <c r="G54" s="1"/>
      <c r="H54" s="1"/>
      <c r="I54" s="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2</v>
      </c>
      <c r="B55" s="5">
        <f>0.5%</f>
        <v>0.005</v>
      </c>
      <c r="C55" s="3"/>
      <c r="D55" s="23">
        <f>D54*B55</f>
        <v>142957.7</v>
      </c>
      <c r="E55" s="1"/>
      <c r="F55" s="1"/>
      <c r="G55" s="1"/>
      <c r="H55" s="40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3"/>
      <c r="D56" s="1"/>
      <c r="E56" s="1"/>
      <c r="F56" s="1"/>
      <c r="G56" s="1"/>
      <c r="H56" s="1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" t="s">
        <v>3</v>
      </c>
      <c r="B57" s="1"/>
      <c r="C57" s="3"/>
      <c r="D57" s="1"/>
      <c r="E57" s="1"/>
      <c r="F57" s="1"/>
      <c r="G57" s="1"/>
      <c r="H57" s="1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41" t="s">
        <v>25</v>
      </c>
      <c r="B58" s="9">
        <v>105.0</v>
      </c>
      <c r="C58" s="10">
        <f>B58*B62</f>
        <v>53040.84276</v>
      </c>
      <c r="D58" s="3"/>
      <c r="E58" s="1"/>
      <c r="F58" s="1"/>
      <c r="G58" s="1"/>
      <c r="H58" s="1"/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41" t="s">
        <v>26</v>
      </c>
      <c r="B59" s="9">
        <v>99.0</v>
      </c>
      <c r="C59" s="10">
        <f>B59*B62</f>
        <v>50009.93746</v>
      </c>
      <c r="D59" s="3"/>
      <c r="E59" s="1"/>
      <c r="F59" s="1"/>
      <c r="G59" s="1"/>
      <c r="H59" s="1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41" t="s">
        <v>28</v>
      </c>
      <c r="B60" s="24">
        <v>79.0</v>
      </c>
      <c r="C60" s="10">
        <f>B60*B62</f>
        <v>39906.91979</v>
      </c>
      <c r="D60" s="173">
        <f>+C60+C93</f>
        <v>49887.20846</v>
      </c>
      <c r="E60" s="1"/>
      <c r="F60" s="1"/>
      <c r="G60" s="1"/>
      <c r="H60" s="1"/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8</v>
      </c>
      <c r="B61" s="16">
        <f t="shared" ref="B61:C61" si="4">SUM(B58:B60)</f>
        <v>283</v>
      </c>
      <c r="C61" s="17">
        <f t="shared" si="4"/>
        <v>142957.7</v>
      </c>
      <c r="D61" s="1"/>
      <c r="E61" s="1"/>
      <c r="F61" s="1"/>
      <c r="G61" s="1"/>
      <c r="H61" s="1"/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8" t="s">
        <v>9</v>
      </c>
      <c r="B62" s="19">
        <f>D55/B61</f>
        <v>505.1508834</v>
      </c>
      <c r="C62" s="3"/>
      <c r="D62" s="1"/>
      <c r="E62" s="1"/>
      <c r="F62" s="1"/>
      <c r="G62" s="1"/>
      <c r="H62" s="7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0"/>
      <c r="B64" s="20"/>
      <c r="C64" s="22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1"/>
    </row>
    <row r="65">
      <c r="A65" s="1"/>
      <c r="B65" s="7"/>
      <c r="C65" s="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" t="s">
        <v>29</v>
      </c>
      <c r="B66" s="1"/>
      <c r="C66" s="3"/>
      <c r="D66" s="4">
        <f>10803698+70658652</f>
        <v>81462350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2</v>
      </c>
      <c r="B67" s="5">
        <f>0.5%</f>
        <v>0.005</v>
      </c>
      <c r="C67" s="3"/>
      <c r="D67" s="23">
        <f>D66*B67</f>
        <v>407311.75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" t="s">
        <v>3</v>
      </c>
      <c r="B69" s="1"/>
      <c r="C69" s="3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8" t="s">
        <v>31</v>
      </c>
      <c r="B70" s="9">
        <v>47.0</v>
      </c>
      <c r="C70" s="10">
        <f>B70*B82</f>
        <v>29818.77298</v>
      </c>
      <c r="D70" s="172">
        <f>+C70+C37+C134</f>
        <v>38876.71207</v>
      </c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8" t="s">
        <v>30</v>
      </c>
      <c r="B71" s="9">
        <v>115.0</v>
      </c>
      <c r="C71" s="10">
        <f>B71*B82</f>
        <v>72960.82749</v>
      </c>
      <c r="D71" s="3"/>
      <c r="E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8" t="s">
        <v>32</v>
      </c>
      <c r="B72" s="31">
        <v>132.0</v>
      </c>
      <c r="C72" s="10">
        <f>B72*B82</f>
        <v>83746.34112</v>
      </c>
      <c r="D72" s="3"/>
      <c r="E72" s="1"/>
      <c r="F72" s="3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8" t="s">
        <v>85</v>
      </c>
      <c r="B73" s="174"/>
      <c r="C73" s="10">
        <f>B73*B82</f>
        <v>0</v>
      </c>
      <c r="D73" s="3"/>
      <c r="E73" s="1"/>
      <c r="F73" s="3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8" t="s">
        <v>34</v>
      </c>
      <c r="B74" s="31">
        <v>23.0</v>
      </c>
      <c r="C74" s="10">
        <f>B74*B82</f>
        <v>14592.1655</v>
      </c>
      <c r="D74" s="3"/>
      <c r="E74" s="1"/>
      <c r="F74" s="3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8" t="s">
        <v>22</v>
      </c>
      <c r="B75" s="31">
        <v>14.0</v>
      </c>
      <c r="C75" s="10">
        <f>B75*B82</f>
        <v>8882.187695</v>
      </c>
      <c r="D75" s="3"/>
      <c r="E75" s="1"/>
      <c r="F75" s="3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67" t="s">
        <v>116</v>
      </c>
      <c r="B76" s="31">
        <v>11.0</v>
      </c>
      <c r="C76" s="10">
        <f>B76*B82</f>
        <v>6978.86176</v>
      </c>
      <c r="D76" s="3"/>
      <c r="E76" s="1"/>
      <c r="F76" s="3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67" t="s">
        <v>130</v>
      </c>
      <c r="B77" s="31">
        <v>111.0</v>
      </c>
      <c r="C77" s="10">
        <f>B77*B82</f>
        <v>70423.05958</v>
      </c>
      <c r="D77" s="3"/>
      <c r="E77" s="1"/>
      <c r="F77" s="3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67" t="s">
        <v>131</v>
      </c>
      <c r="B78" s="31">
        <v>53.0</v>
      </c>
      <c r="C78" s="10">
        <f>B78*B82</f>
        <v>33625.42484</v>
      </c>
      <c r="D78" s="3"/>
      <c r="E78" s="1"/>
      <c r="F78" s="3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1" t="s">
        <v>117</v>
      </c>
      <c r="B79" s="34">
        <v>117.0</v>
      </c>
      <c r="C79" s="35">
        <f>B79*B82</f>
        <v>74229.71145</v>
      </c>
      <c r="D79" s="3"/>
      <c r="E79" s="1"/>
      <c r="F79" s="3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1" t="s">
        <v>87</v>
      </c>
      <c r="B80" s="31">
        <v>19.0</v>
      </c>
      <c r="C80" s="10">
        <f>B80*B82</f>
        <v>12054.39759</v>
      </c>
      <c r="D80" s="3"/>
      <c r="E80" s="1"/>
      <c r="F80" s="3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8</v>
      </c>
      <c r="B81" s="16">
        <f t="shared" ref="B81:C81" si="5">SUM(B70:B80)</f>
        <v>642</v>
      </c>
      <c r="C81" s="17">
        <f t="shared" si="5"/>
        <v>407311.75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8" t="s">
        <v>9</v>
      </c>
      <c r="B82" s="19">
        <f>D67/B81</f>
        <v>634.4419782</v>
      </c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7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0"/>
      <c r="B84" s="21"/>
      <c r="C84" s="22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1"/>
    </row>
    <row r="85">
      <c r="A85" s="1"/>
      <c r="B85" s="7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2" t="s">
        <v>35</v>
      </c>
      <c r="B86" s="1"/>
      <c r="C86" s="3"/>
      <c r="D86" s="43">
        <f>1187880+20685586</f>
        <v>21873466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2</v>
      </c>
      <c r="B87" s="5">
        <f>0.5%</f>
        <v>0.005</v>
      </c>
      <c r="C87" s="3"/>
      <c r="D87" s="44">
        <f>D86*B87</f>
        <v>109367.33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3"/>
      <c r="D88" s="3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" t="s">
        <v>3</v>
      </c>
      <c r="B89" s="1"/>
      <c r="C89" s="3"/>
      <c r="D89" s="3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75"/>
      <c r="B90" s="176"/>
      <c r="C90" s="35">
        <f>B90*B96</f>
        <v>0</v>
      </c>
      <c r="D90" s="1"/>
      <c r="E90" s="1"/>
      <c r="F90" s="3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1" t="s">
        <v>90</v>
      </c>
      <c r="B91" s="31">
        <v>116.0</v>
      </c>
      <c r="C91" s="10">
        <f>B91*B96</f>
        <v>48238.0619</v>
      </c>
      <c r="D91" s="3"/>
      <c r="E91" s="1"/>
      <c r="F91" s="3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3"/>
      <c r="B92" s="174"/>
      <c r="C92" s="10">
        <f>B92*B96</f>
        <v>0</v>
      </c>
      <c r="D92" s="3"/>
      <c r="E92" s="29"/>
      <c r="F92" s="3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41" t="s">
        <v>28</v>
      </c>
      <c r="B93" s="30">
        <v>24.0</v>
      </c>
      <c r="C93" s="10">
        <f>B93*B96</f>
        <v>9980.288669</v>
      </c>
      <c r="D93" s="3"/>
      <c r="E93" s="1"/>
      <c r="F93" s="3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67" t="s">
        <v>118</v>
      </c>
      <c r="B94" s="30">
        <v>123.0</v>
      </c>
      <c r="C94" s="10">
        <f>B94*B96</f>
        <v>51148.97943</v>
      </c>
      <c r="D94" s="3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8</v>
      </c>
      <c r="B95" s="17">
        <f t="shared" ref="B95:C95" si="6">SUM(B90:B94)</f>
        <v>263</v>
      </c>
      <c r="C95" s="17">
        <f t="shared" si="6"/>
        <v>109367.33</v>
      </c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8" t="s">
        <v>9</v>
      </c>
      <c r="B96" s="19">
        <f>D87/B95</f>
        <v>415.8453612</v>
      </c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7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0"/>
      <c r="B98" s="21"/>
      <c r="C98" s="22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1"/>
    </row>
    <row r="99">
      <c r="A99" s="1"/>
      <c r="B99" s="7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2" t="s">
        <v>40</v>
      </c>
      <c r="B100" s="7"/>
      <c r="C100" s="3"/>
      <c r="D100" s="4">
        <f>1312840+4687220</f>
        <v>6000060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2</v>
      </c>
      <c r="B101" s="5">
        <f>0.5%</f>
        <v>0.005</v>
      </c>
      <c r="C101" s="3"/>
      <c r="D101" s="23">
        <f>D100*B101</f>
        <v>30000.3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40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2" t="s">
        <v>3</v>
      </c>
      <c r="B103" s="1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8" t="s">
        <v>119</v>
      </c>
      <c r="B104" s="14"/>
      <c r="C104" s="10">
        <f>B104*B109</f>
        <v>0</v>
      </c>
      <c r="D104" s="168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8" t="s">
        <v>94</v>
      </c>
      <c r="B105" s="9">
        <v>87.0</v>
      </c>
      <c r="C105" s="10">
        <f>B105*B109</f>
        <v>15000.15</v>
      </c>
      <c r="D105" s="172">
        <f>+C105+C74</f>
        <v>29592.3155</v>
      </c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66" t="s">
        <v>120</v>
      </c>
      <c r="B106" s="9">
        <v>87.0</v>
      </c>
      <c r="C106" s="10">
        <f>B106*B109</f>
        <v>15000.15</v>
      </c>
      <c r="D106" s="3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75"/>
      <c r="B107" s="14"/>
      <c r="C107" s="10">
        <f>B107*B109</f>
        <v>0</v>
      </c>
      <c r="D107" s="3"/>
      <c r="E107" s="3"/>
      <c r="F107" s="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50" t="s">
        <v>8</v>
      </c>
      <c r="B108" s="16">
        <f t="shared" ref="B108:C108" si="7">SUM(B104:B107)</f>
        <v>174</v>
      </c>
      <c r="C108" s="17">
        <f t="shared" si="7"/>
        <v>30000.3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8" t="s">
        <v>9</v>
      </c>
      <c r="B109" s="19">
        <f>D101/B108</f>
        <v>172.4155172</v>
      </c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7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7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20"/>
      <c r="B112" s="21"/>
      <c r="C112" s="22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1"/>
    </row>
    <row r="113">
      <c r="A113" s="1"/>
      <c r="B113" s="7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2" t="s">
        <v>132</v>
      </c>
      <c r="B114" s="7"/>
      <c r="C114" s="3"/>
      <c r="D114" s="4">
        <f>1910900+5404890</f>
        <v>7315790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2</v>
      </c>
      <c r="B115" s="5">
        <f>0.5%</f>
        <v>0.005</v>
      </c>
      <c r="C115" s="3"/>
      <c r="D115" s="23">
        <f>D114*B115</f>
        <v>36578.95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40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2" t="s">
        <v>3</v>
      </c>
      <c r="B117" s="1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8" t="s">
        <v>18</v>
      </c>
      <c r="B118" s="9">
        <v>84.0</v>
      </c>
      <c r="C118" s="10">
        <f>B118*B126</f>
        <v>5297.641034</v>
      </c>
      <c r="D118" s="173">
        <f>+C118+C147</f>
        <v>6319.416735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26" t="s">
        <v>21</v>
      </c>
      <c r="B119" s="9">
        <v>126.0</v>
      </c>
      <c r="C119" s="10">
        <f>B119*B126</f>
        <v>7946.461552</v>
      </c>
      <c r="D119" s="3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2" t="s">
        <v>122</v>
      </c>
      <c r="B120" s="9">
        <v>117.0</v>
      </c>
      <c r="C120" s="10">
        <f>B120*B12</f>
        <v>39663</v>
      </c>
      <c r="D120" s="3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2" t="s">
        <v>123</v>
      </c>
      <c r="B121" s="9">
        <v>12.0</v>
      </c>
      <c r="C121" s="10">
        <f>B121*B126</f>
        <v>756.8058621</v>
      </c>
      <c r="D121" s="3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2" t="s">
        <v>124</v>
      </c>
      <c r="B122" s="9">
        <v>119.0</v>
      </c>
      <c r="C122" s="10">
        <f>B122*B126</f>
        <v>7504.991466</v>
      </c>
      <c r="D122" s="3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2" t="s">
        <v>125</v>
      </c>
      <c r="B123" s="9">
        <v>87.0</v>
      </c>
      <c r="C123" s="10">
        <f>B123*B126</f>
        <v>5486.8425</v>
      </c>
      <c r="D123" s="3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67" t="s">
        <v>133</v>
      </c>
      <c r="B124" s="165">
        <v>35.0</v>
      </c>
      <c r="C124" s="10">
        <f>B124*B126</f>
        <v>2207.350431</v>
      </c>
      <c r="D124" s="3"/>
      <c r="E124" s="3"/>
      <c r="F124" s="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50" t="s">
        <v>8</v>
      </c>
      <c r="B125" s="16">
        <f t="shared" ref="B125:C125" si="8">SUM(B118:B124)</f>
        <v>580</v>
      </c>
      <c r="C125" s="17">
        <f t="shared" si="8"/>
        <v>68863.09284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8" t="s">
        <v>9</v>
      </c>
      <c r="B126" s="19">
        <f>D115/B125</f>
        <v>63.06715517</v>
      </c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7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20"/>
      <c r="B128" s="21"/>
      <c r="C128" s="22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1"/>
    </row>
    <row r="129">
      <c r="A129" s="1"/>
      <c r="B129" s="7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2" t="s">
        <v>134</v>
      </c>
      <c r="B130" s="7"/>
      <c r="C130" s="3"/>
      <c r="D130" s="4">
        <v>773450.0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 t="s">
        <v>2</v>
      </c>
      <c r="B131" s="5">
        <f>0.5%</f>
        <v>0.005</v>
      </c>
      <c r="C131" s="3"/>
      <c r="D131" s="23">
        <f>D130*B131</f>
        <v>3867.25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40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2" t="s">
        <v>3</v>
      </c>
      <c r="B133" s="1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8" t="s">
        <v>31</v>
      </c>
      <c r="B134" s="9">
        <v>65.0</v>
      </c>
      <c r="C134" s="10">
        <f>B134*B139</f>
        <v>3867.25</v>
      </c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64"/>
      <c r="B135" s="14"/>
      <c r="C135" s="10">
        <f>B135*B139</f>
        <v>0</v>
      </c>
      <c r="D135" s="3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63"/>
      <c r="B136" s="14"/>
      <c r="C136" s="10">
        <f>B136*B28</f>
        <v>0</v>
      </c>
      <c r="D136" s="3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3"/>
      <c r="B137" s="14"/>
      <c r="C137" s="10">
        <f>B137*B139</f>
        <v>0</v>
      </c>
      <c r="D137" s="3"/>
      <c r="E137" s="3"/>
      <c r="F137" s="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50" t="s">
        <v>8</v>
      </c>
      <c r="B138" s="16">
        <f t="shared" ref="B138:C138" si="9">SUM(B134:B137)</f>
        <v>65</v>
      </c>
      <c r="C138" s="17">
        <f t="shared" si="9"/>
        <v>3867.25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8" t="s">
        <v>9</v>
      </c>
      <c r="B139" s="19">
        <f>D131/B138</f>
        <v>59.49615385</v>
      </c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7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20"/>
      <c r="B141" s="21"/>
      <c r="C141" s="22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1"/>
    </row>
    <row r="142">
      <c r="A142" s="1"/>
      <c r="B142" s="7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2" t="s">
        <v>135</v>
      </c>
      <c r="B143" s="7"/>
      <c r="C143" s="3"/>
      <c r="D143" s="4">
        <v>754000.0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 t="s">
        <v>2</v>
      </c>
      <c r="B144" s="5">
        <f>0.5%</f>
        <v>0.005</v>
      </c>
      <c r="C144" s="3"/>
      <c r="D144" s="23">
        <f>D143*B144</f>
        <v>3770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40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2" t="s">
        <v>3</v>
      </c>
      <c r="B146" s="1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8" t="s">
        <v>18</v>
      </c>
      <c r="B147" s="9">
        <v>29.0</v>
      </c>
      <c r="C147" s="10">
        <f>B147*B154</f>
        <v>1021.775701</v>
      </c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67" t="s">
        <v>131</v>
      </c>
      <c r="B148" s="9">
        <v>23.0</v>
      </c>
      <c r="C148" s="10">
        <f>B148*B154</f>
        <v>810.3738318</v>
      </c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67" t="s">
        <v>133</v>
      </c>
      <c r="B149" s="9">
        <v>28.0</v>
      </c>
      <c r="C149" s="10">
        <f>B149*B154</f>
        <v>986.5420561</v>
      </c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3"/>
      <c r="B150" s="14"/>
      <c r="C150" s="10">
        <f>B150*B154</f>
        <v>0</v>
      </c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2" t="s">
        <v>125</v>
      </c>
      <c r="B151" s="9">
        <v>27.0</v>
      </c>
      <c r="C151" s="10">
        <f>B151*B154</f>
        <v>951.3084112</v>
      </c>
      <c r="D151" s="3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63"/>
      <c r="B152" s="14"/>
      <c r="C152" s="10">
        <f>B152*B43</f>
        <v>0</v>
      </c>
      <c r="D152" s="3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50" t="s">
        <v>8</v>
      </c>
      <c r="B153" s="16">
        <f t="shared" ref="B153:C153" si="10">SUM(B147:B152)</f>
        <v>107</v>
      </c>
      <c r="C153" s="17">
        <f t="shared" si="10"/>
        <v>3770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8" t="s">
        <v>9</v>
      </c>
      <c r="B154" s="19">
        <f>D144/B153</f>
        <v>35.23364486</v>
      </c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7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20"/>
      <c r="B156" s="21"/>
      <c r="C156" s="22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1"/>
    </row>
    <row r="157">
      <c r="A157" s="1"/>
      <c r="B157" s="7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39" t="s">
        <v>41</v>
      </c>
      <c r="C158" s="17" t="s">
        <v>70</v>
      </c>
      <c r="D158" s="3"/>
      <c r="E158" s="1"/>
      <c r="F158" s="13"/>
      <c r="G158" s="51" t="s">
        <v>44</v>
      </c>
      <c r="H158" s="51" t="s">
        <v>70</v>
      </c>
      <c r="I158" s="51" t="s">
        <v>45</v>
      </c>
      <c r="J158" s="51" t="s">
        <v>46</v>
      </c>
      <c r="K158" s="52" t="s">
        <v>47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53" t="s">
        <v>48</v>
      </c>
      <c r="B159" s="7"/>
      <c r="C159" s="17">
        <f>SUM(C176:C180)</f>
        <v>695560.93</v>
      </c>
      <c r="D159" s="17">
        <v>695600.0</v>
      </c>
      <c r="E159" s="3"/>
      <c r="F159" s="13" t="s">
        <v>32</v>
      </c>
      <c r="G159" s="54">
        <f>B165</f>
        <v>84288372</v>
      </c>
      <c r="H159" s="55">
        <f t="shared" ref="H159:H163" si="11">+G159*0.5%</f>
        <v>421441.86</v>
      </c>
      <c r="I159" s="55">
        <f>C72</f>
        <v>83746.34112</v>
      </c>
      <c r="J159" s="55">
        <f t="shared" ref="J159:J163" si="12">+H159-I159</f>
        <v>337695.5189</v>
      </c>
      <c r="K159" s="56">
        <v>337700.0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53" t="s">
        <v>49</v>
      </c>
      <c r="B160" s="7"/>
      <c r="C160" s="17">
        <f>SUM(C184:C189)</f>
        <v>667130.095</v>
      </c>
      <c r="D160" s="17">
        <v>667100.0</v>
      </c>
      <c r="E160" s="1"/>
      <c r="F160" s="37" t="s">
        <v>50</v>
      </c>
      <c r="G160" s="54">
        <f>B163</f>
        <v>35080566</v>
      </c>
      <c r="H160" s="55">
        <f t="shared" si="11"/>
        <v>175402.83</v>
      </c>
      <c r="I160" s="55">
        <f>C34</f>
        <v>59928.86497</v>
      </c>
      <c r="J160" s="55">
        <f t="shared" si="12"/>
        <v>115473.965</v>
      </c>
      <c r="K160" s="56">
        <v>115500.0</v>
      </c>
      <c r="L160" s="3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57" t="s">
        <v>51</v>
      </c>
      <c r="B161" s="58">
        <v>6.290914E7</v>
      </c>
      <c r="C161" s="59">
        <f t="shared" ref="C161:C172" si="13">+B161*0.5%</f>
        <v>314545.7</v>
      </c>
      <c r="D161" s="17">
        <v>314500.0</v>
      </c>
      <c r="E161" s="1"/>
      <c r="F161" s="13" t="s">
        <v>13</v>
      </c>
      <c r="G161" s="54">
        <f t="shared" ref="G161:G162" si="14">B161</f>
        <v>62909140</v>
      </c>
      <c r="H161" s="55">
        <f t="shared" si="11"/>
        <v>314545.7</v>
      </c>
      <c r="I161" s="55">
        <f>C21</f>
        <v>93894.0281</v>
      </c>
      <c r="J161" s="55">
        <f t="shared" si="12"/>
        <v>220651.6719</v>
      </c>
      <c r="K161" s="56">
        <v>220700.0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57" t="s">
        <v>52</v>
      </c>
      <c r="B162" s="58">
        <v>2.056351E7</v>
      </c>
      <c r="C162" s="59">
        <f t="shared" si="13"/>
        <v>102817.55</v>
      </c>
      <c r="D162" s="16">
        <v>102800.0</v>
      </c>
      <c r="E162" s="1"/>
      <c r="F162" s="13" t="s">
        <v>5</v>
      </c>
      <c r="G162" s="54">
        <f t="shared" si="14"/>
        <v>20563510</v>
      </c>
      <c r="H162" s="55">
        <f t="shared" si="11"/>
        <v>102817.55</v>
      </c>
      <c r="I162" s="55">
        <f>C6</f>
        <v>32370.31268</v>
      </c>
      <c r="J162" s="55">
        <f t="shared" si="12"/>
        <v>70447.23732</v>
      </c>
      <c r="K162" s="56">
        <v>70400.0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61" t="s">
        <v>54</v>
      </c>
      <c r="B163" s="62">
        <v>3.5080566E7</v>
      </c>
      <c r="C163" s="63">
        <f t="shared" si="13"/>
        <v>175402.83</v>
      </c>
      <c r="D163" s="16">
        <v>175400.0</v>
      </c>
      <c r="E163" s="1"/>
      <c r="F163" s="13" t="s">
        <v>25</v>
      </c>
      <c r="G163" s="54">
        <f>B164</f>
        <v>31448390</v>
      </c>
      <c r="H163" s="55">
        <f t="shared" si="11"/>
        <v>157241.95</v>
      </c>
      <c r="I163" s="55">
        <f>C58</f>
        <v>53040.84276</v>
      </c>
      <c r="J163" s="55">
        <f t="shared" si="12"/>
        <v>104201.1072</v>
      </c>
      <c r="K163" s="56">
        <v>104200.0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64" t="s">
        <v>55</v>
      </c>
      <c r="B164" s="65">
        <v>3.144839E7</v>
      </c>
      <c r="C164" s="66">
        <f t="shared" si="13"/>
        <v>157241.95</v>
      </c>
      <c r="D164" s="16">
        <v>157200.0</v>
      </c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53" t="s">
        <v>56</v>
      </c>
      <c r="B165" s="69">
        <v>8.4288372E7</v>
      </c>
      <c r="C165" s="17">
        <f t="shared" si="13"/>
        <v>421441.86</v>
      </c>
      <c r="D165" s="16">
        <v>421400.0</v>
      </c>
      <c r="E165" s="1"/>
      <c r="F165" s="13"/>
      <c r="G165" s="67"/>
      <c r="H165" s="37"/>
      <c r="I165" s="37"/>
      <c r="J165" s="37"/>
      <c r="K165" s="68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53" t="s">
        <v>58</v>
      </c>
      <c r="B166" s="69">
        <v>2.4191146E7</v>
      </c>
      <c r="C166" s="17">
        <f t="shared" si="13"/>
        <v>120955.73</v>
      </c>
      <c r="D166" s="16">
        <v>121000.0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53" t="s">
        <v>59</v>
      </c>
      <c r="B167" s="69">
        <v>5000090.0</v>
      </c>
      <c r="C167" s="17">
        <f t="shared" si="13"/>
        <v>25000.45</v>
      </c>
      <c r="D167" s="16">
        <v>25000.0</v>
      </c>
      <c r="E167" s="1"/>
      <c r="F167" s="70" t="s">
        <v>106</v>
      </c>
      <c r="G167" s="7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53" t="s">
        <v>127</v>
      </c>
      <c r="B168" s="19">
        <v>6889990.0</v>
      </c>
      <c r="C168" s="17">
        <f t="shared" si="13"/>
        <v>34449.95</v>
      </c>
      <c r="D168" s="16">
        <v>34500.0</v>
      </c>
      <c r="E168" s="1"/>
      <c r="F168" s="13" t="s">
        <v>48</v>
      </c>
      <c r="G168" s="55">
        <f t="shared" ref="G168:G169" si="15">D159</f>
        <v>695600</v>
      </c>
      <c r="H168" s="3"/>
      <c r="I168" s="1"/>
      <c r="J168" s="1"/>
      <c r="K168" s="1"/>
      <c r="L168" s="1"/>
      <c r="M168" s="1"/>
      <c r="N168" s="3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53" t="s">
        <v>136</v>
      </c>
      <c r="B169" s="19">
        <v>898200.0</v>
      </c>
      <c r="C169" s="17">
        <f t="shared" si="13"/>
        <v>4491</v>
      </c>
      <c r="D169" s="16">
        <v>4500.0</v>
      </c>
      <c r="E169" s="1"/>
      <c r="F169" s="13" t="s">
        <v>49</v>
      </c>
      <c r="G169" s="55">
        <f t="shared" si="15"/>
        <v>667100</v>
      </c>
      <c r="H169" s="1"/>
      <c r="I169" s="73"/>
      <c r="J169" s="74"/>
      <c r="K169" s="75"/>
      <c r="L169" s="76"/>
      <c r="M169" s="1"/>
      <c r="N169" s="1"/>
      <c r="O169" s="3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53" t="s">
        <v>137</v>
      </c>
      <c r="B170" s="19">
        <v>1268801.0</v>
      </c>
      <c r="C170" s="17">
        <f t="shared" si="13"/>
        <v>6344.005</v>
      </c>
      <c r="D170" s="16">
        <v>6300.0</v>
      </c>
      <c r="E170" s="1"/>
      <c r="F170" s="13" t="s">
        <v>13</v>
      </c>
      <c r="G170" s="55">
        <f t="shared" ref="G170:G172" si="16">K161</f>
        <v>220700</v>
      </c>
      <c r="H170" s="3" t="s">
        <v>109</v>
      </c>
      <c r="I170" s="78"/>
      <c r="K170" s="79"/>
      <c r="L170" s="76"/>
      <c r="M170" s="1"/>
      <c r="N170" s="3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7"/>
      <c r="C171" s="17">
        <f t="shared" si="13"/>
        <v>0</v>
      </c>
      <c r="D171" s="1"/>
      <c r="E171" s="1"/>
      <c r="F171" s="13" t="s">
        <v>5</v>
      </c>
      <c r="G171" s="55">
        <f t="shared" si="16"/>
        <v>70400</v>
      </c>
      <c r="H171" s="1" t="s">
        <v>110</v>
      </c>
      <c r="I171" s="78"/>
      <c r="K171" s="79"/>
      <c r="L171" s="76"/>
      <c r="M171" s="1"/>
      <c r="N171" s="3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7"/>
      <c r="C172" s="17">
        <f t="shared" si="13"/>
        <v>0</v>
      </c>
      <c r="D172" s="170"/>
      <c r="E172" s="1"/>
      <c r="F172" s="13" t="s">
        <v>25</v>
      </c>
      <c r="G172" s="55">
        <f t="shared" si="16"/>
        <v>104200</v>
      </c>
      <c r="H172" s="3" t="s">
        <v>111</v>
      </c>
      <c r="I172" s="81"/>
      <c r="J172" s="82"/>
      <c r="K172" s="83"/>
      <c r="L172" s="76"/>
      <c r="M172" s="1"/>
      <c r="N172" s="3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7"/>
      <c r="C173" s="10">
        <f t="shared" ref="C173:D173" si="17">SUM(C159:C172)</f>
        <v>2725382.05</v>
      </c>
      <c r="D173" s="77">
        <f t="shared" si="17"/>
        <v>2725300</v>
      </c>
      <c r="E173" s="1"/>
      <c r="F173" s="13"/>
      <c r="G173" s="84">
        <f>D163*0</f>
        <v>0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7"/>
      <c r="C174" s="3"/>
      <c r="D174" s="1"/>
      <c r="E174" s="1"/>
      <c r="F174" s="13" t="s">
        <v>32</v>
      </c>
      <c r="G174" s="55">
        <f t="shared" ref="G174:G175" si="18">K159</f>
        <v>337700</v>
      </c>
      <c r="H174" s="3" t="s">
        <v>63</v>
      </c>
      <c r="I174" s="3"/>
      <c r="J174" s="3"/>
      <c r="K174" s="3"/>
      <c r="L174" s="1"/>
      <c r="M174" s="1"/>
      <c r="N174" s="1"/>
      <c r="O174" s="3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77" t="s">
        <v>60</v>
      </c>
      <c r="B175" s="178"/>
      <c r="C175" s="179" t="s">
        <v>70</v>
      </c>
      <c r="D175" s="180"/>
      <c r="E175" s="1"/>
      <c r="F175" s="13" t="s">
        <v>50</v>
      </c>
      <c r="G175" s="55">
        <f t="shared" si="18"/>
        <v>115500</v>
      </c>
      <c r="H175" s="3" t="s">
        <v>65</v>
      </c>
      <c r="I175" s="3"/>
      <c r="J175" s="3"/>
      <c r="K175" s="3"/>
      <c r="L175" s="3"/>
      <c r="M175" s="1"/>
      <c r="N175" s="3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53" t="s">
        <v>61</v>
      </c>
      <c r="B176" s="6">
        <f>B162</f>
        <v>20563510</v>
      </c>
      <c r="C176" s="17">
        <f t="shared" ref="C176:C179" si="19">B176*0.5%</f>
        <v>102817.55</v>
      </c>
      <c r="D176" s="1"/>
      <c r="E176" s="1"/>
      <c r="F176" s="1"/>
      <c r="G176" s="85">
        <f>SUM(G168:G175)</f>
        <v>2211200</v>
      </c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53" t="s">
        <v>62</v>
      </c>
      <c r="B177" s="6">
        <f>B161</f>
        <v>62909140</v>
      </c>
      <c r="C177" s="17">
        <f t="shared" si="19"/>
        <v>314545.7</v>
      </c>
      <c r="D177" s="1"/>
      <c r="E177" s="1"/>
      <c r="F177" s="1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53" t="s">
        <v>64</v>
      </c>
      <c r="B178" s="6">
        <f>B164</f>
        <v>31448390</v>
      </c>
      <c r="C178" s="17">
        <f t="shared" si="19"/>
        <v>157241.95</v>
      </c>
      <c r="D178" s="1"/>
      <c r="E178" s="1"/>
      <c r="F178" s="1"/>
      <c r="G178" s="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53" t="s">
        <v>58</v>
      </c>
      <c r="B179" s="6">
        <f>B166</f>
        <v>24191146</v>
      </c>
      <c r="C179" s="17">
        <f t="shared" si="19"/>
        <v>120955.73</v>
      </c>
      <c r="D179" s="1"/>
      <c r="E179" s="1"/>
      <c r="F179" s="1" t="s">
        <v>138</v>
      </c>
      <c r="G179" s="44">
        <f>G168+G170+G171+G172</f>
        <v>1090900</v>
      </c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7"/>
      <c r="C180" s="3"/>
      <c r="D180" s="1"/>
      <c r="E180" s="1"/>
      <c r="F180" s="1" t="s">
        <v>139</v>
      </c>
      <c r="G180" s="44">
        <f>G169+G174+G175</f>
        <v>1120300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9">
        <f t="shared" ref="B181:C181" si="20">SUM(B176:B180)</f>
        <v>139112186</v>
      </c>
      <c r="C181" s="86">
        <f t="shared" si="20"/>
        <v>695560.93</v>
      </c>
      <c r="D181" s="171" t="s">
        <v>66</v>
      </c>
      <c r="E181" s="1"/>
      <c r="F181" s="1"/>
      <c r="G181" s="44">
        <f>SUM(G179:G180)</f>
        <v>2211200</v>
      </c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88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77" t="s">
        <v>67</v>
      </c>
      <c r="B183" s="181"/>
      <c r="C183" s="179" t="s">
        <v>70</v>
      </c>
      <c r="D183" s="180"/>
      <c r="E183" s="182"/>
      <c r="F183" s="182"/>
      <c r="G183" s="183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82"/>
      <c r="S183" s="182"/>
      <c r="T183" s="182"/>
      <c r="U183" s="182"/>
      <c r="V183" s="182"/>
      <c r="W183" s="182"/>
      <c r="X183" s="182"/>
      <c r="Y183" s="182"/>
      <c r="Z183" s="182"/>
    </row>
    <row r="184">
      <c r="A184" s="53" t="s">
        <v>68</v>
      </c>
      <c r="B184" s="6">
        <f>B163</f>
        <v>35080566</v>
      </c>
      <c r="C184" s="17">
        <f t="shared" ref="C184:C189" si="21">B184*0.5%</f>
        <v>175402.83</v>
      </c>
      <c r="D184" s="1"/>
      <c r="E184" s="1"/>
      <c r="F184" s="1"/>
      <c r="G184" s="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53" t="s">
        <v>69</v>
      </c>
      <c r="B185" s="6">
        <f>B165</f>
        <v>84288372</v>
      </c>
      <c r="C185" s="17">
        <f t="shared" si="21"/>
        <v>421441.86</v>
      </c>
      <c r="D185" s="1"/>
      <c r="E185" s="1"/>
      <c r="F185" s="1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53" t="s">
        <v>59</v>
      </c>
      <c r="B186" s="6">
        <f t="shared" ref="B186:B189" si="22">B167</f>
        <v>5000090</v>
      </c>
      <c r="C186" s="17">
        <f t="shared" si="21"/>
        <v>25000.45</v>
      </c>
      <c r="D186" s="1"/>
      <c r="E186" s="184"/>
      <c r="F186" s="18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53" t="s">
        <v>127</v>
      </c>
      <c r="B187" s="6">
        <f t="shared" si="22"/>
        <v>6889990</v>
      </c>
      <c r="C187" s="17">
        <f t="shared" si="21"/>
        <v>34449.95</v>
      </c>
      <c r="D187" s="1"/>
      <c r="E187" s="1"/>
      <c r="F187" s="1"/>
      <c r="G187" s="3"/>
      <c r="H187" s="1"/>
      <c r="I187" s="1"/>
      <c r="J187" s="3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53" t="s">
        <v>136</v>
      </c>
      <c r="B188" s="6">
        <f t="shared" si="22"/>
        <v>898200</v>
      </c>
      <c r="C188" s="17">
        <f t="shared" si="21"/>
        <v>4491</v>
      </c>
      <c r="D188" s="1"/>
      <c r="E188" s="1"/>
      <c r="F188" s="1"/>
      <c r="G188" s="3"/>
      <c r="H188" s="1"/>
      <c r="I188" s="1"/>
      <c r="J188" s="3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53" t="s">
        <v>137</v>
      </c>
      <c r="B189" s="6">
        <f t="shared" si="22"/>
        <v>1268801</v>
      </c>
      <c r="C189" s="17">
        <f t="shared" si="21"/>
        <v>6344.005</v>
      </c>
      <c r="D189" s="1"/>
      <c r="E189" s="1"/>
      <c r="F189" s="1"/>
      <c r="G189" s="3"/>
      <c r="H189" s="1"/>
      <c r="I189" s="1"/>
      <c r="J189" s="3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7"/>
      <c r="C190" s="3"/>
      <c r="D190" s="1"/>
      <c r="E190" s="1"/>
      <c r="F190" s="1"/>
      <c r="G190" s="3"/>
      <c r="H190" s="1"/>
      <c r="I190" s="1"/>
      <c r="J190" s="3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9">
        <f t="shared" ref="B191:C191" si="23">SUM(B184:B190)</f>
        <v>133426019</v>
      </c>
      <c r="C191" s="86">
        <f t="shared" si="23"/>
        <v>667130.095</v>
      </c>
      <c r="D191" s="171" t="s">
        <v>66</v>
      </c>
      <c r="E191" s="1"/>
      <c r="F191" s="1"/>
      <c r="G191" s="92"/>
      <c r="H191" s="1"/>
      <c r="I191" s="1"/>
      <c r="J191" s="3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7"/>
      <c r="C192" s="3"/>
      <c r="D192" s="1"/>
      <c r="E192" s="1"/>
      <c r="F192" s="1"/>
      <c r="G192" s="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7"/>
      <c r="C193" s="168"/>
      <c r="D193" s="184"/>
      <c r="E193" s="1"/>
      <c r="F193" s="1"/>
      <c r="G193" s="3"/>
      <c r="H193" s="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7"/>
      <c r="C194" s="3"/>
      <c r="D194" s="1"/>
      <c r="E194" s="1"/>
      <c r="F194" s="1"/>
      <c r="G194" s="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7"/>
      <c r="C195" s="3"/>
      <c r="D195" s="1"/>
      <c r="E195" s="1"/>
      <c r="F195" s="1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7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7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7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7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7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7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7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7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F70:F71"/>
    <mergeCell ref="F167:G167"/>
    <mergeCell ref="I169:K17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</v>
      </c>
      <c r="B2" s="1"/>
      <c r="C2" s="3"/>
      <c r="D2" s="4">
        <f>2710910+15438847</f>
        <v>18149757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</v>
      </c>
      <c r="B3" s="5">
        <f>0.5%</f>
        <v>0.005</v>
      </c>
      <c r="C3" s="3"/>
      <c r="D3" s="6">
        <f>D2*B3</f>
        <v>90748.785</v>
      </c>
      <c r="E3" s="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3</v>
      </c>
      <c r="B5" s="1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8" t="s">
        <v>5</v>
      </c>
      <c r="B6" s="9">
        <v>100.0</v>
      </c>
      <c r="C6" s="10">
        <f>B6*B13</f>
        <v>30249.595</v>
      </c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8" t="s">
        <v>72</v>
      </c>
      <c r="B7" s="9">
        <v>103.0</v>
      </c>
      <c r="C7" s="10">
        <f>B7*B13</f>
        <v>31157.08285</v>
      </c>
      <c r="D7" s="1"/>
      <c r="E7" s="1"/>
      <c r="F7" s="1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85" t="s">
        <v>74</v>
      </c>
      <c r="B8" s="9">
        <v>97.0</v>
      </c>
      <c r="C8" s="10">
        <f>B8*B13</f>
        <v>29342.10715</v>
      </c>
      <c r="D8" s="186">
        <f>+C8/30*6</f>
        <v>5868.42143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63"/>
      <c r="B9" s="14"/>
      <c r="C9" s="10">
        <f>B9*B13</f>
        <v>0</v>
      </c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3"/>
      <c r="B10" s="14"/>
      <c r="C10" s="10">
        <f>B10*B13</f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"/>
      <c r="B11" s="14"/>
      <c r="C11" s="10">
        <f>B11*B13</f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8</v>
      </c>
      <c r="B12" s="16">
        <f t="shared" ref="B12:C12" si="1">SUM(B6:B11)</f>
        <v>300</v>
      </c>
      <c r="C12" s="17">
        <f t="shared" si="1"/>
        <v>90748.785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8" t="s">
        <v>9</v>
      </c>
      <c r="B13" s="19">
        <f>D3/B12</f>
        <v>302.49595</v>
      </c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7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0"/>
      <c r="B15" s="21"/>
      <c r="C15" s="22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1"/>
    </row>
    <row r="16">
      <c r="A16" s="1"/>
      <c r="B16" s="7"/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 t="s">
        <v>76</v>
      </c>
      <c r="B17" s="1"/>
      <c r="C17" s="3"/>
      <c r="D17" s="4">
        <f>10380390+37504963</f>
        <v>47885353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2</v>
      </c>
      <c r="B18" s="5">
        <f>0.5%</f>
        <v>0.005</v>
      </c>
      <c r="C18" s="3"/>
      <c r="D18" s="44">
        <f>D17*B18</f>
        <v>239426.765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 t="s">
        <v>3</v>
      </c>
      <c r="B20" s="1"/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8" t="s">
        <v>13</v>
      </c>
      <c r="B21" s="9">
        <v>123.0</v>
      </c>
      <c r="C21" s="10">
        <f>B21*B26</f>
        <v>85114.139</v>
      </c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8" t="s">
        <v>38</v>
      </c>
      <c r="B22" s="9">
        <v>121.0</v>
      </c>
      <c r="C22" s="10">
        <f>B22*B26</f>
        <v>83730.16926</v>
      </c>
      <c r="D22" s="3"/>
      <c r="E22" s="1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48" t="s">
        <v>89</v>
      </c>
      <c r="B23" s="9">
        <v>102.0</v>
      </c>
      <c r="C23" s="10">
        <f>B23*B26</f>
        <v>70582.45673</v>
      </c>
      <c r="D23" s="3"/>
      <c r="E23" s="1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3"/>
      <c r="B24" s="14"/>
      <c r="C24" s="10">
        <f>B24*B26</f>
        <v>0</v>
      </c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8</v>
      </c>
      <c r="B25" s="16">
        <f t="shared" ref="B25:C25" si="2">SUM(B21:B24)</f>
        <v>346</v>
      </c>
      <c r="C25" s="17">
        <f t="shared" si="2"/>
        <v>239426.765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8" t="s">
        <v>9</v>
      </c>
      <c r="B26" s="19">
        <f>D18/B25</f>
        <v>691.9848699</v>
      </c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7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0"/>
      <c r="B28" s="21"/>
      <c r="C28" s="22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1"/>
    </row>
    <row r="29">
      <c r="A29" s="1"/>
      <c r="B29" s="7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" t="s">
        <v>17</v>
      </c>
      <c r="B30" s="1"/>
      <c r="C30" s="3"/>
      <c r="D30" s="4">
        <f>6029760+28502748</f>
        <v>34532508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2</v>
      </c>
      <c r="B31" s="5">
        <f>0.5%</f>
        <v>0.005</v>
      </c>
      <c r="C31" s="3"/>
      <c r="D31" s="23">
        <f>D30*B31</f>
        <v>172662.54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" t="s">
        <v>3</v>
      </c>
      <c r="B33" s="1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8" t="s">
        <v>50</v>
      </c>
      <c r="B34" s="30">
        <v>128.0</v>
      </c>
      <c r="C34" s="10">
        <f>B34*B40</f>
        <v>60716.49758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8" t="s">
        <v>22</v>
      </c>
      <c r="B35" s="31">
        <v>131.0</v>
      </c>
      <c r="C35" s="10">
        <f>B35*B40</f>
        <v>62139.54049</v>
      </c>
      <c r="D35" s="168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8" t="s">
        <v>30</v>
      </c>
      <c r="B36" s="31">
        <v>62.0</v>
      </c>
      <c r="C36" s="10">
        <f>B36*B40</f>
        <v>29409.55352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3" t="s">
        <v>31</v>
      </c>
      <c r="B37" s="34">
        <v>16.0</v>
      </c>
      <c r="C37" s="10">
        <f>B37*B40</f>
        <v>7589.562198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87" t="s">
        <v>116</v>
      </c>
      <c r="B38" s="31">
        <v>27.0</v>
      </c>
      <c r="C38" s="35">
        <f>B38*B40</f>
        <v>12807.38621</v>
      </c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8</v>
      </c>
      <c r="B39" s="17">
        <f t="shared" ref="B39:C39" si="3">SUM(B34:B38)</f>
        <v>364</v>
      </c>
      <c r="C39" s="17">
        <f t="shared" si="3"/>
        <v>172662.54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8" t="s">
        <v>9</v>
      </c>
      <c r="B40" s="19">
        <f>D31/B39</f>
        <v>474.3476374</v>
      </c>
      <c r="C40" s="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7"/>
      <c r="C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0"/>
      <c r="B42" s="21"/>
      <c r="C42" s="22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1"/>
    </row>
    <row r="43">
      <c r="A43" s="1"/>
      <c r="B43" s="7"/>
      <c r="C43" s="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" t="s">
        <v>23</v>
      </c>
      <c r="B44" s="1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2</v>
      </c>
      <c r="B45" s="5">
        <f>0.5%</f>
        <v>0.005</v>
      </c>
      <c r="C45" s="3"/>
      <c r="D45" s="1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3"/>
      <c r="D46" s="23">
        <f>D45*B45</f>
        <v>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" t="s">
        <v>3</v>
      </c>
      <c r="B47" s="1"/>
      <c r="C47" s="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6"/>
      <c r="B48" s="37"/>
      <c r="C48" s="10" t="str">
        <f>B48*B51</f>
        <v>#DIV/0!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8"/>
      <c r="B49" s="37"/>
      <c r="C49" s="10" t="str">
        <f>B49*B51</f>
        <v>#DIV/0!</v>
      </c>
      <c r="D49" s="1"/>
      <c r="E49" s="1"/>
      <c r="F49" s="3"/>
      <c r="G49" s="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8</v>
      </c>
      <c r="B50" s="17">
        <f>SUM(B48:B49)</f>
        <v>0</v>
      </c>
      <c r="C50" s="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8" t="s">
        <v>9</v>
      </c>
      <c r="B51" s="39" t="str">
        <f>D46/B50</f>
        <v>#DIV/0!</v>
      </c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0"/>
      <c r="B53" s="20"/>
      <c r="C53" s="22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1"/>
    </row>
    <row r="54">
      <c r="A54" s="1"/>
      <c r="B54" s="1"/>
      <c r="C54" s="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" t="s">
        <v>24</v>
      </c>
      <c r="B55" s="1"/>
      <c r="C55" s="3"/>
      <c r="D55" s="4">
        <f>4737470+20586490</f>
        <v>25323960</v>
      </c>
      <c r="E55" s="1"/>
      <c r="F55" s="1"/>
      <c r="G55" s="1"/>
      <c r="H55" s="1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2</v>
      </c>
      <c r="B56" s="5">
        <f>0.5%</f>
        <v>0.005</v>
      </c>
      <c r="C56" s="3"/>
      <c r="D56" s="23">
        <f>D55*B56</f>
        <v>126619.8</v>
      </c>
      <c r="E56" s="1"/>
      <c r="F56" s="1"/>
      <c r="G56" s="1"/>
      <c r="H56" s="40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3"/>
      <c r="D57" s="1"/>
      <c r="E57" s="1"/>
      <c r="F57" s="1"/>
      <c r="G57" s="1"/>
      <c r="H57" s="1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" t="s">
        <v>3</v>
      </c>
      <c r="B58" s="1"/>
      <c r="C58" s="3"/>
      <c r="D58" s="1"/>
      <c r="E58" s="1"/>
      <c r="F58" s="1"/>
      <c r="G58" s="1"/>
      <c r="H58" s="1"/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41" t="s">
        <v>25</v>
      </c>
      <c r="B59" s="9">
        <v>100.0</v>
      </c>
      <c r="C59" s="10">
        <f>B59*B63</f>
        <v>46896.22222</v>
      </c>
      <c r="D59" s="3"/>
      <c r="E59" s="1"/>
      <c r="F59" s="1"/>
      <c r="G59" s="1"/>
      <c r="H59" s="1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41" t="s">
        <v>26</v>
      </c>
      <c r="B60" s="9">
        <v>86.0</v>
      </c>
      <c r="C60" s="10">
        <f>B60*B63</f>
        <v>40330.75111</v>
      </c>
      <c r="D60" s="3"/>
      <c r="E60" s="1"/>
      <c r="F60" s="1"/>
      <c r="G60" s="1"/>
      <c r="H60" s="1"/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41" t="s">
        <v>28</v>
      </c>
      <c r="B61" s="9">
        <v>84.0</v>
      </c>
      <c r="C61" s="10">
        <f>B61*B63</f>
        <v>39392.82667</v>
      </c>
      <c r="D61" s="188">
        <f>+C61+C93</f>
        <v>43507.11886</v>
      </c>
      <c r="E61" s="1"/>
      <c r="F61" s="1"/>
      <c r="G61" s="1"/>
      <c r="H61" s="1"/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8</v>
      </c>
      <c r="B62" s="16">
        <f t="shared" ref="B62:C62" si="4">SUM(B59:B61)</f>
        <v>270</v>
      </c>
      <c r="C62" s="17">
        <f t="shared" si="4"/>
        <v>126619.8</v>
      </c>
      <c r="D62" s="1"/>
      <c r="E62" s="1"/>
      <c r="F62" s="1"/>
      <c r="G62" s="1"/>
      <c r="H62" s="1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8" t="s">
        <v>9</v>
      </c>
      <c r="B63" s="19">
        <f>D56/B62</f>
        <v>468.9622222</v>
      </c>
      <c r="C63" s="3"/>
      <c r="D63" s="1"/>
      <c r="E63" s="1"/>
      <c r="F63" s="1"/>
      <c r="G63" s="1"/>
      <c r="H63" s="7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0"/>
      <c r="B65" s="20"/>
      <c r="C65" s="22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1"/>
    </row>
    <row r="66">
      <c r="A66" s="1"/>
      <c r="B66" s="7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" t="s">
        <v>29</v>
      </c>
      <c r="B67" s="1"/>
      <c r="C67" s="3"/>
      <c r="D67" s="4">
        <f>13629720+61700460</f>
        <v>75330180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2</v>
      </c>
      <c r="B68" s="5">
        <f>0.5%</f>
        <v>0.005</v>
      </c>
      <c r="C68" s="3"/>
      <c r="D68" s="23">
        <f>D67*B68</f>
        <v>376650.9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" t="s">
        <v>3</v>
      </c>
      <c r="B70" s="1"/>
      <c r="C70" s="3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8" t="s">
        <v>30</v>
      </c>
      <c r="B71" s="9">
        <f>123-62-33</f>
        <v>28</v>
      </c>
      <c r="C71" s="10">
        <f>B71*B82</f>
        <v>14348.60571</v>
      </c>
      <c r="D71" s="186">
        <f>+C71+C36+C106</f>
        <v>48076.14571</v>
      </c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8" t="s">
        <v>32</v>
      </c>
      <c r="B72" s="31">
        <v>128.0</v>
      </c>
      <c r="C72" s="10">
        <f>B72*B82</f>
        <v>65593.62612</v>
      </c>
      <c r="D72" s="3"/>
      <c r="E72" s="1"/>
      <c r="F72" s="3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8" t="s">
        <v>34</v>
      </c>
      <c r="B73" s="31">
        <v>19.0</v>
      </c>
      <c r="C73" s="10">
        <f>B73*B82</f>
        <v>9736.553878</v>
      </c>
      <c r="D73" s="3"/>
      <c r="E73" s="1"/>
      <c r="F73" s="3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66" t="s">
        <v>140</v>
      </c>
      <c r="B74" s="31">
        <v>121.0</v>
      </c>
      <c r="C74" s="10">
        <f>B74*B82</f>
        <v>62006.47469</v>
      </c>
      <c r="D74" s="3"/>
      <c r="E74" s="1"/>
      <c r="F74" s="3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66" t="s">
        <v>117</v>
      </c>
      <c r="B75" s="31">
        <v>121.0</v>
      </c>
      <c r="C75" s="10">
        <f>B75*B82</f>
        <v>62006.47469</v>
      </c>
      <c r="D75" s="3"/>
      <c r="E75" s="1"/>
      <c r="F75" s="3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67" t="s">
        <v>133</v>
      </c>
      <c r="B76" s="31">
        <v>118.0</v>
      </c>
      <c r="C76" s="10">
        <f>B76*B82</f>
        <v>60469.12408</v>
      </c>
      <c r="D76" s="3"/>
      <c r="E76" s="1"/>
      <c r="F76" s="3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67" t="s">
        <v>130</v>
      </c>
      <c r="B77" s="31">
        <v>127.0</v>
      </c>
      <c r="C77" s="10">
        <f>B77*B82</f>
        <v>65081.17592</v>
      </c>
      <c r="D77" s="3"/>
      <c r="E77" s="1"/>
      <c r="F77" s="3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67" t="s">
        <v>131</v>
      </c>
      <c r="B78" s="31">
        <v>51.0</v>
      </c>
      <c r="C78" s="10">
        <f>B78*B82</f>
        <v>26134.96041</v>
      </c>
      <c r="D78" s="3"/>
      <c r="E78" s="1"/>
      <c r="F78" s="3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1" t="s">
        <v>141</v>
      </c>
      <c r="B79" s="34">
        <v>13.0</v>
      </c>
      <c r="C79" s="35">
        <f>B79*B82</f>
        <v>6661.852653</v>
      </c>
      <c r="D79" s="3"/>
      <c r="E79" s="1"/>
      <c r="F79" s="3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41" t="s">
        <v>87</v>
      </c>
      <c r="B80" s="31">
        <v>9.0</v>
      </c>
      <c r="C80" s="10">
        <f>B80*B82</f>
        <v>4612.051837</v>
      </c>
      <c r="D80" s="3"/>
      <c r="E80" s="1"/>
      <c r="F80" s="3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8</v>
      </c>
      <c r="B81" s="16">
        <f t="shared" ref="B81:C81" si="5">SUM(B71:B80)</f>
        <v>735</v>
      </c>
      <c r="C81" s="17">
        <f t="shared" si="5"/>
        <v>376650.9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8" t="s">
        <v>9</v>
      </c>
      <c r="B82" s="19">
        <f>D68/B81</f>
        <v>512.4502041</v>
      </c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7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0"/>
      <c r="B84" s="21"/>
      <c r="C84" s="22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1"/>
    </row>
    <row r="85">
      <c r="A85" s="1"/>
      <c r="B85" s="7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2" t="s">
        <v>35</v>
      </c>
      <c r="B86" s="1"/>
      <c r="C86" s="3"/>
      <c r="D86" s="43">
        <f>3505560+13521280</f>
        <v>17026840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2</v>
      </c>
      <c r="B87" s="5">
        <f>0.5%</f>
        <v>0.005</v>
      </c>
      <c r="C87" s="3"/>
      <c r="D87" s="44">
        <f>D86*B87</f>
        <v>85134.2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3"/>
      <c r="D88" s="3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" t="s">
        <v>3</v>
      </c>
      <c r="B89" s="1"/>
      <c r="C89" s="3"/>
      <c r="D89" s="3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75"/>
      <c r="B90" s="176"/>
      <c r="C90" s="35">
        <f>B90*B96</f>
        <v>0</v>
      </c>
      <c r="D90" s="1"/>
      <c r="E90" s="1"/>
      <c r="F90" s="3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41" t="s">
        <v>90</v>
      </c>
      <c r="B91" s="31">
        <v>118.0</v>
      </c>
      <c r="C91" s="10">
        <f>B91*B96</f>
        <v>37345.11375</v>
      </c>
      <c r="D91" s="186">
        <f>+C91/30*7</f>
        <v>8713.859876</v>
      </c>
      <c r="E91" s="1"/>
      <c r="F91" s="3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7" t="s">
        <v>142</v>
      </c>
      <c r="B92" s="31">
        <v>21.0</v>
      </c>
      <c r="C92" s="10">
        <f>B92*B96</f>
        <v>6646.164312</v>
      </c>
      <c r="D92" s="3"/>
      <c r="E92" s="29"/>
      <c r="F92" s="3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41" t="s">
        <v>28</v>
      </c>
      <c r="B93" s="30">
        <v>13.0</v>
      </c>
      <c r="C93" s="10">
        <f>B93*B96</f>
        <v>4114.292193</v>
      </c>
      <c r="D93" s="3"/>
      <c r="E93" s="1"/>
      <c r="F93" s="3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67" t="s">
        <v>118</v>
      </c>
      <c r="B94" s="30">
        <v>117.0</v>
      </c>
      <c r="C94" s="10">
        <f>B94*B96</f>
        <v>37028.62974</v>
      </c>
      <c r="D94" s="3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8</v>
      </c>
      <c r="B95" s="17">
        <f t="shared" ref="B95:C95" si="6">SUM(B90:B94)</f>
        <v>269</v>
      </c>
      <c r="C95" s="17">
        <f t="shared" si="6"/>
        <v>85134.2</v>
      </c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8" t="s">
        <v>9</v>
      </c>
      <c r="B96" s="19">
        <f>D87/B95</f>
        <v>316.4840149</v>
      </c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7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0"/>
      <c r="B98" s="21"/>
      <c r="C98" s="22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1"/>
    </row>
    <row r="99">
      <c r="A99" s="1"/>
      <c r="B99" s="7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2" t="s">
        <v>40</v>
      </c>
      <c r="B100" s="7"/>
      <c r="C100" s="3"/>
      <c r="D100" s="4">
        <f>312870+4921053</f>
        <v>5233923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2</v>
      </c>
      <c r="B101" s="5">
        <f>0.5%</f>
        <v>0.005</v>
      </c>
      <c r="C101" s="3"/>
      <c r="D101" s="23">
        <f>D100*B101</f>
        <v>26169.615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40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2" t="s">
        <v>3</v>
      </c>
      <c r="B103" s="1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8" t="s">
        <v>31</v>
      </c>
      <c r="B104" s="9">
        <f>106-16</f>
        <v>90</v>
      </c>
      <c r="C104" s="10">
        <f>B104*B109</f>
        <v>11776.32675</v>
      </c>
      <c r="D104" s="188">
        <f>+C104+C38</f>
        <v>24583.71296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8" t="s">
        <v>94</v>
      </c>
      <c r="B105" s="9">
        <f>89-19+7</f>
        <v>77</v>
      </c>
      <c r="C105" s="10">
        <f>B105*B109</f>
        <v>10075.30178</v>
      </c>
      <c r="D105" s="186">
        <f>+C105+C73</f>
        <v>19811.85565</v>
      </c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8" t="s">
        <v>30</v>
      </c>
      <c r="B106" s="9">
        <v>33.0</v>
      </c>
      <c r="C106" s="10">
        <f>B106*B109</f>
        <v>4317.986475</v>
      </c>
      <c r="D106" s="3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75"/>
      <c r="B107" s="14"/>
      <c r="C107" s="10">
        <f>B107*B109</f>
        <v>0</v>
      </c>
      <c r="D107" s="3"/>
      <c r="E107" s="3"/>
      <c r="F107" s="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50" t="s">
        <v>8</v>
      </c>
      <c r="B108" s="16">
        <f t="shared" ref="B108:C108" si="7">SUM(B104:B107)</f>
        <v>200</v>
      </c>
      <c r="C108" s="17">
        <f t="shared" si="7"/>
        <v>26169.615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8" t="s">
        <v>9</v>
      </c>
      <c r="B109" s="19">
        <f>D101/B108</f>
        <v>130.848075</v>
      </c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7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7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20"/>
      <c r="B112" s="21"/>
      <c r="C112" s="22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1"/>
    </row>
    <row r="113">
      <c r="A113" s="1"/>
      <c r="B113" s="7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2" t="s">
        <v>132</v>
      </c>
      <c r="B114" s="7"/>
      <c r="C114" s="3"/>
      <c r="D114" s="4">
        <f>1485100+17347200</f>
        <v>18832300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2</v>
      </c>
      <c r="B115" s="5">
        <f>0.5%</f>
        <v>0.005</v>
      </c>
      <c r="C115" s="3"/>
      <c r="D115" s="23">
        <f>D114*B115</f>
        <v>94161.5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40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2" t="s">
        <v>3</v>
      </c>
      <c r="B117" s="1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26" t="s">
        <v>21</v>
      </c>
      <c r="B118" s="9">
        <v>127.0</v>
      </c>
      <c r="C118" s="10">
        <f>B118*B126</f>
        <v>29310.07475</v>
      </c>
      <c r="D118" s="168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2" t="s">
        <v>122</v>
      </c>
      <c r="B119" s="9">
        <v>120.0</v>
      </c>
      <c r="C119" s="10">
        <f>B119*B126</f>
        <v>27694.55882</v>
      </c>
      <c r="D119" s="3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2" t="s">
        <v>124</v>
      </c>
      <c r="B120" s="9">
        <v>114.0</v>
      </c>
      <c r="C120" s="10">
        <f>B120*B126</f>
        <v>26309.83088</v>
      </c>
      <c r="D120" s="3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85" t="s">
        <v>143</v>
      </c>
      <c r="B121" s="9">
        <v>11.0</v>
      </c>
      <c r="C121" s="10">
        <f>B121*B126</f>
        <v>2538.667892</v>
      </c>
      <c r="D121" s="3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2" t="s">
        <v>125</v>
      </c>
      <c r="B122" s="9">
        <v>20.0</v>
      </c>
      <c r="C122" s="10">
        <f>B122*B126</f>
        <v>4615.759804</v>
      </c>
      <c r="D122" s="3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67" t="s">
        <v>144</v>
      </c>
      <c r="B123" s="9">
        <v>16.0</v>
      </c>
      <c r="C123" s="10">
        <f>B123*B126</f>
        <v>3692.607843</v>
      </c>
      <c r="D123" s="3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3"/>
      <c r="B124" s="14"/>
      <c r="C124" s="10">
        <f>B124*B126</f>
        <v>0</v>
      </c>
      <c r="D124" s="3"/>
      <c r="E124" s="3"/>
      <c r="F124" s="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50" t="s">
        <v>8</v>
      </c>
      <c r="B125" s="16">
        <f t="shared" ref="B125:C125" si="8">SUM(B118:B124)</f>
        <v>408</v>
      </c>
      <c r="C125" s="17">
        <f t="shared" si="8"/>
        <v>94161.5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8" t="s">
        <v>9</v>
      </c>
      <c r="B126" s="19">
        <f>D115/B125</f>
        <v>230.7879902</v>
      </c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7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20"/>
      <c r="B128" s="21"/>
      <c r="C128" s="22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1"/>
    </row>
    <row r="129">
      <c r="A129" s="1"/>
      <c r="B129" s="7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2" t="s">
        <v>134</v>
      </c>
      <c r="B130" s="7"/>
      <c r="C130" s="3"/>
      <c r="D130" s="4">
        <f>124750+1052891</f>
        <v>1177641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 t="s">
        <v>2</v>
      </c>
      <c r="B131" s="5">
        <f>0.5%</f>
        <v>0.005</v>
      </c>
      <c r="C131" s="3"/>
      <c r="D131" s="23">
        <f>D130*B131</f>
        <v>5888.205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40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2" t="s">
        <v>3</v>
      </c>
      <c r="B133" s="1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8" t="s">
        <v>120</v>
      </c>
      <c r="B134" s="9">
        <f>107-9</f>
        <v>98</v>
      </c>
      <c r="C134" s="10">
        <f>B134*B139</f>
        <v>2959.200462</v>
      </c>
      <c r="D134" s="188">
        <f>+C134+C80</f>
        <v>7571.252298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89" t="s">
        <v>145</v>
      </c>
      <c r="B135" s="9">
        <f>110-13</f>
        <v>97</v>
      </c>
      <c r="C135" s="10">
        <f>B135*B139</f>
        <v>2929.004538</v>
      </c>
      <c r="D135" s="3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63"/>
      <c r="B136" s="14"/>
      <c r="C136" s="10">
        <f>B136*B28</f>
        <v>0</v>
      </c>
      <c r="D136" s="3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3"/>
      <c r="B137" s="14"/>
      <c r="C137" s="10">
        <f>B137*B139</f>
        <v>0</v>
      </c>
      <c r="D137" s="3"/>
      <c r="E137" s="3"/>
      <c r="F137" s="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50" t="s">
        <v>8</v>
      </c>
      <c r="B138" s="16">
        <f t="shared" ref="B138:C138" si="9">SUM(B134:B137)</f>
        <v>195</v>
      </c>
      <c r="C138" s="17">
        <f t="shared" si="9"/>
        <v>5888.205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8" t="s">
        <v>9</v>
      </c>
      <c r="B139" s="19">
        <f>D131/B138</f>
        <v>30.19592308</v>
      </c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7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20"/>
      <c r="B141" s="21"/>
      <c r="C141" s="22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1"/>
    </row>
    <row r="142">
      <c r="A142" s="1"/>
      <c r="B142" s="7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2" t="s">
        <v>135</v>
      </c>
      <c r="B143" s="7"/>
      <c r="C143" s="3"/>
      <c r="D143" s="4">
        <f>514800+10559789</f>
        <v>11074589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 t="s">
        <v>2</v>
      </c>
      <c r="B144" s="5">
        <f>0.5%</f>
        <v>0.005</v>
      </c>
      <c r="C144" s="3"/>
      <c r="D144" s="23">
        <f>D143*B144</f>
        <v>55372.945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40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2" t="s">
        <v>3</v>
      </c>
      <c r="B146" s="1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8" t="s">
        <v>18</v>
      </c>
      <c r="B147" s="9">
        <f>112-11</f>
        <v>101</v>
      </c>
      <c r="C147" s="10">
        <f>B147*B154</f>
        <v>18642.22482</v>
      </c>
      <c r="D147" s="188">
        <f>+C147+C121</f>
        <v>21180.89271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2" t="s">
        <v>125</v>
      </c>
      <c r="B148" s="9">
        <f>118-20</f>
        <v>98</v>
      </c>
      <c r="C148" s="10">
        <f>B148*B154</f>
        <v>18088.49537</v>
      </c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67" t="s">
        <v>144</v>
      </c>
      <c r="B149" s="9">
        <f>117-16</f>
        <v>101</v>
      </c>
      <c r="C149" s="10">
        <f>B149*B154</f>
        <v>18642.22482</v>
      </c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3"/>
      <c r="B150" s="14"/>
      <c r="C150" s="10">
        <f>B150*B154</f>
        <v>0</v>
      </c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63"/>
      <c r="B151" s="14"/>
      <c r="C151" s="10">
        <f>B151*B154</f>
        <v>0</v>
      </c>
      <c r="D151" s="3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63"/>
      <c r="B152" s="14"/>
      <c r="C152" s="10">
        <f>B152*B44</f>
        <v>0</v>
      </c>
      <c r="D152" s="3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50" t="s">
        <v>8</v>
      </c>
      <c r="B153" s="16">
        <f t="shared" ref="B153:C153" si="10">SUM(B147:B152)</f>
        <v>300</v>
      </c>
      <c r="C153" s="17">
        <f t="shared" si="10"/>
        <v>55372.945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8" t="s">
        <v>9</v>
      </c>
      <c r="B154" s="19">
        <f>D144/B153</f>
        <v>184.5764833</v>
      </c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7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20"/>
      <c r="B156" s="21"/>
      <c r="C156" s="22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1"/>
    </row>
    <row r="157">
      <c r="A157" s="1"/>
      <c r="B157" s="7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39" t="s">
        <v>41</v>
      </c>
      <c r="C158" s="17" t="s">
        <v>42</v>
      </c>
      <c r="D158" s="3"/>
      <c r="E158" s="1"/>
      <c r="F158" s="13"/>
      <c r="G158" s="51" t="s">
        <v>44</v>
      </c>
      <c r="H158" s="51" t="s">
        <v>42</v>
      </c>
      <c r="I158" s="51" t="s">
        <v>45</v>
      </c>
      <c r="J158" s="51" t="s">
        <v>46</v>
      </c>
      <c r="K158" s="52" t="s">
        <v>47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53" t="s">
        <v>48</v>
      </c>
      <c r="B159" s="7"/>
      <c r="C159" s="17">
        <f>SUM(C176:C180)</f>
        <v>554310.85</v>
      </c>
      <c r="D159" s="17">
        <v>554300.0</v>
      </c>
      <c r="E159" s="3"/>
      <c r="F159" s="13" t="s">
        <v>32</v>
      </c>
      <c r="G159" s="54">
        <f>B165</f>
        <v>75154430</v>
      </c>
      <c r="H159" s="55">
        <f t="shared" ref="H159:H163" si="11">+G159*0.5%</f>
        <v>375772.15</v>
      </c>
      <c r="I159" s="55">
        <f>C72</f>
        <v>65593.62612</v>
      </c>
      <c r="J159" s="55">
        <f t="shared" ref="J159:J163" si="12">+H159-I159</f>
        <v>310178.5239</v>
      </c>
      <c r="K159" s="56">
        <v>310200.0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53" t="s">
        <v>49</v>
      </c>
      <c r="B160" s="7"/>
      <c r="C160" s="17">
        <f>SUM(C186:C191)</f>
        <v>742872.52</v>
      </c>
      <c r="D160" s="17">
        <v>742900.0</v>
      </c>
      <c r="E160" s="1"/>
      <c r="F160" s="37" t="s">
        <v>50</v>
      </c>
      <c r="G160" s="54">
        <f>B163</f>
        <v>34597889</v>
      </c>
      <c r="H160" s="55">
        <f t="shared" si="11"/>
        <v>172989.445</v>
      </c>
      <c r="I160" s="55">
        <f>C34</f>
        <v>60716.49758</v>
      </c>
      <c r="J160" s="55">
        <f t="shared" si="12"/>
        <v>112272.9474</v>
      </c>
      <c r="K160" s="56">
        <v>112300.0</v>
      </c>
      <c r="L160" s="3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57" t="s">
        <v>51</v>
      </c>
      <c r="B161" s="58">
        <v>5.0266585E7</v>
      </c>
      <c r="C161" s="59">
        <f t="shared" ref="C161:C172" si="13">+B161*0.5%</f>
        <v>251332.925</v>
      </c>
      <c r="D161" s="17">
        <v>251300.0</v>
      </c>
      <c r="E161" s="1"/>
      <c r="F161" s="13" t="s">
        <v>13</v>
      </c>
      <c r="G161" s="54">
        <f t="shared" ref="G161:G162" si="14">B161</f>
        <v>50266585</v>
      </c>
      <c r="H161" s="55">
        <f t="shared" si="11"/>
        <v>251332.925</v>
      </c>
      <c r="I161" s="55">
        <f>C21</f>
        <v>85114.139</v>
      </c>
      <c r="J161" s="55">
        <f t="shared" si="12"/>
        <v>166218.786</v>
      </c>
      <c r="K161" s="56">
        <v>166200.0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57" t="s">
        <v>52</v>
      </c>
      <c r="B162" s="58">
        <v>1.8417509E7</v>
      </c>
      <c r="C162" s="59">
        <f t="shared" si="13"/>
        <v>92087.545</v>
      </c>
      <c r="D162" s="16">
        <v>92100.0</v>
      </c>
      <c r="E162" s="1"/>
      <c r="F162" s="13" t="s">
        <v>5</v>
      </c>
      <c r="G162" s="54">
        <f t="shared" si="14"/>
        <v>18417509</v>
      </c>
      <c r="H162" s="55">
        <f t="shared" si="11"/>
        <v>92087.545</v>
      </c>
      <c r="I162" s="55">
        <f>C6</f>
        <v>30249.595</v>
      </c>
      <c r="J162" s="55">
        <f t="shared" si="12"/>
        <v>61837.95</v>
      </c>
      <c r="K162" s="56">
        <v>61800.0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61" t="s">
        <v>54</v>
      </c>
      <c r="B163" s="62">
        <v>3.4597889E7</v>
      </c>
      <c r="C163" s="63">
        <f t="shared" si="13"/>
        <v>172989.445</v>
      </c>
      <c r="D163" s="17">
        <v>173000.0</v>
      </c>
      <c r="E163" s="1"/>
      <c r="F163" s="13" t="s">
        <v>25</v>
      </c>
      <c r="G163" s="54">
        <f>B164</f>
        <v>25547206</v>
      </c>
      <c r="H163" s="55">
        <f t="shared" si="11"/>
        <v>127736.03</v>
      </c>
      <c r="I163" s="55">
        <f>C59</f>
        <v>46896.22222</v>
      </c>
      <c r="J163" s="55">
        <f t="shared" si="12"/>
        <v>80839.80778</v>
      </c>
      <c r="K163" s="56">
        <v>80800.0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64" t="s">
        <v>55</v>
      </c>
      <c r="B164" s="65">
        <v>2.5547206E7</v>
      </c>
      <c r="C164" s="66">
        <f t="shared" si="13"/>
        <v>127736.03</v>
      </c>
      <c r="D164" s="16">
        <v>127700.0</v>
      </c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53" t="s">
        <v>56</v>
      </c>
      <c r="B165" s="69">
        <v>7.515443E7</v>
      </c>
      <c r="C165" s="17">
        <f t="shared" si="13"/>
        <v>375772.15</v>
      </c>
      <c r="D165" s="16">
        <v>375800.0</v>
      </c>
      <c r="E165" s="1"/>
      <c r="F165" s="13"/>
      <c r="G165" s="67"/>
      <c r="H165" s="37"/>
      <c r="I165" s="37"/>
      <c r="J165" s="37"/>
      <c r="K165" s="68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53" t="s">
        <v>58</v>
      </c>
      <c r="B166" s="190">
        <v>1.663087E7</v>
      </c>
      <c r="C166" s="17">
        <f t="shared" si="13"/>
        <v>83154.35</v>
      </c>
      <c r="D166" s="16">
        <v>83200.0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53" t="s">
        <v>59</v>
      </c>
      <c r="B167" s="69">
        <v>5451414.0</v>
      </c>
      <c r="C167" s="17">
        <f t="shared" si="13"/>
        <v>27257.07</v>
      </c>
      <c r="D167" s="16">
        <v>27300.0</v>
      </c>
      <c r="E167" s="1"/>
      <c r="F167" s="70" t="s">
        <v>106</v>
      </c>
      <c r="G167" s="7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53" t="s">
        <v>127</v>
      </c>
      <c r="B168" s="19">
        <v>2.12385E7</v>
      </c>
      <c r="C168" s="17">
        <f t="shared" si="13"/>
        <v>106192.5</v>
      </c>
      <c r="D168" s="16">
        <v>106200.0</v>
      </c>
      <c r="E168" s="1"/>
      <c r="F168" s="13" t="s">
        <v>48</v>
      </c>
      <c r="G168" s="10">
        <f t="shared" ref="G168:G169" si="15">D159</f>
        <v>554300</v>
      </c>
      <c r="H168" s="3"/>
      <c r="I168" s="1"/>
      <c r="J168" s="1"/>
      <c r="K168" s="1"/>
      <c r="L168" s="1"/>
      <c r="M168" s="1"/>
      <c r="N168" s="3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53" t="s">
        <v>136</v>
      </c>
      <c r="B169" s="19">
        <v>1162671.0</v>
      </c>
      <c r="C169" s="17">
        <f t="shared" si="13"/>
        <v>5813.355</v>
      </c>
      <c r="D169" s="16">
        <v>5800.0</v>
      </c>
      <c r="E169" s="1"/>
      <c r="F169" s="13" t="s">
        <v>49</v>
      </c>
      <c r="G169" s="55">
        <f t="shared" si="15"/>
        <v>742900</v>
      </c>
      <c r="H169" s="44">
        <f>+G169-576000</f>
        <v>166900</v>
      </c>
      <c r="I169" s="73"/>
      <c r="J169" s="74"/>
      <c r="K169" s="75"/>
      <c r="L169" s="76"/>
      <c r="M169" s="1"/>
      <c r="N169" s="1"/>
      <c r="O169" s="3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53" t="s">
        <v>137</v>
      </c>
      <c r="B170" s="19">
        <v>1.09696E7</v>
      </c>
      <c r="C170" s="17">
        <f t="shared" si="13"/>
        <v>54848</v>
      </c>
      <c r="D170" s="16">
        <v>54800.0</v>
      </c>
      <c r="E170" s="1"/>
      <c r="F170" s="13" t="s">
        <v>13</v>
      </c>
      <c r="G170" s="10">
        <f t="shared" ref="G170:G172" si="16">K161</f>
        <v>166200</v>
      </c>
      <c r="H170" s="3" t="s">
        <v>109</v>
      </c>
      <c r="I170" s="78"/>
      <c r="K170" s="79"/>
      <c r="L170" s="76"/>
      <c r="M170" s="1"/>
      <c r="N170" s="3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7"/>
      <c r="C171" s="17">
        <f t="shared" si="13"/>
        <v>0</v>
      </c>
      <c r="D171" s="1"/>
      <c r="E171" s="1"/>
      <c r="F171" s="13" t="s">
        <v>5</v>
      </c>
      <c r="G171" s="10">
        <f t="shared" si="16"/>
        <v>61800</v>
      </c>
      <c r="H171" s="1" t="s">
        <v>110</v>
      </c>
      <c r="I171" s="78"/>
      <c r="K171" s="79"/>
      <c r="L171" s="76"/>
      <c r="M171" s="1"/>
      <c r="N171" s="3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7"/>
      <c r="C172" s="17">
        <f t="shared" si="13"/>
        <v>0</v>
      </c>
      <c r="D172" s="170"/>
      <c r="E172" s="1"/>
      <c r="F172" s="13" t="s">
        <v>25</v>
      </c>
      <c r="G172" s="10">
        <f t="shared" si="16"/>
        <v>80800</v>
      </c>
      <c r="H172" s="3" t="s">
        <v>111</v>
      </c>
      <c r="I172" s="81"/>
      <c r="J172" s="82"/>
      <c r="K172" s="83"/>
      <c r="L172" s="76"/>
      <c r="M172" s="1"/>
      <c r="N172" s="3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7"/>
      <c r="C173" s="10">
        <f t="shared" ref="C173:D173" si="17">SUM(C159:C172)</f>
        <v>2594366.74</v>
      </c>
      <c r="D173" s="77">
        <f t="shared" si="17"/>
        <v>2594400</v>
      </c>
      <c r="E173" s="1"/>
      <c r="F173" s="13"/>
      <c r="G173" s="84">
        <f>D163*0</f>
        <v>0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7"/>
      <c r="C174" s="3"/>
      <c r="D174" s="1"/>
      <c r="E174" s="1"/>
      <c r="F174" s="13" t="s">
        <v>32</v>
      </c>
      <c r="G174" s="10">
        <f t="shared" ref="G174:G175" si="18">K159</f>
        <v>310200</v>
      </c>
      <c r="H174" s="3" t="s">
        <v>63</v>
      </c>
      <c r="I174" s="3"/>
      <c r="J174" s="3"/>
      <c r="K174" s="3"/>
      <c r="L174" s="1"/>
      <c r="M174" s="1"/>
      <c r="N174" s="1"/>
      <c r="O174" s="3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80" t="s">
        <v>60</v>
      </c>
      <c r="B175" s="7"/>
      <c r="C175" s="17" t="s">
        <v>42</v>
      </c>
      <c r="D175" s="1"/>
      <c r="E175" s="1"/>
      <c r="F175" s="13" t="s">
        <v>50</v>
      </c>
      <c r="G175" s="55">
        <f t="shared" si="18"/>
        <v>112300</v>
      </c>
      <c r="H175" s="3" t="s">
        <v>65</v>
      </c>
      <c r="I175" s="3"/>
      <c r="J175" s="3"/>
      <c r="K175" s="3"/>
      <c r="L175" s="3"/>
      <c r="M175" s="1"/>
      <c r="N175" s="3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53" t="s">
        <v>61</v>
      </c>
      <c r="B176" s="6">
        <f>B162</f>
        <v>18417509</v>
      </c>
      <c r="C176" s="17">
        <f t="shared" ref="C176:C180" si="19">B176*0.5%</f>
        <v>92087.545</v>
      </c>
      <c r="D176" s="1"/>
      <c r="E176" s="1"/>
      <c r="F176" s="1"/>
      <c r="G176" s="85">
        <f>SUM(G168:G175)</f>
        <v>2028500</v>
      </c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53" t="s">
        <v>62</v>
      </c>
      <c r="B177" s="6">
        <f>B161</f>
        <v>50266585</v>
      </c>
      <c r="C177" s="17">
        <f t="shared" si="19"/>
        <v>251332.925</v>
      </c>
      <c r="D177" s="1"/>
      <c r="E177" s="1"/>
      <c r="F177" s="1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53" t="s">
        <v>64</v>
      </c>
      <c r="B178" s="6">
        <f>B164</f>
        <v>25547206</v>
      </c>
      <c r="C178" s="17">
        <f t="shared" si="19"/>
        <v>127736.03</v>
      </c>
      <c r="D178" s="1"/>
      <c r="E178" s="1"/>
      <c r="F178" s="1"/>
      <c r="G178" s="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53" t="s">
        <v>58</v>
      </c>
      <c r="B179" s="6">
        <f>B166</f>
        <v>16630870</v>
      </c>
      <c r="C179" s="17">
        <f t="shared" si="19"/>
        <v>83154.35</v>
      </c>
      <c r="D179" s="1"/>
      <c r="E179" s="1"/>
      <c r="F179" s="1"/>
      <c r="G179" s="3"/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7"/>
      <c r="C180" s="17">
        <f t="shared" si="19"/>
        <v>0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7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9">
        <f>SUM(B176:B180)</f>
        <v>110862170</v>
      </c>
      <c r="C182" s="86">
        <f>SUM(C176:C181)</f>
        <v>554310.85</v>
      </c>
      <c r="D182" s="171" t="s">
        <v>66</v>
      </c>
      <c r="E182" s="1"/>
      <c r="F182" s="1"/>
      <c r="G182" s="1"/>
      <c r="H182" s="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88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89"/>
      <c r="B184" s="90"/>
      <c r="C184" s="91"/>
      <c r="D184" s="89"/>
      <c r="E184" s="1"/>
      <c r="F184" s="1"/>
      <c r="G184" s="3"/>
      <c r="H184" s="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80" t="s">
        <v>67</v>
      </c>
      <c r="B185" s="88"/>
      <c r="C185" s="17" t="s">
        <v>42</v>
      </c>
      <c r="D185" s="1"/>
      <c r="E185" s="1"/>
      <c r="F185" s="1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53" t="s">
        <v>68</v>
      </c>
      <c r="B186" s="6">
        <f>B163</f>
        <v>34597889</v>
      </c>
      <c r="C186" s="17">
        <f t="shared" ref="C186:C191" si="20">B186*0.5%</f>
        <v>172989.445</v>
      </c>
      <c r="D186" s="1"/>
      <c r="E186" s="1"/>
      <c r="F186" s="1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53" t="s">
        <v>69</v>
      </c>
      <c r="B187" s="6">
        <f>B165</f>
        <v>75154430</v>
      </c>
      <c r="C187" s="17">
        <f t="shared" si="20"/>
        <v>375772.15</v>
      </c>
      <c r="D187" s="1"/>
      <c r="E187" s="1"/>
      <c r="F187" s="1"/>
      <c r="G187" s="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53" t="s">
        <v>59</v>
      </c>
      <c r="B188" s="6">
        <f t="shared" ref="B188:B189" si="21">B167</f>
        <v>5451414</v>
      </c>
      <c r="C188" s="17">
        <f t="shared" si="20"/>
        <v>27257.07</v>
      </c>
      <c r="D188" s="1"/>
      <c r="E188" s="20"/>
      <c r="F188" s="20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53" t="s">
        <v>127</v>
      </c>
      <c r="B189" s="6">
        <f t="shared" si="21"/>
        <v>21238500</v>
      </c>
      <c r="C189" s="17">
        <f t="shared" si="20"/>
        <v>106192.5</v>
      </c>
      <c r="D189" s="1"/>
      <c r="E189" s="1"/>
      <c r="F189" s="1"/>
      <c r="G189" s="3"/>
      <c r="H189" s="1"/>
      <c r="I189" s="1"/>
      <c r="J189" s="3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53" t="s">
        <v>137</v>
      </c>
      <c r="B190" s="6">
        <f>B170</f>
        <v>10969600</v>
      </c>
      <c r="C190" s="17">
        <f t="shared" si="20"/>
        <v>54848</v>
      </c>
      <c r="D190" s="1"/>
      <c r="E190" s="1"/>
      <c r="F190" s="1"/>
      <c r="G190" s="3"/>
      <c r="H190" s="1"/>
      <c r="I190" s="1"/>
      <c r="J190" s="3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53" t="s">
        <v>136</v>
      </c>
      <c r="B191" s="6">
        <f>B169</f>
        <v>1162671</v>
      </c>
      <c r="C191" s="17">
        <f t="shared" si="20"/>
        <v>5813.355</v>
      </c>
      <c r="D191" s="1"/>
      <c r="E191" s="1"/>
      <c r="F191" s="1"/>
      <c r="G191" s="3"/>
      <c r="H191" s="1"/>
      <c r="I191" s="1"/>
      <c r="J191" s="3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7"/>
      <c r="C192" s="3"/>
      <c r="D192" s="1"/>
      <c r="E192" s="1"/>
      <c r="F192" s="1"/>
      <c r="G192" s="3"/>
      <c r="H192" s="1"/>
      <c r="I192" s="1"/>
      <c r="J192" s="3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9">
        <f t="shared" ref="B193:C193" si="22">SUM(B186:B192)</f>
        <v>148574504</v>
      </c>
      <c r="C193" s="86">
        <f t="shared" si="22"/>
        <v>742872.52</v>
      </c>
      <c r="D193" s="171" t="s">
        <v>66</v>
      </c>
      <c r="E193" s="1"/>
      <c r="F193" s="1"/>
      <c r="G193" s="92"/>
      <c r="H193" s="1"/>
      <c r="I193" s="1"/>
      <c r="J193" s="3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7"/>
      <c r="C194" s="3"/>
      <c r="D194" s="1"/>
      <c r="E194" s="1"/>
      <c r="F194" s="1"/>
      <c r="G194" s="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7"/>
      <c r="C195" s="22"/>
      <c r="D195" s="20"/>
      <c r="E195" s="1"/>
      <c r="F195" s="1"/>
      <c r="G195" s="3"/>
      <c r="H195" s="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7"/>
      <c r="C196" s="3"/>
      <c r="D196" s="1"/>
      <c r="E196" s="1"/>
      <c r="F196" s="1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7"/>
      <c r="C197" s="3"/>
      <c r="D197" s="1"/>
      <c r="E197" s="1"/>
      <c r="F197" s="1"/>
      <c r="G197" s="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7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7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7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7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7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7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7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7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F167:G167"/>
    <mergeCell ref="I169:K17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91" t="s">
        <v>1</v>
      </c>
      <c r="B2" s="1"/>
      <c r="C2" s="3"/>
      <c r="D2" s="192">
        <v>1.7420561E7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93" t="s">
        <v>2</v>
      </c>
      <c r="B3" s="5">
        <v>0.005</v>
      </c>
      <c r="C3" s="3"/>
      <c r="D3" s="6">
        <v>87102.81</v>
      </c>
      <c r="E3" s="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91" t="s">
        <v>3</v>
      </c>
      <c r="B5" s="1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8" t="s">
        <v>5</v>
      </c>
      <c r="B6" s="194">
        <v>81.0</v>
      </c>
      <c r="C6" s="10">
        <v>19383.0</v>
      </c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8" t="s">
        <v>72</v>
      </c>
      <c r="B7" s="194">
        <v>100.0</v>
      </c>
      <c r="C7" s="10">
        <v>23929.0</v>
      </c>
      <c r="D7" s="1"/>
      <c r="E7" s="1"/>
      <c r="F7" s="1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95" t="s">
        <v>74</v>
      </c>
      <c r="B8" s="194">
        <v>79.0</v>
      </c>
      <c r="C8" s="10">
        <v>18904.0</v>
      </c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96" t="s">
        <v>146</v>
      </c>
      <c r="B9" s="194">
        <v>100.0</v>
      </c>
      <c r="C9" s="10">
        <v>23929.0</v>
      </c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97" t="s">
        <v>147</v>
      </c>
      <c r="B10" s="198">
        <v>4.0</v>
      </c>
      <c r="C10" s="10">
        <v>957.0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"/>
      <c r="B11" s="14"/>
      <c r="C11" s="10">
        <v>0.0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93" t="s">
        <v>8</v>
      </c>
      <c r="B12" s="199">
        <v>364.0</v>
      </c>
      <c r="C12" s="17">
        <v>87103.0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00" t="s">
        <v>9</v>
      </c>
      <c r="B13" s="19">
        <v>239.29</v>
      </c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7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0"/>
      <c r="B15" s="21"/>
      <c r="C15" s="22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1"/>
    </row>
    <row r="16">
      <c r="A16" s="1"/>
      <c r="B16" s="7"/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91" t="s">
        <v>76</v>
      </c>
      <c r="B17" s="1"/>
      <c r="C17" s="3"/>
      <c r="D17" s="192">
        <v>4.698815E7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93" t="s">
        <v>2</v>
      </c>
      <c r="B18" s="5">
        <v>0.005</v>
      </c>
      <c r="C18" s="3"/>
      <c r="D18" s="44">
        <v>234941.0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91" t="s">
        <v>3</v>
      </c>
      <c r="B20" s="1"/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8" t="s">
        <v>13</v>
      </c>
      <c r="B21" s="194">
        <v>127.0</v>
      </c>
      <c r="C21" s="10">
        <v>82882.0</v>
      </c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8" t="s">
        <v>38</v>
      </c>
      <c r="B22" s="194">
        <v>124.0</v>
      </c>
      <c r="C22" s="10">
        <v>80924.0</v>
      </c>
      <c r="D22" s="3"/>
      <c r="E22" s="1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01" t="s">
        <v>89</v>
      </c>
      <c r="B23" s="194">
        <v>0.0</v>
      </c>
      <c r="C23" s="10">
        <v>0.0</v>
      </c>
      <c r="D23" s="3"/>
      <c r="E23" s="1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97" t="s">
        <v>142</v>
      </c>
      <c r="B24" s="194">
        <v>68.0</v>
      </c>
      <c r="C24" s="10">
        <v>44378.0</v>
      </c>
      <c r="D24" s="3"/>
      <c r="E24" s="1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97" t="s">
        <v>148</v>
      </c>
      <c r="B25" s="198">
        <v>41.0</v>
      </c>
      <c r="C25" s="10">
        <v>26757.0</v>
      </c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93" t="s">
        <v>8</v>
      </c>
      <c r="B26" s="199">
        <v>360.0</v>
      </c>
      <c r="C26" s="17">
        <v>234941.0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00" t="s">
        <v>9</v>
      </c>
      <c r="B27" s="19">
        <v>652.61</v>
      </c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7"/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0"/>
      <c r="B29" s="21"/>
      <c r="C29" s="22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1"/>
    </row>
    <row r="30">
      <c r="A30" s="1"/>
      <c r="B30" s="7"/>
      <c r="C30" s="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91" t="s">
        <v>17</v>
      </c>
      <c r="B31" s="1"/>
      <c r="C31" s="3"/>
      <c r="D31" s="192">
        <v>2.6997165E7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93" t="s">
        <v>2</v>
      </c>
      <c r="B32" s="5">
        <v>0.005</v>
      </c>
      <c r="C32" s="3"/>
      <c r="D32" s="202">
        <v>134985.825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91" t="s">
        <v>3</v>
      </c>
      <c r="B34" s="1"/>
      <c r="C34" s="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8" t="s">
        <v>50</v>
      </c>
      <c r="B35" s="30">
        <v>132.0</v>
      </c>
      <c r="C35" s="10">
        <v>54490.0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8" t="s">
        <v>119</v>
      </c>
      <c r="B36" s="30">
        <v>18.0</v>
      </c>
      <c r="C36" s="10">
        <v>7430.0</v>
      </c>
      <c r="D36" s="32">
        <v>12382.0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8" t="s">
        <v>22</v>
      </c>
      <c r="B37" s="31">
        <v>130.0</v>
      </c>
      <c r="C37" s="10">
        <v>53664.0</v>
      </c>
      <c r="D37" s="168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8" t="s">
        <v>34</v>
      </c>
      <c r="B38" s="31">
        <v>12.0</v>
      </c>
      <c r="C38" s="10">
        <v>4954.0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03" t="s">
        <v>31</v>
      </c>
      <c r="B39" s="34">
        <v>6.0</v>
      </c>
      <c r="C39" s="10">
        <v>2477.0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04" t="s">
        <v>133</v>
      </c>
      <c r="B40" s="31">
        <v>29.0</v>
      </c>
      <c r="C40" s="35">
        <v>11971.0</v>
      </c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93" t="s">
        <v>8</v>
      </c>
      <c r="B41" s="17">
        <v>327.0</v>
      </c>
      <c r="C41" s="17">
        <v>134986.0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00" t="s">
        <v>9</v>
      </c>
      <c r="B42" s="19">
        <v>412.8</v>
      </c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7"/>
      <c r="C43" s="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0"/>
      <c r="B44" s="21"/>
      <c r="C44" s="22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1"/>
    </row>
    <row r="45">
      <c r="A45" s="1"/>
      <c r="B45" s="7"/>
      <c r="C45" s="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91" t="s">
        <v>23</v>
      </c>
      <c r="B46" s="1"/>
      <c r="C46" s="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93" t="s">
        <v>2</v>
      </c>
      <c r="B47" s="5">
        <v>0.005</v>
      </c>
      <c r="C47" s="3"/>
      <c r="D47" s="1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3"/>
      <c r="D48" s="202">
        <v>0.0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91" t="s">
        <v>3</v>
      </c>
      <c r="B49" s="1"/>
      <c r="C49" s="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6"/>
      <c r="B50" s="37"/>
      <c r="C50" s="10" t="e">
        <v>#DIV/0!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8"/>
      <c r="B51" s="37"/>
      <c r="C51" s="10" t="e">
        <v>#DIV/0!</v>
      </c>
      <c r="D51" s="1"/>
      <c r="E51" s="1"/>
      <c r="F51" s="3"/>
      <c r="G51" s="3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93" t="s">
        <v>8</v>
      </c>
      <c r="B52" s="17">
        <v>0.0</v>
      </c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00" t="s">
        <v>9</v>
      </c>
      <c r="B53" s="39" t="e">
        <v>#DIV/0!</v>
      </c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0"/>
      <c r="B55" s="20"/>
      <c r="C55" s="22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1"/>
    </row>
    <row r="56">
      <c r="A56" s="1"/>
      <c r="B56" s="1"/>
      <c r="C56" s="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91" t="s">
        <v>24</v>
      </c>
      <c r="B57" s="1"/>
      <c r="C57" s="3"/>
      <c r="D57" s="192">
        <v>2.2905996E7</v>
      </c>
      <c r="E57" s="1"/>
      <c r="F57" s="1"/>
      <c r="G57" s="1"/>
      <c r="H57" s="1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93" t="s">
        <v>2</v>
      </c>
      <c r="B58" s="5">
        <v>0.005</v>
      </c>
      <c r="C58" s="3"/>
      <c r="D58" s="202">
        <v>114529.98</v>
      </c>
      <c r="E58" s="1"/>
      <c r="F58" s="1"/>
      <c r="G58" s="1"/>
      <c r="H58" s="40"/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3"/>
      <c r="D59" s="1"/>
      <c r="E59" s="1"/>
      <c r="F59" s="1"/>
      <c r="G59" s="1"/>
      <c r="H59" s="1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91" t="s">
        <v>3</v>
      </c>
      <c r="B60" s="1"/>
      <c r="C60" s="3"/>
      <c r="D60" s="1"/>
      <c r="E60" s="1"/>
      <c r="F60" s="1"/>
      <c r="G60" s="1"/>
      <c r="H60" s="1"/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05" t="s">
        <v>25</v>
      </c>
      <c r="B61" s="194">
        <v>108.0</v>
      </c>
      <c r="C61" s="10">
        <v>48507.0</v>
      </c>
      <c r="D61" s="3"/>
      <c r="E61" s="1"/>
      <c r="F61" s="1"/>
      <c r="G61" s="1"/>
      <c r="H61" s="1"/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05" t="s">
        <v>26</v>
      </c>
      <c r="B62" s="194">
        <v>87.0</v>
      </c>
      <c r="C62" s="10">
        <v>39075.0</v>
      </c>
      <c r="D62" s="3"/>
      <c r="E62" s="1"/>
      <c r="F62" s="1"/>
      <c r="G62" s="1"/>
      <c r="H62" s="1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05" t="s">
        <v>28</v>
      </c>
      <c r="B63" s="194">
        <v>60.0</v>
      </c>
      <c r="C63" s="10">
        <v>26948.0</v>
      </c>
      <c r="D63" s="3"/>
      <c r="E63" s="1"/>
      <c r="F63" s="1"/>
      <c r="G63" s="1"/>
      <c r="H63" s="1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93" t="s">
        <v>8</v>
      </c>
      <c r="B64" s="199">
        <v>255.0</v>
      </c>
      <c r="C64" s="17">
        <v>114530.0</v>
      </c>
      <c r="D64" s="1"/>
      <c r="E64" s="1"/>
      <c r="F64" s="1"/>
      <c r="G64" s="1"/>
      <c r="H64" s="1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00" t="s">
        <v>9</v>
      </c>
      <c r="B65" s="19">
        <v>449.14</v>
      </c>
      <c r="C65" s="3"/>
      <c r="D65" s="1"/>
      <c r="E65" s="1"/>
      <c r="F65" s="1"/>
      <c r="G65" s="1"/>
      <c r="H65" s="7"/>
      <c r="I65" s="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0"/>
      <c r="B67" s="20"/>
      <c r="C67" s="22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1"/>
    </row>
    <row r="68">
      <c r="A68" s="1"/>
      <c r="B68" s="7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91" t="s">
        <v>29</v>
      </c>
      <c r="B69" s="1"/>
      <c r="C69" s="3"/>
      <c r="D69" s="192">
        <v>5.4904242E7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93" t="s">
        <v>2</v>
      </c>
      <c r="B70" s="5">
        <v>0.005</v>
      </c>
      <c r="C70" s="3"/>
      <c r="D70" s="202">
        <v>274521.21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91" t="s">
        <v>3</v>
      </c>
      <c r="B72" s="1"/>
      <c r="C72" s="3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06"/>
      <c r="B73" s="14"/>
      <c r="C73" s="10">
        <v>0.0</v>
      </c>
      <c r="D73" s="3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8" t="s">
        <v>32</v>
      </c>
      <c r="B74" s="31">
        <v>124.0</v>
      </c>
      <c r="C74" s="10">
        <v>57211.0</v>
      </c>
      <c r="D74" s="3"/>
      <c r="E74" s="1"/>
      <c r="F74" s="3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06"/>
      <c r="B75" s="174"/>
      <c r="C75" s="10">
        <v>0.0</v>
      </c>
      <c r="D75" s="3"/>
      <c r="E75" s="1"/>
      <c r="F75" s="3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66" t="s">
        <v>140</v>
      </c>
      <c r="B76" s="31">
        <v>120.0</v>
      </c>
      <c r="C76" s="10">
        <v>55366.0</v>
      </c>
      <c r="D76" s="3"/>
      <c r="E76" s="1"/>
      <c r="F76" s="3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8" t="s">
        <v>117</v>
      </c>
      <c r="B77" s="31">
        <v>125.0</v>
      </c>
      <c r="C77" s="10">
        <v>57673.0</v>
      </c>
      <c r="D77" s="42">
        <v>21147.0</v>
      </c>
      <c r="E77" s="1"/>
      <c r="F77" s="3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97" t="s">
        <v>133</v>
      </c>
      <c r="B78" s="31">
        <v>95.0</v>
      </c>
      <c r="C78" s="10">
        <v>43831.0</v>
      </c>
      <c r="D78" s="3"/>
      <c r="E78" s="1"/>
      <c r="F78" s="3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97" t="s">
        <v>130</v>
      </c>
      <c r="B79" s="31">
        <v>121.0</v>
      </c>
      <c r="C79" s="10">
        <v>55827.0</v>
      </c>
      <c r="D79" s="3"/>
      <c r="E79" s="1"/>
      <c r="F79" s="3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05" t="s">
        <v>87</v>
      </c>
      <c r="B80" s="31">
        <v>10.0</v>
      </c>
      <c r="C80" s="10">
        <v>4614.0</v>
      </c>
      <c r="D80" s="3"/>
      <c r="E80" s="1"/>
      <c r="F80" s="3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93" t="s">
        <v>8</v>
      </c>
      <c r="B81" s="199">
        <v>595.0</v>
      </c>
      <c r="C81" s="17">
        <v>274521.0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00" t="s">
        <v>9</v>
      </c>
      <c r="B82" s="19">
        <v>461.38</v>
      </c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7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0"/>
      <c r="B84" s="21"/>
      <c r="C84" s="22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1"/>
    </row>
    <row r="85">
      <c r="A85" s="1"/>
      <c r="B85" s="7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91" t="s">
        <v>35</v>
      </c>
      <c r="B86" s="1"/>
      <c r="C86" s="3"/>
      <c r="D86" s="43">
        <v>1.920082E7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93" t="s">
        <v>2</v>
      </c>
      <c r="B87" s="5">
        <v>0.005</v>
      </c>
      <c r="C87" s="3"/>
      <c r="D87" s="44">
        <v>96004.0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3"/>
      <c r="D88" s="3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91" t="s">
        <v>3</v>
      </c>
      <c r="B89" s="1"/>
      <c r="C89" s="3"/>
      <c r="D89" s="3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75"/>
      <c r="B90" s="176"/>
      <c r="C90" s="35">
        <v>0.0</v>
      </c>
      <c r="D90" s="1"/>
      <c r="E90" s="1"/>
      <c r="F90" s="3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05" t="s">
        <v>90</v>
      </c>
      <c r="B91" s="31">
        <v>122.0</v>
      </c>
      <c r="C91" s="10">
        <v>43220.0</v>
      </c>
      <c r="D91" s="3"/>
      <c r="E91" s="1"/>
      <c r="F91" s="3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07" t="s">
        <v>142</v>
      </c>
      <c r="B92" s="31">
        <v>41.0</v>
      </c>
      <c r="C92" s="10">
        <v>14525.0</v>
      </c>
      <c r="D92" s="3"/>
      <c r="E92" s="29"/>
      <c r="F92" s="3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01" t="s">
        <v>118</v>
      </c>
      <c r="B93" s="30">
        <v>108.0</v>
      </c>
      <c r="C93" s="10">
        <v>38260.0</v>
      </c>
      <c r="D93" s="32">
        <v>24231.0</v>
      </c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93" t="s">
        <v>8</v>
      </c>
      <c r="B94" s="17">
        <v>271.0</v>
      </c>
      <c r="C94" s="17">
        <v>96004.0</v>
      </c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00" t="s">
        <v>9</v>
      </c>
      <c r="B95" s="19">
        <v>354.26</v>
      </c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7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0"/>
      <c r="B97" s="21"/>
      <c r="C97" s="22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1"/>
    </row>
    <row r="98">
      <c r="A98" s="1"/>
      <c r="B98" s="7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91" t="s">
        <v>40</v>
      </c>
      <c r="B99" s="7"/>
      <c r="C99" s="3"/>
      <c r="D99" s="192">
        <v>3786770.0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93" t="s">
        <v>2</v>
      </c>
      <c r="B100" s="5">
        <v>0.005</v>
      </c>
      <c r="C100" s="3"/>
      <c r="D100" s="202">
        <v>18933.85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40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91" t="s">
        <v>3</v>
      </c>
      <c r="B102" s="1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8" t="s">
        <v>31</v>
      </c>
      <c r="B103" s="194">
        <v>52.0</v>
      </c>
      <c r="C103" s="10">
        <v>5049.0</v>
      </c>
      <c r="D103" s="42">
        <v>7526.0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8" t="s">
        <v>94</v>
      </c>
      <c r="B104" s="194">
        <v>92.0</v>
      </c>
      <c r="C104" s="10">
        <v>8933.0</v>
      </c>
      <c r="D104" s="32">
        <v>13887.0</v>
      </c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8" t="s">
        <v>30</v>
      </c>
      <c r="B105" s="194">
        <v>51.0</v>
      </c>
      <c r="C105" s="10">
        <v>4952.0</v>
      </c>
      <c r="D105" s="3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75"/>
      <c r="B106" s="14"/>
      <c r="C106" s="10">
        <v>0.0</v>
      </c>
      <c r="D106" s="3"/>
      <c r="E106" s="3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50" t="s">
        <v>8</v>
      </c>
      <c r="B107" s="199">
        <v>195.0</v>
      </c>
      <c r="C107" s="17">
        <v>18934.0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200" t="s">
        <v>9</v>
      </c>
      <c r="B108" s="19">
        <v>97.1</v>
      </c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7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7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20"/>
      <c r="B111" s="21"/>
      <c r="C111" s="22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1"/>
    </row>
    <row r="112">
      <c r="A112" s="1"/>
      <c r="B112" s="7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91" t="s">
        <v>132</v>
      </c>
      <c r="B113" s="7"/>
      <c r="C113" s="3"/>
      <c r="D113" s="192">
        <v>7094000.0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93" t="s">
        <v>2</v>
      </c>
      <c r="B114" s="5">
        <v>0.005</v>
      </c>
      <c r="C114" s="3"/>
      <c r="D114" s="202">
        <v>35470.0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40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91" t="s">
        <v>3</v>
      </c>
      <c r="B116" s="1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26" t="s">
        <v>21</v>
      </c>
      <c r="B117" s="194">
        <v>119.0</v>
      </c>
      <c r="C117" s="10">
        <v>11596.0</v>
      </c>
      <c r="D117" s="168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95" t="s">
        <v>122</v>
      </c>
      <c r="B118" s="194">
        <v>92.0</v>
      </c>
      <c r="C118" s="10">
        <v>8965.0</v>
      </c>
      <c r="D118" s="32">
        <v>5977.0</v>
      </c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95" t="s">
        <v>124</v>
      </c>
      <c r="B119" s="194">
        <v>117.0</v>
      </c>
      <c r="C119" s="10">
        <v>11401.0</v>
      </c>
      <c r="D119" s="32">
        <v>7601.0</v>
      </c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95" t="s">
        <v>143</v>
      </c>
      <c r="B120" s="194">
        <v>18.0</v>
      </c>
      <c r="C120" s="10">
        <v>1754.0</v>
      </c>
      <c r="D120" s="3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95" t="s">
        <v>125</v>
      </c>
      <c r="B121" s="194">
        <v>18.0</v>
      </c>
      <c r="C121" s="10">
        <v>1754.0</v>
      </c>
      <c r="D121" s="3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3"/>
      <c r="B122" s="14"/>
      <c r="C122" s="10">
        <v>0.0</v>
      </c>
      <c r="D122" s="3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3"/>
      <c r="B123" s="14"/>
      <c r="C123" s="10">
        <v>0.0</v>
      </c>
      <c r="D123" s="3"/>
      <c r="E123" s="3"/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50" t="s">
        <v>8</v>
      </c>
      <c r="B124" s="199">
        <v>364.0</v>
      </c>
      <c r="C124" s="17">
        <v>35470.0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200" t="s">
        <v>9</v>
      </c>
      <c r="B125" s="19">
        <v>97.45</v>
      </c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7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20"/>
      <c r="B127" s="21"/>
      <c r="C127" s="22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1"/>
    </row>
    <row r="128">
      <c r="A128" s="1"/>
      <c r="B128" s="7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91" t="s">
        <v>134</v>
      </c>
      <c r="B129" s="7"/>
      <c r="C129" s="3"/>
      <c r="D129" s="192">
        <v>658680.0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93" t="s">
        <v>2</v>
      </c>
      <c r="B130" s="5">
        <v>0.005</v>
      </c>
      <c r="C130" s="3"/>
      <c r="D130" s="202">
        <v>3293.4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40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91" t="s">
        <v>3</v>
      </c>
      <c r="B132" s="1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8" t="s">
        <v>120</v>
      </c>
      <c r="B133" s="194">
        <v>97.0</v>
      </c>
      <c r="C133" s="10">
        <v>1605.0</v>
      </c>
      <c r="D133" s="42">
        <v>6219.0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89" t="s">
        <v>145</v>
      </c>
      <c r="B134" s="194">
        <v>102.0</v>
      </c>
      <c r="C134" s="10">
        <v>1688.0</v>
      </c>
      <c r="D134" s="3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63"/>
      <c r="B135" s="14"/>
      <c r="C135" s="10">
        <v>0.0</v>
      </c>
      <c r="D135" s="3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3"/>
      <c r="B136" s="14"/>
      <c r="C136" s="10">
        <v>0.0</v>
      </c>
      <c r="D136" s="3"/>
      <c r="E136" s="3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50" t="s">
        <v>8</v>
      </c>
      <c r="B137" s="199">
        <v>199.0</v>
      </c>
      <c r="C137" s="17">
        <v>3293.0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200" t="s">
        <v>9</v>
      </c>
      <c r="B138" s="19">
        <v>16.55</v>
      </c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7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20"/>
      <c r="B140" s="21"/>
      <c r="C140" s="22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1"/>
    </row>
    <row r="141">
      <c r="A141" s="1"/>
      <c r="B141" s="7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91" t="s">
        <v>135</v>
      </c>
      <c r="B142" s="7"/>
      <c r="C142" s="3"/>
      <c r="D142" s="192">
        <v>5136700.0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93" t="s">
        <v>2</v>
      </c>
      <c r="B143" s="5">
        <v>0.005</v>
      </c>
      <c r="C143" s="3"/>
      <c r="D143" s="202">
        <v>25683.5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40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91" t="s">
        <v>3</v>
      </c>
      <c r="B145" s="1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8" t="s">
        <v>18</v>
      </c>
      <c r="B146" s="194">
        <v>93.0</v>
      </c>
      <c r="C146" s="10">
        <v>8913.0</v>
      </c>
      <c r="D146" s="42">
        <v>10667.0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95" t="s">
        <v>125</v>
      </c>
      <c r="B147" s="194">
        <v>73.0</v>
      </c>
      <c r="C147" s="10">
        <v>6996.0</v>
      </c>
      <c r="D147" s="42">
        <v>8750.0</v>
      </c>
      <c r="E147" s="1"/>
      <c r="F147" s="44">
        <v>4958.0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97" t="s">
        <v>144</v>
      </c>
      <c r="B148" s="194">
        <v>102.0</v>
      </c>
      <c r="C148" s="10">
        <v>9775.0</v>
      </c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3"/>
      <c r="B149" s="14"/>
      <c r="C149" s="10">
        <v>0.0</v>
      </c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63"/>
      <c r="B150" s="14"/>
      <c r="C150" s="10">
        <v>0.0</v>
      </c>
      <c r="D150" s="3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63"/>
      <c r="B151" s="14"/>
      <c r="C151" s="10">
        <v>0.0</v>
      </c>
      <c r="D151" s="3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50" t="s">
        <v>8</v>
      </c>
      <c r="B152" s="199">
        <v>268.0</v>
      </c>
      <c r="C152" s="17">
        <v>25684.0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200" t="s">
        <v>9</v>
      </c>
      <c r="B153" s="19">
        <v>95.83</v>
      </c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7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20"/>
      <c r="B155" s="21"/>
      <c r="C155" s="22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1"/>
    </row>
    <row r="156">
      <c r="A156" s="1"/>
      <c r="B156" s="7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39" t="s">
        <v>41</v>
      </c>
      <c r="C157" s="17" t="s">
        <v>42</v>
      </c>
      <c r="D157" s="3"/>
      <c r="E157" s="1"/>
      <c r="F157" s="13"/>
      <c r="G157" s="208" t="s">
        <v>44</v>
      </c>
      <c r="H157" s="208" t="s">
        <v>42</v>
      </c>
      <c r="I157" s="208" t="s">
        <v>45</v>
      </c>
      <c r="J157" s="208" t="s">
        <v>46</v>
      </c>
      <c r="K157" s="209" t="s">
        <v>47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210" t="s">
        <v>48</v>
      </c>
      <c r="B158" s="211"/>
      <c r="C158" s="212">
        <v>476904.0</v>
      </c>
      <c r="D158" s="17">
        <v>476900.0</v>
      </c>
      <c r="E158" s="3"/>
      <c r="F158" s="213" t="s">
        <v>32</v>
      </c>
      <c r="G158" s="54">
        <v>4.9769692E7</v>
      </c>
      <c r="H158" s="55">
        <v>248848.0</v>
      </c>
      <c r="I158" s="55">
        <v>57211.0</v>
      </c>
      <c r="J158" s="55">
        <v>191637.0</v>
      </c>
      <c r="K158" s="56">
        <v>191600.0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210" t="s">
        <v>49</v>
      </c>
      <c r="B159" s="211"/>
      <c r="C159" s="212">
        <v>447175.0</v>
      </c>
      <c r="D159" s="17">
        <v>447200.0</v>
      </c>
      <c r="E159" s="1"/>
      <c r="F159" s="37" t="s">
        <v>50</v>
      </c>
      <c r="G159" s="54">
        <v>2.5475593E7</v>
      </c>
      <c r="H159" s="55">
        <v>127378.0</v>
      </c>
      <c r="I159" s="55">
        <v>54490.0</v>
      </c>
      <c r="J159" s="55">
        <v>72888.0</v>
      </c>
      <c r="K159" s="56">
        <v>72900.0</v>
      </c>
      <c r="L159" s="3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214" t="s">
        <v>51</v>
      </c>
      <c r="B160" s="58">
        <v>3.9663E7</v>
      </c>
      <c r="C160" s="59">
        <v>198315.0</v>
      </c>
      <c r="D160" s="17">
        <v>198300.0</v>
      </c>
      <c r="E160" s="1"/>
      <c r="F160" s="213" t="s">
        <v>13</v>
      </c>
      <c r="G160" s="54">
        <v>3.9663E7</v>
      </c>
      <c r="H160" s="55">
        <v>198315.0</v>
      </c>
      <c r="I160" s="55">
        <v>82882.0</v>
      </c>
      <c r="J160" s="55">
        <v>115433.0</v>
      </c>
      <c r="K160" s="56">
        <v>115400.0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214" t="s">
        <v>52</v>
      </c>
      <c r="B161" s="58">
        <v>1.612393E7</v>
      </c>
      <c r="C161" s="59">
        <v>80620.0</v>
      </c>
      <c r="D161" s="199">
        <v>80600.0</v>
      </c>
      <c r="E161" s="1"/>
      <c r="F161" s="213" t="s">
        <v>5</v>
      </c>
      <c r="G161" s="54">
        <v>1.612393E7</v>
      </c>
      <c r="H161" s="55">
        <v>80620.0</v>
      </c>
      <c r="I161" s="55">
        <v>19383.0</v>
      </c>
      <c r="J161" s="55">
        <v>61237.0</v>
      </c>
      <c r="K161" s="56">
        <v>61200.0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215" t="s">
        <v>54</v>
      </c>
      <c r="B162" s="62">
        <v>2.5475593E7</v>
      </c>
      <c r="C162" s="63">
        <v>127378.0</v>
      </c>
      <c r="D162" s="17">
        <v>127400.0</v>
      </c>
      <c r="E162" s="1"/>
      <c r="F162" s="213" t="s">
        <v>25</v>
      </c>
      <c r="G162" s="54">
        <v>2.1769882E7</v>
      </c>
      <c r="H162" s="55">
        <v>108849.0</v>
      </c>
      <c r="I162" s="55">
        <v>48507.0</v>
      </c>
      <c r="J162" s="55">
        <v>60343.0</v>
      </c>
      <c r="K162" s="56">
        <v>57300.0</v>
      </c>
      <c r="L162" s="193" t="s">
        <v>149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216" t="s">
        <v>55</v>
      </c>
      <c r="B163" s="65">
        <v>2.1769882E7</v>
      </c>
      <c r="C163" s="66">
        <v>108849.0</v>
      </c>
      <c r="D163" s="199">
        <v>108800.0</v>
      </c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217" t="s">
        <v>56</v>
      </c>
      <c r="B164" s="69">
        <v>4.9769692E7</v>
      </c>
      <c r="C164" s="17">
        <v>248848.0</v>
      </c>
      <c r="D164" s="199">
        <v>248800.0</v>
      </c>
      <c r="E164" s="1"/>
      <c r="F164" s="13"/>
      <c r="G164" s="67"/>
      <c r="H164" s="37"/>
      <c r="I164" s="37"/>
      <c r="J164" s="37"/>
      <c r="K164" s="68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217" t="s">
        <v>58</v>
      </c>
      <c r="B165" s="190">
        <v>1.782403E7</v>
      </c>
      <c r="C165" s="17">
        <v>89120.0</v>
      </c>
      <c r="D165" s="199">
        <v>89100.0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217" t="s">
        <v>59</v>
      </c>
      <c r="B166" s="69">
        <v>3623340.0</v>
      </c>
      <c r="C166" s="17">
        <v>18117.0</v>
      </c>
      <c r="D166" s="199">
        <v>18100.0</v>
      </c>
      <c r="E166" s="1"/>
      <c r="F166" s="218" t="s">
        <v>106</v>
      </c>
      <c r="G166" s="7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217" t="s">
        <v>127</v>
      </c>
      <c r="B167" s="19">
        <v>4959713.0</v>
      </c>
      <c r="C167" s="17">
        <v>24799.0</v>
      </c>
      <c r="D167" s="199">
        <v>24800.0</v>
      </c>
      <c r="E167" s="1"/>
      <c r="F167" s="213" t="s">
        <v>48</v>
      </c>
      <c r="G167" s="10">
        <v>476900.0</v>
      </c>
      <c r="H167" s="3"/>
      <c r="I167" s="1"/>
      <c r="J167" s="1"/>
      <c r="K167" s="1"/>
      <c r="L167" s="1"/>
      <c r="M167" s="1"/>
      <c r="N167" s="3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217" t="s">
        <v>136</v>
      </c>
      <c r="B168" s="19">
        <v>623750.0</v>
      </c>
      <c r="C168" s="17">
        <v>3119.0</v>
      </c>
      <c r="D168" s="199">
        <v>3100.0</v>
      </c>
      <c r="E168" s="1"/>
      <c r="F168" s="213" t="s">
        <v>49</v>
      </c>
      <c r="G168" s="10">
        <v>447200.0</v>
      </c>
      <c r="H168" s="3"/>
      <c r="I168" s="73"/>
      <c r="J168" s="74"/>
      <c r="K168" s="75"/>
      <c r="L168" s="76"/>
      <c r="M168" s="1"/>
      <c r="N168" s="1"/>
      <c r="O168" s="3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217" t="s">
        <v>137</v>
      </c>
      <c r="B169" s="19">
        <v>4983000.0</v>
      </c>
      <c r="C169" s="17">
        <v>24915.0</v>
      </c>
      <c r="D169" s="199">
        <v>24900.0</v>
      </c>
      <c r="E169" s="1"/>
      <c r="F169" s="213" t="s">
        <v>13</v>
      </c>
      <c r="G169" s="10">
        <v>115400.0</v>
      </c>
      <c r="H169" s="3" t="s">
        <v>109</v>
      </c>
      <c r="I169" s="78"/>
      <c r="K169" s="79"/>
      <c r="L169" s="76"/>
      <c r="M169" s="1"/>
      <c r="N169" s="3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7"/>
      <c r="C170" s="17">
        <v>0.0</v>
      </c>
      <c r="D170" s="1"/>
      <c r="E170" s="1"/>
      <c r="F170" s="213" t="s">
        <v>5</v>
      </c>
      <c r="G170" s="10">
        <v>61200.0</v>
      </c>
      <c r="H170" s="193" t="s">
        <v>110</v>
      </c>
      <c r="I170" s="78"/>
      <c r="K170" s="79"/>
      <c r="L170" s="76"/>
      <c r="M170" s="1"/>
      <c r="N170" s="3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7"/>
      <c r="C171" s="17">
        <v>0.0</v>
      </c>
      <c r="D171" s="170"/>
      <c r="E171" s="1"/>
      <c r="F171" s="213" t="s">
        <v>25</v>
      </c>
      <c r="G171" s="10">
        <v>57300.0</v>
      </c>
      <c r="H171" s="3" t="s">
        <v>111</v>
      </c>
      <c r="I171" s="81"/>
      <c r="J171" s="82"/>
      <c r="K171" s="83"/>
      <c r="L171" s="76"/>
      <c r="M171" s="1"/>
      <c r="N171" s="3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7"/>
      <c r="C172" s="10">
        <v>1848159.0</v>
      </c>
      <c r="D172" s="77">
        <v>1848000.0</v>
      </c>
      <c r="E172" s="1"/>
      <c r="F172" s="13"/>
      <c r="G172" s="219">
        <v>0.0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7"/>
      <c r="C173" s="3"/>
      <c r="D173" s="1"/>
      <c r="E173" s="1"/>
      <c r="F173" s="213" t="s">
        <v>32</v>
      </c>
      <c r="G173" s="10">
        <v>191600.0</v>
      </c>
      <c r="H173" s="3" t="s">
        <v>63</v>
      </c>
      <c r="I173" s="3"/>
      <c r="J173" s="3"/>
      <c r="K173" s="3"/>
      <c r="L173" s="1"/>
      <c r="M173" s="1"/>
      <c r="N173" s="1"/>
      <c r="O173" s="3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220" t="s">
        <v>60</v>
      </c>
      <c r="B174" s="7"/>
      <c r="C174" s="17" t="s">
        <v>42</v>
      </c>
      <c r="D174" s="1"/>
      <c r="E174" s="1"/>
      <c r="F174" s="213" t="s">
        <v>50</v>
      </c>
      <c r="G174" s="10">
        <v>72900.0</v>
      </c>
      <c r="H174" s="3" t="s">
        <v>65</v>
      </c>
      <c r="I174" s="3"/>
      <c r="J174" s="3"/>
      <c r="K174" s="3"/>
      <c r="L174" s="3"/>
      <c r="M174" s="1"/>
      <c r="N174" s="3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217" t="s">
        <v>61</v>
      </c>
      <c r="B175" s="6">
        <v>1.612393E7</v>
      </c>
      <c r="C175" s="17">
        <v>80620.0</v>
      </c>
      <c r="D175" s="1"/>
      <c r="E175" s="1"/>
      <c r="F175" s="1"/>
      <c r="G175" s="85">
        <v>1422500.0</v>
      </c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217" t="s">
        <v>62</v>
      </c>
      <c r="B176" s="6">
        <v>3.9663E7</v>
      </c>
      <c r="C176" s="17">
        <v>198315.0</v>
      </c>
      <c r="D176" s="1"/>
      <c r="E176" s="1"/>
      <c r="F176" s="1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217" t="s">
        <v>64</v>
      </c>
      <c r="B177" s="6">
        <v>2.1769882E7</v>
      </c>
      <c r="C177" s="17">
        <v>108849.0</v>
      </c>
      <c r="D177" s="1"/>
      <c r="E177" s="1"/>
      <c r="F177" s="1"/>
      <c r="G177" s="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217" t="s">
        <v>58</v>
      </c>
      <c r="B178" s="6">
        <v>1.782403E7</v>
      </c>
      <c r="C178" s="17">
        <v>89120.0</v>
      </c>
      <c r="D178" s="1"/>
      <c r="E178" s="1"/>
      <c r="F178" s="1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7"/>
      <c r="C179" s="17">
        <v>0.0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7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9">
        <v>9.5380842E7</v>
      </c>
      <c r="C181" s="86">
        <v>476904.0</v>
      </c>
      <c r="D181" s="221" t="s">
        <v>66</v>
      </c>
      <c r="E181" s="1"/>
      <c r="F181" s="1"/>
      <c r="G181" s="1"/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88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89"/>
      <c r="B183" s="90"/>
      <c r="C183" s="91"/>
      <c r="D183" s="89"/>
      <c r="E183" s="1"/>
      <c r="F183" s="1"/>
      <c r="G183" s="3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220" t="s">
        <v>67</v>
      </c>
      <c r="B184" s="88"/>
      <c r="C184" s="17" t="s">
        <v>42</v>
      </c>
      <c r="D184" s="1"/>
      <c r="E184" s="1"/>
      <c r="F184" s="1"/>
      <c r="G184" s="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217" t="s">
        <v>68</v>
      </c>
      <c r="B185" s="6">
        <v>2.5475593E7</v>
      </c>
      <c r="C185" s="17">
        <v>127378.0</v>
      </c>
      <c r="D185" s="1"/>
      <c r="E185" s="1"/>
      <c r="F185" s="1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217" t="s">
        <v>69</v>
      </c>
      <c r="B186" s="6">
        <v>4.9769692E7</v>
      </c>
      <c r="C186" s="17">
        <v>248848.0</v>
      </c>
      <c r="D186" s="1"/>
      <c r="E186" s="1"/>
      <c r="F186" s="1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217" t="s">
        <v>59</v>
      </c>
      <c r="B187" s="6">
        <v>3623340.0</v>
      </c>
      <c r="C187" s="17">
        <v>18117.0</v>
      </c>
      <c r="D187" s="1"/>
      <c r="E187" s="20"/>
      <c r="F187" s="20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217" t="s">
        <v>127</v>
      </c>
      <c r="B188" s="6">
        <v>4959713.0</v>
      </c>
      <c r="C188" s="17">
        <v>24799.0</v>
      </c>
      <c r="D188" s="1"/>
      <c r="E188" s="1"/>
      <c r="F188" s="1"/>
      <c r="G188" s="3"/>
      <c r="H188" s="1"/>
      <c r="I188" s="1"/>
      <c r="J188" s="3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217" t="s">
        <v>137</v>
      </c>
      <c r="B189" s="6">
        <v>4983000.0</v>
      </c>
      <c r="C189" s="17">
        <v>24915.0</v>
      </c>
      <c r="D189" s="1"/>
      <c r="E189" s="1"/>
      <c r="F189" s="1"/>
      <c r="G189" s="3"/>
      <c r="H189" s="1"/>
      <c r="I189" s="1"/>
      <c r="J189" s="3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217" t="s">
        <v>136</v>
      </c>
      <c r="B190" s="6">
        <v>623750.0</v>
      </c>
      <c r="C190" s="17">
        <v>3119.0</v>
      </c>
      <c r="D190" s="1"/>
      <c r="E190" s="1"/>
      <c r="F190" s="1"/>
      <c r="G190" s="3"/>
      <c r="H190" s="1"/>
      <c r="I190" s="1"/>
      <c r="J190" s="3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7"/>
      <c r="C191" s="3"/>
      <c r="D191" s="1"/>
      <c r="E191" s="1"/>
      <c r="F191" s="1"/>
      <c r="G191" s="3"/>
      <c r="H191" s="1"/>
      <c r="I191" s="1"/>
      <c r="J191" s="3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9">
        <v>8.9435088E7</v>
      </c>
      <c r="C192" s="86">
        <v>447175.0</v>
      </c>
      <c r="D192" s="221" t="s">
        <v>66</v>
      </c>
      <c r="E192" s="1"/>
      <c r="F192" s="1"/>
      <c r="G192" s="92"/>
      <c r="H192" s="1"/>
      <c r="I192" s="1"/>
      <c r="J192" s="3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7"/>
      <c r="C193" s="3"/>
      <c r="D193" s="1"/>
      <c r="E193" s="1"/>
      <c r="F193" s="1"/>
      <c r="G193" s="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7"/>
      <c r="C194" s="22"/>
      <c r="D194" s="20"/>
      <c r="E194" s="1"/>
      <c r="F194" s="1"/>
      <c r="G194" s="3"/>
      <c r="H194" s="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7"/>
      <c r="C195" s="3"/>
      <c r="D195" s="1"/>
      <c r="E195" s="1"/>
      <c r="F195" s="1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7"/>
      <c r="C196" s="3"/>
      <c r="D196" s="1"/>
      <c r="E196" s="1"/>
      <c r="F196" s="1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7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7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7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7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7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7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7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7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F166:G166"/>
    <mergeCell ref="I168:K17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91" t="s">
        <v>1</v>
      </c>
      <c r="B2" s="1"/>
      <c r="C2" s="3"/>
      <c r="D2" s="192">
        <v>1.4577249E7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93" t="s">
        <v>2</v>
      </c>
      <c r="B3" s="5">
        <v>0.005</v>
      </c>
      <c r="C3" s="3"/>
      <c r="D3" s="6">
        <v>72886.25</v>
      </c>
      <c r="E3" s="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91" t="s">
        <v>3</v>
      </c>
      <c r="B5" s="1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8" t="s">
        <v>5</v>
      </c>
      <c r="B6" s="194">
        <v>98.0</v>
      </c>
      <c r="C6" s="10">
        <v>23889.0</v>
      </c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8" t="s">
        <v>72</v>
      </c>
      <c r="B7" s="194">
        <v>44.0</v>
      </c>
      <c r="C7" s="10">
        <v>10726.0</v>
      </c>
      <c r="D7" s="1"/>
      <c r="E7" s="1"/>
      <c r="F7" s="1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95" t="s">
        <v>74</v>
      </c>
      <c r="B8" s="194">
        <v>69.0</v>
      </c>
      <c r="C8" s="10">
        <v>16820.0</v>
      </c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96" t="s">
        <v>146</v>
      </c>
      <c r="B9" s="194">
        <v>88.0</v>
      </c>
      <c r="C9" s="10">
        <v>21451.0</v>
      </c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3"/>
      <c r="B10" s="14"/>
      <c r="C10" s="10">
        <v>0.0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"/>
      <c r="B11" s="14"/>
      <c r="C11" s="10">
        <v>0.0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93" t="s">
        <v>8</v>
      </c>
      <c r="B12" s="199">
        <v>299.0</v>
      </c>
      <c r="C12" s="17">
        <v>72886.0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00" t="s">
        <v>9</v>
      </c>
      <c r="B13" s="19">
        <v>243.77</v>
      </c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7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0"/>
      <c r="B15" s="21"/>
      <c r="C15" s="22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1"/>
    </row>
    <row r="16">
      <c r="A16" s="1"/>
      <c r="B16" s="7"/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91" t="s">
        <v>76</v>
      </c>
      <c r="B17" s="1"/>
      <c r="C17" s="3"/>
      <c r="D17" s="192">
        <v>3.501723E7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93" t="s">
        <v>2</v>
      </c>
      <c r="B18" s="5">
        <v>0.005</v>
      </c>
      <c r="C18" s="3"/>
      <c r="D18" s="44">
        <v>175086.0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91" t="s">
        <v>3</v>
      </c>
      <c r="B20" s="1"/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8" t="s">
        <v>13</v>
      </c>
      <c r="B21" s="194">
        <v>116.0</v>
      </c>
      <c r="C21" s="10">
        <v>65305.0</v>
      </c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8" t="s">
        <v>38</v>
      </c>
      <c r="B22" s="194">
        <v>75.0</v>
      </c>
      <c r="C22" s="10">
        <v>42223.0</v>
      </c>
      <c r="D22" s="3"/>
      <c r="E22" s="1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97" t="s">
        <v>142</v>
      </c>
      <c r="B23" s="194">
        <v>47.0</v>
      </c>
      <c r="C23" s="10">
        <v>26460.0</v>
      </c>
      <c r="D23" s="3"/>
      <c r="E23" s="1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97" t="s">
        <v>148</v>
      </c>
      <c r="B24" s="198">
        <v>73.0</v>
      </c>
      <c r="C24" s="10">
        <v>41097.0</v>
      </c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93" t="s">
        <v>8</v>
      </c>
      <c r="B25" s="199">
        <v>311.0</v>
      </c>
      <c r="C25" s="17">
        <v>175086.0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00" t="s">
        <v>9</v>
      </c>
      <c r="B26" s="19">
        <v>562.98</v>
      </c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7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0"/>
      <c r="B28" s="21"/>
      <c r="C28" s="22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1"/>
    </row>
    <row r="29">
      <c r="A29" s="1"/>
      <c r="B29" s="7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91" t="s">
        <v>17</v>
      </c>
      <c r="B30" s="1"/>
      <c r="C30" s="3"/>
      <c r="D30" s="192">
        <v>2.391511E7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93" t="s">
        <v>2</v>
      </c>
      <c r="B31" s="5">
        <v>0.005</v>
      </c>
      <c r="C31" s="3"/>
      <c r="D31" s="202">
        <v>119575.55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91" t="s">
        <v>3</v>
      </c>
      <c r="B33" s="1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8" t="s">
        <v>50</v>
      </c>
      <c r="B34" s="30">
        <v>114.0</v>
      </c>
      <c r="C34" s="10">
        <v>44548.0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8" t="s">
        <v>119</v>
      </c>
      <c r="B35" s="30">
        <v>113.0</v>
      </c>
      <c r="C35" s="10">
        <v>44157.0</v>
      </c>
      <c r="D35" s="168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8" t="s">
        <v>22</v>
      </c>
      <c r="B36" s="31">
        <v>43.0</v>
      </c>
      <c r="C36" s="10">
        <v>16803.0</v>
      </c>
      <c r="D36" s="168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04" t="s">
        <v>133</v>
      </c>
      <c r="B37" s="31">
        <v>36.0</v>
      </c>
      <c r="C37" s="35">
        <v>14068.0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22"/>
      <c r="B38" s="176"/>
      <c r="C38" s="10">
        <v>0.0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5"/>
      <c r="B39" s="174"/>
      <c r="C39" s="35">
        <v>0.0</v>
      </c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93" t="s">
        <v>8</v>
      </c>
      <c r="B40" s="17">
        <v>306.0</v>
      </c>
      <c r="C40" s="17">
        <v>119576.0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00" t="s">
        <v>9</v>
      </c>
      <c r="B41" s="19">
        <v>390.77</v>
      </c>
      <c r="C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7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0"/>
      <c r="B43" s="21"/>
      <c r="C43" s="22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1"/>
    </row>
    <row r="44">
      <c r="A44" s="1"/>
      <c r="B44" s="7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91" t="s">
        <v>23</v>
      </c>
      <c r="B45" s="1"/>
      <c r="C45" s="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93" t="s">
        <v>2</v>
      </c>
      <c r="B46" s="5">
        <v>0.005</v>
      </c>
      <c r="C46" s="3"/>
      <c r="D46" s="1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3"/>
      <c r="D47" s="202">
        <v>0.0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91" t="s">
        <v>3</v>
      </c>
      <c r="B48" s="1"/>
      <c r="C48" s="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6"/>
      <c r="B49" s="37"/>
      <c r="C49" s="10" t="e">
        <v>#DIV/0!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8"/>
      <c r="B50" s="37"/>
      <c r="C50" s="10" t="e">
        <v>#DIV/0!</v>
      </c>
      <c r="D50" s="1"/>
      <c r="E50" s="1"/>
      <c r="F50" s="3"/>
      <c r="G50" s="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93" t="s">
        <v>8</v>
      </c>
      <c r="B51" s="17">
        <v>0.0</v>
      </c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00" t="s">
        <v>9</v>
      </c>
      <c r="B52" s="39" t="e">
        <v>#DIV/0!</v>
      </c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0"/>
      <c r="B54" s="20"/>
      <c r="C54" s="22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1"/>
    </row>
    <row r="55">
      <c r="A55" s="1"/>
      <c r="B55" s="1"/>
      <c r="C55" s="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91" t="s">
        <v>24</v>
      </c>
      <c r="B56" s="1"/>
      <c r="C56" s="3"/>
      <c r="D56" s="192">
        <v>1.9378421E7</v>
      </c>
      <c r="E56" s="1"/>
      <c r="F56" s="1"/>
      <c r="G56" s="1"/>
      <c r="H56" s="1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93" t="s">
        <v>2</v>
      </c>
      <c r="B57" s="5">
        <v>0.005</v>
      </c>
      <c r="C57" s="3"/>
      <c r="D57" s="202">
        <v>96892.105</v>
      </c>
      <c r="E57" s="1"/>
      <c r="F57" s="1"/>
      <c r="G57" s="1"/>
      <c r="H57" s="40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3"/>
      <c r="D58" s="1"/>
      <c r="E58" s="1"/>
      <c r="F58" s="1"/>
      <c r="G58" s="1"/>
      <c r="H58" s="1"/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91" t="s">
        <v>3</v>
      </c>
      <c r="B59" s="1"/>
      <c r="C59" s="3"/>
      <c r="D59" s="1"/>
      <c r="E59" s="1"/>
      <c r="F59" s="1"/>
      <c r="G59" s="1"/>
      <c r="H59" s="1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05" t="s">
        <v>25</v>
      </c>
      <c r="B60" s="194">
        <v>50.0</v>
      </c>
      <c r="C60" s="10">
        <v>18633.0</v>
      </c>
      <c r="D60" s="3"/>
      <c r="E60" s="1"/>
      <c r="F60" s="1"/>
      <c r="G60" s="1"/>
      <c r="H60" s="1"/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05" t="s">
        <v>26</v>
      </c>
      <c r="B61" s="194">
        <v>97.0</v>
      </c>
      <c r="C61" s="10">
        <v>36148.0</v>
      </c>
      <c r="D61" s="3"/>
      <c r="E61" s="1"/>
      <c r="F61" s="1"/>
      <c r="G61" s="1"/>
      <c r="H61" s="1"/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05" t="s">
        <v>28</v>
      </c>
      <c r="B62" s="194">
        <v>101.0</v>
      </c>
      <c r="C62" s="10">
        <v>37639.0</v>
      </c>
      <c r="D62" s="3"/>
      <c r="E62" s="1"/>
      <c r="F62" s="1"/>
      <c r="G62" s="1"/>
      <c r="H62" s="1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23" t="s">
        <v>150</v>
      </c>
      <c r="B63" s="194">
        <v>12.0</v>
      </c>
      <c r="C63" s="10">
        <v>4472.0</v>
      </c>
      <c r="D63" s="3"/>
      <c r="E63" s="1"/>
      <c r="F63" s="1"/>
      <c r="G63" s="1"/>
      <c r="H63" s="1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93" t="s">
        <v>8</v>
      </c>
      <c r="B64" s="199">
        <v>260.0</v>
      </c>
      <c r="C64" s="17">
        <v>96892.0</v>
      </c>
      <c r="D64" s="1"/>
      <c r="E64" s="1"/>
      <c r="F64" s="1"/>
      <c r="G64" s="1"/>
      <c r="H64" s="1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00" t="s">
        <v>9</v>
      </c>
      <c r="B65" s="19">
        <v>372.66</v>
      </c>
      <c r="C65" s="3"/>
      <c r="D65" s="1"/>
      <c r="E65" s="1"/>
      <c r="F65" s="1"/>
      <c r="G65" s="1"/>
      <c r="H65" s="7"/>
      <c r="I65" s="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0"/>
      <c r="B67" s="20"/>
      <c r="C67" s="22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1"/>
    </row>
    <row r="68">
      <c r="A68" s="1"/>
      <c r="B68" s="7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91" t="s">
        <v>29</v>
      </c>
      <c r="B69" s="1"/>
      <c r="C69" s="3"/>
      <c r="D69" s="192">
        <v>5.2821916E7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93" t="s">
        <v>2</v>
      </c>
      <c r="B70" s="5">
        <v>0.005</v>
      </c>
      <c r="C70" s="3"/>
      <c r="D70" s="202">
        <v>264109.58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91" t="s">
        <v>3</v>
      </c>
      <c r="B72" s="1"/>
      <c r="C72" s="3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06"/>
      <c r="B73" s="14"/>
      <c r="C73" s="10">
        <v>0.0</v>
      </c>
      <c r="D73" s="3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8" t="s">
        <v>32</v>
      </c>
      <c r="B74" s="31">
        <v>80.0</v>
      </c>
      <c r="C74" s="10">
        <v>41839.0</v>
      </c>
      <c r="D74" s="3"/>
      <c r="E74" s="1"/>
      <c r="F74" s="3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8" t="s">
        <v>34</v>
      </c>
      <c r="B75" s="31">
        <v>15.0</v>
      </c>
      <c r="C75" s="10">
        <v>7845.0</v>
      </c>
      <c r="D75" s="3"/>
      <c r="E75" s="1"/>
      <c r="F75" s="3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66" t="s">
        <v>140</v>
      </c>
      <c r="B76" s="31">
        <v>108.0</v>
      </c>
      <c r="C76" s="10">
        <v>56483.0</v>
      </c>
      <c r="D76" s="3"/>
      <c r="E76" s="1"/>
      <c r="F76" s="3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8" t="s">
        <v>117</v>
      </c>
      <c r="B77" s="31">
        <v>110.0</v>
      </c>
      <c r="C77" s="10">
        <v>57529.0</v>
      </c>
      <c r="D77" s="168"/>
      <c r="E77" s="1"/>
      <c r="F77" s="3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24" t="s">
        <v>133</v>
      </c>
      <c r="B78" s="31">
        <v>80.0</v>
      </c>
      <c r="C78" s="10">
        <v>41839.0</v>
      </c>
      <c r="D78" s="42">
        <v>27893.0</v>
      </c>
      <c r="E78" s="1"/>
      <c r="F78" s="3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24" t="s">
        <v>130</v>
      </c>
      <c r="B79" s="31">
        <v>103.0</v>
      </c>
      <c r="C79" s="10">
        <v>53868.0</v>
      </c>
      <c r="D79" s="168"/>
      <c r="E79" s="1"/>
      <c r="F79" s="3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05" t="s">
        <v>87</v>
      </c>
      <c r="B80" s="31">
        <v>9.0</v>
      </c>
      <c r="C80" s="10">
        <v>4707.0</v>
      </c>
      <c r="D80" s="3"/>
      <c r="E80" s="1"/>
      <c r="F80" s="3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93" t="s">
        <v>8</v>
      </c>
      <c r="B81" s="199">
        <v>505.0</v>
      </c>
      <c r="C81" s="17">
        <v>264110.0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00" t="s">
        <v>9</v>
      </c>
      <c r="B82" s="19">
        <v>522.99</v>
      </c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7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0"/>
      <c r="B84" s="21"/>
      <c r="C84" s="22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1"/>
    </row>
    <row r="85">
      <c r="A85" s="1"/>
      <c r="B85" s="7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91" t="s">
        <v>35</v>
      </c>
      <c r="B86" s="1"/>
      <c r="C86" s="3"/>
      <c r="D86" s="43">
        <v>1.4045343E7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93" t="s">
        <v>2</v>
      </c>
      <c r="B87" s="5">
        <v>0.005</v>
      </c>
      <c r="C87" s="3"/>
      <c r="D87" s="44">
        <v>70227.0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3"/>
      <c r="D88" s="3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91" t="s">
        <v>3</v>
      </c>
      <c r="B89" s="1"/>
      <c r="C89" s="3"/>
      <c r="D89" s="3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75"/>
      <c r="B90" s="176"/>
      <c r="C90" s="35">
        <v>0.0</v>
      </c>
      <c r="D90" s="1"/>
      <c r="E90" s="1"/>
      <c r="F90" s="3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05" t="s">
        <v>90</v>
      </c>
      <c r="B91" s="31">
        <v>97.0</v>
      </c>
      <c r="C91" s="10">
        <v>27579.0</v>
      </c>
      <c r="D91" s="3"/>
      <c r="E91" s="1"/>
      <c r="F91" s="3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07" t="s">
        <v>142</v>
      </c>
      <c r="B92" s="31">
        <v>39.0</v>
      </c>
      <c r="C92" s="10">
        <v>11088.0</v>
      </c>
      <c r="D92" s="3"/>
      <c r="E92" s="29"/>
      <c r="F92" s="3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01" t="s">
        <v>118</v>
      </c>
      <c r="B93" s="30">
        <v>111.0</v>
      </c>
      <c r="C93" s="10">
        <v>31559.0</v>
      </c>
      <c r="D93" s="168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93" t="s">
        <v>8</v>
      </c>
      <c r="B94" s="17">
        <v>247.0</v>
      </c>
      <c r="C94" s="17">
        <v>70227.0</v>
      </c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00" t="s">
        <v>9</v>
      </c>
      <c r="B95" s="19">
        <v>284.32</v>
      </c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7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0"/>
      <c r="B97" s="21"/>
      <c r="C97" s="22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1"/>
    </row>
    <row r="98">
      <c r="A98" s="1"/>
      <c r="B98" s="7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91" t="s">
        <v>40</v>
      </c>
      <c r="B99" s="7"/>
      <c r="C99" s="3"/>
      <c r="D99" s="192">
        <v>3043380.0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93" t="s">
        <v>2</v>
      </c>
      <c r="B100" s="5">
        <v>0.005</v>
      </c>
      <c r="C100" s="3"/>
      <c r="D100" s="202">
        <v>15216.9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40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91" t="s">
        <v>3</v>
      </c>
      <c r="B102" s="1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8" t="s">
        <v>120</v>
      </c>
      <c r="B103" s="194">
        <v>6.0</v>
      </c>
      <c r="C103" s="10">
        <v>557.0</v>
      </c>
      <c r="D103" s="42">
        <v>557.0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8" t="s">
        <v>94</v>
      </c>
      <c r="B104" s="194">
        <v>79.0</v>
      </c>
      <c r="C104" s="10">
        <v>7330.0</v>
      </c>
      <c r="D104" s="32">
        <v>15175.0</v>
      </c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8" t="s">
        <v>31</v>
      </c>
      <c r="B105" s="194">
        <v>79.0</v>
      </c>
      <c r="C105" s="10">
        <v>7330.0</v>
      </c>
      <c r="D105" s="3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75"/>
      <c r="B106" s="14"/>
      <c r="C106" s="10">
        <v>0.0</v>
      </c>
      <c r="D106" s="3"/>
      <c r="E106" s="3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50" t="s">
        <v>8</v>
      </c>
      <c r="B107" s="199">
        <v>164.0</v>
      </c>
      <c r="C107" s="17">
        <v>15217.0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200" t="s">
        <v>9</v>
      </c>
      <c r="B108" s="19">
        <v>92.79</v>
      </c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7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7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20"/>
      <c r="B111" s="21"/>
      <c r="C111" s="22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1"/>
    </row>
    <row r="112">
      <c r="A112" s="1"/>
      <c r="B112" s="7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91" t="s">
        <v>132</v>
      </c>
      <c r="B113" s="7"/>
      <c r="C113" s="3"/>
      <c r="D113" s="192">
        <v>8516942.0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93" t="s">
        <v>2</v>
      </c>
      <c r="B114" s="5">
        <v>0.005</v>
      </c>
      <c r="C114" s="3"/>
      <c r="D114" s="202">
        <v>42584.71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40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91" t="s">
        <v>3</v>
      </c>
      <c r="B116" s="1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26" t="s">
        <v>21</v>
      </c>
      <c r="B117" s="194">
        <v>70.0</v>
      </c>
      <c r="C117" s="10">
        <v>9088.0</v>
      </c>
      <c r="D117" s="168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95" t="s">
        <v>122</v>
      </c>
      <c r="B118" s="194">
        <v>110.0</v>
      </c>
      <c r="C118" s="10">
        <v>14281.0</v>
      </c>
      <c r="D118" s="168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95" t="s">
        <v>124</v>
      </c>
      <c r="B119" s="194">
        <v>84.0</v>
      </c>
      <c r="C119" s="10">
        <v>10906.0</v>
      </c>
      <c r="D119" s="168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95" t="s">
        <v>143</v>
      </c>
      <c r="B120" s="194">
        <v>14.0</v>
      </c>
      <c r="C120" s="10">
        <v>1818.0</v>
      </c>
      <c r="D120" s="3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95" t="s">
        <v>125</v>
      </c>
      <c r="B121" s="194">
        <v>10.0</v>
      </c>
      <c r="C121" s="10">
        <v>1298.0</v>
      </c>
      <c r="D121" s="3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97" t="s">
        <v>144</v>
      </c>
      <c r="B122" s="194">
        <v>40.0</v>
      </c>
      <c r="C122" s="10">
        <v>5193.0</v>
      </c>
      <c r="D122" s="3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3"/>
      <c r="B123" s="14"/>
      <c r="C123" s="10">
        <v>0.0</v>
      </c>
      <c r="D123" s="3"/>
      <c r="E123" s="3"/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50" t="s">
        <v>8</v>
      </c>
      <c r="B124" s="199">
        <v>328.0</v>
      </c>
      <c r="C124" s="17">
        <v>42585.0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200" t="s">
        <v>9</v>
      </c>
      <c r="B125" s="19">
        <v>129.83</v>
      </c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7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20"/>
      <c r="B127" s="21"/>
      <c r="C127" s="22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1"/>
    </row>
    <row r="128">
      <c r="A128" s="1"/>
      <c r="B128" s="7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91" t="s">
        <v>134</v>
      </c>
      <c r="B129" s="7"/>
      <c r="C129" s="3"/>
      <c r="D129" s="192">
        <v>244510.0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93" t="s">
        <v>2</v>
      </c>
      <c r="B130" s="5">
        <v>0.005</v>
      </c>
      <c r="C130" s="3"/>
      <c r="D130" s="202">
        <v>1222.55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40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91" t="s">
        <v>3</v>
      </c>
      <c r="B132" s="1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8" t="s">
        <v>120</v>
      </c>
      <c r="B133" s="194">
        <v>77.0</v>
      </c>
      <c r="C133" s="10">
        <v>603.0</v>
      </c>
      <c r="D133" s="42">
        <v>5867.0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225" t="s">
        <v>145</v>
      </c>
      <c r="B134" s="194">
        <v>79.0</v>
      </c>
      <c r="C134" s="10">
        <v>619.0</v>
      </c>
      <c r="D134" s="212">
        <v>413.0</v>
      </c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63"/>
      <c r="B135" s="14"/>
      <c r="C135" s="10">
        <v>0.0</v>
      </c>
      <c r="D135" s="3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3"/>
      <c r="B136" s="14"/>
      <c r="C136" s="10">
        <v>0.0</v>
      </c>
      <c r="D136" s="3"/>
      <c r="E136" s="3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50" t="s">
        <v>8</v>
      </c>
      <c r="B137" s="199">
        <v>156.0</v>
      </c>
      <c r="C137" s="17">
        <v>1223.0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200" t="s">
        <v>9</v>
      </c>
      <c r="B138" s="19">
        <v>7.84</v>
      </c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7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20"/>
      <c r="B140" s="21"/>
      <c r="C140" s="22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1"/>
    </row>
    <row r="141">
      <c r="A141" s="1"/>
      <c r="B141" s="7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91" t="s">
        <v>135</v>
      </c>
      <c r="B142" s="7"/>
      <c r="C142" s="3"/>
      <c r="D142" s="192">
        <v>9239300.0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93" t="s">
        <v>2</v>
      </c>
      <c r="B143" s="5">
        <v>0.005</v>
      </c>
      <c r="C143" s="3"/>
      <c r="D143" s="202">
        <v>46196.5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40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91" t="s">
        <v>3</v>
      </c>
      <c r="B145" s="1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8" t="s">
        <v>18</v>
      </c>
      <c r="B146" s="194">
        <v>46.0</v>
      </c>
      <c r="C146" s="10">
        <v>11244.0</v>
      </c>
      <c r="D146" s="42">
        <v>13061.0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95" t="s">
        <v>125</v>
      </c>
      <c r="B147" s="194">
        <v>86.0</v>
      </c>
      <c r="C147" s="10">
        <v>21021.0</v>
      </c>
      <c r="D147" s="42">
        <v>22319.0</v>
      </c>
      <c r="E147" s="1"/>
      <c r="F147" s="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97" t="s">
        <v>144</v>
      </c>
      <c r="B148" s="194">
        <v>57.0</v>
      </c>
      <c r="C148" s="10">
        <v>13932.0</v>
      </c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3"/>
      <c r="B149" s="14"/>
      <c r="C149" s="10">
        <v>0.0</v>
      </c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63"/>
      <c r="B150" s="14"/>
      <c r="C150" s="10">
        <v>0.0</v>
      </c>
      <c r="D150" s="3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63"/>
      <c r="B151" s="14"/>
      <c r="C151" s="10">
        <v>0.0</v>
      </c>
      <c r="D151" s="3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50" t="s">
        <v>8</v>
      </c>
      <c r="B152" s="199">
        <v>189.0</v>
      </c>
      <c r="C152" s="17">
        <v>46197.0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200" t="s">
        <v>9</v>
      </c>
      <c r="B153" s="19">
        <v>244.43</v>
      </c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7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20"/>
      <c r="B155" s="21"/>
      <c r="C155" s="22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1"/>
    </row>
    <row r="156">
      <c r="A156" s="1"/>
      <c r="B156" s="7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39" t="s">
        <v>41</v>
      </c>
      <c r="C157" s="17" t="s">
        <v>42</v>
      </c>
      <c r="D157" s="3"/>
      <c r="E157" s="1"/>
      <c r="F157" s="13"/>
      <c r="G157" s="208" t="s">
        <v>44</v>
      </c>
      <c r="H157" s="208" t="s">
        <v>42</v>
      </c>
      <c r="I157" s="208" t="s">
        <v>45</v>
      </c>
      <c r="J157" s="208" t="s">
        <v>46</v>
      </c>
      <c r="K157" s="209" t="s">
        <v>47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217" t="s">
        <v>48</v>
      </c>
      <c r="B158" s="7"/>
      <c r="C158" s="17">
        <v>367340.0</v>
      </c>
      <c r="D158" s="17">
        <v>367300.0</v>
      </c>
      <c r="E158" s="3"/>
      <c r="F158" s="213" t="s">
        <v>32</v>
      </c>
      <c r="G158" s="54">
        <v>5.6105566E7</v>
      </c>
      <c r="H158" s="55">
        <v>280528.0</v>
      </c>
      <c r="I158" s="55">
        <v>41839.0</v>
      </c>
      <c r="J158" s="55">
        <v>238689.0</v>
      </c>
      <c r="K158" s="56">
        <v>238700.0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217" t="s">
        <v>49</v>
      </c>
      <c r="B159" s="7"/>
      <c r="C159" s="17">
        <v>488002.0</v>
      </c>
      <c r="D159" s="17">
        <v>488000.0</v>
      </c>
      <c r="E159" s="1"/>
      <c r="F159" s="37" t="s">
        <v>50</v>
      </c>
      <c r="G159" s="54">
        <v>2.0943355E7</v>
      </c>
      <c r="H159" s="55">
        <v>104717.0</v>
      </c>
      <c r="I159" s="55">
        <v>44548.0</v>
      </c>
      <c r="J159" s="55">
        <v>60169.0</v>
      </c>
      <c r="K159" s="56">
        <v>60200.0</v>
      </c>
      <c r="L159" s="3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214" t="s">
        <v>51</v>
      </c>
      <c r="B160" s="58">
        <v>3.043864E7</v>
      </c>
      <c r="C160" s="59">
        <v>152193.0</v>
      </c>
      <c r="D160" s="17">
        <v>152200.0</v>
      </c>
      <c r="E160" s="1"/>
      <c r="F160" s="213" t="s">
        <v>13</v>
      </c>
      <c r="G160" s="54">
        <v>3.043864E7</v>
      </c>
      <c r="H160" s="55">
        <v>152193.0</v>
      </c>
      <c r="I160" s="55">
        <v>65305.0</v>
      </c>
      <c r="J160" s="55">
        <v>86888.0</v>
      </c>
      <c r="K160" s="56">
        <v>86900.0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214" t="s">
        <v>52</v>
      </c>
      <c r="B161" s="58">
        <v>1.37993E7</v>
      </c>
      <c r="C161" s="59">
        <v>68997.0</v>
      </c>
      <c r="D161" s="199">
        <v>69000.0</v>
      </c>
      <c r="E161" s="1"/>
      <c r="F161" s="213" t="s">
        <v>5</v>
      </c>
      <c r="G161" s="54">
        <v>1.37993E7</v>
      </c>
      <c r="H161" s="55">
        <v>68997.0</v>
      </c>
      <c r="I161" s="55">
        <v>23889.0</v>
      </c>
      <c r="J161" s="55">
        <v>45107.0</v>
      </c>
      <c r="K161" s="56">
        <v>45100.0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215" t="s">
        <v>54</v>
      </c>
      <c r="B162" s="62">
        <v>2.0943355E7</v>
      </c>
      <c r="C162" s="63">
        <v>104717.0</v>
      </c>
      <c r="D162" s="17">
        <v>104700.0</v>
      </c>
      <c r="E162" s="1"/>
      <c r="F162" s="213" t="s">
        <v>25</v>
      </c>
      <c r="G162" s="54">
        <v>1.6278682E7</v>
      </c>
      <c r="H162" s="55">
        <v>81393.0</v>
      </c>
      <c r="I162" s="55">
        <v>18633.0</v>
      </c>
      <c r="J162" s="55">
        <v>62760.0</v>
      </c>
      <c r="K162" s="56">
        <v>62800.0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216" t="s">
        <v>55</v>
      </c>
      <c r="B163" s="65">
        <v>1.6278682E7</v>
      </c>
      <c r="C163" s="66">
        <v>81393.0</v>
      </c>
      <c r="D163" s="199">
        <v>81400.0</v>
      </c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217" t="s">
        <v>56</v>
      </c>
      <c r="B164" s="69">
        <v>5.6105566E7</v>
      </c>
      <c r="C164" s="17">
        <v>280528.0</v>
      </c>
      <c r="D164" s="199">
        <v>280500.0</v>
      </c>
      <c r="E164" s="1"/>
      <c r="F164" s="13"/>
      <c r="G164" s="67"/>
      <c r="H164" s="37"/>
      <c r="I164" s="37"/>
      <c r="J164" s="37"/>
      <c r="K164" s="68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217" t="s">
        <v>58</v>
      </c>
      <c r="B165" s="69">
        <v>1.2951444E7</v>
      </c>
      <c r="C165" s="17">
        <v>64757.0</v>
      </c>
      <c r="D165" s="199">
        <v>64600.0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217" t="s">
        <v>59</v>
      </c>
      <c r="B166" s="69">
        <v>2967397.0</v>
      </c>
      <c r="C166" s="17">
        <v>14837.0</v>
      </c>
      <c r="D166" s="199">
        <v>14800.0</v>
      </c>
      <c r="E166" s="1"/>
      <c r="F166" s="218" t="s">
        <v>106</v>
      </c>
      <c r="G166" s="7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217" t="s">
        <v>127</v>
      </c>
      <c r="B167" s="19">
        <v>7961630.0</v>
      </c>
      <c r="C167" s="17">
        <v>39808.0</v>
      </c>
      <c r="D167" s="199">
        <v>39800.0</v>
      </c>
      <c r="E167" s="1"/>
      <c r="F167" s="213" t="s">
        <v>48</v>
      </c>
      <c r="G167" s="10">
        <v>367300.0</v>
      </c>
      <c r="H167" s="3"/>
      <c r="I167" s="1"/>
      <c r="J167" s="1"/>
      <c r="K167" s="1"/>
      <c r="L167" s="1"/>
      <c r="M167" s="1"/>
      <c r="N167" s="3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217" t="s">
        <v>136</v>
      </c>
      <c r="B168" s="19">
        <v>174650.0</v>
      </c>
      <c r="C168" s="17">
        <v>873.0</v>
      </c>
      <c r="D168" s="199">
        <v>900.0</v>
      </c>
      <c r="E168" s="1"/>
      <c r="F168" s="213" t="s">
        <v>49</v>
      </c>
      <c r="G168" s="55">
        <v>488000.0</v>
      </c>
      <c r="H168" s="3"/>
      <c r="I168" s="73"/>
      <c r="J168" s="74"/>
      <c r="K168" s="75"/>
      <c r="L168" s="76"/>
      <c r="M168" s="1"/>
      <c r="N168" s="1"/>
      <c r="O168" s="3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217" t="s">
        <v>137</v>
      </c>
      <c r="B169" s="19">
        <v>9447800.0</v>
      </c>
      <c r="C169" s="17">
        <v>47239.0</v>
      </c>
      <c r="D169" s="199">
        <v>47200.0</v>
      </c>
      <c r="E169" s="1"/>
      <c r="F169" s="213" t="s">
        <v>13</v>
      </c>
      <c r="G169" s="10">
        <v>86900.0</v>
      </c>
      <c r="H169" s="3" t="s">
        <v>109</v>
      </c>
      <c r="I169" s="78"/>
      <c r="K169" s="79"/>
      <c r="L169" s="76"/>
      <c r="M169" s="1"/>
      <c r="N169" s="3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7"/>
      <c r="C170" s="17">
        <v>0.0</v>
      </c>
      <c r="D170" s="1"/>
      <c r="E170" s="1"/>
      <c r="F170" s="213" t="s">
        <v>5</v>
      </c>
      <c r="G170" s="10">
        <v>45100.0</v>
      </c>
      <c r="H170" s="193" t="s">
        <v>110</v>
      </c>
      <c r="I170" s="78"/>
      <c r="K170" s="79"/>
      <c r="L170" s="76"/>
      <c r="M170" s="1"/>
      <c r="N170" s="3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7"/>
      <c r="C171" s="17">
        <v>0.0</v>
      </c>
      <c r="D171" s="170"/>
      <c r="E171" s="1"/>
      <c r="F171" s="213" t="s">
        <v>25</v>
      </c>
      <c r="G171" s="10">
        <v>62800.0</v>
      </c>
      <c r="H171" s="3" t="s">
        <v>111</v>
      </c>
      <c r="I171" s="81"/>
      <c r="J171" s="82"/>
      <c r="K171" s="83"/>
      <c r="L171" s="76"/>
      <c r="M171" s="1"/>
      <c r="N171" s="3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7"/>
      <c r="C172" s="10">
        <v>1710685.0</v>
      </c>
      <c r="D172" s="77">
        <v>1710400.0</v>
      </c>
      <c r="E172" s="1"/>
      <c r="F172" s="13"/>
      <c r="G172" s="219">
        <v>0.0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7"/>
      <c r="C173" s="3"/>
      <c r="D173" s="1"/>
      <c r="E173" s="1"/>
      <c r="F173" s="213" t="s">
        <v>32</v>
      </c>
      <c r="G173" s="10">
        <v>238700.0</v>
      </c>
      <c r="H173" s="3" t="s">
        <v>63</v>
      </c>
      <c r="I173" s="3"/>
      <c r="J173" s="3"/>
      <c r="K173" s="3"/>
      <c r="L173" s="1"/>
      <c r="M173" s="1"/>
      <c r="N173" s="1"/>
      <c r="O173" s="3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220" t="s">
        <v>60</v>
      </c>
      <c r="B174" s="7"/>
      <c r="C174" s="17" t="s">
        <v>42</v>
      </c>
      <c r="D174" s="1"/>
      <c r="E174" s="1"/>
      <c r="F174" s="213" t="s">
        <v>50</v>
      </c>
      <c r="G174" s="55">
        <v>60200.0</v>
      </c>
      <c r="H174" s="3" t="s">
        <v>65</v>
      </c>
      <c r="I174" s="3"/>
      <c r="J174" s="3"/>
      <c r="K174" s="3"/>
      <c r="L174" s="3"/>
      <c r="M174" s="1"/>
      <c r="N174" s="3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217" t="s">
        <v>61</v>
      </c>
      <c r="B175" s="6">
        <v>1.37993E7</v>
      </c>
      <c r="C175" s="17">
        <v>68997.0</v>
      </c>
      <c r="D175" s="1"/>
      <c r="E175" s="1"/>
      <c r="F175" s="1"/>
      <c r="G175" s="85">
        <v>1349000.0</v>
      </c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217" t="s">
        <v>62</v>
      </c>
      <c r="B176" s="6">
        <v>3.043864E7</v>
      </c>
      <c r="C176" s="17">
        <v>152193.0</v>
      </c>
      <c r="D176" s="1"/>
      <c r="E176" s="1"/>
      <c r="F176" s="1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217" t="s">
        <v>64</v>
      </c>
      <c r="B177" s="6">
        <v>1.6278682E7</v>
      </c>
      <c r="C177" s="17">
        <v>81393.0</v>
      </c>
      <c r="D177" s="1"/>
      <c r="E177" s="1"/>
      <c r="F177" s="1"/>
      <c r="G177" s="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217" t="s">
        <v>58</v>
      </c>
      <c r="B178" s="6">
        <v>1.2951444E7</v>
      </c>
      <c r="C178" s="17">
        <v>64757.0</v>
      </c>
      <c r="D178" s="1"/>
      <c r="E178" s="1"/>
      <c r="F178" s="1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7"/>
      <c r="C179" s="17">
        <v>0.0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7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9">
        <v>7.3468066E7</v>
      </c>
      <c r="C181" s="86">
        <v>367340.0</v>
      </c>
      <c r="D181" s="221" t="s">
        <v>66</v>
      </c>
      <c r="E181" s="1"/>
      <c r="F181" s="1"/>
      <c r="G181" s="1"/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88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89"/>
      <c r="B183" s="90"/>
      <c r="C183" s="91"/>
      <c r="D183" s="89"/>
      <c r="E183" s="1"/>
      <c r="F183" s="1"/>
      <c r="G183" s="3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220" t="s">
        <v>67</v>
      </c>
      <c r="B184" s="88"/>
      <c r="C184" s="17" t="s">
        <v>42</v>
      </c>
      <c r="D184" s="1"/>
      <c r="E184" s="1"/>
      <c r="F184" s="1"/>
      <c r="G184" s="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217" t="s">
        <v>68</v>
      </c>
      <c r="B185" s="6">
        <v>2.0943355E7</v>
      </c>
      <c r="C185" s="17">
        <v>104717.0</v>
      </c>
      <c r="D185" s="1"/>
      <c r="E185" s="1"/>
      <c r="F185" s="1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217" t="s">
        <v>69</v>
      </c>
      <c r="B186" s="6">
        <v>5.6105566E7</v>
      </c>
      <c r="C186" s="17">
        <v>280528.0</v>
      </c>
      <c r="D186" s="1"/>
      <c r="E186" s="1"/>
      <c r="F186" s="1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217" t="s">
        <v>59</v>
      </c>
      <c r="B187" s="6">
        <v>2967397.0</v>
      </c>
      <c r="C187" s="17">
        <v>14837.0</v>
      </c>
      <c r="D187" s="1"/>
      <c r="E187" s="20"/>
      <c r="F187" s="20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217" t="s">
        <v>127</v>
      </c>
      <c r="B188" s="6">
        <v>7961630.0</v>
      </c>
      <c r="C188" s="17">
        <v>39808.0</v>
      </c>
      <c r="D188" s="1"/>
      <c r="E188" s="1"/>
      <c r="F188" s="1"/>
      <c r="G188" s="3"/>
      <c r="H188" s="1"/>
      <c r="I188" s="1"/>
      <c r="J188" s="3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217" t="s">
        <v>137</v>
      </c>
      <c r="B189" s="6">
        <v>9447800.0</v>
      </c>
      <c r="C189" s="17">
        <v>47239.0</v>
      </c>
      <c r="D189" s="1"/>
      <c r="E189" s="1"/>
      <c r="F189" s="1"/>
      <c r="G189" s="3"/>
      <c r="H189" s="1"/>
      <c r="I189" s="1"/>
      <c r="J189" s="3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217" t="s">
        <v>136</v>
      </c>
      <c r="B190" s="6">
        <v>174650.0</v>
      </c>
      <c r="C190" s="17">
        <v>873.0</v>
      </c>
      <c r="D190" s="1"/>
      <c r="E190" s="1"/>
      <c r="F190" s="1"/>
      <c r="G190" s="3"/>
      <c r="H190" s="1"/>
      <c r="I190" s="1"/>
      <c r="J190" s="3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7"/>
      <c r="C191" s="3"/>
      <c r="D191" s="1"/>
      <c r="E191" s="1"/>
      <c r="F191" s="1"/>
      <c r="G191" s="3"/>
      <c r="H191" s="1"/>
      <c r="I191" s="1"/>
      <c r="J191" s="3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9">
        <v>9.7600398E7</v>
      </c>
      <c r="C192" s="86">
        <v>488002.0</v>
      </c>
      <c r="D192" s="221" t="s">
        <v>66</v>
      </c>
      <c r="E192" s="1"/>
      <c r="F192" s="1"/>
      <c r="G192" s="92"/>
      <c r="H192" s="1"/>
      <c r="I192" s="1"/>
      <c r="J192" s="3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7"/>
      <c r="C193" s="3"/>
      <c r="D193" s="1"/>
      <c r="E193" s="1"/>
      <c r="F193" s="1"/>
      <c r="G193" s="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7"/>
      <c r="C194" s="22"/>
      <c r="D194" s="20"/>
      <c r="E194" s="1"/>
      <c r="F194" s="1"/>
      <c r="G194" s="3"/>
      <c r="H194" s="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7"/>
      <c r="C195" s="3"/>
      <c r="D195" s="1"/>
      <c r="E195" s="1"/>
      <c r="F195" s="1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7"/>
      <c r="C196" s="3"/>
      <c r="D196" s="1"/>
      <c r="E196" s="1"/>
      <c r="F196" s="1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7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7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7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7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7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7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7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7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F166:G166"/>
    <mergeCell ref="I168:K17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91" t="s">
        <v>1</v>
      </c>
      <c r="B2" s="1"/>
      <c r="C2" s="3"/>
      <c r="D2" s="192">
        <v>1.310767E7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93" t="s">
        <v>2</v>
      </c>
      <c r="B3" s="5">
        <v>0.005</v>
      </c>
      <c r="C3" s="3"/>
      <c r="D3" s="6">
        <v>65538.35</v>
      </c>
      <c r="E3" s="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91" t="s">
        <v>3</v>
      </c>
      <c r="B5" s="1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8" t="s">
        <v>5</v>
      </c>
      <c r="B6" s="194">
        <v>85.0</v>
      </c>
      <c r="C6" s="10">
        <v>18757.0</v>
      </c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8" t="s">
        <v>72</v>
      </c>
      <c r="B7" s="194">
        <v>113.0</v>
      </c>
      <c r="C7" s="10">
        <v>24935.0</v>
      </c>
      <c r="D7" s="1"/>
      <c r="E7" s="1"/>
      <c r="F7" s="1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26"/>
      <c r="B8" s="14"/>
      <c r="C8" s="10">
        <v>0.0</v>
      </c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96" t="s">
        <v>146</v>
      </c>
      <c r="B9" s="194">
        <v>99.0</v>
      </c>
      <c r="C9" s="10">
        <v>21846.0</v>
      </c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3"/>
      <c r="B10" s="14"/>
      <c r="C10" s="10">
        <v>0.0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"/>
      <c r="B11" s="14"/>
      <c r="C11" s="10">
        <v>0.0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93" t="s">
        <v>8</v>
      </c>
      <c r="B12" s="199">
        <v>297.0</v>
      </c>
      <c r="C12" s="17">
        <v>65538.0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00" t="s">
        <v>9</v>
      </c>
      <c r="B13" s="19">
        <v>220.67</v>
      </c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7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0"/>
      <c r="B15" s="21"/>
      <c r="C15" s="22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1"/>
    </row>
    <row r="16">
      <c r="A16" s="1"/>
      <c r="B16" s="7"/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91" t="s">
        <v>76</v>
      </c>
      <c r="B17" s="1"/>
      <c r="C17" s="3"/>
      <c r="D17" s="192">
        <v>2.939226E7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93" t="s">
        <v>2</v>
      </c>
      <c r="B18" s="5">
        <v>0.005</v>
      </c>
      <c r="C18" s="3"/>
      <c r="D18" s="44">
        <v>146961.0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91" t="s">
        <v>3</v>
      </c>
      <c r="B20" s="1"/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8" t="s">
        <v>13</v>
      </c>
      <c r="B21" s="194">
        <v>70.0</v>
      </c>
      <c r="C21" s="10">
        <v>33400.0</v>
      </c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8" t="s">
        <v>38</v>
      </c>
      <c r="B22" s="194">
        <v>125.0</v>
      </c>
      <c r="C22" s="10">
        <v>59643.0</v>
      </c>
      <c r="D22" s="3"/>
      <c r="E22" s="1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8" t="s">
        <v>151</v>
      </c>
      <c r="B23" s="194">
        <v>86.0</v>
      </c>
      <c r="C23" s="10">
        <v>41035.0</v>
      </c>
      <c r="D23" s="227">
        <v>45613.0</v>
      </c>
      <c r="E23" s="1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8" t="s">
        <v>142</v>
      </c>
      <c r="B24" s="198">
        <v>27.0</v>
      </c>
      <c r="C24" s="10">
        <v>12883.0</v>
      </c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93" t="s">
        <v>8</v>
      </c>
      <c r="B25" s="199">
        <v>308.0</v>
      </c>
      <c r="C25" s="17">
        <v>146961.0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00" t="s">
        <v>9</v>
      </c>
      <c r="B26" s="19">
        <v>477.15</v>
      </c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7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0"/>
      <c r="B28" s="21"/>
      <c r="C28" s="22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1"/>
    </row>
    <row r="29">
      <c r="A29" s="1"/>
      <c r="B29" s="7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91" t="s">
        <v>17</v>
      </c>
      <c r="B30" s="1"/>
      <c r="C30" s="3"/>
      <c r="D30" s="192">
        <v>2.5193095E7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93" t="s">
        <v>2</v>
      </c>
      <c r="B31" s="5">
        <v>0.005</v>
      </c>
      <c r="C31" s="3"/>
      <c r="D31" s="202">
        <v>125965.475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91" t="s">
        <v>3</v>
      </c>
      <c r="B33" s="1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8" t="s">
        <v>50</v>
      </c>
      <c r="B34" s="30">
        <v>70.0</v>
      </c>
      <c r="C34" s="10">
        <v>25558.0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8" t="s">
        <v>119</v>
      </c>
      <c r="B35" s="30">
        <v>121.0</v>
      </c>
      <c r="C35" s="10">
        <v>44179.0</v>
      </c>
      <c r="D35" s="168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8" t="s">
        <v>22</v>
      </c>
      <c r="B36" s="31">
        <v>122.0</v>
      </c>
      <c r="C36" s="10">
        <v>44544.0</v>
      </c>
      <c r="D36" s="168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5"/>
      <c r="B37" s="174"/>
      <c r="C37" s="35">
        <v>0.0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03" t="s">
        <v>152</v>
      </c>
      <c r="B38" s="34">
        <v>32.0</v>
      </c>
      <c r="C38" s="10">
        <v>11684.0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5"/>
      <c r="B39" s="174"/>
      <c r="C39" s="35">
        <v>0.0</v>
      </c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93" t="s">
        <v>8</v>
      </c>
      <c r="B40" s="17">
        <v>345.0</v>
      </c>
      <c r="C40" s="17">
        <v>125965.0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00" t="s">
        <v>9</v>
      </c>
      <c r="B41" s="19">
        <v>365.12</v>
      </c>
      <c r="C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7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0"/>
      <c r="B43" s="21"/>
      <c r="C43" s="22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1"/>
    </row>
    <row r="44">
      <c r="A44" s="1"/>
      <c r="B44" s="7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91" t="s">
        <v>23</v>
      </c>
      <c r="B45" s="1"/>
      <c r="C45" s="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93" t="s">
        <v>2</v>
      </c>
      <c r="B46" s="5">
        <v>0.005</v>
      </c>
      <c r="C46" s="3"/>
      <c r="D46" s="1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3"/>
      <c r="D47" s="202">
        <v>0.0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91" t="s">
        <v>3</v>
      </c>
      <c r="B48" s="1"/>
      <c r="C48" s="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6"/>
      <c r="B49" s="37"/>
      <c r="C49" s="10" t="e">
        <v>#DIV/0!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8"/>
      <c r="B50" s="37"/>
      <c r="C50" s="10" t="e">
        <v>#DIV/0!</v>
      </c>
      <c r="D50" s="1"/>
      <c r="E50" s="1"/>
      <c r="F50" s="3"/>
      <c r="G50" s="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93" t="s">
        <v>8</v>
      </c>
      <c r="B51" s="17">
        <v>0.0</v>
      </c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00" t="s">
        <v>9</v>
      </c>
      <c r="B52" s="39" t="e">
        <v>#DIV/0!</v>
      </c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0"/>
      <c r="B54" s="20"/>
      <c r="C54" s="22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1"/>
    </row>
    <row r="55">
      <c r="A55" s="1"/>
      <c r="B55" s="1"/>
      <c r="C55" s="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91" t="s">
        <v>24</v>
      </c>
      <c r="B56" s="1"/>
      <c r="C56" s="3"/>
      <c r="D56" s="192">
        <v>1.793521E7</v>
      </c>
      <c r="E56" s="1"/>
      <c r="F56" s="1"/>
      <c r="G56" s="1"/>
      <c r="H56" s="1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93" t="s">
        <v>2</v>
      </c>
      <c r="B57" s="5">
        <v>0.005</v>
      </c>
      <c r="C57" s="3"/>
      <c r="D57" s="202">
        <v>89676.05</v>
      </c>
      <c r="E57" s="1"/>
      <c r="F57" s="1"/>
      <c r="G57" s="1"/>
      <c r="H57" s="40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3"/>
      <c r="D58" s="1"/>
      <c r="E58" s="1"/>
      <c r="F58" s="1"/>
      <c r="G58" s="1"/>
      <c r="H58" s="1"/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91" t="s">
        <v>3</v>
      </c>
      <c r="B59" s="1"/>
      <c r="C59" s="3"/>
      <c r="D59" s="1"/>
      <c r="E59" s="1"/>
      <c r="F59" s="1"/>
      <c r="G59" s="1"/>
      <c r="H59" s="1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05" t="s">
        <v>25</v>
      </c>
      <c r="B60" s="194">
        <v>105.0</v>
      </c>
      <c r="C60" s="10">
        <v>33993.0</v>
      </c>
      <c r="D60" s="3"/>
      <c r="E60" s="1"/>
      <c r="F60" s="1"/>
      <c r="G60" s="1"/>
      <c r="H60" s="1"/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05" t="s">
        <v>26</v>
      </c>
      <c r="B61" s="194">
        <v>105.0</v>
      </c>
      <c r="C61" s="10">
        <v>33993.0</v>
      </c>
      <c r="D61" s="3"/>
      <c r="E61" s="1"/>
      <c r="F61" s="1"/>
      <c r="G61" s="1"/>
      <c r="H61" s="1"/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05" t="s">
        <v>28</v>
      </c>
      <c r="B62" s="194">
        <v>67.0</v>
      </c>
      <c r="C62" s="10">
        <v>21691.0</v>
      </c>
      <c r="D62" s="228">
        <v>28197.0</v>
      </c>
      <c r="E62" s="1"/>
      <c r="F62" s="1"/>
      <c r="G62" s="1"/>
      <c r="H62" s="1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29"/>
      <c r="B63" s="14"/>
      <c r="C63" s="10">
        <v>0.0</v>
      </c>
      <c r="D63" s="3"/>
      <c r="E63" s="1"/>
      <c r="F63" s="1"/>
      <c r="G63" s="1"/>
      <c r="H63" s="1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93" t="s">
        <v>8</v>
      </c>
      <c r="B64" s="199">
        <v>277.0</v>
      </c>
      <c r="C64" s="17">
        <v>89676.0</v>
      </c>
      <c r="D64" s="1"/>
      <c r="E64" s="1"/>
      <c r="F64" s="1"/>
      <c r="G64" s="1"/>
      <c r="H64" s="1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00" t="s">
        <v>9</v>
      </c>
      <c r="B65" s="19">
        <v>323.74</v>
      </c>
      <c r="C65" s="3"/>
      <c r="D65" s="1"/>
      <c r="E65" s="1"/>
      <c r="F65" s="1"/>
      <c r="G65" s="1"/>
      <c r="H65" s="7"/>
      <c r="I65" s="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0"/>
      <c r="B67" s="20"/>
      <c r="C67" s="22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1"/>
    </row>
    <row r="68">
      <c r="A68" s="1"/>
      <c r="B68" s="7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91" t="s">
        <v>29</v>
      </c>
      <c r="B69" s="1"/>
      <c r="C69" s="3"/>
      <c r="D69" s="192">
        <v>5.4912411E7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93" t="s">
        <v>2</v>
      </c>
      <c r="B70" s="5">
        <v>0.005</v>
      </c>
      <c r="C70" s="3"/>
      <c r="D70" s="202">
        <v>274562.055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91" t="s">
        <v>3</v>
      </c>
      <c r="B72" s="1"/>
      <c r="C72" s="3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06"/>
      <c r="B73" s="14"/>
      <c r="C73" s="10">
        <v>0.0</v>
      </c>
      <c r="D73" s="3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8" t="s">
        <v>32</v>
      </c>
      <c r="B74" s="31">
        <v>121.0</v>
      </c>
      <c r="C74" s="10">
        <v>60514.0</v>
      </c>
      <c r="D74" s="3"/>
      <c r="E74" s="1"/>
      <c r="F74" s="3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8" t="s">
        <v>34</v>
      </c>
      <c r="B75" s="31">
        <v>10.0</v>
      </c>
      <c r="C75" s="10">
        <v>5001.0</v>
      </c>
      <c r="D75" s="3"/>
      <c r="E75" s="1"/>
      <c r="F75" s="3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8" t="s">
        <v>140</v>
      </c>
      <c r="B76" s="31">
        <v>88.0</v>
      </c>
      <c r="C76" s="10">
        <v>44010.0</v>
      </c>
      <c r="D76" s="228">
        <v>55694.0</v>
      </c>
      <c r="E76" s="1"/>
      <c r="F76" s="3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8" t="s">
        <v>117</v>
      </c>
      <c r="B77" s="31">
        <v>109.0</v>
      </c>
      <c r="C77" s="10">
        <v>54512.0</v>
      </c>
      <c r="D77" s="168"/>
      <c r="E77" s="1"/>
      <c r="F77" s="3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24" t="s">
        <v>133</v>
      </c>
      <c r="B78" s="31">
        <v>53.0</v>
      </c>
      <c r="C78" s="10">
        <v>26506.0</v>
      </c>
      <c r="D78" s="230">
        <v>30651.0</v>
      </c>
      <c r="E78" s="1"/>
      <c r="F78" s="3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24" t="s">
        <v>130</v>
      </c>
      <c r="B79" s="31">
        <v>119.0</v>
      </c>
      <c r="C79" s="10">
        <v>59513.0</v>
      </c>
      <c r="D79" s="168"/>
      <c r="E79" s="1"/>
      <c r="F79" s="3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23" t="s">
        <v>153</v>
      </c>
      <c r="B80" s="31">
        <v>49.0</v>
      </c>
      <c r="C80" s="10">
        <v>24506.0</v>
      </c>
      <c r="D80" s="3"/>
      <c r="E80" s="1"/>
      <c r="F80" s="3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93" t="s">
        <v>8</v>
      </c>
      <c r="B81" s="199">
        <v>549.0</v>
      </c>
      <c r="C81" s="17">
        <v>274562.0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00" t="s">
        <v>9</v>
      </c>
      <c r="B82" s="19">
        <v>500.11</v>
      </c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7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0"/>
      <c r="B84" s="21"/>
      <c r="C84" s="22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1"/>
    </row>
    <row r="85">
      <c r="A85" s="1"/>
      <c r="B85" s="7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91" t="s">
        <v>35</v>
      </c>
      <c r="B86" s="1"/>
      <c r="C86" s="3"/>
      <c r="D86" s="43">
        <v>1.2241328E7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93" t="s">
        <v>2</v>
      </c>
      <c r="B87" s="5">
        <v>0.005</v>
      </c>
      <c r="C87" s="3"/>
      <c r="D87" s="44">
        <v>61207.0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3"/>
      <c r="D88" s="3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91" t="s">
        <v>3</v>
      </c>
      <c r="B89" s="1"/>
      <c r="C89" s="3"/>
      <c r="D89" s="3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05" t="s">
        <v>28</v>
      </c>
      <c r="B90" s="45">
        <v>27.0</v>
      </c>
      <c r="C90" s="35">
        <v>6506.0</v>
      </c>
      <c r="D90" s="1"/>
      <c r="E90" s="1"/>
      <c r="F90" s="3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05" t="s">
        <v>90</v>
      </c>
      <c r="B91" s="31">
        <v>126.0</v>
      </c>
      <c r="C91" s="10">
        <v>30362.0</v>
      </c>
      <c r="D91" s="3"/>
      <c r="E91" s="1"/>
      <c r="F91" s="3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31" t="s">
        <v>142</v>
      </c>
      <c r="B92" s="31">
        <v>82.0</v>
      </c>
      <c r="C92" s="10">
        <v>19760.0</v>
      </c>
      <c r="D92" s="227">
        <v>5440.0</v>
      </c>
      <c r="E92" s="29"/>
      <c r="F92" s="3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01" t="s">
        <v>118</v>
      </c>
      <c r="B93" s="30">
        <v>19.0</v>
      </c>
      <c r="C93" s="10">
        <v>4578.0</v>
      </c>
      <c r="D93" s="168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93" t="s">
        <v>8</v>
      </c>
      <c r="B94" s="17">
        <v>254.0</v>
      </c>
      <c r="C94" s="17">
        <v>61207.0</v>
      </c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00" t="s">
        <v>9</v>
      </c>
      <c r="B95" s="19">
        <v>240.97</v>
      </c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7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0"/>
      <c r="B97" s="21"/>
      <c r="C97" s="22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1"/>
    </row>
    <row r="98">
      <c r="A98" s="1"/>
      <c r="B98" s="7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91" t="s">
        <v>40</v>
      </c>
      <c r="B99" s="7"/>
      <c r="C99" s="3"/>
      <c r="D99" s="192">
        <v>3204049.0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93" t="s">
        <v>2</v>
      </c>
      <c r="B100" s="5">
        <v>0.005</v>
      </c>
      <c r="C100" s="3"/>
      <c r="D100" s="202">
        <v>16020.245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40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91" t="s">
        <v>3</v>
      </c>
      <c r="B102" s="1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8" t="s">
        <v>31</v>
      </c>
      <c r="B103" s="194">
        <v>28.0</v>
      </c>
      <c r="C103" s="10">
        <v>2232.0</v>
      </c>
      <c r="D103" s="168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8" t="s">
        <v>94</v>
      </c>
      <c r="B104" s="194">
        <v>98.0</v>
      </c>
      <c r="C104" s="10">
        <v>7811.0</v>
      </c>
      <c r="D104" s="232">
        <v>12812.0</v>
      </c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8" t="s">
        <v>154</v>
      </c>
      <c r="B105" s="194">
        <v>52.0</v>
      </c>
      <c r="C105" s="10">
        <v>4145.0</v>
      </c>
      <c r="D105" s="3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8" t="s">
        <v>18</v>
      </c>
      <c r="B106" s="198">
        <v>23.0</v>
      </c>
      <c r="C106" s="10">
        <v>1833.0</v>
      </c>
      <c r="D106" s="3"/>
      <c r="E106" s="3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50" t="s">
        <v>8</v>
      </c>
      <c r="B107" s="199">
        <v>201.0</v>
      </c>
      <c r="C107" s="17">
        <v>16020.0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200" t="s">
        <v>9</v>
      </c>
      <c r="B108" s="19">
        <v>79.7</v>
      </c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7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7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20"/>
      <c r="B111" s="21"/>
      <c r="C111" s="22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1"/>
    </row>
    <row r="112">
      <c r="A112" s="1"/>
      <c r="B112" s="7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91" t="s">
        <v>132</v>
      </c>
      <c r="B113" s="7"/>
      <c r="C113" s="3"/>
      <c r="D113" s="192">
        <v>1.00105E7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93" t="s">
        <v>2</v>
      </c>
      <c r="B114" s="5">
        <v>0.005</v>
      </c>
      <c r="C114" s="3"/>
      <c r="D114" s="202">
        <v>50052.5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40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91" t="s">
        <v>3</v>
      </c>
      <c r="B116" s="1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26" t="s">
        <v>21</v>
      </c>
      <c r="B117" s="194">
        <v>116.0</v>
      </c>
      <c r="C117" s="10">
        <v>15820.0</v>
      </c>
      <c r="D117" s="168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95" t="s">
        <v>122</v>
      </c>
      <c r="B118" s="194">
        <v>110.0</v>
      </c>
      <c r="C118" s="10">
        <v>15002.0</v>
      </c>
      <c r="D118" s="168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95" t="s">
        <v>124</v>
      </c>
      <c r="B119" s="194">
        <v>24.0</v>
      </c>
      <c r="C119" s="10">
        <v>3273.0</v>
      </c>
      <c r="D119" s="168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95" t="s">
        <v>143</v>
      </c>
      <c r="B120" s="194">
        <v>16.0</v>
      </c>
      <c r="C120" s="10">
        <v>2182.0</v>
      </c>
      <c r="D120" s="3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95" t="s">
        <v>125</v>
      </c>
      <c r="B121" s="194">
        <v>101.0</v>
      </c>
      <c r="C121" s="10">
        <v>13775.0</v>
      </c>
      <c r="D121" s="227">
        <v>13850.0</v>
      </c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97" t="s">
        <v>144</v>
      </c>
      <c r="B122" s="14"/>
      <c r="C122" s="10">
        <v>0.0</v>
      </c>
      <c r="D122" s="3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3"/>
      <c r="B123" s="14"/>
      <c r="C123" s="10">
        <v>0.0</v>
      </c>
      <c r="D123" s="3"/>
      <c r="E123" s="3"/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50" t="s">
        <v>8</v>
      </c>
      <c r="B124" s="199">
        <v>367.0</v>
      </c>
      <c r="C124" s="17">
        <v>50053.0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200" t="s">
        <v>9</v>
      </c>
      <c r="B125" s="19">
        <v>136.38</v>
      </c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7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20"/>
      <c r="B127" s="21"/>
      <c r="C127" s="22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1"/>
    </row>
    <row r="128">
      <c r="A128" s="1"/>
      <c r="B128" s="7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91" t="s">
        <v>134</v>
      </c>
      <c r="B129" s="7"/>
      <c r="C129" s="3"/>
      <c r="D129" s="192">
        <v>14970.0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93" t="s">
        <v>2</v>
      </c>
      <c r="B130" s="5">
        <v>0.005</v>
      </c>
      <c r="C130" s="3"/>
      <c r="D130" s="202">
        <v>74.85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40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91" t="s">
        <v>3</v>
      </c>
      <c r="B132" s="1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8" t="s">
        <v>120</v>
      </c>
      <c r="B133" s="14"/>
      <c r="C133" s="10">
        <v>0.0</v>
      </c>
      <c r="D133" s="168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225" t="s">
        <v>145</v>
      </c>
      <c r="B134" s="14"/>
      <c r="C134" s="10">
        <v>0.0</v>
      </c>
      <c r="D134" s="183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95" t="s">
        <v>125</v>
      </c>
      <c r="B135" s="194">
        <v>9.0</v>
      </c>
      <c r="C135" s="10">
        <v>75.0</v>
      </c>
      <c r="D135" s="3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3"/>
      <c r="B136" s="14"/>
      <c r="C136" s="10">
        <v>0.0</v>
      </c>
      <c r="D136" s="3"/>
      <c r="E136" s="3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50" t="s">
        <v>8</v>
      </c>
      <c r="B137" s="199">
        <v>9.0</v>
      </c>
      <c r="C137" s="17">
        <v>75.0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200" t="s">
        <v>9</v>
      </c>
      <c r="B138" s="19">
        <v>8.32</v>
      </c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7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20"/>
      <c r="B140" s="21"/>
      <c r="C140" s="22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1"/>
    </row>
    <row r="141">
      <c r="A141" s="1"/>
      <c r="B141" s="7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91" t="s">
        <v>135</v>
      </c>
      <c r="B142" s="7"/>
      <c r="C142" s="3"/>
      <c r="D142" s="192">
        <v>8032900.0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93" t="s">
        <v>2</v>
      </c>
      <c r="B143" s="5">
        <v>0.005</v>
      </c>
      <c r="C143" s="3"/>
      <c r="D143" s="202">
        <v>40164.5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40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91" t="s">
        <v>3</v>
      </c>
      <c r="B145" s="1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8" t="s">
        <v>18</v>
      </c>
      <c r="B146" s="194">
        <v>72.0</v>
      </c>
      <c r="C146" s="10">
        <v>17011.0</v>
      </c>
      <c r="D146" s="230">
        <v>21026.0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95" t="s">
        <v>144</v>
      </c>
      <c r="B147" s="14"/>
      <c r="C147" s="10">
        <v>0.0</v>
      </c>
      <c r="D147" s="168"/>
      <c r="E147" s="1"/>
      <c r="F147" s="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95" t="s">
        <v>124</v>
      </c>
      <c r="B148" s="194">
        <v>98.0</v>
      </c>
      <c r="C148" s="10">
        <v>23154.0</v>
      </c>
      <c r="D148" s="228">
        <v>26427.0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3"/>
      <c r="B149" s="14"/>
      <c r="C149" s="10">
        <v>0.0</v>
      </c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63"/>
      <c r="B150" s="14"/>
      <c r="C150" s="10">
        <v>0.0</v>
      </c>
      <c r="D150" s="3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63"/>
      <c r="B151" s="14"/>
      <c r="C151" s="10">
        <v>0.0</v>
      </c>
      <c r="D151" s="3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50" t="s">
        <v>8</v>
      </c>
      <c r="B152" s="199">
        <v>170.0</v>
      </c>
      <c r="C152" s="17">
        <v>40165.0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200" t="s">
        <v>9</v>
      </c>
      <c r="B153" s="19">
        <v>236.26</v>
      </c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7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20"/>
      <c r="B155" s="21"/>
      <c r="C155" s="22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1"/>
    </row>
    <row r="156">
      <c r="A156" s="1"/>
      <c r="B156" s="7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39" t="s">
        <v>41</v>
      </c>
      <c r="C157" s="17" t="s">
        <v>42</v>
      </c>
      <c r="D157" s="3"/>
      <c r="E157" s="1"/>
      <c r="F157" s="13"/>
      <c r="G157" s="208" t="s">
        <v>44</v>
      </c>
      <c r="H157" s="208" t="s">
        <v>42</v>
      </c>
      <c r="I157" s="208" t="s">
        <v>45</v>
      </c>
      <c r="J157" s="208" t="s">
        <v>46</v>
      </c>
      <c r="K157" s="209" t="s">
        <v>47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217" t="s">
        <v>48</v>
      </c>
      <c r="B158" s="7"/>
      <c r="C158" s="17">
        <v>429700.0</v>
      </c>
      <c r="D158" s="17">
        <v>429700.0</v>
      </c>
      <c r="E158" s="3"/>
      <c r="F158" s="213" t="s">
        <v>32</v>
      </c>
      <c r="G158" s="54">
        <v>6.378815E7</v>
      </c>
      <c r="H158" s="55">
        <v>318941.0</v>
      </c>
      <c r="I158" s="55">
        <v>60514.0</v>
      </c>
      <c r="J158" s="55">
        <v>258427.0</v>
      </c>
      <c r="K158" s="56">
        <v>258400.0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217" t="s">
        <v>49</v>
      </c>
      <c r="B159" s="7"/>
      <c r="C159" s="17">
        <v>581061.0</v>
      </c>
      <c r="D159" s="17">
        <v>581100.0</v>
      </c>
      <c r="E159" s="1"/>
      <c r="F159" s="37" t="s">
        <v>50</v>
      </c>
      <c r="G159" s="54">
        <v>2.9585271E7</v>
      </c>
      <c r="H159" s="55">
        <v>147926.0</v>
      </c>
      <c r="I159" s="55">
        <v>25558.0</v>
      </c>
      <c r="J159" s="55">
        <v>122368.0</v>
      </c>
      <c r="K159" s="56">
        <v>122400.0</v>
      </c>
      <c r="L159" s="3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214" t="s">
        <v>51</v>
      </c>
      <c r="B160" s="58">
        <v>3.412546E7</v>
      </c>
      <c r="C160" s="59">
        <v>170627.0</v>
      </c>
      <c r="D160" s="3"/>
      <c r="E160" s="1"/>
      <c r="F160" s="213" t="s">
        <v>13</v>
      </c>
      <c r="G160" s="54">
        <v>3.412546E7</v>
      </c>
      <c r="H160" s="55">
        <v>170627.0</v>
      </c>
      <c r="I160" s="55">
        <v>33400.0</v>
      </c>
      <c r="J160" s="55">
        <v>137227.0</v>
      </c>
      <c r="K160" s="56">
        <v>137200.0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214" t="s">
        <v>52</v>
      </c>
      <c r="B161" s="58">
        <v>1.486887E7</v>
      </c>
      <c r="C161" s="59">
        <v>74344.0</v>
      </c>
      <c r="D161" s="1"/>
      <c r="E161" s="1"/>
      <c r="F161" s="213" t="s">
        <v>5</v>
      </c>
      <c r="G161" s="54">
        <v>1.486887E7</v>
      </c>
      <c r="H161" s="55">
        <v>74344.0</v>
      </c>
      <c r="I161" s="55">
        <v>18757.0</v>
      </c>
      <c r="J161" s="55">
        <v>55588.0</v>
      </c>
      <c r="K161" s="56">
        <v>55600.0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215" t="s">
        <v>54</v>
      </c>
      <c r="B162" s="62">
        <v>2.9585271E7</v>
      </c>
      <c r="C162" s="63">
        <v>147926.0</v>
      </c>
      <c r="D162" s="3"/>
      <c r="E162" s="1"/>
      <c r="F162" s="213" t="s">
        <v>25</v>
      </c>
      <c r="G162" s="54">
        <v>2.2059684E7</v>
      </c>
      <c r="H162" s="55">
        <v>110298.0</v>
      </c>
      <c r="I162" s="55">
        <v>33993.0</v>
      </c>
      <c r="J162" s="55">
        <v>76306.0</v>
      </c>
      <c r="K162" s="56">
        <v>76300.0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216" t="s">
        <v>55</v>
      </c>
      <c r="B163" s="65">
        <v>2.2059684E7</v>
      </c>
      <c r="C163" s="66">
        <v>110298.0</v>
      </c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217" t="s">
        <v>56</v>
      </c>
      <c r="B164" s="69">
        <v>6.378815E7</v>
      </c>
      <c r="C164" s="17">
        <v>318941.0</v>
      </c>
      <c r="D164" s="1"/>
      <c r="E164" s="1"/>
      <c r="F164" s="13"/>
      <c r="G164" s="67"/>
      <c r="H164" s="37"/>
      <c r="I164" s="37"/>
      <c r="J164" s="37"/>
      <c r="K164" s="68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217" t="s">
        <v>58</v>
      </c>
      <c r="B165" s="69">
        <v>1.4886004E7</v>
      </c>
      <c r="C165" s="17">
        <v>74430.0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217" t="s">
        <v>59</v>
      </c>
      <c r="B166" s="69">
        <v>3804987.0</v>
      </c>
      <c r="C166" s="17">
        <v>19025.0</v>
      </c>
      <c r="D166" s="1"/>
      <c r="E166" s="1"/>
      <c r="F166" s="218" t="s">
        <v>106</v>
      </c>
      <c r="G166" s="7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217" t="s">
        <v>127</v>
      </c>
      <c r="B167" s="19">
        <v>1.0328E7</v>
      </c>
      <c r="C167" s="17">
        <v>51640.0</v>
      </c>
      <c r="D167" s="1"/>
      <c r="E167" s="1"/>
      <c r="F167" s="213" t="s">
        <v>48</v>
      </c>
      <c r="G167" s="10">
        <v>429700.0</v>
      </c>
      <c r="H167" s="3"/>
      <c r="I167" s="1"/>
      <c r="J167" s="1"/>
      <c r="K167" s="1"/>
      <c r="L167" s="1"/>
      <c r="M167" s="1"/>
      <c r="N167" s="3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217" t="s">
        <v>136</v>
      </c>
      <c r="B168" s="19">
        <v>9980.0</v>
      </c>
      <c r="C168" s="17">
        <v>50.0</v>
      </c>
      <c r="D168" s="1"/>
      <c r="E168" s="1"/>
      <c r="F168" s="213" t="s">
        <v>49</v>
      </c>
      <c r="G168" s="10">
        <v>581100.0</v>
      </c>
      <c r="H168" s="3"/>
      <c r="I168" s="73"/>
      <c r="J168" s="74"/>
      <c r="K168" s="75"/>
      <c r="L168" s="76"/>
      <c r="M168" s="1"/>
      <c r="N168" s="1"/>
      <c r="O168" s="3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217" t="s">
        <v>137</v>
      </c>
      <c r="B169" s="19">
        <v>8695900.0</v>
      </c>
      <c r="C169" s="17">
        <v>43480.0</v>
      </c>
      <c r="D169" s="1"/>
      <c r="E169" s="1"/>
      <c r="F169" s="213" t="s">
        <v>13</v>
      </c>
      <c r="G169" s="10">
        <v>137200.0</v>
      </c>
      <c r="H169" s="3" t="s">
        <v>109</v>
      </c>
      <c r="I169" s="78"/>
      <c r="K169" s="79"/>
      <c r="L169" s="76"/>
      <c r="M169" s="1"/>
      <c r="N169" s="3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7"/>
      <c r="C170" s="17">
        <v>0.0</v>
      </c>
      <c r="D170" s="1"/>
      <c r="E170" s="1"/>
      <c r="F170" s="213" t="s">
        <v>5</v>
      </c>
      <c r="G170" s="10">
        <v>55600.0</v>
      </c>
      <c r="H170" s="193" t="s">
        <v>110</v>
      </c>
      <c r="I170" s="78"/>
      <c r="K170" s="79"/>
      <c r="L170" s="76"/>
      <c r="M170" s="1"/>
      <c r="N170" s="3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7"/>
      <c r="C171" s="17">
        <v>0.0</v>
      </c>
      <c r="D171" s="170"/>
      <c r="E171" s="1"/>
      <c r="F171" s="213" t="s">
        <v>25</v>
      </c>
      <c r="G171" s="10">
        <v>76300.0</v>
      </c>
      <c r="H171" s="3" t="s">
        <v>111</v>
      </c>
      <c r="I171" s="81"/>
      <c r="J171" s="82"/>
      <c r="K171" s="83"/>
      <c r="L171" s="76"/>
      <c r="M171" s="1"/>
      <c r="N171" s="3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7"/>
      <c r="C172" s="10">
        <v>2021523.0</v>
      </c>
      <c r="D172" s="77">
        <v>1010800.0</v>
      </c>
      <c r="E172" s="1"/>
      <c r="F172" s="13"/>
      <c r="G172" s="219">
        <v>0.0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7"/>
      <c r="C173" s="3"/>
      <c r="D173" s="1"/>
      <c r="E173" s="1"/>
      <c r="F173" s="213" t="s">
        <v>32</v>
      </c>
      <c r="G173" s="10">
        <v>258400.0</v>
      </c>
      <c r="H173" s="3" t="s">
        <v>63</v>
      </c>
      <c r="I173" s="3"/>
      <c r="J173" s="3"/>
      <c r="K173" s="3"/>
      <c r="L173" s="1"/>
      <c r="M173" s="1"/>
      <c r="N173" s="1"/>
      <c r="O173" s="3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220" t="s">
        <v>60</v>
      </c>
      <c r="B174" s="7"/>
      <c r="C174" s="17" t="s">
        <v>42</v>
      </c>
      <c r="D174" s="1"/>
      <c r="E174" s="1"/>
      <c r="F174" s="213" t="s">
        <v>50</v>
      </c>
      <c r="G174" s="10">
        <v>122400.0</v>
      </c>
      <c r="H174" s="3" t="s">
        <v>65</v>
      </c>
      <c r="I174" s="3"/>
      <c r="J174" s="3"/>
      <c r="K174" s="3"/>
      <c r="L174" s="3"/>
      <c r="M174" s="1"/>
      <c r="N174" s="3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217" t="s">
        <v>61</v>
      </c>
      <c r="B175" s="6">
        <v>1.486887E7</v>
      </c>
      <c r="C175" s="17">
        <v>74344.0</v>
      </c>
      <c r="D175" s="1"/>
      <c r="E175" s="1"/>
      <c r="F175" s="1"/>
      <c r="G175" s="85">
        <v>1660700.0</v>
      </c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217" t="s">
        <v>62</v>
      </c>
      <c r="B176" s="6">
        <v>3.412546E7</v>
      </c>
      <c r="C176" s="17">
        <v>170627.0</v>
      </c>
      <c r="D176" s="1"/>
      <c r="E176" s="1"/>
      <c r="F176" s="1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217" t="s">
        <v>64</v>
      </c>
      <c r="B177" s="6">
        <v>2.2059684E7</v>
      </c>
      <c r="C177" s="17">
        <v>110298.0</v>
      </c>
      <c r="D177" s="1"/>
      <c r="E177" s="1"/>
      <c r="F177" s="1"/>
      <c r="G177" s="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217" t="s">
        <v>58</v>
      </c>
      <c r="B178" s="6">
        <v>1.4886004E7</v>
      </c>
      <c r="C178" s="17">
        <v>74430.0</v>
      </c>
      <c r="D178" s="1"/>
      <c r="E178" s="1"/>
      <c r="F178" s="1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7"/>
      <c r="C179" s="17">
        <v>0.0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7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9">
        <v>8.5940018E7</v>
      </c>
      <c r="C181" s="86">
        <v>429700.0</v>
      </c>
      <c r="D181" s="221" t="s">
        <v>66</v>
      </c>
      <c r="E181" s="1"/>
      <c r="F181" s="1"/>
      <c r="G181" s="1"/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88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89"/>
      <c r="B183" s="90"/>
      <c r="C183" s="91"/>
      <c r="D183" s="89"/>
      <c r="E183" s="1"/>
      <c r="F183" s="1"/>
      <c r="G183" s="3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220" t="s">
        <v>67</v>
      </c>
      <c r="B184" s="88"/>
      <c r="C184" s="17" t="s">
        <v>42</v>
      </c>
      <c r="D184" s="1"/>
      <c r="E184" s="1"/>
      <c r="F184" s="1"/>
      <c r="G184" s="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217" t="s">
        <v>68</v>
      </c>
      <c r="B185" s="6">
        <v>2.9585271E7</v>
      </c>
      <c r="C185" s="17">
        <v>147926.0</v>
      </c>
      <c r="D185" s="1"/>
      <c r="E185" s="1"/>
      <c r="F185" s="1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217" t="s">
        <v>69</v>
      </c>
      <c r="B186" s="6">
        <v>6.378815E7</v>
      </c>
      <c r="C186" s="17">
        <v>318941.0</v>
      </c>
      <c r="D186" s="1"/>
      <c r="E186" s="1"/>
      <c r="F186" s="1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217" t="s">
        <v>59</v>
      </c>
      <c r="B187" s="6">
        <v>3804987.0</v>
      </c>
      <c r="C187" s="17">
        <v>19025.0</v>
      </c>
      <c r="D187" s="1"/>
      <c r="E187" s="20"/>
      <c r="F187" s="20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217" t="s">
        <v>127</v>
      </c>
      <c r="B188" s="6">
        <v>1.0328E7</v>
      </c>
      <c r="C188" s="17">
        <v>51640.0</v>
      </c>
      <c r="D188" s="1"/>
      <c r="E188" s="1"/>
      <c r="F188" s="1"/>
      <c r="G188" s="3"/>
      <c r="H188" s="1"/>
      <c r="I188" s="1"/>
      <c r="J188" s="3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217" t="s">
        <v>137</v>
      </c>
      <c r="B189" s="6">
        <v>8695900.0</v>
      </c>
      <c r="C189" s="17">
        <v>43480.0</v>
      </c>
      <c r="D189" s="1"/>
      <c r="E189" s="1"/>
      <c r="F189" s="1"/>
      <c r="G189" s="3"/>
      <c r="H189" s="1"/>
      <c r="I189" s="1"/>
      <c r="J189" s="3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217" t="s">
        <v>136</v>
      </c>
      <c r="B190" s="6">
        <v>9980.0</v>
      </c>
      <c r="C190" s="17">
        <v>50.0</v>
      </c>
      <c r="D190" s="1"/>
      <c r="E190" s="1"/>
      <c r="F190" s="1"/>
      <c r="G190" s="3"/>
      <c r="H190" s="1"/>
      <c r="I190" s="1"/>
      <c r="J190" s="3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7"/>
      <c r="C191" s="3"/>
      <c r="D191" s="1"/>
      <c r="E191" s="1"/>
      <c r="F191" s="1"/>
      <c r="G191" s="3"/>
      <c r="H191" s="1"/>
      <c r="I191" s="1"/>
      <c r="J191" s="3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9">
        <v>1.16212288E8</v>
      </c>
      <c r="C192" s="86">
        <v>581061.0</v>
      </c>
      <c r="D192" s="221" t="s">
        <v>66</v>
      </c>
      <c r="E192" s="1"/>
      <c r="F192" s="1"/>
      <c r="G192" s="92"/>
      <c r="H192" s="1"/>
      <c r="I192" s="1"/>
      <c r="J192" s="3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7"/>
      <c r="C193" s="3"/>
      <c r="D193" s="1"/>
      <c r="E193" s="1"/>
      <c r="F193" s="1"/>
      <c r="G193" s="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7"/>
      <c r="C194" s="22"/>
      <c r="D194" s="20"/>
      <c r="E194" s="1"/>
      <c r="F194" s="1"/>
      <c r="G194" s="3"/>
      <c r="H194" s="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7"/>
      <c r="C195" s="3"/>
      <c r="D195" s="1"/>
      <c r="E195" s="1"/>
      <c r="F195" s="1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7"/>
      <c r="C196" s="3"/>
      <c r="D196" s="1"/>
      <c r="E196" s="1"/>
      <c r="F196" s="1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7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7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7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7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7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7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7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7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F166:G166"/>
    <mergeCell ref="I168:K17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12.75"/>
    <col customWidth="1" min="3" max="3" width="7.5"/>
    <col customWidth="1" min="4" max="4" width="10.13"/>
    <col customWidth="1" min="6" max="6" width="15.25"/>
    <col customWidth="1" min="7" max="7" width="10.75"/>
    <col customWidth="1" min="8" max="8" width="8.5"/>
    <col customWidth="1" min="9" max="9" width="6.63"/>
    <col customWidth="1" min="10" max="10" width="8.75"/>
    <col customWidth="1" min="11" max="11" width="8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91" t="s">
        <v>1</v>
      </c>
      <c r="B2" s="1"/>
      <c r="C2" s="3"/>
      <c r="D2" s="192">
        <v>1.597106E7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93" t="s">
        <v>2</v>
      </c>
      <c r="B3" s="5">
        <v>0.005</v>
      </c>
      <c r="C3" s="3"/>
      <c r="D3" s="6">
        <v>79855.3</v>
      </c>
      <c r="E3" s="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91" t="s">
        <v>3</v>
      </c>
      <c r="B5" s="1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8" t="s">
        <v>5</v>
      </c>
      <c r="B6" s="194">
        <v>98.0</v>
      </c>
      <c r="C6" s="10">
        <v>26618.0</v>
      </c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8" t="s">
        <v>72</v>
      </c>
      <c r="B7" s="194">
        <v>108.0</v>
      </c>
      <c r="C7" s="10">
        <v>29335.0</v>
      </c>
      <c r="D7" s="1"/>
      <c r="E7" s="1"/>
      <c r="F7" s="1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95" t="s">
        <v>146</v>
      </c>
      <c r="B8" s="194">
        <v>88.0</v>
      </c>
      <c r="C8" s="10">
        <v>23902.0</v>
      </c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63"/>
      <c r="B9" s="14"/>
      <c r="C9" s="10">
        <v>0.0</v>
      </c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3"/>
      <c r="B10" s="14"/>
      <c r="C10" s="10">
        <v>0.0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"/>
      <c r="B11" s="14"/>
      <c r="C11" s="10">
        <v>0.0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93" t="s">
        <v>8</v>
      </c>
      <c r="B12" s="199">
        <v>294.0</v>
      </c>
      <c r="C12" s="17">
        <v>79855.0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00" t="s">
        <v>9</v>
      </c>
      <c r="B13" s="19">
        <v>271.62</v>
      </c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7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0"/>
      <c r="B15" s="21"/>
      <c r="C15" s="22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1"/>
    </row>
    <row r="16">
      <c r="A16" s="1"/>
      <c r="B16" s="7"/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91" t="s">
        <v>76</v>
      </c>
      <c r="B17" s="1"/>
      <c r="C17" s="3"/>
      <c r="D17" s="192">
        <v>3.3053813E7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93" t="s">
        <v>2</v>
      </c>
      <c r="B18" s="5">
        <v>0.005</v>
      </c>
      <c r="C18" s="3"/>
      <c r="D18" s="44">
        <v>165269.0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91" t="s">
        <v>3</v>
      </c>
      <c r="B20" s="1"/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8" t="s">
        <v>13</v>
      </c>
      <c r="B21" s="194">
        <v>113.0</v>
      </c>
      <c r="C21" s="10">
        <v>56421.0</v>
      </c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8" t="s">
        <v>38</v>
      </c>
      <c r="B22" s="194">
        <v>109.0</v>
      </c>
      <c r="C22" s="10">
        <v>54424.0</v>
      </c>
      <c r="D22" s="3"/>
      <c r="E22" s="1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8" t="s">
        <v>151</v>
      </c>
      <c r="B23" s="194">
        <v>109.0</v>
      </c>
      <c r="C23" s="10">
        <v>54424.0</v>
      </c>
      <c r="D23" s="183"/>
      <c r="E23" s="1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06"/>
      <c r="B24" s="14"/>
      <c r="C24" s="10">
        <v>0.0</v>
      </c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93" t="s">
        <v>8</v>
      </c>
      <c r="B25" s="199">
        <v>331.0</v>
      </c>
      <c r="C25" s="17">
        <v>165269.0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00" t="s">
        <v>9</v>
      </c>
      <c r="B26" s="19">
        <v>499.3</v>
      </c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7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0"/>
      <c r="B28" s="21"/>
      <c r="C28" s="22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1"/>
    </row>
    <row r="29">
      <c r="A29" s="1"/>
      <c r="B29" s="7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91" t="s">
        <v>17</v>
      </c>
      <c r="B30" s="1"/>
      <c r="C30" s="3"/>
      <c r="D30" s="192">
        <v>2.4399751E7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93" t="s">
        <v>2</v>
      </c>
      <c r="B31" s="5">
        <v>0.005</v>
      </c>
      <c r="C31" s="3"/>
      <c r="D31" s="202">
        <v>121998.755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91" t="s">
        <v>3</v>
      </c>
      <c r="B33" s="1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8" t="s">
        <v>50</v>
      </c>
      <c r="B34" s="30">
        <v>132.0</v>
      </c>
      <c r="C34" s="10">
        <v>48506.0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8" t="s">
        <v>119</v>
      </c>
      <c r="B35" s="30">
        <v>68.0</v>
      </c>
      <c r="C35" s="10">
        <v>24988.0</v>
      </c>
      <c r="D35" s="233">
        <v>53471.0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8" t="s">
        <v>22</v>
      </c>
      <c r="B36" s="31">
        <v>132.0</v>
      </c>
      <c r="C36" s="10">
        <v>48506.0</v>
      </c>
      <c r="D36" s="168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5"/>
      <c r="B37" s="174"/>
      <c r="C37" s="35">
        <v>0.0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22"/>
      <c r="B38" s="176"/>
      <c r="C38" s="10">
        <v>0.0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5"/>
      <c r="B39" s="174"/>
      <c r="C39" s="35">
        <v>0.0</v>
      </c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93" t="s">
        <v>8</v>
      </c>
      <c r="B40" s="17">
        <v>332.0</v>
      </c>
      <c r="C40" s="17">
        <v>121999.0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00" t="s">
        <v>9</v>
      </c>
      <c r="B41" s="19">
        <v>367.47</v>
      </c>
      <c r="C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7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0"/>
      <c r="B43" s="21"/>
      <c r="C43" s="22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1"/>
    </row>
    <row r="44">
      <c r="A44" s="1"/>
      <c r="B44" s="7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91" t="s">
        <v>23</v>
      </c>
      <c r="B45" s="1"/>
      <c r="C45" s="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93" t="s">
        <v>2</v>
      </c>
      <c r="B46" s="5">
        <v>0.005</v>
      </c>
      <c r="C46" s="3"/>
      <c r="D46" s="1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3"/>
      <c r="D47" s="202">
        <v>0.0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91" t="s">
        <v>3</v>
      </c>
      <c r="B48" s="1"/>
      <c r="C48" s="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6"/>
      <c r="B49" s="37"/>
      <c r="C49" s="10" t="e">
        <v>#DIV/0!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8"/>
      <c r="B50" s="37"/>
      <c r="C50" s="10" t="e">
        <v>#DIV/0!</v>
      </c>
      <c r="D50" s="1"/>
      <c r="E50" s="1"/>
      <c r="F50" s="3"/>
      <c r="G50" s="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93" t="s">
        <v>8</v>
      </c>
      <c r="B51" s="17">
        <v>0.0</v>
      </c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00" t="s">
        <v>9</v>
      </c>
      <c r="B52" s="39" t="e">
        <v>#DIV/0!</v>
      </c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0"/>
      <c r="B54" s="20"/>
      <c r="C54" s="22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1"/>
    </row>
    <row r="55">
      <c r="A55" s="1"/>
      <c r="B55" s="1"/>
      <c r="C55" s="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91" t="s">
        <v>24</v>
      </c>
      <c r="B56" s="1"/>
      <c r="C56" s="3"/>
      <c r="D56" s="192">
        <v>2.0320378E7</v>
      </c>
      <c r="E56" s="1"/>
      <c r="F56" s="1"/>
      <c r="G56" s="1"/>
      <c r="H56" s="1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93" t="s">
        <v>2</v>
      </c>
      <c r="B57" s="5">
        <v>0.005</v>
      </c>
      <c r="C57" s="3"/>
      <c r="D57" s="202">
        <v>101601.89</v>
      </c>
      <c r="E57" s="1"/>
      <c r="F57" s="1"/>
      <c r="G57" s="1"/>
      <c r="H57" s="40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3"/>
      <c r="D58" s="1"/>
      <c r="E58" s="1"/>
      <c r="F58" s="1"/>
      <c r="G58" s="1"/>
      <c r="H58" s="1"/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91" t="s">
        <v>3</v>
      </c>
      <c r="B59" s="1"/>
      <c r="C59" s="3"/>
      <c r="D59" s="1"/>
      <c r="E59" s="1"/>
      <c r="F59" s="1"/>
      <c r="G59" s="1"/>
      <c r="H59" s="1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05" t="s">
        <v>25</v>
      </c>
      <c r="B60" s="194">
        <v>100.0</v>
      </c>
      <c r="C60" s="10">
        <v>37911.0</v>
      </c>
      <c r="D60" s="3"/>
      <c r="E60" s="1"/>
      <c r="F60" s="1"/>
      <c r="G60" s="1"/>
      <c r="H60" s="1"/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05" t="s">
        <v>26</v>
      </c>
      <c r="B61" s="194">
        <v>91.0</v>
      </c>
      <c r="C61" s="10">
        <v>34499.0</v>
      </c>
      <c r="D61" s="234">
        <v>36587.0</v>
      </c>
      <c r="E61" s="1"/>
      <c r="F61" s="1"/>
      <c r="G61" s="1"/>
      <c r="H61" s="1"/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05" t="s">
        <v>28</v>
      </c>
      <c r="B62" s="194">
        <v>77.0</v>
      </c>
      <c r="C62" s="10">
        <v>29192.0</v>
      </c>
      <c r="D62" s="234">
        <v>35223.0</v>
      </c>
      <c r="E62" s="1"/>
      <c r="F62" s="1"/>
      <c r="G62" s="1"/>
      <c r="H62" s="1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29"/>
      <c r="B63" s="14"/>
      <c r="C63" s="10">
        <v>0.0</v>
      </c>
      <c r="D63" s="3"/>
      <c r="E63" s="1"/>
      <c r="F63" s="1"/>
      <c r="G63" s="1"/>
      <c r="H63" s="1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93" t="s">
        <v>8</v>
      </c>
      <c r="B64" s="199">
        <v>268.0</v>
      </c>
      <c r="C64" s="17">
        <v>101602.0</v>
      </c>
      <c r="D64" s="1"/>
      <c r="E64" s="1"/>
      <c r="F64" s="1"/>
      <c r="G64" s="1"/>
      <c r="H64" s="1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00" t="s">
        <v>9</v>
      </c>
      <c r="B65" s="19">
        <v>379.11</v>
      </c>
      <c r="C65" s="3"/>
      <c r="D65" s="1"/>
      <c r="E65" s="1"/>
      <c r="F65" s="1"/>
      <c r="G65" s="1"/>
      <c r="H65" s="7"/>
      <c r="I65" s="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0"/>
      <c r="B67" s="20"/>
      <c r="C67" s="22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1"/>
    </row>
    <row r="68">
      <c r="A68" s="1"/>
      <c r="B68" s="7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91" t="s">
        <v>29</v>
      </c>
      <c r="B69" s="1"/>
      <c r="C69" s="3"/>
      <c r="D69" s="192">
        <v>5.9705178E7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93" t="s">
        <v>2</v>
      </c>
      <c r="B70" s="5">
        <v>0.005</v>
      </c>
      <c r="C70" s="3"/>
      <c r="D70" s="202">
        <v>298525.89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91" t="s">
        <v>3</v>
      </c>
      <c r="B72" s="1"/>
      <c r="C72" s="3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8" t="s">
        <v>119</v>
      </c>
      <c r="B73" s="194">
        <v>52.0</v>
      </c>
      <c r="C73" s="10">
        <v>28483.0</v>
      </c>
      <c r="D73" s="3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8" t="s">
        <v>32</v>
      </c>
      <c r="B74" s="31">
        <v>132.0</v>
      </c>
      <c r="C74" s="10">
        <v>72304.0</v>
      </c>
      <c r="D74" s="3"/>
      <c r="E74" s="1"/>
      <c r="F74" s="3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8" t="s">
        <v>34</v>
      </c>
      <c r="B75" s="31">
        <v>26.0</v>
      </c>
      <c r="C75" s="10">
        <v>14242.0</v>
      </c>
      <c r="D75" s="3"/>
      <c r="E75" s="1"/>
      <c r="F75" s="3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8" t="s">
        <v>140</v>
      </c>
      <c r="B76" s="31">
        <v>114.0</v>
      </c>
      <c r="C76" s="10">
        <v>62444.0</v>
      </c>
      <c r="D76" s="183"/>
      <c r="E76" s="1"/>
      <c r="F76" s="3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8" t="s">
        <v>117</v>
      </c>
      <c r="B77" s="31">
        <v>41.0</v>
      </c>
      <c r="C77" s="10">
        <v>22458.0</v>
      </c>
      <c r="D77" s="235">
        <v>31783.0</v>
      </c>
      <c r="E77" s="1"/>
      <c r="F77" s="3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24" t="s">
        <v>133</v>
      </c>
      <c r="B78" s="31">
        <v>27.0</v>
      </c>
      <c r="C78" s="10">
        <v>14789.0</v>
      </c>
      <c r="D78" s="235">
        <v>23123.0</v>
      </c>
      <c r="E78" s="1"/>
      <c r="F78" s="3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24" t="s">
        <v>130</v>
      </c>
      <c r="B79" s="31">
        <v>113.0</v>
      </c>
      <c r="C79" s="10">
        <v>61896.0</v>
      </c>
      <c r="D79" s="168"/>
      <c r="E79" s="1"/>
      <c r="F79" s="3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23" t="s">
        <v>153</v>
      </c>
      <c r="B80" s="31">
        <v>40.0</v>
      </c>
      <c r="C80" s="10">
        <v>21910.0</v>
      </c>
      <c r="D80" s="3"/>
      <c r="E80" s="1"/>
      <c r="F80" s="3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93" t="s">
        <v>8</v>
      </c>
      <c r="B81" s="199">
        <v>545.0</v>
      </c>
      <c r="C81" s="17">
        <v>298526.0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00" t="s">
        <v>9</v>
      </c>
      <c r="B82" s="19">
        <v>547.75</v>
      </c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7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0"/>
      <c r="B84" s="21"/>
      <c r="C84" s="22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1"/>
    </row>
    <row r="85">
      <c r="A85" s="1"/>
      <c r="B85" s="7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91" t="s">
        <v>35</v>
      </c>
      <c r="B86" s="1"/>
      <c r="C86" s="3"/>
      <c r="D86" s="43">
        <v>1.2015538E7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93" t="s">
        <v>2</v>
      </c>
      <c r="B87" s="5">
        <v>0.005</v>
      </c>
      <c r="C87" s="3"/>
      <c r="D87" s="44">
        <v>60078.0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3"/>
      <c r="D88" s="3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91" t="s">
        <v>3</v>
      </c>
      <c r="B89" s="1"/>
      <c r="C89" s="3"/>
      <c r="D89" s="3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05" t="s">
        <v>28</v>
      </c>
      <c r="B90" s="45">
        <v>26.0</v>
      </c>
      <c r="C90" s="35">
        <v>6031.0</v>
      </c>
      <c r="D90" s="1"/>
      <c r="E90" s="1"/>
      <c r="F90" s="3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05" t="s">
        <v>26</v>
      </c>
      <c r="B91" s="31">
        <v>9.0</v>
      </c>
      <c r="C91" s="10">
        <v>2088.0</v>
      </c>
      <c r="D91" s="3"/>
      <c r="E91" s="1"/>
      <c r="F91" s="3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31" t="s">
        <v>155</v>
      </c>
      <c r="B92" s="31">
        <v>117.0</v>
      </c>
      <c r="C92" s="10">
        <v>27139.0</v>
      </c>
      <c r="D92" s="183"/>
      <c r="E92" s="29"/>
      <c r="F92" s="3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01" t="s">
        <v>156</v>
      </c>
      <c r="B93" s="30">
        <v>107.0</v>
      </c>
      <c r="C93" s="10">
        <v>24820.0</v>
      </c>
      <c r="D93" s="168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93" t="s">
        <v>8</v>
      </c>
      <c r="B94" s="17">
        <v>259.0</v>
      </c>
      <c r="C94" s="17">
        <v>60078.0</v>
      </c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00" t="s">
        <v>9</v>
      </c>
      <c r="B95" s="19">
        <v>231.96</v>
      </c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7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0"/>
      <c r="B97" s="21"/>
      <c r="C97" s="22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1"/>
    </row>
    <row r="98">
      <c r="A98" s="1"/>
      <c r="B98" s="7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91" t="s">
        <v>40</v>
      </c>
      <c r="B99" s="7"/>
      <c r="C99" s="3"/>
      <c r="D99" s="192">
        <v>3493431.0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93" t="s">
        <v>2</v>
      </c>
      <c r="B100" s="5">
        <v>0.005</v>
      </c>
      <c r="C100" s="3"/>
      <c r="D100" s="202">
        <v>17467.155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40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91" t="s">
        <v>3</v>
      </c>
      <c r="B102" s="1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206"/>
      <c r="B103" s="14"/>
      <c r="C103" s="10">
        <v>0.0</v>
      </c>
      <c r="D103" s="168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8" t="s">
        <v>94</v>
      </c>
      <c r="B104" s="194">
        <v>80.0</v>
      </c>
      <c r="C104" s="10">
        <v>9133.0</v>
      </c>
      <c r="D104" s="233">
        <v>23375.0</v>
      </c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8" t="s">
        <v>154</v>
      </c>
      <c r="B105" s="194">
        <v>73.0</v>
      </c>
      <c r="C105" s="10">
        <v>8334.0</v>
      </c>
      <c r="D105" s="3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206"/>
      <c r="B106" s="14"/>
      <c r="C106" s="10">
        <v>0.0</v>
      </c>
      <c r="D106" s="3"/>
      <c r="E106" s="3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50" t="s">
        <v>8</v>
      </c>
      <c r="B107" s="199">
        <v>153.0</v>
      </c>
      <c r="C107" s="17">
        <v>17467.0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200" t="s">
        <v>9</v>
      </c>
      <c r="B108" s="19">
        <v>114.16</v>
      </c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7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7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20"/>
      <c r="B111" s="21"/>
      <c r="C111" s="22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1"/>
    </row>
    <row r="112">
      <c r="A112" s="1"/>
      <c r="B112" s="7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91" t="s">
        <v>132</v>
      </c>
      <c r="B113" s="7"/>
      <c r="C113" s="3"/>
      <c r="D113" s="192">
        <v>1.0428851E7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93" t="s">
        <v>2</v>
      </c>
      <c r="B114" s="5">
        <v>0.005</v>
      </c>
      <c r="C114" s="3"/>
      <c r="D114" s="202">
        <v>52144.255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40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91" t="s">
        <v>3</v>
      </c>
      <c r="B116" s="1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26" t="s">
        <v>21</v>
      </c>
      <c r="B117" s="194">
        <v>130.0</v>
      </c>
      <c r="C117" s="10">
        <v>17075.0</v>
      </c>
      <c r="D117" s="168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95" t="s">
        <v>122</v>
      </c>
      <c r="B118" s="194">
        <v>123.0</v>
      </c>
      <c r="C118" s="10">
        <v>16156.0</v>
      </c>
      <c r="D118" s="168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226"/>
      <c r="B119" s="14"/>
      <c r="C119" s="10">
        <v>0.0</v>
      </c>
      <c r="D119" s="168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95" t="s">
        <v>143</v>
      </c>
      <c r="B120" s="194">
        <v>30.0</v>
      </c>
      <c r="C120" s="10">
        <v>3940.0</v>
      </c>
      <c r="D120" s="3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236" t="s">
        <v>125</v>
      </c>
      <c r="B121" s="194">
        <v>43.0</v>
      </c>
      <c r="C121" s="10">
        <v>5648.0</v>
      </c>
      <c r="D121" s="183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8" t="s">
        <v>117</v>
      </c>
      <c r="B122" s="194">
        <v>71.0</v>
      </c>
      <c r="C122" s="10">
        <v>9326.0</v>
      </c>
      <c r="D122" s="3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3"/>
      <c r="B123" s="14"/>
      <c r="C123" s="10">
        <v>0.0</v>
      </c>
      <c r="D123" s="3"/>
      <c r="E123" s="3"/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50" t="s">
        <v>8</v>
      </c>
      <c r="B124" s="199">
        <v>397.0</v>
      </c>
      <c r="C124" s="17">
        <v>52144.0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200" t="s">
        <v>9</v>
      </c>
      <c r="B125" s="19">
        <v>131.35</v>
      </c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7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20"/>
      <c r="B127" s="21"/>
      <c r="C127" s="22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1"/>
    </row>
    <row r="128">
      <c r="A128" s="1"/>
      <c r="B128" s="7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91" t="s">
        <v>134</v>
      </c>
      <c r="B129" s="7"/>
      <c r="C129" s="3"/>
      <c r="D129" s="192">
        <v>6524988.0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93" t="s">
        <v>2</v>
      </c>
      <c r="B130" s="5">
        <v>0.005</v>
      </c>
      <c r="C130" s="3"/>
      <c r="D130" s="202">
        <v>32624.94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40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91" t="s">
        <v>3</v>
      </c>
      <c r="B132" s="1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8" t="s">
        <v>120</v>
      </c>
      <c r="B133" s="14"/>
      <c r="C133" s="10" t="e">
        <v>#DIV/0!</v>
      </c>
      <c r="D133" s="168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225" t="s">
        <v>145</v>
      </c>
      <c r="B134" s="14"/>
      <c r="C134" s="10" t="e">
        <v>#DIV/0!</v>
      </c>
      <c r="D134" s="183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95" t="s">
        <v>125</v>
      </c>
      <c r="B135" s="14"/>
      <c r="C135" s="10" t="e">
        <v>#DIV/0!</v>
      </c>
      <c r="D135" s="3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3"/>
      <c r="B136" s="14"/>
      <c r="C136" s="10" t="e">
        <v>#DIV/0!</v>
      </c>
      <c r="D136" s="3"/>
      <c r="E136" s="3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50" t="s">
        <v>8</v>
      </c>
      <c r="B137" s="199">
        <v>0.0</v>
      </c>
      <c r="C137" s="237" t="e">
        <v>#DIV/0!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200" t="s">
        <v>9</v>
      </c>
      <c r="B138" s="19" t="e">
        <v>#DIV/0!</v>
      </c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7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20"/>
      <c r="B140" s="21"/>
      <c r="C140" s="22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1"/>
    </row>
    <row r="141">
      <c r="A141" s="1"/>
      <c r="B141" s="7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91" t="s">
        <v>135</v>
      </c>
      <c r="B142" s="7"/>
      <c r="C142" s="3"/>
      <c r="D142" s="1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93" t="s">
        <v>2</v>
      </c>
      <c r="B143" s="5">
        <v>0.005</v>
      </c>
      <c r="C143" s="3"/>
      <c r="D143" s="202">
        <v>0.0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40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91" t="s">
        <v>3</v>
      </c>
      <c r="B145" s="1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8" t="s">
        <v>18</v>
      </c>
      <c r="B146" s="194">
        <v>98.0</v>
      </c>
      <c r="C146" s="10">
        <v>0.0</v>
      </c>
      <c r="D146" s="235">
        <v>3940.0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226"/>
      <c r="B147" s="14"/>
      <c r="C147" s="10">
        <v>0.0</v>
      </c>
      <c r="D147" s="168"/>
      <c r="E147" s="1"/>
      <c r="F147" s="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95" t="s">
        <v>124</v>
      </c>
      <c r="B148" s="194">
        <v>37.0</v>
      </c>
      <c r="C148" s="10">
        <v>0.0</v>
      </c>
      <c r="D148" s="18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223" t="s">
        <v>153</v>
      </c>
      <c r="B149" s="194">
        <v>85.0</v>
      </c>
      <c r="C149" s="10">
        <v>0.0</v>
      </c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63"/>
      <c r="B150" s="14"/>
      <c r="C150" s="10">
        <v>0.0</v>
      </c>
      <c r="D150" s="3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63"/>
      <c r="B151" s="14"/>
      <c r="C151" s="10">
        <v>0.0</v>
      </c>
      <c r="D151" s="3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50" t="s">
        <v>8</v>
      </c>
      <c r="B152" s="199">
        <v>220.0</v>
      </c>
      <c r="C152" s="17">
        <v>0.0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200" t="s">
        <v>9</v>
      </c>
      <c r="B153" s="19">
        <v>0.0</v>
      </c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7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20"/>
      <c r="B155" s="21"/>
      <c r="C155" s="22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1"/>
    </row>
    <row r="156">
      <c r="A156" s="1"/>
      <c r="B156" s="7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39" t="s">
        <v>41</v>
      </c>
      <c r="C157" s="17" t="s">
        <v>42</v>
      </c>
      <c r="D157" s="3"/>
      <c r="E157" s="1"/>
      <c r="F157" s="13"/>
      <c r="G157" s="208" t="s">
        <v>44</v>
      </c>
      <c r="H157" s="208" t="s">
        <v>42</v>
      </c>
      <c r="I157" s="208" t="s">
        <v>45</v>
      </c>
      <c r="J157" s="208" t="s">
        <v>46</v>
      </c>
      <c r="K157" s="209" t="s">
        <v>47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217" t="s">
        <v>48</v>
      </c>
      <c r="B158" s="7"/>
      <c r="C158" s="17">
        <v>355233.0</v>
      </c>
      <c r="D158" s="17">
        <v>355200.0</v>
      </c>
      <c r="E158" s="3"/>
      <c r="F158" s="213" t="s">
        <v>32</v>
      </c>
      <c r="G158" s="54">
        <v>5.0187137E7</v>
      </c>
      <c r="H158" s="55">
        <v>250936.0</v>
      </c>
      <c r="I158" s="55">
        <v>72304.0</v>
      </c>
      <c r="J158" s="55">
        <v>178632.0</v>
      </c>
      <c r="K158" s="56">
        <v>178600.0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217" t="s">
        <v>49</v>
      </c>
      <c r="B159" s="7"/>
      <c r="C159" s="17">
        <v>458992.0</v>
      </c>
      <c r="D159" s="17">
        <v>459000.0</v>
      </c>
      <c r="E159" s="1"/>
      <c r="F159" s="37" t="s">
        <v>50</v>
      </c>
      <c r="G159" s="54">
        <v>2.0708446E7</v>
      </c>
      <c r="H159" s="55">
        <v>103542.0</v>
      </c>
      <c r="I159" s="55">
        <v>48506.0</v>
      </c>
      <c r="J159" s="55">
        <v>55037.0</v>
      </c>
      <c r="K159" s="56">
        <v>55000.0</v>
      </c>
      <c r="L159" s="3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214" t="s">
        <v>51</v>
      </c>
      <c r="B160" s="58">
        <v>3.1099293E7</v>
      </c>
      <c r="C160" s="59">
        <v>155496.0</v>
      </c>
      <c r="D160" s="3"/>
      <c r="E160" s="1"/>
      <c r="F160" s="213" t="s">
        <v>13</v>
      </c>
      <c r="G160" s="54">
        <v>3.1099293E7</v>
      </c>
      <c r="H160" s="55">
        <v>155496.0</v>
      </c>
      <c r="I160" s="55">
        <v>56421.0</v>
      </c>
      <c r="J160" s="55">
        <v>99075.0</v>
      </c>
      <c r="K160" s="56">
        <v>99100.0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214" t="s">
        <v>52</v>
      </c>
      <c r="B161" s="58">
        <v>1.4072099E7</v>
      </c>
      <c r="C161" s="59">
        <v>70360.0</v>
      </c>
      <c r="D161" s="1"/>
      <c r="E161" s="1"/>
      <c r="F161" s="213" t="s">
        <v>5</v>
      </c>
      <c r="G161" s="54">
        <v>1.4072099E7</v>
      </c>
      <c r="H161" s="55">
        <v>70360.0</v>
      </c>
      <c r="I161" s="55">
        <v>26618.0</v>
      </c>
      <c r="J161" s="55">
        <v>43742.0</v>
      </c>
      <c r="K161" s="56">
        <v>43700.0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215" t="s">
        <v>54</v>
      </c>
      <c r="B162" s="62">
        <v>2.0708446E7</v>
      </c>
      <c r="C162" s="63">
        <v>103542.0</v>
      </c>
      <c r="D162" s="3"/>
      <c r="E162" s="1"/>
      <c r="F162" s="213" t="s">
        <v>25</v>
      </c>
      <c r="G162" s="54">
        <v>1.5741035E7</v>
      </c>
      <c r="H162" s="55">
        <v>78705.0</v>
      </c>
      <c r="I162" s="55">
        <v>37911.0</v>
      </c>
      <c r="J162" s="55">
        <v>40794.0</v>
      </c>
      <c r="K162" s="56">
        <v>40800.0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216" t="s">
        <v>55</v>
      </c>
      <c r="B163" s="65">
        <v>1.5741035E7</v>
      </c>
      <c r="C163" s="66">
        <v>78705.0</v>
      </c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217" t="s">
        <v>56</v>
      </c>
      <c r="B164" s="69">
        <v>5.0187137E7</v>
      </c>
      <c r="C164" s="17">
        <v>250936.0</v>
      </c>
      <c r="D164" s="1"/>
      <c r="E164" s="1"/>
      <c r="F164" s="13"/>
      <c r="G164" s="67"/>
      <c r="H164" s="37"/>
      <c r="I164" s="37"/>
      <c r="J164" s="37"/>
      <c r="K164" s="68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217" t="s">
        <v>58</v>
      </c>
      <c r="B165" s="69">
        <v>1.0134261E7</v>
      </c>
      <c r="C165" s="17">
        <v>50671.0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217" t="s">
        <v>59</v>
      </c>
      <c r="B166" s="69">
        <v>3226471.0</v>
      </c>
      <c r="C166" s="17">
        <v>16132.0</v>
      </c>
      <c r="D166" s="1"/>
      <c r="E166" s="1"/>
      <c r="F166" s="218" t="s">
        <v>106</v>
      </c>
      <c r="G166" s="7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217" t="s">
        <v>127</v>
      </c>
      <c r="B167" s="19">
        <v>1.0038251E7</v>
      </c>
      <c r="C167" s="17">
        <v>50191.0</v>
      </c>
      <c r="D167" s="1"/>
      <c r="E167" s="1"/>
      <c r="F167" s="213" t="s">
        <v>48</v>
      </c>
      <c r="G167" s="238">
        <v>355200.0</v>
      </c>
      <c r="H167" s="3"/>
      <c r="I167" s="1"/>
      <c r="J167" s="1"/>
      <c r="K167" s="1"/>
      <c r="L167" s="1"/>
      <c r="M167" s="1"/>
      <c r="N167" s="3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217" t="s">
        <v>136</v>
      </c>
      <c r="B168" s="7"/>
      <c r="C168" s="17">
        <v>0.0</v>
      </c>
      <c r="D168" s="1"/>
      <c r="E168" s="1"/>
      <c r="F168" s="213" t="s">
        <v>49</v>
      </c>
      <c r="G168" s="238">
        <v>459000.0</v>
      </c>
      <c r="H168" s="3"/>
      <c r="I168" s="73"/>
      <c r="J168" s="74"/>
      <c r="K168" s="75"/>
      <c r="L168" s="76"/>
      <c r="M168" s="1"/>
      <c r="N168" s="1"/>
      <c r="O168" s="3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217" t="s">
        <v>137</v>
      </c>
      <c r="B169" s="19">
        <v>7638188.0</v>
      </c>
      <c r="C169" s="17">
        <v>38191.0</v>
      </c>
      <c r="D169" s="1"/>
      <c r="E169" s="1"/>
      <c r="F169" s="213" t="s">
        <v>13</v>
      </c>
      <c r="G169" s="238">
        <v>99100.0</v>
      </c>
      <c r="H169" s="3" t="s">
        <v>109</v>
      </c>
      <c r="I169" s="78"/>
      <c r="K169" s="79"/>
      <c r="L169" s="76"/>
      <c r="M169" s="1"/>
      <c r="N169" s="3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7"/>
      <c r="C170" s="17">
        <v>0.0</v>
      </c>
      <c r="D170" s="1"/>
      <c r="E170" s="1"/>
      <c r="F170" s="213" t="s">
        <v>5</v>
      </c>
      <c r="G170" s="238">
        <v>43700.0</v>
      </c>
      <c r="H170" s="193" t="s">
        <v>110</v>
      </c>
      <c r="I170" s="78"/>
      <c r="K170" s="79"/>
      <c r="L170" s="76"/>
      <c r="M170" s="1"/>
      <c r="N170" s="3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7"/>
      <c r="C171" s="17">
        <v>0.0</v>
      </c>
      <c r="D171" s="170"/>
      <c r="E171" s="1"/>
      <c r="F171" s="213" t="s">
        <v>25</v>
      </c>
      <c r="G171" s="10">
        <v>40800.0</v>
      </c>
      <c r="H171" s="3" t="s">
        <v>111</v>
      </c>
      <c r="I171" s="81"/>
      <c r="J171" s="82"/>
      <c r="K171" s="83"/>
      <c r="L171" s="76"/>
      <c r="M171" s="1"/>
      <c r="N171" s="3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7"/>
      <c r="C172" s="10">
        <v>1628452.0</v>
      </c>
      <c r="D172" s="77">
        <v>814200.0</v>
      </c>
      <c r="E172" s="1"/>
      <c r="F172" s="13"/>
      <c r="G172" s="219">
        <v>0.0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7"/>
      <c r="C173" s="3"/>
      <c r="D173" s="1"/>
      <c r="E173" s="1"/>
      <c r="F173" s="213" t="s">
        <v>32</v>
      </c>
      <c r="G173" s="10">
        <v>178600.0</v>
      </c>
      <c r="H173" s="3" t="s">
        <v>63</v>
      </c>
      <c r="I173" s="3"/>
      <c r="J173" s="3"/>
      <c r="K173" s="3"/>
      <c r="L173" s="1"/>
      <c r="M173" s="1"/>
      <c r="N173" s="1"/>
      <c r="O173" s="3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220" t="s">
        <v>60</v>
      </c>
      <c r="B174" s="7"/>
      <c r="C174" s="17" t="s">
        <v>42</v>
      </c>
      <c r="D174" s="1"/>
      <c r="E174" s="1"/>
      <c r="F174" s="213" t="s">
        <v>50</v>
      </c>
      <c r="G174" s="238">
        <v>55000.0</v>
      </c>
      <c r="H174" s="3" t="s">
        <v>65</v>
      </c>
      <c r="I174" s="3"/>
      <c r="J174" s="3"/>
      <c r="K174" s="3"/>
      <c r="L174" s="3"/>
      <c r="M174" s="1"/>
      <c r="N174" s="3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217" t="s">
        <v>61</v>
      </c>
      <c r="B175" s="6">
        <v>1.4072099E7</v>
      </c>
      <c r="C175" s="17">
        <v>70360.0</v>
      </c>
      <c r="D175" s="1"/>
      <c r="E175" s="1"/>
      <c r="F175" s="1"/>
      <c r="G175" s="85">
        <v>1231400.0</v>
      </c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217" t="s">
        <v>62</v>
      </c>
      <c r="B176" s="6">
        <v>3.1099293E7</v>
      </c>
      <c r="C176" s="17">
        <v>155496.0</v>
      </c>
      <c r="D176" s="1"/>
      <c r="E176" s="1"/>
      <c r="F176" s="1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217" t="s">
        <v>64</v>
      </c>
      <c r="B177" s="6">
        <v>1.5741035E7</v>
      </c>
      <c r="C177" s="17">
        <v>78705.0</v>
      </c>
      <c r="D177" s="1"/>
      <c r="E177" s="1"/>
      <c r="F177" s="1"/>
      <c r="G177" s="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217" t="s">
        <v>58</v>
      </c>
      <c r="B178" s="6">
        <v>1.0134261E7</v>
      </c>
      <c r="C178" s="17">
        <v>50671.0</v>
      </c>
      <c r="D178" s="1"/>
      <c r="E178" s="1"/>
      <c r="F178" s="1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7"/>
      <c r="C179" s="17">
        <v>0.0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7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9">
        <v>7.1046688E7</v>
      </c>
      <c r="C181" s="86">
        <v>355233.0</v>
      </c>
      <c r="D181" s="221" t="s">
        <v>66</v>
      </c>
      <c r="E181" s="1"/>
      <c r="F181" s="1"/>
      <c r="G181" s="1"/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88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89"/>
      <c r="B183" s="90"/>
      <c r="C183" s="91"/>
      <c r="D183" s="89"/>
      <c r="E183" s="1"/>
      <c r="F183" s="1"/>
      <c r="G183" s="3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220" t="s">
        <v>67</v>
      </c>
      <c r="B184" s="88"/>
      <c r="C184" s="17" t="s">
        <v>42</v>
      </c>
      <c r="D184" s="1"/>
      <c r="E184" s="1"/>
      <c r="F184" s="1"/>
      <c r="G184" s="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217" t="s">
        <v>68</v>
      </c>
      <c r="B185" s="6">
        <v>2.0708446E7</v>
      </c>
      <c r="C185" s="17">
        <v>103542.0</v>
      </c>
      <c r="D185" s="1"/>
      <c r="E185" s="1"/>
      <c r="F185" s="1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217" t="s">
        <v>69</v>
      </c>
      <c r="B186" s="6">
        <v>5.0187137E7</v>
      </c>
      <c r="C186" s="17">
        <v>250936.0</v>
      </c>
      <c r="D186" s="1"/>
      <c r="E186" s="1"/>
      <c r="F186" s="1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217" t="s">
        <v>59</v>
      </c>
      <c r="B187" s="6">
        <v>3226471.0</v>
      </c>
      <c r="C187" s="17">
        <v>16132.0</v>
      </c>
      <c r="D187" s="1"/>
      <c r="E187" s="20"/>
      <c r="F187" s="20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217" t="s">
        <v>127</v>
      </c>
      <c r="B188" s="6">
        <v>1.0038251E7</v>
      </c>
      <c r="C188" s="17">
        <v>50191.0</v>
      </c>
      <c r="D188" s="1"/>
      <c r="E188" s="1"/>
      <c r="F188" s="1"/>
      <c r="G188" s="3"/>
      <c r="H188" s="1"/>
      <c r="I188" s="1"/>
      <c r="J188" s="3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217" t="s">
        <v>137</v>
      </c>
      <c r="B189" s="6">
        <v>7638188.0</v>
      </c>
      <c r="C189" s="17">
        <v>38191.0</v>
      </c>
      <c r="D189" s="1"/>
      <c r="E189" s="1"/>
      <c r="F189" s="1"/>
      <c r="G189" s="3"/>
      <c r="H189" s="1"/>
      <c r="I189" s="1"/>
      <c r="J189" s="3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217" t="s">
        <v>136</v>
      </c>
      <c r="B190" s="7"/>
      <c r="C190" s="17">
        <v>0.0</v>
      </c>
      <c r="D190" s="1"/>
      <c r="E190" s="1"/>
      <c r="F190" s="1"/>
      <c r="G190" s="3"/>
      <c r="H190" s="1"/>
      <c r="I190" s="1"/>
      <c r="J190" s="3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7"/>
      <c r="C191" s="3"/>
      <c r="D191" s="1"/>
      <c r="E191" s="1"/>
      <c r="F191" s="1"/>
      <c r="G191" s="3"/>
      <c r="H191" s="1"/>
      <c r="I191" s="1"/>
      <c r="J191" s="3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9">
        <v>9.1798493E7</v>
      </c>
      <c r="C192" s="86">
        <v>458992.0</v>
      </c>
      <c r="D192" s="221" t="s">
        <v>66</v>
      </c>
      <c r="E192" s="1"/>
      <c r="F192" s="1"/>
      <c r="G192" s="92"/>
      <c r="H192" s="1"/>
      <c r="I192" s="1"/>
      <c r="J192" s="3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7"/>
      <c r="C193" s="3"/>
      <c r="D193" s="1"/>
      <c r="E193" s="1"/>
      <c r="F193" s="1"/>
      <c r="G193" s="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7"/>
      <c r="C194" s="22"/>
      <c r="D194" s="20"/>
      <c r="E194" s="1"/>
      <c r="F194" s="1"/>
      <c r="G194" s="3"/>
      <c r="H194" s="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7"/>
      <c r="C195" s="3"/>
      <c r="D195" s="1"/>
      <c r="E195" s="1"/>
      <c r="F195" s="1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7"/>
      <c r="C196" s="3"/>
      <c r="D196" s="1"/>
      <c r="E196" s="1"/>
      <c r="F196" s="1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7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7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7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7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7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7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7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7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F166:G166"/>
    <mergeCell ref="I168:K17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91" t="s">
        <v>1</v>
      </c>
      <c r="B2" s="1"/>
      <c r="C2" s="3"/>
      <c r="D2" s="192">
        <v>1.551426E7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93" t="s">
        <v>2</v>
      </c>
      <c r="B3" s="5">
        <v>0.005</v>
      </c>
      <c r="C3" s="3"/>
      <c r="D3" s="6">
        <v>77571.3</v>
      </c>
      <c r="E3" s="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91" t="s">
        <v>3</v>
      </c>
      <c r="B5" s="1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8" t="s">
        <v>5</v>
      </c>
      <c r="B6" s="194">
        <v>104.0</v>
      </c>
      <c r="C6" s="10">
        <v>27534.0</v>
      </c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8" t="s">
        <v>72</v>
      </c>
      <c r="B7" s="194">
        <v>100.0</v>
      </c>
      <c r="C7" s="10">
        <v>26475.0</v>
      </c>
      <c r="D7" s="1"/>
      <c r="E7" s="1"/>
      <c r="F7" s="1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95" t="s">
        <v>146</v>
      </c>
      <c r="B8" s="194">
        <v>89.0</v>
      </c>
      <c r="C8" s="10">
        <v>23563.0</v>
      </c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63"/>
      <c r="B9" s="14"/>
      <c r="C9" s="10">
        <v>0.0</v>
      </c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3"/>
      <c r="B10" s="14"/>
      <c r="C10" s="10">
        <v>0.0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"/>
      <c r="B11" s="14"/>
      <c r="C11" s="10">
        <v>0.0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93" t="s">
        <v>8</v>
      </c>
      <c r="B12" s="199">
        <v>293.0</v>
      </c>
      <c r="C12" s="17">
        <v>77571.0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00" t="s">
        <v>9</v>
      </c>
      <c r="B13" s="19">
        <v>264.75</v>
      </c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7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0"/>
      <c r="B15" s="21"/>
      <c r="C15" s="22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1"/>
    </row>
    <row r="16">
      <c r="A16" s="1"/>
      <c r="B16" s="7"/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91" t="s">
        <v>76</v>
      </c>
      <c r="B17" s="1"/>
      <c r="C17" s="3"/>
      <c r="D17" s="192">
        <v>3.138513E7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93" t="s">
        <v>2</v>
      </c>
      <c r="B18" s="5">
        <v>0.005</v>
      </c>
      <c r="C18" s="3"/>
      <c r="D18" s="44">
        <v>156926.0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91" t="s">
        <v>3</v>
      </c>
      <c r="B20" s="1"/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8" t="s">
        <v>13</v>
      </c>
      <c r="B21" s="194">
        <v>108.0</v>
      </c>
      <c r="C21" s="10">
        <v>56306.0</v>
      </c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8" t="s">
        <v>38</v>
      </c>
      <c r="B22" s="194">
        <v>99.0</v>
      </c>
      <c r="C22" s="10">
        <v>51613.0</v>
      </c>
      <c r="D22" s="3"/>
      <c r="E22" s="1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8" t="s">
        <v>151</v>
      </c>
      <c r="B23" s="194">
        <v>94.0</v>
      </c>
      <c r="C23" s="10">
        <v>49007.0</v>
      </c>
      <c r="D23" s="239">
        <v>52644.0</v>
      </c>
      <c r="E23" s="1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06"/>
      <c r="B24" s="14"/>
      <c r="C24" s="10">
        <v>0.0</v>
      </c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93" t="s">
        <v>8</v>
      </c>
      <c r="B25" s="199">
        <v>301.0</v>
      </c>
      <c r="C25" s="17">
        <v>156926.0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00" t="s">
        <v>9</v>
      </c>
      <c r="B26" s="19">
        <v>521.35</v>
      </c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7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0"/>
      <c r="B28" s="21"/>
      <c r="C28" s="22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1"/>
    </row>
    <row r="29">
      <c r="A29" s="1"/>
      <c r="B29" s="7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91" t="s">
        <v>17</v>
      </c>
      <c r="B30" s="1"/>
      <c r="C30" s="3"/>
      <c r="D30" s="192">
        <v>1.434747E7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93" t="s">
        <v>2</v>
      </c>
      <c r="B31" s="5">
        <v>0.005</v>
      </c>
      <c r="C31" s="3"/>
      <c r="D31" s="202">
        <v>71737.35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91" t="s">
        <v>3</v>
      </c>
      <c r="B33" s="1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8" t="s">
        <v>50</v>
      </c>
      <c r="B34" s="30">
        <v>69.0</v>
      </c>
      <c r="C34" s="10">
        <v>14732.0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8" t="s">
        <v>119</v>
      </c>
      <c r="B35" s="30">
        <v>45.0</v>
      </c>
      <c r="C35" s="10">
        <v>9608.0</v>
      </c>
      <c r="D35" s="233">
        <v>40764.0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8" t="s">
        <v>22</v>
      </c>
      <c r="B36" s="31">
        <v>132.0</v>
      </c>
      <c r="C36" s="10">
        <v>28183.0</v>
      </c>
      <c r="D36" s="168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03" t="s">
        <v>34</v>
      </c>
      <c r="B37" s="31">
        <v>21.0</v>
      </c>
      <c r="C37" s="35">
        <v>4484.0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03" t="s">
        <v>140</v>
      </c>
      <c r="B38" s="34">
        <v>69.0</v>
      </c>
      <c r="C38" s="10">
        <v>14732.0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5"/>
      <c r="B39" s="174"/>
      <c r="C39" s="35">
        <v>0.0</v>
      </c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93" t="s">
        <v>8</v>
      </c>
      <c r="B40" s="17">
        <v>336.0</v>
      </c>
      <c r="C40" s="17">
        <v>71737.0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00" t="s">
        <v>9</v>
      </c>
      <c r="B41" s="19">
        <v>213.5</v>
      </c>
      <c r="C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7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0"/>
      <c r="B43" s="21"/>
      <c r="C43" s="22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1"/>
    </row>
    <row r="44">
      <c r="A44" s="1"/>
      <c r="B44" s="7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91" t="s">
        <v>23</v>
      </c>
      <c r="B45" s="1"/>
      <c r="C45" s="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93" t="s">
        <v>2</v>
      </c>
      <c r="B46" s="5">
        <v>0.005</v>
      </c>
      <c r="C46" s="3"/>
      <c r="D46" s="1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3"/>
      <c r="D47" s="202">
        <v>0.0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91" t="s">
        <v>3</v>
      </c>
      <c r="B48" s="1"/>
      <c r="C48" s="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6"/>
      <c r="B49" s="37"/>
      <c r="C49" s="10" t="e">
        <v>#DIV/0!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8"/>
      <c r="B50" s="37"/>
      <c r="C50" s="10" t="e">
        <v>#DIV/0!</v>
      </c>
      <c r="D50" s="1"/>
      <c r="E50" s="1"/>
      <c r="F50" s="3"/>
      <c r="G50" s="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93" t="s">
        <v>8</v>
      </c>
      <c r="B51" s="17">
        <v>0.0</v>
      </c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00" t="s">
        <v>9</v>
      </c>
      <c r="B52" s="39" t="e">
        <v>#DIV/0!</v>
      </c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0"/>
      <c r="B54" s="20"/>
      <c r="C54" s="22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1"/>
    </row>
    <row r="55">
      <c r="A55" s="1"/>
      <c r="B55" s="1"/>
      <c r="C55" s="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91" t="s">
        <v>24</v>
      </c>
      <c r="B56" s="1"/>
      <c r="C56" s="3"/>
      <c r="D56" s="192">
        <v>1.691342E7</v>
      </c>
      <c r="E56" s="1"/>
      <c r="F56" s="1"/>
      <c r="G56" s="1"/>
      <c r="H56" s="1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93" t="s">
        <v>2</v>
      </c>
      <c r="B57" s="5">
        <v>0.005</v>
      </c>
      <c r="C57" s="3"/>
      <c r="D57" s="202">
        <v>84567.1</v>
      </c>
      <c r="E57" s="1"/>
      <c r="F57" s="1"/>
      <c r="G57" s="1"/>
      <c r="H57" s="40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3"/>
      <c r="D58" s="1"/>
      <c r="E58" s="1"/>
      <c r="F58" s="1"/>
      <c r="G58" s="1"/>
      <c r="H58" s="1"/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91" t="s">
        <v>3</v>
      </c>
      <c r="B59" s="1"/>
      <c r="C59" s="3"/>
      <c r="D59" s="182"/>
      <c r="E59" s="1"/>
      <c r="F59" s="1"/>
      <c r="G59" s="1"/>
      <c r="H59" s="1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05" t="s">
        <v>25</v>
      </c>
      <c r="B60" s="194">
        <v>113.0</v>
      </c>
      <c r="C60" s="10">
        <v>34251.0</v>
      </c>
      <c r="D60" s="183"/>
      <c r="E60" s="1"/>
      <c r="F60" s="1"/>
      <c r="G60" s="1"/>
      <c r="H60" s="1"/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05" t="s">
        <v>26</v>
      </c>
      <c r="B61" s="194">
        <v>105.0</v>
      </c>
      <c r="C61" s="10">
        <v>31826.0</v>
      </c>
      <c r="D61" s="183"/>
      <c r="E61" s="1"/>
      <c r="F61" s="1"/>
      <c r="G61" s="1"/>
      <c r="H61" s="1"/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05" t="s">
        <v>28</v>
      </c>
      <c r="B62" s="194">
        <v>49.0</v>
      </c>
      <c r="C62" s="10">
        <v>14852.0</v>
      </c>
      <c r="D62" s="183"/>
      <c r="E62" s="1"/>
      <c r="F62" s="1"/>
      <c r="G62" s="1"/>
      <c r="H62" s="1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05" t="s">
        <v>151</v>
      </c>
      <c r="B63" s="194">
        <v>12.0</v>
      </c>
      <c r="C63" s="10">
        <v>3637.0</v>
      </c>
      <c r="D63" s="183"/>
      <c r="E63" s="1"/>
      <c r="F63" s="1"/>
      <c r="G63" s="1"/>
      <c r="H63" s="1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93" t="s">
        <v>8</v>
      </c>
      <c r="B64" s="199">
        <v>279.0</v>
      </c>
      <c r="C64" s="17">
        <v>84567.0</v>
      </c>
      <c r="D64" s="1"/>
      <c r="E64" s="1"/>
      <c r="F64" s="1"/>
      <c r="G64" s="1"/>
      <c r="H64" s="1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00" t="s">
        <v>9</v>
      </c>
      <c r="B65" s="19">
        <v>303.11</v>
      </c>
      <c r="C65" s="3"/>
      <c r="D65" s="1"/>
      <c r="E65" s="1"/>
      <c r="F65" s="1"/>
      <c r="G65" s="1"/>
      <c r="H65" s="7"/>
      <c r="I65" s="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0"/>
      <c r="B67" s="20"/>
      <c r="C67" s="22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1"/>
    </row>
    <row r="68">
      <c r="A68" s="1"/>
      <c r="B68" s="7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91" t="s">
        <v>29</v>
      </c>
      <c r="B69" s="1"/>
      <c r="C69" s="3"/>
      <c r="D69" s="192">
        <v>4.727489E7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93" t="s">
        <v>2</v>
      </c>
      <c r="B70" s="5">
        <v>0.005</v>
      </c>
      <c r="C70" s="3"/>
      <c r="D70" s="202">
        <v>236374.45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91" t="s">
        <v>3</v>
      </c>
      <c r="B72" s="1"/>
      <c r="C72" s="3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8" t="s">
        <v>119</v>
      </c>
      <c r="B73" s="194">
        <v>75.0</v>
      </c>
      <c r="C73" s="10">
        <v>31157.0</v>
      </c>
      <c r="D73" s="3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8" t="s">
        <v>32</v>
      </c>
      <c r="B74" s="31">
        <v>132.0</v>
      </c>
      <c r="C74" s="10">
        <v>54836.0</v>
      </c>
      <c r="D74" s="3"/>
      <c r="E74" s="1"/>
      <c r="F74" s="3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8" t="s">
        <v>34</v>
      </c>
      <c r="B75" s="31">
        <v>12.0</v>
      </c>
      <c r="C75" s="10">
        <v>4985.0</v>
      </c>
      <c r="D75" s="3"/>
      <c r="E75" s="1"/>
      <c r="F75" s="3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8" t="s">
        <v>140</v>
      </c>
      <c r="B76" s="31">
        <v>37.0</v>
      </c>
      <c r="C76" s="10">
        <v>15371.0</v>
      </c>
      <c r="D76" s="234">
        <v>30102.0</v>
      </c>
      <c r="E76" s="1"/>
      <c r="F76" s="3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40" t="s">
        <v>157</v>
      </c>
      <c r="B77" s="31">
        <v>53.0</v>
      </c>
      <c r="C77" s="10">
        <v>22017.0</v>
      </c>
      <c r="D77" s="168"/>
      <c r="E77" s="1"/>
      <c r="F77" s="3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24" t="s">
        <v>133</v>
      </c>
      <c r="B78" s="31">
        <v>20.0</v>
      </c>
      <c r="C78" s="10">
        <v>8308.0</v>
      </c>
      <c r="D78" s="168"/>
      <c r="E78" s="1"/>
      <c r="F78" s="3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24" t="s">
        <v>130</v>
      </c>
      <c r="B79" s="31">
        <v>125.0</v>
      </c>
      <c r="C79" s="10">
        <v>51928.0</v>
      </c>
      <c r="D79" s="168"/>
      <c r="E79" s="1"/>
      <c r="F79" s="3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23" t="s">
        <v>158</v>
      </c>
      <c r="B80" s="31">
        <v>115.0</v>
      </c>
      <c r="C80" s="10">
        <v>47773.0</v>
      </c>
      <c r="D80" s="3"/>
      <c r="E80" s="1"/>
      <c r="F80" s="3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93" t="s">
        <v>8</v>
      </c>
      <c r="B81" s="199">
        <v>569.0</v>
      </c>
      <c r="C81" s="17">
        <v>236374.0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00" t="s">
        <v>9</v>
      </c>
      <c r="B82" s="19">
        <v>415.42</v>
      </c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7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0"/>
      <c r="B84" s="21"/>
      <c r="C84" s="22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1"/>
    </row>
    <row r="85">
      <c r="A85" s="1"/>
      <c r="B85" s="7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91" t="s">
        <v>35</v>
      </c>
      <c r="B86" s="1"/>
      <c r="C86" s="3"/>
      <c r="D86" s="43">
        <v>5136530.0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93" t="s">
        <v>2</v>
      </c>
      <c r="B87" s="5">
        <v>0.005</v>
      </c>
      <c r="C87" s="3"/>
      <c r="D87" s="44">
        <v>25683.0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3"/>
      <c r="D88" s="3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91" t="s">
        <v>3</v>
      </c>
      <c r="B89" s="1"/>
      <c r="C89" s="3"/>
      <c r="D89" s="3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05" t="s">
        <v>28</v>
      </c>
      <c r="B90" s="45">
        <v>63.0</v>
      </c>
      <c r="C90" s="35">
        <v>6060.0</v>
      </c>
      <c r="D90" s="239">
        <v>20912.0</v>
      </c>
      <c r="E90" s="1"/>
      <c r="F90" s="3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05" t="s">
        <v>26</v>
      </c>
      <c r="B91" s="174"/>
      <c r="C91" s="10">
        <v>0.0</v>
      </c>
      <c r="D91" s="3"/>
      <c r="E91" s="1"/>
      <c r="F91" s="3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31" t="s">
        <v>155</v>
      </c>
      <c r="B92" s="31">
        <v>110.0</v>
      </c>
      <c r="C92" s="10">
        <v>10581.0</v>
      </c>
      <c r="D92" s="183"/>
      <c r="E92" s="29"/>
      <c r="F92" s="3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01" t="s">
        <v>156</v>
      </c>
      <c r="B93" s="30">
        <v>94.0</v>
      </c>
      <c r="C93" s="10">
        <v>9042.0</v>
      </c>
      <c r="D93" s="168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93" t="s">
        <v>8</v>
      </c>
      <c r="B94" s="17">
        <v>267.0</v>
      </c>
      <c r="C94" s="17">
        <v>25683.0</v>
      </c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00" t="s">
        <v>9</v>
      </c>
      <c r="B95" s="19">
        <v>96.19</v>
      </c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7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0"/>
      <c r="B97" s="21"/>
      <c r="C97" s="22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1"/>
    </row>
    <row r="98">
      <c r="A98" s="1"/>
      <c r="B98" s="7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91" t="s">
        <v>40</v>
      </c>
      <c r="B99" s="7"/>
      <c r="C99" s="3"/>
      <c r="D99" s="192">
        <v>1995636.0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93" t="s">
        <v>2</v>
      </c>
      <c r="B100" s="5">
        <v>0.005</v>
      </c>
      <c r="C100" s="3"/>
      <c r="D100" s="202">
        <v>9978.18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40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91" t="s">
        <v>3</v>
      </c>
      <c r="B102" s="1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206"/>
      <c r="B103" s="14"/>
      <c r="C103" s="10">
        <v>0.0</v>
      </c>
      <c r="D103" s="168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8" t="s">
        <v>94</v>
      </c>
      <c r="B104" s="194">
        <v>95.0</v>
      </c>
      <c r="C104" s="10">
        <v>8389.0</v>
      </c>
      <c r="D104" s="233">
        <v>17857.0</v>
      </c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8" t="s">
        <v>154</v>
      </c>
      <c r="B105" s="14"/>
      <c r="C105" s="10">
        <v>0.0</v>
      </c>
      <c r="D105" s="3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240" t="s">
        <v>153</v>
      </c>
      <c r="B106" s="198">
        <v>18.0</v>
      </c>
      <c r="C106" s="10">
        <v>1589.0</v>
      </c>
      <c r="D106" s="3"/>
      <c r="E106" s="3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50" t="s">
        <v>8</v>
      </c>
      <c r="B107" s="199">
        <v>113.0</v>
      </c>
      <c r="C107" s="17">
        <v>9978.0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200" t="s">
        <v>9</v>
      </c>
      <c r="B108" s="19">
        <v>88.3</v>
      </c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7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7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20"/>
      <c r="B111" s="21"/>
      <c r="C111" s="22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1"/>
    </row>
    <row r="112">
      <c r="A112" s="1"/>
      <c r="B112" s="7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91" t="s">
        <v>132</v>
      </c>
      <c r="B113" s="7"/>
      <c r="C113" s="3"/>
      <c r="D113" s="192">
        <v>7684980.0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93" t="s">
        <v>2</v>
      </c>
      <c r="B114" s="5">
        <v>0.005</v>
      </c>
      <c r="C114" s="3"/>
      <c r="D114" s="202">
        <v>38424.9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40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91" t="s">
        <v>3</v>
      </c>
      <c r="B116" s="1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26" t="s">
        <v>21</v>
      </c>
      <c r="B117" s="194">
        <v>120.0</v>
      </c>
      <c r="C117" s="10">
        <v>10927.0</v>
      </c>
      <c r="D117" s="168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95" t="s">
        <v>122</v>
      </c>
      <c r="B118" s="194">
        <v>55.0</v>
      </c>
      <c r="C118" s="10">
        <v>5008.0</v>
      </c>
      <c r="D118" s="233">
        <v>19956.0</v>
      </c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8" t="s">
        <v>117</v>
      </c>
      <c r="B119" s="194">
        <v>109.0</v>
      </c>
      <c r="C119" s="10">
        <v>9925.0</v>
      </c>
      <c r="D119" s="233">
        <v>11903.0</v>
      </c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226"/>
      <c r="B120" s="14"/>
      <c r="C120" s="10">
        <v>0.0</v>
      </c>
      <c r="D120" s="3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236" t="s">
        <v>153</v>
      </c>
      <c r="B121" s="194">
        <v>12.0</v>
      </c>
      <c r="C121" s="10">
        <v>1093.0</v>
      </c>
      <c r="D121" s="183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240" t="s">
        <v>159</v>
      </c>
      <c r="B122" s="194">
        <v>61.0</v>
      </c>
      <c r="C122" s="10">
        <v>5554.0</v>
      </c>
      <c r="D122" s="3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97" t="s">
        <v>160</v>
      </c>
      <c r="B123" s="198">
        <v>65.0</v>
      </c>
      <c r="C123" s="10">
        <v>5919.0</v>
      </c>
      <c r="D123" s="3"/>
      <c r="E123" s="3"/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50" t="s">
        <v>8</v>
      </c>
      <c r="B124" s="199">
        <v>422.0</v>
      </c>
      <c r="C124" s="17">
        <v>38425.0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200" t="s">
        <v>9</v>
      </c>
      <c r="B125" s="19">
        <v>91.05</v>
      </c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7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20"/>
      <c r="B127" s="21"/>
      <c r="C127" s="22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1"/>
    </row>
    <row r="128">
      <c r="A128" s="1"/>
      <c r="B128" s="7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91" t="s">
        <v>134</v>
      </c>
      <c r="B129" s="7"/>
      <c r="C129" s="3"/>
      <c r="D129" s="1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93" t="s">
        <v>2</v>
      </c>
      <c r="B130" s="5">
        <v>0.005</v>
      </c>
      <c r="C130" s="3"/>
      <c r="D130" s="202">
        <v>0.0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40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91" t="s">
        <v>3</v>
      </c>
      <c r="B132" s="1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8" t="s">
        <v>120</v>
      </c>
      <c r="B133" s="14"/>
      <c r="C133" s="10" t="e">
        <v>#DIV/0!</v>
      </c>
      <c r="D133" s="168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225" t="s">
        <v>145</v>
      </c>
      <c r="B134" s="14"/>
      <c r="C134" s="10" t="e">
        <v>#DIV/0!</v>
      </c>
      <c r="D134" s="183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95" t="s">
        <v>125</v>
      </c>
      <c r="B135" s="14"/>
      <c r="C135" s="10" t="e">
        <v>#DIV/0!</v>
      </c>
      <c r="D135" s="3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3"/>
      <c r="B136" s="14"/>
      <c r="C136" s="10" t="e">
        <v>#DIV/0!</v>
      </c>
      <c r="D136" s="3"/>
      <c r="E136" s="3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50" t="s">
        <v>8</v>
      </c>
      <c r="B137" s="199">
        <v>0.0</v>
      </c>
      <c r="C137" s="237" t="e">
        <v>#DIV/0!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200" t="s">
        <v>9</v>
      </c>
      <c r="B138" s="19" t="e">
        <v>#DIV/0!</v>
      </c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7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20"/>
      <c r="B140" s="21"/>
      <c r="C140" s="22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1"/>
    </row>
    <row r="141">
      <c r="A141" s="1"/>
      <c r="B141" s="7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91" t="s">
        <v>135</v>
      </c>
      <c r="B142" s="7"/>
      <c r="C142" s="3"/>
      <c r="D142" s="192">
        <v>8309540.0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93" t="s">
        <v>2</v>
      </c>
      <c r="B143" s="5">
        <v>0.005</v>
      </c>
      <c r="C143" s="3"/>
      <c r="D143" s="202">
        <v>41547.7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40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91" t="s">
        <v>3</v>
      </c>
      <c r="B145" s="1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8" t="s">
        <v>161</v>
      </c>
      <c r="B146" s="194">
        <v>9.0</v>
      </c>
      <c r="C146" s="10">
        <v>1978.0</v>
      </c>
      <c r="D146" s="168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95" t="s">
        <v>122</v>
      </c>
      <c r="B147" s="194">
        <v>68.0</v>
      </c>
      <c r="C147" s="10">
        <v>14948.0</v>
      </c>
      <c r="D147" s="168"/>
      <c r="E147" s="1"/>
      <c r="F147" s="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95" t="s">
        <v>124</v>
      </c>
      <c r="B148" s="14"/>
      <c r="C148" s="10">
        <v>0.0</v>
      </c>
      <c r="D148" s="18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223" t="s">
        <v>153</v>
      </c>
      <c r="B149" s="194">
        <v>79.0</v>
      </c>
      <c r="C149" s="10">
        <v>17366.0</v>
      </c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96" t="s">
        <v>160</v>
      </c>
      <c r="B150" s="194">
        <v>17.0</v>
      </c>
      <c r="C150" s="10">
        <v>3737.0</v>
      </c>
      <c r="D150" s="3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96" t="s">
        <v>162</v>
      </c>
      <c r="B151" s="194">
        <v>16.0</v>
      </c>
      <c r="C151" s="10">
        <v>3517.0</v>
      </c>
      <c r="D151" s="3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63"/>
      <c r="B152" s="14"/>
      <c r="C152" s="10">
        <v>0.0</v>
      </c>
      <c r="D152" s="3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50" t="s">
        <v>8</v>
      </c>
      <c r="B153" s="199">
        <v>189.0</v>
      </c>
      <c r="C153" s="17">
        <v>41548.0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200" t="s">
        <v>9</v>
      </c>
      <c r="B154" s="19">
        <v>219.83</v>
      </c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7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20"/>
      <c r="B156" s="21"/>
      <c r="C156" s="22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1"/>
    </row>
    <row r="157">
      <c r="A157" s="1"/>
      <c r="B157" s="7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39" t="s">
        <v>41</v>
      </c>
      <c r="C158" s="17" t="s">
        <v>42</v>
      </c>
      <c r="D158" s="3"/>
      <c r="E158" s="1"/>
      <c r="F158" s="13"/>
      <c r="G158" s="208" t="s">
        <v>44</v>
      </c>
      <c r="H158" s="208" t="s">
        <v>42</v>
      </c>
      <c r="I158" s="208" t="s">
        <v>45</v>
      </c>
      <c r="J158" s="208" t="s">
        <v>46</v>
      </c>
      <c r="K158" s="209" t="s">
        <v>47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217" t="s">
        <v>48</v>
      </c>
      <c r="B159" s="7"/>
      <c r="C159" s="17">
        <v>371124.0</v>
      </c>
      <c r="D159" s="17">
        <v>371100.0</v>
      </c>
      <c r="E159" s="3"/>
      <c r="F159" s="213" t="s">
        <v>32</v>
      </c>
      <c r="G159" s="54">
        <v>4.6311462E7</v>
      </c>
      <c r="H159" s="55">
        <v>231557.0</v>
      </c>
      <c r="I159" s="55">
        <v>54836.0</v>
      </c>
      <c r="J159" s="55">
        <v>176722.0</v>
      </c>
      <c r="K159" s="56">
        <v>176700.0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217" t="s">
        <v>49</v>
      </c>
      <c r="B160" s="7"/>
      <c r="C160" s="17">
        <v>388522.0</v>
      </c>
      <c r="D160" s="17">
        <v>388500.0</v>
      </c>
      <c r="E160" s="1"/>
      <c r="F160" s="37" t="s">
        <v>50</v>
      </c>
      <c r="G160" s="54">
        <v>1.4240375E7</v>
      </c>
      <c r="H160" s="55">
        <v>71202.0</v>
      </c>
      <c r="I160" s="55">
        <v>14732.0</v>
      </c>
      <c r="J160" s="55">
        <v>56470.0</v>
      </c>
      <c r="K160" s="56">
        <v>56500.0</v>
      </c>
      <c r="L160" s="44">
        <v>32017.0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214" t="s">
        <v>51</v>
      </c>
      <c r="B161" s="58">
        <v>3.334997E7</v>
      </c>
      <c r="C161" s="59">
        <v>166750.0</v>
      </c>
      <c r="D161" s="3"/>
      <c r="E161" s="1"/>
      <c r="F161" s="213" t="s">
        <v>13</v>
      </c>
      <c r="G161" s="54">
        <v>3.334997E7</v>
      </c>
      <c r="H161" s="55">
        <v>166750.0</v>
      </c>
      <c r="I161" s="55">
        <v>56306.0</v>
      </c>
      <c r="J161" s="55">
        <v>110444.0</v>
      </c>
      <c r="K161" s="56">
        <v>110400.0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214" t="s">
        <v>52</v>
      </c>
      <c r="B162" s="58">
        <v>1.6696719E7</v>
      </c>
      <c r="C162" s="59">
        <v>83484.0</v>
      </c>
      <c r="D162" s="1"/>
      <c r="E162" s="1"/>
      <c r="F162" s="213" t="s">
        <v>5</v>
      </c>
      <c r="G162" s="54">
        <v>1.6696719E7</v>
      </c>
      <c r="H162" s="55">
        <v>83484.0</v>
      </c>
      <c r="I162" s="55">
        <v>27534.0</v>
      </c>
      <c r="J162" s="55">
        <v>55950.0</v>
      </c>
      <c r="K162" s="56">
        <v>56000.0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215" t="s">
        <v>54</v>
      </c>
      <c r="B163" s="62">
        <v>1.4240375E7</v>
      </c>
      <c r="C163" s="63">
        <v>71202.0</v>
      </c>
      <c r="D163" s="3"/>
      <c r="E163" s="1"/>
      <c r="F163" s="213" t="s">
        <v>25</v>
      </c>
      <c r="G163" s="54">
        <v>1.998204E7</v>
      </c>
      <c r="H163" s="55">
        <v>99910.0</v>
      </c>
      <c r="I163" s="55">
        <v>34251.0</v>
      </c>
      <c r="J163" s="55">
        <v>65659.0</v>
      </c>
      <c r="K163" s="56">
        <v>65700.0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216" t="s">
        <v>55</v>
      </c>
      <c r="B164" s="65">
        <v>1.998204E7</v>
      </c>
      <c r="C164" s="66">
        <v>99910.0</v>
      </c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217" t="s">
        <v>56</v>
      </c>
      <c r="B165" s="69">
        <v>4.6311462E7</v>
      </c>
      <c r="C165" s="17">
        <v>231557.0</v>
      </c>
      <c r="D165" s="1"/>
      <c r="E165" s="1"/>
      <c r="F165" s="13"/>
      <c r="G165" s="67"/>
      <c r="H165" s="37"/>
      <c r="I165" s="37"/>
      <c r="J165" s="37"/>
      <c r="K165" s="68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217" t="s">
        <v>58</v>
      </c>
      <c r="B166" s="69">
        <v>4196030.0</v>
      </c>
      <c r="C166" s="17">
        <v>20980.0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217" t="s">
        <v>59</v>
      </c>
      <c r="B167" s="69">
        <v>1967146.0</v>
      </c>
      <c r="C167" s="17">
        <v>9836.0</v>
      </c>
      <c r="D167" s="1"/>
      <c r="E167" s="1"/>
      <c r="F167" s="218" t="s">
        <v>106</v>
      </c>
      <c r="G167" s="7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217" t="s">
        <v>127</v>
      </c>
      <c r="B168" s="19">
        <v>8053770.0</v>
      </c>
      <c r="C168" s="17">
        <v>40269.0</v>
      </c>
      <c r="D168" s="1"/>
      <c r="E168" s="1"/>
      <c r="F168" s="213" t="s">
        <v>48</v>
      </c>
      <c r="G168" s="238">
        <v>371100.0</v>
      </c>
      <c r="H168" s="17">
        <v>371100.0</v>
      </c>
      <c r="I168" s="1"/>
      <c r="J168" s="1"/>
      <c r="K168" s="1"/>
      <c r="L168" s="1"/>
      <c r="M168" s="1"/>
      <c r="N168" s="3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217" t="s">
        <v>136</v>
      </c>
      <c r="B169" s="7"/>
      <c r="C169" s="17">
        <v>0.0</v>
      </c>
      <c r="D169" s="1"/>
      <c r="E169" s="1"/>
      <c r="F169" s="213" t="s">
        <v>49</v>
      </c>
      <c r="G169" s="238">
        <v>388500.0</v>
      </c>
      <c r="H169" s="17">
        <v>388500.0</v>
      </c>
      <c r="I169" s="241" t="s">
        <v>163</v>
      </c>
      <c r="J169" s="74"/>
      <c r="K169" s="75"/>
      <c r="L169" s="76"/>
      <c r="M169" s="1"/>
      <c r="N169" s="1"/>
      <c r="O169" s="3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217" t="s">
        <v>137</v>
      </c>
      <c r="B170" s="19">
        <v>7131740.0</v>
      </c>
      <c r="C170" s="17">
        <v>35659.0</v>
      </c>
      <c r="D170" s="1"/>
      <c r="E170" s="1"/>
      <c r="F170" s="213" t="s">
        <v>13</v>
      </c>
      <c r="G170" s="238">
        <v>110400.0</v>
      </c>
      <c r="H170" s="17">
        <v>110400.0</v>
      </c>
      <c r="I170" s="78"/>
      <c r="K170" s="79"/>
      <c r="L170" s="76"/>
      <c r="M170" s="1"/>
      <c r="N170" s="3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7"/>
      <c r="C171" s="17">
        <v>0.0</v>
      </c>
      <c r="D171" s="1"/>
      <c r="E171" s="1"/>
      <c r="F171" s="213" t="s">
        <v>5</v>
      </c>
      <c r="G171" s="238">
        <v>56000.0</v>
      </c>
      <c r="H171" s="199">
        <v>56000.0</v>
      </c>
      <c r="I171" s="78"/>
      <c r="K171" s="79"/>
      <c r="L171" s="76"/>
      <c r="M171" s="1"/>
      <c r="N171" s="3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7"/>
      <c r="C172" s="17">
        <v>0.0</v>
      </c>
      <c r="D172" s="170"/>
      <c r="E172" s="1"/>
      <c r="F172" s="213" t="s">
        <v>25</v>
      </c>
      <c r="G172" s="10">
        <v>65700.0</v>
      </c>
      <c r="H172" s="17">
        <v>66000.0</v>
      </c>
      <c r="I172" s="81"/>
      <c r="J172" s="82"/>
      <c r="K172" s="83"/>
      <c r="L172" s="76"/>
      <c r="M172" s="1"/>
      <c r="N172" s="3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7"/>
      <c r="C173" s="10">
        <v>1519293.0</v>
      </c>
      <c r="D173" s="77">
        <v>759600.0</v>
      </c>
      <c r="E173" s="1"/>
      <c r="F173" s="13"/>
      <c r="G173" s="219">
        <v>0.0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7"/>
      <c r="C174" s="3"/>
      <c r="D174" s="1"/>
      <c r="E174" s="1"/>
      <c r="F174" s="213" t="s">
        <v>32</v>
      </c>
      <c r="G174" s="10">
        <v>176700.0</v>
      </c>
      <c r="H174" s="17">
        <v>177000.0</v>
      </c>
      <c r="I174" s="3"/>
      <c r="J174" s="3"/>
      <c r="K174" s="3"/>
      <c r="L174" s="1"/>
      <c r="M174" s="1"/>
      <c r="N174" s="1"/>
      <c r="O174" s="3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220" t="s">
        <v>60</v>
      </c>
      <c r="B175" s="7"/>
      <c r="C175" s="17" t="s">
        <v>42</v>
      </c>
      <c r="D175" s="1"/>
      <c r="E175" s="1"/>
      <c r="F175" s="213" t="s">
        <v>50</v>
      </c>
      <c r="G175" s="238">
        <v>32000.0</v>
      </c>
      <c r="H175" s="17">
        <v>32000.0</v>
      </c>
      <c r="I175" s="3"/>
      <c r="J175" s="3"/>
      <c r="K175" s="3"/>
      <c r="L175" s="3"/>
      <c r="M175" s="1"/>
      <c r="N175" s="3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217" t="s">
        <v>61</v>
      </c>
      <c r="B176" s="6">
        <v>1.6696719E7</v>
      </c>
      <c r="C176" s="17">
        <v>83484.0</v>
      </c>
      <c r="D176" s="1"/>
      <c r="E176" s="1"/>
      <c r="F176" s="1"/>
      <c r="G176" s="85">
        <v>1200400.0</v>
      </c>
      <c r="H176" s="44">
        <v>1201000.0</v>
      </c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217" t="s">
        <v>62</v>
      </c>
      <c r="B177" s="6">
        <v>3.334997E7</v>
      </c>
      <c r="C177" s="17">
        <v>166750.0</v>
      </c>
      <c r="D177" s="1"/>
      <c r="E177" s="1"/>
      <c r="F177" s="1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217" t="s">
        <v>64</v>
      </c>
      <c r="B178" s="6">
        <v>1.998204E7</v>
      </c>
      <c r="C178" s="17">
        <v>99910.0</v>
      </c>
      <c r="D178" s="1"/>
      <c r="E178" s="1"/>
      <c r="F178" s="1"/>
      <c r="G178" s="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217" t="s">
        <v>58</v>
      </c>
      <c r="B179" s="6">
        <v>4196030.0</v>
      </c>
      <c r="C179" s="17">
        <v>20980.0</v>
      </c>
      <c r="D179" s="1"/>
      <c r="E179" s="1"/>
      <c r="F179" s="1"/>
      <c r="G179" s="3"/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7"/>
      <c r="C180" s="17">
        <v>0.0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7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9">
        <v>7.4224759E7</v>
      </c>
      <c r="C182" s="86">
        <v>371124.0</v>
      </c>
      <c r="D182" s="221" t="s">
        <v>66</v>
      </c>
      <c r="E182" s="1"/>
      <c r="F182" s="1"/>
      <c r="G182" s="1"/>
      <c r="H182" s="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88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89"/>
      <c r="B184" s="90"/>
      <c r="C184" s="91"/>
      <c r="D184" s="89"/>
      <c r="E184" s="1"/>
      <c r="F184" s="1"/>
      <c r="G184" s="3"/>
      <c r="H184" s="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220" t="s">
        <v>67</v>
      </c>
      <c r="B185" s="88"/>
      <c r="C185" s="17" t="s">
        <v>42</v>
      </c>
      <c r="D185" s="1"/>
      <c r="E185" s="1"/>
      <c r="F185" s="1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217" t="s">
        <v>68</v>
      </c>
      <c r="B186" s="6">
        <v>1.4240375E7</v>
      </c>
      <c r="C186" s="17">
        <v>71202.0</v>
      </c>
      <c r="D186" s="1"/>
      <c r="E186" s="1"/>
      <c r="F186" s="1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217" t="s">
        <v>69</v>
      </c>
      <c r="B187" s="6">
        <v>4.6311462E7</v>
      </c>
      <c r="C187" s="17">
        <v>231557.0</v>
      </c>
      <c r="D187" s="1"/>
      <c r="E187" s="1"/>
      <c r="F187" s="1"/>
      <c r="G187" s="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217" t="s">
        <v>59</v>
      </c>
      <c r="B188" s="6">
        <v>1967146.0</v>
      </c>
      <c r="C188" s="17">
        <v>9836.0</v>
      </c>
      <c r="D188" s="1"/>
      <c r="E188" s="20"/>
      <c r="F188" s="20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217" t="s">
        <v>127</v>
      </c>
      <c r="B189" s="6">
        <v>8053770.0</v>
      </c>
      <c r="C189" s="17">
        <v>40269.0</v>
      </c>
      <c r="D189" s="1"/>
      <c r="E189" s="1"/>
      <c r="F189" s="1"/>
      <c r="G189" s="3"/>
      <c r="H189" s="1"/>
      <c r="I189" s="1"/>
      <c r="J189" s="3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217" t="s">
        <v>137</v>
      </c>
      <c r="B190" s="6">
        <v>7131740.0</v>
      </c>
      <c r="C190" s="17">
        <v>35659.0</v>
      </c>
      <c r="D190" s="1"/>
      <c r="E190" s="1"/>
      <c r="F190" s="1"/>
      <c r="G190" s="3"/>
      <c r="H190" s="1"/>
      <c r="I190" s="1"/>
      <c r="J190" s="3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217" t="s">
        <v>136</v>
      </c>
      <c r="B191" s="7"/>
      <c r="C191" s="17">
        <v>0.0</v>
      </c>
      <c r="D191" s="1"/>
      <c r="E191" s="1"/>
      <c r="F191" s="1"/>
      <c r="G191" s="3"/>
      <c r="H191" s="1"/>
      <c r="I191" s="1"/>
      <c r="J191" s="3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7"/>
      <c r="C192" s="3"/>
      <c r="D192" s="1"/>
      <c r="E192" s="1"/>
      <c r="F192" s="1"/>
      <c r="G192" s="3"/>
      <c r="H192" s="1"/>
      <c r="I192" s="1"/>
      <c r="J192" s="3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9">
        <v>7.7704493E7</v>
      </c>
      <c r="C193" s="86">
        <v>388522.0</v>
      </c>
      <c r="D193" s="221" t="s">
        <v>66</v>
      </c>
      <c r="E193" s="1"/>
      <c r="F193" s="1"/>
      <c r="G193" s="92"/>
      <c r="H193" s="1"/>
      <c r="I193" s="1"/>
      <c r="J193" s="3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7"/>
      <c r="C194" s="3"/>
      <c r="D194" s="1"/>
      <c r="E194" s="1"/>
      <c r="F194" s="1"/>
      <c r="G194" s="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7"/>
      <c r="C195" s="22"/>
      <c r="D195" s="20"/>
      <c r="E195" s="1"/>
      <c r="F195" s="1"/>
      <c r="G195" s="3"/>
      <c r="H195" s="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7"/>
      <c r="C196" s="3"/>
      <c r="D196" s="1"/>
      <c r="E196" s="1"/>
      <c r="F196" s="1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7"/>
      <c r="C197" s="3"/>
      <c r="D197" s="1"/>
      <c r="E197" s="1"/>
      <c r="F197" s="1"/>
      <c r="G197" s="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7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7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7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7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7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7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7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7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2">
    <mergeCell ref="F167:G167"/>
    <mergeCell ref="I169:K172"/>
  </mergeCells>
  <drawing r:id="rId1"/>
</worksheet>
</file>