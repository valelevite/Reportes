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Cupones Tarjetas\"/>
    </mc:Choice>
  </mc:AlternateContent>
  <bookViews>
    <workbookView xWindow="0" yWindow="0" windowWidth="13130" windowHeight="6110"/>
  </bookViews>
  <sheets>
    <sheet name="Hoja1" sheetId="2" r:id="rId1"/>
    <sheet name="Sheet 1" sheetId="1" r:id="rId2"/>
  </sheets>
  <calcPr calcId="162913"/>
  <pivotCaches>
    <pivotCache cacheId="8" r:id="rId3"/>
  </pivotCaches>
</workbook>
</file>

<file path=xl/calcChain.xml><?xml version="1.0" encoding="utf-8"?>
<calcChain xmlns="http://schemas.openxmlformats.org/spreadsheetml/2006/main">
  <c r="F45" i="1" l="1"/>
  <c r="E45" i="1"/>
  <c r="F44" i="1"/>
  <c r="E44" i="1"/>
</calcChain>
</file>

<file path=xl/sharedStrings.xml><?xml version="1.0" encoding="utf-8"?>
<sst xmlns="http://schemas.openxmlformats.org/spreadsheetml/2006/main" count="121" uniqueCount="23">
  <si>
    <t>AÑO</t>
  </si>
  <si>
    <t>MES</t>
  </si>
  <si>
    <t>TIENDA</t>
  </si>
  <si>
    <t>CREDITO_DEBITO</t>
  </si>
  <si>
    <t>Total_tarjeta</t>
  </si>
  <si>
    <t>Cantidad</t>
  </si>
  <si>
    <t>TOTAL</t>
  </si>
  <si>
    <t>AS Güemes</t>
  </si>
  <si>
    <t>CRÉDITO</t>
  </si>
  <si>
    <t>DÉBITO</t>
  </si>
  <si>
    <t>AS San Telmo</t>
  </si>
  <si>
    <t>El Solar</t>
  </si>
  <si>
    <t>Florida</t>
  </si>
  <si>
    <t>French</t>
  </si>
  <si>
    <t>Güemes</t>
  </si>
  <si>
    <t>Güemes 2</t>
  </si>
  <si>
    <t>Recoleta</t>
  </si>
  <si>
    <t>San Telmo</t>
  </si>
  <si>
    <t>San Telmo 2</t>
  </si>
  <si>
    <t>Etiquetas de fila</t>
  </si>
  <si>
    <t>Total general</t>
  </si>
  <si>
    <t>Etiquetas de columna</t>
  </si>
  <si>
    <t>Suma de Total_tarjeta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</si>
</sst>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0.0%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  <xf numFmtId="165" fontId="0" fillId="0" borderId="1" xfId="1" applyNumberFormat="1" applyFont="1" applyBorder="1"/>
    <xf numFmtId="166" fontId="0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3">
    <dxf>
      <numFmt numFmtId="165" formatCode="_-&quot;$&quot;\ * #,##0_-;\-&quot;$&quot;\ * #,##0_-;_-&quot;$&quot;\ * &quot;-&quot;??_-;_-@_-"/>
    </dxf>
    <dxf>
      <numFmt numFmtId="164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leria Levite" refreshedDate="46091.612121180558" createdVersion="6" refreshedVersion="6" minRefreshableVersion="3" recordCount="44">
  <cacheSource type="worksheet">
    <worksheetSource ref="A1:F45" sheet="Sheet 1"/>
  </cacheSource>
  <cacheFields count="6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2" count="2">
        <n v="1"/>
        <n v="2"/>
      </sharedItems>
    </cacheField>
    <cacheField name="CREDITO_DEBITO" numFmtId="0">
      <sharedItems count="2">
        <s v="CRÉDITO"/>
        <s v="DÉBITO"/>
      </sharedItems>
    </cacheField>
    <cacheField name="TIENDA" numFmtId="0">
      <sharedItems count="11">
        <s v="AS Güemes"/>
        <s v="AS San Telmo"/>
        <s v="El Solar"/>
        <s v="Florida"/>
        <s v="French"/>
        <s v="Güemes"/>
        <s v="Güemes 2"/>
        <s v="Recoleta"/>
        <s v="San Telmo"/>
        <s v="San Telmo 2"/>
        <s v="TOTAL"/>
      </sharedItems>
    </cacheField>
    <cacheField name="Total_tarjeta" numFmtId="0">
      <sharedItems containsSemiMixedTypes="0" containsString="0" containsNumber="1" containsInteger="1" minValue="29940" maxValue="117278421"/>
    </cacheField>
    <cacheField name="Cantidad" numFmtId="0">
      <sharedItems containsSemiMixedTypes="0" containsString="0" containsNumber="1" containsInteger="1" minValue="6" maxValue="1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x v="0"/>
    <x v="0"/>
    <n v="199560"/>
    <n v="15"/>
  </r>
  <r>
    <x v="0"/>
    <x v="0"/>
    <x v="1"/>
    <x v="0"/>
    <n v="114770"/>
    <n v="14"/>
  </r>
  <r>
    <x v="0"/>
    <x v="0"/>
    <x v="0"/>
    <x v="1"/>
    <n v="3961750"/>
    <n v="223"/>
  </r>
  <r>
    <x v="0"/>
    <x v="0"/>
    <x v="1"/>
    <x v="1"/>
    <n v="2668790"/>
    <n v="238"/>
  </r>
  <r>
    <x v="0"/>
    <x v="0"/>
    <x v="0"/>
    <x v="2"/>
    <n v="3913900"/>
    <n v="28"/>
  </r>
  <r>
    <x v="0"/>
    <x v="0"/>
    <x v="1"/>
    <x v="2"/>
    <n v="749100"/>
    <n v="10"/>
  </r>
  <r>
    <x v="0"/>
    <x v="0"/>
    <x v="0"/>
    <x v="3"/>
    <n v="32612780"/>
    <n v="261"/>
  </r>
  <r>
    <x v="0"/>
    <x v="0"/>
    <x v="1"/>
    <x v="3"/>
    <n v="6498160"/>
    <n v="71"/>
  </r>
  <r>
    <x v="0"/>
    <x v="0"/>
    <x v="0"/>
    <x v="4"/>
    <n v="15973760"/>
    <n v="141"/>
  </r>
  <r>
    <x v="0"/>
    <x v="0"/>
    <x v="1"/>
    <x v="4"/>
    <n v="2904760"/>
    <n v="39"/>
  </r>
  <r>
    <x v="0"/>
    <x v="0"/>
    <x v="0"/>
    <x v="5"/>
    <n v="2139640"/>
    <n v="20"/>
  </r>
  <r>
    <x v="0"/>
    <x v="0"/>
    <x v="1"/>
    <x v="5"/>
    <n v="936800"/>
    <n v="14"/>
  </r>
  <r>
    <x v="0"/>
    <x v="0"/>
    <x v="0"/>
    <x v="6"/>
    <n v="4227099"/>
    <n v="23"/>
  </r>
  <r>
    <x v="0"/>
    <x v="0"/>
    <x v="1"/>
    <x v="6"/>
    <n v="379500"/>
    <n v="7"/>
  </r>
  <r>
    <x v="0"/>
    <x v="0"/>
    <x v="0"/>
    <x v="7"/>
    <n v="17093400"/>
    <n v="157"/>
  </r>
  <r>
    <x v="0"/>
    <x v="0"/>
    <x v="1"/>
    <x v="7"/>
    <n v="4573340"/>
    <n v="48"/>
  </r>
  <r>
    <x v="0"/>
    <x v="0"/>
    <x v="0"/>
    <x v="8"/>
    <n v="26973224"/>
    <n v="216"/>
  </r>
  <r>
    <x v="0"/>
    <x v="0"/>
    <x v="1"/>
    <x v="8"/>
    <n v="7300989"/>
    <n v="68"/>
  </r>
  <r>
    <x v="0"/>
    <x v="0"/>
    <x v="0"/>
    <x v="9"/>
    <n v="10183308"/>
    <n v="87"/>
  </r>
  <r>
    <x v="0"/>
    <x v="0"/>
    <x v="1"/>
    <x v="9"/>
    <n v="4503050"/>
    <n v="36"/>
  </r>
  <r>
    <x v="0"/>
    <x v="0"/>
    <x v="0"/>
    <x v="10"/>
    <n v="117278421"/>
    <n v="1171"/>
  </r>
  <r>
    <x v="0"/>
    <x v="0"/>
    <x v="1"/>
    <x v="10"/>
    <n v="30629259"/>
    <n v="545"/>
  </r>
  <r>
    <x v="0"/>
    <x v="1"/>
    <x v="0"/>
    <x v="0"/>
    <n v="59880"/>
    <n v="9"/>
  </r>
  <r>
    <x v="0"/>
    <x v="1"/>
    <x v="1"/>
    <x v="0"/>
    <n v="29940"/>
    <n v="6"/>
  </r>
  <r>
    <x v="0"/>
    <x v="1"/>
    <x v="0"/>
    <x v="1"/>
    <n v="2543920"/>
    <n v="152"/>
  </r>
  <r>
    <x v="0"/>
    <x v="1"/>
    <x v="1"/>
    <x v="1"/>
    <n v="2197070"/>
    <n v="198"/>
  </r>
  <r>
    <x v="0"/>
    <x v="1"/>
    <x v="0"/>
    <x v="2"/>
    <n v="5018530"/>
    <n v="35"/>
  </r>
  <r>
    <x v="0"/>
    <x v="1"/>
    <x v="1"/>
    <x v="2"/>
    <n v="644900"/>
    <n v="12"/>
  </r>
  <r>
    <x v="0"/>
    <x v="1"/>
    <x v="0"/>
    <x v="3"/>
    <n v="34034293"/>
    <n v="262"/>
  </r>
  <r>
    <x v="0"/>
    <x v="1"/>
    <x v="1"/>
    <x v="3"/>
    <n v="7096820"/>
    <n v="68"/>
  </r>
  <r>
    <x v="0"/>
    <x v="1"/>
    <x v="0"/>
    <x v="4"/>
    <n v="10373550"/>
    <n v="104"/>
  </r>
  <r>
    <x v="0"/>
    <x v="1"/>
    <x v="1"/>
    <x v="4"/>
    <n v="3233550"/>
    <n v="35"/>
  </r>
  <r>
    <x v="0"/>
    <x v="1"/>
    <x v="0"/>
    <x v="5"/>
    <n v="1982653"/>
    <n v="24"/>
  </r>
  <r>
    <x v="0"/>
    <x v="1"/>
    <x v="1"/>
    <x v="5"/>
    <n v="505880"/>
    <n v="12"/>
  </r>
  <r>
    <x v="0"/>
    <x v="1"/>
    <x v="0"/>
    <x v="6"/>
    <n v="7326700"/>
    <n v="45"/>
  </r>
  <r>
    <x v="0"/>
    <x v="1"/>
    <x v="1"/>
    <x v="6"/>
    <n v="666600"/>
    <n v="9"/>
  </r>
  <r>
    <x v="0"/>
    <x v="1"/>
    <x v="0"/>
    <x v="7"/>
    <n v="14562570"/>
    <n v="133"/>
  </r>
  <r>
    <x v="0"/>
    <x v="1"/>
    <x v="1"/>
    <x v="7"/>
    <n v="3313340"/>
    <n v="47"/>
  </r>
  <r>
    <x v="0"/>
    <x v="1"/>
    <x v="0"/>
    <x v="8"/>
    <n v="20222799"/>
    <n v="195"/>
  </r>
  <r>
    <x v="0"/>
    <x v="1"/>
    <x v="1"/>
    <x v="8"/>
    <n v="7035920"/>
    <n v="65"/>
  </r>
  <r>
    <x v="0"/>
    <x v="1"/>
    <x v="0"/>
    <x v="9"/>
    <n v="8599004"/>
    <n v="77"/>
  </r>
  <r>
    <x v="0"/>
    <x v="1"/>
    <x v="1"/>
    <x v="9"/>
    <n v="2682650"/>
    <n v="25"/>
  </r>
  <r>
    <x v="0"/>
    <x v="1"/>
    <x v="0"/>
    <x v="10"/>
    <n v="104723899"/>
    <n v="1036"/>
  </r>
  <r>
    <x v="0"/>
    <x v="1"/>
    <x v="1"/>
    <x v="10"/>
    <n v="27406670"/>
    <n v="4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8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>
  <location ref="A3:L11" firstHeaderRow="1" firstDataRow="2" firstDataCol="1"/>
  <pivotFields count="6">
    <pivotField axis="axisRow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dataField="1" showAll="0"/>
    <pivotField showAll="0"/>
  </pivotFields>
  <rowFields count="3">
    <field x="0"/>
    <field x="1"/>
    <field x="2"/>
  </rowFields>
  <rowItems count="7">
    <i>
      <x/>
    </i>
    <i r="1">
      <x/>
    </i>
    <i r="2">
      <x/>
    </i>
    <i r="2">
      <x v="1"/>
    </i>
    <i r="1">
      <x v="1"/>
    </i>
    <i r="2">
      <x/>
    </i>
    <i r="2">
      <x v="1"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Total_tarjeta" fld="4" baseField="0" baseItem="0" numFmtId="165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1"/>
  <sheetViews>
    <sheetView tabSelected="1" topLeftCell="C2" zoomScale="120" zoomScaleNormal="120" workbookViewId="0">
      <selection activeCell="I8" sqref="I8"/>
    </sheetView>
  </sheetViews>
  <sheetFormatPr baseColWidth="10" defaultRowHeight="14.5" x14ac:dyDescent="0.35"/>
  <cols>
    <col min="1" max="1" width="19.54296875" customWidth="1"/>
    <col min="2" max="2" width="21.36328125" bestFit="1" customWidth="1"/>
    <col min="3" max="3" width="15.1796875" bestFit="1" customWidth="1"/>
    <col min="4" max="6" width="12.6328125" bestFit="1" customWidth="1"/>
    <col min="7" max="7" width="11.6328125" bestFit="1" customWidth="1"/>
    <col min="8" max="10" width="12.6328125" bestFit="1" customWidth="1"/>
    <col min="11" max="11" width="15.1796875" bestFit="1" customWidth="1"/>
    <col min="12" max="13" width="13.6328125" bestFit="1" customWidth="1"/>
  </cols>
  <sheetData>
    <row r="3" spans="1:14" x14ac:dyDescent="0.35">
      <c r="A3" s="1" t="s">
        <v>22</v>
      </c>
      <c r="B3" s="1" t="s">
        <v>21</v>
      </c>
    </row>
    <row r="4" spans="1:14" x14ac:dyDescent="0.35">
      <c r="A4" s="1" t="s">
        <v>19</v>
      </c>
      <c r="B4" t="s">
        <v>7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20</v>
      </c>
    </row>
    <row r="5" spans="1:14" x14ac:dyDescent="0.35">
      <c r="A5" s="2">
        <v>2026</v>
      </c>
      <c r="B5" s="5">
        <v>404150</v>
      </c>
      <c r="C5" s="5">
        <v>11371530</v>
      </c>
      <c r="D5" s="5">
        <v>10326430</v>
      </c>
      <c r="E5" s="5">
        <v>80242053</v>
      </c>
      <c r="F5" s="5">
        <v>32485620</v>
      </c>
      <c r="G5" s="5">
        <v>5564973</v>
      </c>
      <c r="H5" s="5">
        <v>12599899</v>
      </c>
      <c r="I5" s="5">
        <v>39542650</v>
      </c>
      <c r="J5" s="5">
        <v>61532932</v>
      </c>
      <c r="K5" s="5">
        <v>25968012</v>
      </c>
      <c r="L5" s="5">
        <v>280038249</v>
      </c>
    </row>
    <row r="6" spans="1:14" x14ac:dyDescent="0.35">
      <c r="A6" s="3">
        <v>1</v>
      </c>
      <c r="B6" s="5">
        <v>314330</v>
      </c>
      <c r="C6" s="5">
        <v>6630540</v>
      </c>
      <c r="D6" s="5">
        <v>4663000</v>
      </c>
      <c r="E6" s="5">
        <v>39110940</v>
      </c>
      <c r="F6" s="5">
        <v>18878520</v>
      </c>
      <c r="G6" s="5">
        <v>3076440</v>
      </c>
      <c r="H6" s="5">
        <v>4606599</v>
      </c>
      <c r="I6" s="5">
        <v>21666740</v>
      </c>
      <c r="J6" s="5">
        <v>34274213</v>
      </c>
      <c r="K6" s="5">
        <v>14686358</v>
      </c>
      <c r="L6" s="5">
        <v>147907680</v>
      </c>
      <c r="M6" s="6"/>
      <c r="N6" s="7"/>
    </row>
    <row r="7" spans="1:14" x14ac:dyDescent="0.35">
      <c r="A7" s="4" t="s">
        <v>8</v>
      </c>
      <c r="B7" s="5">
        <v>199560</v>
      </c>
      <c r="C7" s="5">
        <v>3961750</v>
      </c>
      <c r="D7" s="5">
        <v>3913900</v>
      </c>
      <c r="E7" s="5">
        <v>32612780</v>
      </c>
      <c r="F7" s="5">
        <v>15973760</v>
      </c>
      <c r="G7" s="5">
        <v>2139640</v>
      </c>
      <c r="H7" s="5">
        <v>4227099</v>
      </c>
      <c r="I7" s="5">
        <v>17093400</v>
      </c>
      <c r="J7" s="5">
        <v>26973224</v>
      </c>
      <c r="K7" s="5">
        <v>10183308</v>
      </c>
      <c r="L7" s="5">
        <v>117278421</v>
      </c>
      <c r="M7" s="6"/>
      <c r="N7" s="7"/>
    </row>
    <row r="8" spans="1:14" x14ac:dyDescent="0.35">
      <c r="A8" s="4" t="s">
        <v>9</v>
      </c>
      <c r="B8" s="5">
        <v>114770</v>
      </c>
      <c r="C8" s="5">
        <v>2668790</v>
      </c>
      <c r="D8" s="5">
        <v>749100</v>
      </c>
      <c r="E8" s="5">
        <v>6498160</v>
      </c>
      <c r="F8" s="5">
        <v>2904760</v>
      </c>
      <c r="G8" s="5">
        <v>936800</v>
      </c>
      <c r="H8" s="5">
        <v>379500</v>
      </c>
      <c r="I8" s="5">
        <v>4573340</v>
      </c>
      <c r="J8" s="5">
        <v>7300989</v>
      </c>
      <c r="K8" s="5">
        <v>4503050</v>
      </c>
      <c r="L8" s="5">
        <v>30629259</v>
      </c>
      <c r="M8" s="6"/>
      <c r="N8" s="7"/>
    </row>
    <row r="9" spans="1:14" x14ac:dyDescent="0.35">
      <c r="A9" s="3">
        <v>2</v>
      </c>
      <c r="B9" s="5">
        <v>89820</v>
      </c>
      <c r="C9" s="5">
        <v>4740990</v>
      </c>
      <c r="D9" s="5">
        <v>5663430</v>
      </c>
      <c r="E9" s="5">
        <v>41131113</v>
      </c>
      <c r="F9" s="5">
        <v>13607100</v>
      </c>
      <c r="G9" s="5">
        <v>2488533</v>
      </c>
      <c r="H9" s="5">
        <v>7993300</v>
      </c>
      <c r="I9" s="5">
        <v>17875910</v>
      </c>
      <c r="J9" s="5">
        <v>27258719</v>
      </c>
      <c r="K9" s="5">
        <v>11281654</v>
      </c>
      <c r="L9" s="5">
        <v>132130569</v>
      </c>
    </row>
    <row r="10" spans="1:14" x14ac:dyDescent="0.35">
      <c r="A10" s="4" t="s">
        <v>8</v>
      </c>
      <c r="B10" s="5">
        <v>59880</v>
      </c>
      <c r="C10" s="5">
        <v>2543920</v>
      </c>
      <c r="D10" s="5">
        <v>5018530</v>
      </c>
      <c r="E10" s="5">
        <v>34034293</v>
      </c>
      <c r="F10" s="5">
        <v>10373550</v>
      </c>
      <c r="G10" s="5">
        <v>1982653</v>
      </c>
      <c r="H10" s="5">
        <v>7326700</v>
      </c>
      <c r="I10" s="5">
        <v>14562570</v>
      </c>
      <c r="J10" s="5">
        <v>20222799</v>
      </c>
      <c r="K10" s="5">
        <v>8599004</v>
      </c>
      <c r="L10" s="5">
        <v>104723899</v>
      </c>
    </row>
    <row r="11" spans="1:14" x14ac:dyDescent="0.35">
      <c r="A11" s="4" t="s">
        <v>9</v>
      </c>
      <c r="B11" s="5">
        <v>29940</v>
      </c>
      <c r="C11" s="5">
        <v>2197070</v>
      </c>
      <c r="D11" s="5">
        <v>644900</v>
      </c>
      <c r="E11" s="5">
        <v>7096820</v>
      </c>
      <c r="F11" s="5">
        <v>3233550</v>
      </c>
      <c r="G11" s="5">
        <v>505880</v>
      </c>
      <c r="H11" s="5">
        <v>666600</v>
      </c>
      <c r="I11" s="5">
        <v>3313340</v>
      </c>
      <c r="J11" s="5">
        <v>7035920</v>
      </c>
      <c r="K11" s="5">
        <v>2682650</v>
      </c>
      <c r="L11" s="5">
        <v>27406670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zoomScale="110" zoomScaleNormal="110" workbookViewId="0"/>
  </sheetViews>
  <sheetFormatPr baseColWidth="10" defaultRowHeight="14.5" x14ac:dyDescent="0.35"/>
  <cols>
    <col min="5" max="5" width="10.90625" customWidth="1"/>
  </cols>
  <sheetData>
    <row r="1" spans="1:14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H1" t="s">
        <v>0</v>
      </c>
      <c r="I1" t="s">
        <v>1</v>
      </c>
      <c r="J1" t="s">
        <v>2</v>
      </c>
      <c r="K1" t="s">
        <v>7</v>
      </c>
      <c r="L1" t="s">
        <v>7</v>
      </c>
      <c r="M1" t="s">
        <v>10</v>
      </c>
      <c r="N1" t="s">
        <v>10</v>
      </c>
    </row>
    <row r="2" spans="1:14" x14ac:dyDescent="0.35">
      <c r="A2">
        <v>2026</v>
      </c>
      <c r="B2">
        <v>1</v>
      </c>
      <c r="C2" t="s">
        <v>8</v>
      </c>
      <c r="D2" t="s">
        <v>7</v>
      </c>
      <c r="E2">
        <v>199560</v>
      </c>
      <c r="F2">
        <v>15</v>
      </c>
      <c r="H2">
        <v>2026</v>
      </c>
      <c r="I2">
        <v>1</v>
      </c>
      <c r="J2" t="s">
        <v>4</v>
      </c>
      <c r="K2">
        <v>199560</v>
      </c>
      <c r="L2">
        <v>114770</v>
      </c>
      <c r="M2">
        <v>3961750</v>
      </c>
      <c r="N2">
        <v>2668790</v>
      </c>
    </row>
    <row r="3" spans="1:14" x14ac:dyDescent="0.35">
      <c r="A3">
        <v>2026</v>
      </c>
      <c r="B3">
        <v>1</v>
      </c>
      <c r="C3" t="s">
        <v>9</v>
      </c>
      <c r="D3" t="s">
        <v>7</v>
      </c>
      <c r="E3">
        <v>114770</v>
      </c>
      <c r="F3">
        <v>14</v>
      </c>
      <c r="H3">
        <v>2026</v>
      </c>
      <c r="I3">
        <v>1</v>
      </c>
      <c r="J3" t="s">
        <v>5</v>
      </c>
      <c r="K3">
        <v>15</v>
      </c>
      <c r="L3">
        <v>14</v>
      </c>
      <c r="M3">
        <v>223</v>
      </c>
      <c r="N3">
        <v>238</v>
      </c>
    </row>
    <row r="4" spans="1:14" x14ac:dyDescent="0.35">
      <c r="A4">
        <v>2026</v>
      </c>
      <c r="B4">
        <v>1</v>
      </c>
      <c r="C4" t="s">
        <v>8</v>
      </c>
      <c r="D4" t="s">
        <v>10</v>
      </c>
      <c r="E4">
        <v>3961750</v>
      </c>
      <c r="F4">
        <v>223</v>
      </c>
    </row>
    <row r="5" spans="1:14" x14ac:dyDescent="0.35">
      <c r="A5">
        <v>2026</v>
      </c>
      <c r="B5">
        <v>1</v>
      </c>
      <c r="C5" t="s">
        <v>9</v>
      </c>
      <c r="D5" t="s">
        <v>10</v>
      </c>
      <c r="E5">
        <v>2668790</v>
      </c>
      <c r="F5">
        <v>238</v>
      </c>
    </row>
    <row r="6" spans="1:14" x14ac:dyDescent="0.35">
      <c r="A6">
        <v>2026</v>
      </c>
      <c r="B6">
        <v>1</v>
      </c>
      <c r="C6" t="s">
        <v>8</v>
      </c>
      <c r="D6" t="s">
        <v>11</v>
      </c>
      <c r="E6">
        <v>3913900</v>
      </c>
      <c r="F6">
        <v>28</v>
      </c>
    </row>
    <row r="7" spans="1:14" x14ac:dyDescent="0.35">
      <c r="A7">
        <v>2026</v>
      </c>
      <c r="B7">
        <v>1</v>
      </c>
      <c r="C7" t="s">
        <v>9</v>
      </c>
      <c r="D7" t="s">
        <v>11</v>
      </c>
      <c r="E7">
        <v>749100</v>
      </c>
      <c r="F7">
        <v>10</v>
      </c>
    </row>
    <row r="8" spans="1:14" x14ac:dyDescent="0.35">
      <c r="A8">
        <v>2026</v>
      </c>
      <c r="B8">
        <v>1</v>
      </c>
      <c r="C8" t="s">
        <v>8</v>
      </c>
      <c r="D8" t="s">
        <v>12</v>
      </c>
      <c r="E8">
        <v>32612780</v>
      </c>
      <c r="F8">
        <v>261</v>
      </c>
    </row>
    <row r="9" spans="1:14" x14ac:dyDescent="0.35">
      <c r="A9">
        <v>2026</v>
      </c>
      <c r="B9">
        <v>1</v>
      </c>
      <c r="C9" t="s">
        <v>9</v>
      </c>
      <c r="D9" t="s">
        <v>12</v>
      </c>
      <c r="E9">
        <v>6498160</v>
      </c>
      <c r="F9">
        <v>71</v>
      </c>
    </row>
    <row r="10" spans="1:14" x14ac:dyDescent="0.35">
      <c r="A10">
        <v>2026</v>
      </c>
      <c r="B10">
        <v>1</v>
      </c>
      <c r="C10" t="s">
        <v>8</v>
      </c>
      <c r="D10" t="s">
        <v>13</v>
      </c>
      <c r="E10">
        <v>15973760</v>
      </c>
      <c r="F10">
        <v>141</v>
      </c>
    </row>
    <row r="11" spans="1:14" x14ac:dyDescent="0.35">
      <c r="A11">
        <v>2026</v>
      </c>
      <c r="B11">
        <v>1</v>
      </c>
      <c r="C11" t="s">
        <v>9</v>
      </c>
      <c r="D11" t="s">
        <v>13</v>
      </c>
      <c r="E11">
        <v>2904760</v>
      </c>
      <c r="F11">
        <v>39</v>
      </c>
    </row>
    <row r="12" spans="1:14" x14ac:dyDescent="0.35">
      <c r="A12">
        <v>2026</v>
      </c>
      <c r="B12">
        <v>1</v>
      </c>
      <c r="C12" t="s">
        <v>8</v>
      </c>
      <c r="D12" t="s">
        <v>14</v>
      </c>
      <c r="E12">
        <v>2139640</v>
      </c>
      <c r="F12">
        <v>20</v>
      </c>
    </row>
    <row r="13" spans="1:14" x14ac:dyDescent="0.35">
      <c r="A13">
        <v>2026</v>
      </c>
      <c r="B13">
        <v>1</v>
      </c>
      <c r="C13" t="s">
        <v>9</v>
      </c>
      <c r="D13" t="s">
        <v>14</v>
      </c>
      <c r="E13">
        <v>936800</v>
      </c>
      <c r="F13">
        <v>14</v>
      </c>
    </row>
    <row r="14" spans="1:14" x14ac:dyDescent="0.35">
      <c r="A14">
        <v>2026</v>
      </c>
      <c r="B14">
        <v>1</v>
      </c>
      <c r="C14" t="s">
        <v>8</v>
      </c>
      <c r="D14" t="s">
        <v>15</v>
      </c>
      <c r="E14">
        <v>4227099</v>
      </c>
      <c r="F14">
        <v>23</v>
      </c>
    </row>
    <row r="15" spans="1:14" x14ac:dyDescent="0.35">
      <c r="A15">
        <v>2026</v>
      </c>
      <c r="B15">
        <v>1</v>
      </c>
      <c r="C15" t="s">
        <v>9</v>
      </c>
      <c r="D15" t="s">
        <v>15</v>
      </c>
      <c r="E15">
        <v>379500</v>
      </c>
      <c r="F15">
        <v>7</v>
      </c>
    </row>
    <row r="16" spans="1:14" x14ac:dyDescent="0.35">
      <c r="A16">
        <v>2026</v>
      </c>
      <c r="B16">
        <v>1</v>
      </c>
      <c r="C16" t="s">
        <v>8</v>
      </c>
      <c r="D16" t="s">
        <v>16</v>
      </c>
      <c r="E16">
        <v>17093400</v>
      </c>
      <c r="F16">
        <v>157</v>
      </c>
    </row>
    <row r="17" spans="1:6" x14ac:dyDescent="0.35">
      <c r="A17">
        <v>2026</v>
      </c>
      <c r="B17">
        <v>1</v>
      </c>
      <c r="C17" t="s">
        <v>9</v>
      </c>
      <c r="D17" t="s">
        <v>16</v>
      </c>
      <c r="E17">
        <v>4573340</v>
      </c>
      <c r="F17">
        <v>48</v>
      </c>
    </row>
    <row r="18" spans="1:6" x14ac:dyDescent="0.35">
      <c r="A18">
        <v>2026</v>
      </c>
      <c r="B18">
        <v>1</v>
      </c>
      <c r="C18" t="s">
        <v>8</v>
      </c>
      <c r="D18" t="s">
        <v>17</v>
      </c>
      <c r="E18">
        <v>26973224</v>
      </c>
      <c r="F18">
        <v>216</v>
      </c>
    </row>
    <row r="19" spans="1:6" x14ac:dyDescent="0.35">
      <c r="A19">
        <v>2026</v>
      </c>
      <c r="B19">
        <v>1</v>
      </c>
      <c r="C19" t="s">
        <v>9</v>
      </c>
      <c r="D19" t="s">
        <v>17</v>
      </c>
      <c r="E19">
        <v>7300989</v>
      </c>
      <c r="F19">
        <v>68</v>
      </c>
    </row>
    <row r="20" spans="1:6" x14ac:dyDescent="0.35">
      <c r="A20">
        <v>2026</v>
      </c>
      <c r="B20">
        <v>1</v>
      </c>
      <c r="C20" t="s">
        <v>8</v>
      </c>
      <c r="D20" t="s">
        <v>18</v>
      </c>
      <c r="E20">
        <v>10183308</v>
      </c>
      <c r="F20">
        <v>87</v>
      </c>
    </row>
    <row r="21" spans="1:6" x14ac:dyDescent="0.35">
      <c r="A21">
        <v>2026</v>
      </c>
      <c r="B21">
        <v>1</v>
      </c>
      <c r="C21" t="s">
        <v>9</v>
      </c>
      <c r="D21" t="s">
        <v>18</v>
      </c>
      <c r="E21">
        <v>4503050</v>
      </c>
      <c r="F21">
        <v>36</v>
      </c>
    </row>
    <row r="22" spans="1:6" x14ac:dyDescent="0.35">
      <c r="A22">
        <v>2026</v>
      </c>
      <c r="B22">
        <v>1</v>
      </c>
      <c r="C22" t="s">
        <v>8</v>
      </c>
      <c r="D22" t="s">
        <v>6</v>
      </c>
      <c r="E22">
        <v>117278421</v>
      </c>
      <c r="F22">
        <v>1171</v>
      </c>
    </row>
    <row r="23" spans="1:6" x14ac:dyDescent="0.35">
      <c r="A23">
        <v>2026</v>
      </c>
      <c r="B23">
        <v>1</v>
      </c>
      <c r="C23" t="s">
        <v>9</v>
      </c>
      <c r="D23" t="s">
        <v>6</v>
      </c>
      <c r="E23">
        <v>30629259</v>
      </c>
      <c r="F23">
        <v>545</v>
      </c>
    </row>
    <row r="24" spans="1:6" x14ac:dyDescent="0.35">
      <c r="A24">
        <v>2026</v>
      </c>
      <c r="B24">
        <v>2</v>
      </c>
      <c r="C24" t="s">
        <v>8</v>
      </c>
      <c r="D24" t="s">
        <v>7</v>
      </c>
      <c r="E24">
        <v>59880</v>
      </c>
      <c r="F24">
        <v>9</v>
      </c>
    </row>
    <row r="25" spans="1:6" x14ac:dyDescent="0.35">
      <c r="A25">
        <v>2026</v>
      </c>
      <c r="B25">
        <v>2</v>
      </c>
      <c r="C25" t="s">
        <v>9</v>
      </c>
      <c r="D25" t="s">
        <v>7</v>
      </c>
      <c r="E25">
        <v>29940</v>
      </c>
      <c r="F25">
        <v>6</v>
      </c>
    </row>
    <row r="26" spans="1:6" x14ac:dyDescent="0.35">
      <c r="A26">
        <v>2026</v>
      </c>
      <c r="B26">
        <v>2</v>
      </c>
      <c r="C26" t="s">
        <v>8</v>
      </c>
      <c r="D26" t="s">
        <v>10</v>
      </c>
      <c r="E26">
        <v>2543920</v>
      </c>
      <c r="F26">
        <v>152</v>
      </c>
    </row>
    <row r="27" spans="1:6" x14ac:dyDescent="0.35">
      <c r="A27">
        <v>2026</v>
      </c>
      <c r="B27">
        <v>2</v>
      </c>
      <c r="C27" t="s">
        <v>9</v>
      </c>
      <c r="D27" t="s">
        <v>10</v>
      </c>
      <c r="E27">
        <v>2197070</v>
      </c>
      <c r="F27">
        <v>198</v>
      </c>
    </row>
    <row r="28" spans="1:6" x14ac:dyDescent="0.35">
      <c r="A28">
        <v>2026</v>
      </c>
      <c r="B28">
        <v>2</v>
      </c>
      <c r="C28" t="s">
        <v>8</v>
      </c>
      <c r="D28" t="s">
        <v>11</v>
      </c>
      <c r="E28">
        <v>5018530</v>
      </c>
      <c r="F28">
        <v>35</v>
      </c>
    </row>
    <row r="29" spans="1:6" x14ac:dyDescent="0.35">
      <c r="A29">
        <v>2026</v>
      </c>
      <c r="B29">
        <v>2</v>
      </c>
      <c r="C29" t="s">
        <v>9</v>
      </c>
      <c r="D29" t="s">
        <v>11</v>
      </c>
      <c r="E29">
        <v>644900</v>
      </c>
      <c r="F29">
        <v>12</v>
      </c>
    </row>
    <row r="30" spans="1:6" x14ac:dyDescent="0.35">
      <c r="A30">
        <v>2026</v>
      </c>
      <c r="B30">
        <v>2</v>
      </c>
      <c r="C30" t="s">
        <v>8</v>
      </c>
      <c r="D30" t="s">
        <v>12</v>
      </c>
      <c r="E30">
        <v>34034293</v>
      </c>
      <c r="F30">
        <v>262</v>
      </c>
    </row>
    <row r="31" spans="1:6" x14ac:dyDescent="0.35">
      <c r="A31">
        <v>2026</v>
      </c>
      <c r="B31">
        <v>2</v>
      </c>
      <c r="C31" t="s">
        <v>9</v>
      </c>
      <c r="D31" t="s">
        <v>12</v>
      </c>
      <c r="E31">
        <v>7096820</v>
      </c>
      <c r="F31">
        <v>68</v>
      </c>
    </row>
    <row r="32" spans="1:6" x14ac:dyDescent="0.35">
      <c r="A32">
        <v>2026</v>
      </c>
      <c r="B32">
        <v>2</v>
      </c>
      <c r="C32" t="s">
        <v>8</v>
      </c>
      <c r="D32" t="s">
        <v>13</v>
      </c>
      <c r="E32">
        <v>10373550</v>
      </c>
      <c r="F32">
        <v>104</v>
      </c>
    </row>
    <row r="33" spans="1:6" x14ac:dyDescent="0.35">
      <c r="A33">
        <v>2026</v>
      </c>
      <c r="B33">
        <v>2</v>
      </c>
      <c r="C33" t="s">
        <v>9</v>
      </c>
      <c r="D33" t="s">
        <v>13</v>
      </c>
      <c r="E33">
        <v>3233550</v>
      </c>
      <c r="F33">
        <v>35</v>
      </c>
    </row>
    <row r="34" spans="1:6" x14ac:dyDescent="0.35">
      <c r="A34">
        <v>2026</v>
      </c>
      <c r="B34">
        <v>2</v>
      </c>
      <c r="C34" t="s">
        <v>8</v>
      </c>
      <c r="D34" t="s">
        <v>14</v>
      </c>
      <c r="E34">
        <v>1982653</v>
      </c>
      <c r="F34">
        <v>24</v>
      </c>
    </row>
    <row r="35" spans="1:6" x14ac:dyDescent="0.35">
      <c r="A35">
        <v>2026</v>
      </c>
      <c r="B35">
        <v>2</v>
      </c>
      <c r="C35" t="s">
        <v>9</v>
      </c>
      <c r="D35" t="s">
        <v>14</v>
      </c>
      <c r="E35">
        <v>505880</v>
      </c>
      <c r="F35">
        <v>12</v>
      </c>
    </row>
    <row r="36" spans="1:6" x14ac:dyDescent="0.35">
      <c r="A36">
        <v>2026</v>
      </c>
      <c r="B36">
        <v>2</v>
      </c>
      <c r="C36" t="s">
        <v>8</v>
      </c>
      <c r="D36" t="s">
        <v>15</v>
      </c>
      <c r="E36">
        <v>7326700</v>
      </c>
      <c r="F36">
        <v>45</v>
      </c>
    </row>
    <row r="37" spans="1:6" x14ac:dyDescent="0.35">
      <c r="A37">
        <v>2026</v>
      </c>
      <c r="B37">
        <v>2</v>
      </c>
      <c r="C37" t="s">
        <v>9</v>
      </c>
      <c r="D37" t="s">
        <v>15</v>
      </c>
      <c r="E37">
        <v>666600</v>
      </c>
      <c r="F37">
        <v>9</v>
      </c>
    </row>
    <row r="38" spans="1:6" x14ac:dyDescent="0.35">
      <c r="A38">
        <v>2026</v>
      </c>
      <c r="B38">
        <v>2</v>
      </c>
      <c r="C38" t="s">
        <v>8</v>
      </c>
      <c r="D38" t="s">
        <v>16</v>
      </c>
      <c r="E38">
        <v>14562570</v>
      </c>
      <c r="F38">
        <v>133</v>
      </c>
    </row>
    <row r="39" spans="1:6" x14ac:dyDescent="0.35">
      <c r="A39">
        <v>2026</v>
      </c>
      <c r="B39">
        <v>2</v>
      </c>
      <c r="C39" t="s">
        <v>9</v>
      </c>
      <c r="D39" t="s">
        <v>16</v>
      </c>
      <c r="E39">
        <v>3313340</v>
      </c>
      <c r="F39">
        <v>47</v>
      </c>
    </row>
    <row r="40" spans="1:6" x14ac:dyDescent="0.35">
      <c r="A40">
        <v>2026</v>
      </c>
      <c r="B40">
        <v>2</v>
      </c>
      <c r="C40" t="s">
        <v>8</v>
      </c>
      <c r="D40" t="s">
        <v>17</v>
      </c>
      <c r="E40">
        <v>20222799</v>
      </c>
      <c r="F40">
        <v>195</v>
      </c>
    </row>
    <row r="41" spans="1:6" x14ac:dyDescent="0.35">
      <c r="A41">
        <v>2026</v>
      </c>
      <c r="B41">
        <v>2</v>
      </c>
      <c r="C41" t="s">
        <v>9</v>
      </c>
      <c r="D41" t="s">
        <v>17</v>
      </c>
      <c r="E41">
        <v>7035920</v>
      </c>
      <c r="F41">
        <v>65</v>
      </c>
    </row>
    <row r="42" spans="1:6" x14ac:dyDescent="0.35">
      <c r="A42">
        <v>2026</v>
      </c>
      <c r="B42">
        <v>2</v>
      </c>
      <c r="C42" t="s">
        <v>8</v>
      </c>
      <c r="D42" t="s">
        <v>18</v>
      </c>
      <c r="E42">
        <v>8599004</v>
      </c>
      <c r="F42">
        <v>77</v>
      </c>
    </row>
    <row r="43" spans="1:6" x14ac:dyDescent="0.35">
      <c r="A43">
        <v>2026</v>
      </c>
      <c r="B43">
        <v>2</v>
      </c>
      <c r="C43" t="s">
        <v>9</v>
      </c>
      <c r="D43" t="s">
        <v>18</v>
      </c>
      <c r="E43">
        <v>2682650</v>
      </c>
      <c r="F43">
        <v>25</v>
      </c>
    </row>
    <row r="44" spans="1:6" x14ac:dyDescent="0.35">
      <c r="A44">
        <v>2026</v>
      </c>
      <c r="B44">
        <v>2</v>
      </c>
      <c r="C44" t="s">
        <v>8</v>
      </c>
      <c r="D44" t="s">
        <v>6</v>
      </c>
      <c r="E44">
        <f>E24+E26+E28+E30+E32+E34+E36+E38+E40+E42</f>
        <v>104723899</v>
      </c>
      <c r="F44">
        <f>F24+F26+F28+F30+F32+F34+F36+F38+F40+F42</f>
        <v>1036</v>
      </c>
    </row>
    <row r="45" spans="1:6" x14ac:dyDescent="0.35">
      <c r="A45">
        <v>2026</v>
      </c>
      <c r="B45">
        <v>2</v>
      </c>
      <c r="C45" t="s">
        <v>9</v>
      </c>
      <c r="D45" t="s">
        <v>6</v>
      </c>
      <c r="E45">
        <f>E25+E27+E29+E31+E33+E35+E37+E39+E41+E43</f>
        <v>27406670</v>
      </c>
      <c r="F45">
        <f>F25+F27+F29+F31+F33+F35+F37+F39+F41+F43</f>
        <v>477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2026-03-10T17:12:34Z</dcterms:created>
  <dcterms:modified xsi:type="dcterms:W3CDTF">2026-03-11T00:38:08Z</dcterms:modified>
</cp:coreProperties>
</file>